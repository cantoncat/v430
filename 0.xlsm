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/>
  </bookViews>
  <sheets>
    <sheet name="Homepage" sheetId="1" r:id="rId1"/>
    <sheet name="Parameters" sheetId="4" r:id="rId2"/>
    <sheet name="ATM_Conf" sheetId="12" r:id="rId3"/>
    <sheet name="Links" sheetId="18" r:id="rId4"/>
    <sheet name="Nodes" sheetId="19" r:id="rId5"/>
    <sheet name="On-Ramps" sheetId="20" r:id="rId6"/>
    <sheet name="Off-Ramp" sheetId="22" r:id="rId7"/>
    <sheet name="Aggregated_Data" sheetId="2" r:id="rId8"/>
    <sheet name="IC_Miles" sheetId="3" r:id="rId9"/>
    <sheet name="Input_Conf" sheetId="5" r:id="rId10"/>
    <sheet name="Route_Decisions_Conf" sheetId="6" r:id="rId11"/>
    <sheet name="Comp_Conf" sheetId="7" r:id="rId12"/>
    <sheet name="Incidents_Conf" sheetId="9" r:id="rId13"/>
    <sheet name="DC_Conf" sheetId="10" r:id="rId14"/>
    <sheet name="FCD_Conf" sheetId="11" r:id="rId15"/>
    <sheet name="VSL_Conf" sheetId="13" r:id="rId16"/>
    <sheet name="RM_Conf" sheetId="14" r:id="rId17"/>
    <sheet name="PRD_Conf" sheetId="15" r:id="rId1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5" i="18" l="1"/>
  <c r="AT6" i="18" s="1"/>
  <c r="AS5" i="18"/>
  <c r="AR5" i="18"/>
  <c r="AR6" i="18" s="1"/>
  <c r="AQ5" i="18"/>
  <c r="AP5" i="18"/>
  <c r="AO5" i="18"/>
  <c r="AN5" i="18"/>
  <c r="AN6" i="18" s="1"/>
  <c r="AM5" i="18"/>
  <c r="AL5" i="18"/>
  <c r="AK5" i="18"/>
  <c r="AJ5" i="18"/>
  <c r="AI5" i="18"/>
  <c r="AI6" i="18" s="1"/>
  <c r="AH5" i="18"/>
  <c r="AG5" i="18"/>
  <c r="AG6" i="18" s="1"/>
  <c r="AF5" i="18"/>
  <c r="AT4" i="18"/>
  <c r="AP4" i="18"/>
  <c r="AQ4" i="18"/>
  <c r="AR4" i="18"/>
  <c r="AS4" i="18"/>
  <c r="AO4" i="18"/>
  <c r="AM4" i="18"/>
  <c r="AN4" i="18"/>
  <c r="AI4" i="18"/>
  <c r="AJ4" i="18"/>
  <c r="AK4" i="18"/>
  <c r="AL4" i="18"/>
  <c r="AH4" i="18"/>
  <c r="AG4" i="18"/>
  <c r="AF4" i="18"/>
  <c r="BZ4" i="19"/>
  <c r="BR4" i="19"/>
  <c r="BP4" i="19"/>
  <c r="CA3" i="19"/>
  <c r="BZ3" i="19"/>
  <c r="BY3" i="19"/>
  <c r="BX3" i="19"/>
  <c r="BW3" i="19"/>
  <c r="BV3" i="19"/>
  <c r="BU3" i="19"/>
  <c r="U3" i="22"/>
  <c r="J3" i="22"/>
  <c r="K3" i="22"/>
  <c r="BR3" i="19"/>
  <c r="BP3" i="19"/>
  <c r="BN4" i="19" l="1"/>
  <c r="BN5" i="19"/>
  <c r="BN182" i="19"/>
  <c r="BL4" i="19"/>
  <c r="BL5" i="19"/>
  <c r="BL182" i="19"/>
  <c r="BD4" i="19"/>
  <c r="BD5" i="19"/>
  <c r="BD182" i="19"/>
  <c r="BB4" i="19"/>
  <c r="BB5" i="19"/>
  <c r="BB182" i="19"/>
  <c r="BN3" i="19"/>
  <c r="BM3" i="19"/>
  <c r="BL3" i="19"/>
  <c r="BK3" i="19"/>
  <c r="BJ3" i="19"/>
  <c r="BI3" i="19"/>
  <c r="BH3" i="19"/>
  <c r="BG3" i="19"/>
  <c r="BF3" i="19"/>
  <c r="BE3" i="19"/>
  <c r="BB3" i="19"/>
  <c r="BD3" i="19"/>
  <c r="BC3" i="19"/>
  <c r="C3" i="22"/>
  <c r="BQ3" i="19" s="1"/>
  <c r="D3" i="22"/>
  <c r="N3" i="22" s="1"/>
  <c r="BS3" i="19" s="1"/>
  <c r="E3" i="22"/>
  <c r="O3" i="22" s="1"/>
  <c r="BT3" i="19" s="1"/>
  <c r="F3" i="22"/>
  <c r="P3" i="22" s="1"/>
  <c r="G3" i="22"/>
  <c r="Q3" i="22" s="1"/>
  <c r="H3" i="22"/>
  <c r="R3" i="22" s="1"/>
  <c r="I3" i="22"/>
  <c r="S3" i="22" s="1"/>
  <c r="T3" i="22"/>
  <c r="B3" i="22"/>
  <c r="L3" i="22" s="1"/>
  <c r="BO3" i="19" s="1"/>
  <c r="CE3" i="20"/>
  <c r="BV4" i="20"/>
  <c r="BW4" i="20"/>
  <c r="BX4" i="20"/>
  <c r="BY4" i="20"/>
  <c r="BZ4" i="20"/>
  <c r="CA4" i="20"/>
  <c r="CB4" i="20"/>
  <c r="CC4" i="20"/>
  <c r="CD4" i="20"/>
  <c r="BW3" i="20"/>
  <c r="BX3" i="20"/>
  <c r="BY3" i="20"/>
  <c r="BZ3" i="20"/>
  <c r="CI3" i="20" s="1"/>
  <c r="CA3" i="20"/>
  <c r="CB3" i="20"/>
  <c r="CC3" i="20"/>
  <c r="CD3" i="20"/>
  <c r="CM3" i="20" s="1"/>
  <c r="BV3" i="20"/>
  <c r="CF3" i="20"/>
  <c r="CG3" i="20"/>
  <c r="CH3" i="20"/>
  <c r="CJ3" i="20"/>
  <c r="CK3" i="20"/>
  <c r="CL3" i="20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AO127" i="19"/>
  <c r="AP127" i="19"/>
  <c r="AQ127" i="19"/>
  <c r="AR127" i="19"/>
  <c r="AS127" i="19"/>
  <c r="AT127" i="19"/>
  <c r="AU127" i="19"/>
  <c r="AV127" i="19"/>
  <c r="AW127" i="19"/>
  <c r="AX127" i="19"/>
  <c r="AY127" i="19"/>
  <c r="AZ127" i="19"/>
  <c r="BA127" i="19"/>
  <c r="AO128" i="19"/>
  <c r="AP128" i="19"/>
  <c r="AQ128" i="19"/>
  <c r="AR128" i="19"/>
  <c r="AS128" i="19"/>
  <c r="AT128" i="19"/>
  <c r="AU128" i="19"/>
  <c r="AV128" i="19"/>
  <c r="AW128" i="19"/>
  <c r="AX128" i="19"/>
  <c r="AY128" i="19"/>
  <c r="AZ128" i="19"/>
  <c r="BA128" i="19"/>
  <c r="AO129" i="19"/>
  <c r="AP129" i="19"/>
  <c r="AQ129" i="19"/>
  <c r="AR129" i="19"/>
  <c r="AS129" i="19"/>
  <c r="AT129" i="19"/>
  <c r="AU129" i="19"/>
  <c r="AV129" i="19"/>
  <c r="AW129" i="19"/>
  <c r="AX129" i="19"/>
  <c r="AY129" i="19"/>
  <c r="AZ129" i="19"/>
  <c r="BA129" i="19"/>
  <c r="AO130" i="19"/>
  <c r="AP130" i="19"/>
  <c r="AQ130" i="19"/>
  <c r="AR130" i="19"/>
  <c r="AS130" i="19"/>
  <c r="AT130" i="19"/>
  <c r="AU130" i="19"/>
  <c r="AV130" i="19"/>
  <c r="AW130" i="19"/>
  <c r="AX130" i="19"/>
  <c r="AY130" i="19"/>
  <c r="AZ130" i="19"/>
  <c r="BA130" i="19"/>
  <c r="AO131" i="19"/>
  <c r="AP131" i="19"/>
  <c r="AQ131" i="19"/>
  <c r="AR131" i="19"/>
  <c r="AS131" i="19"/>
  <c r="AT131" i="19"/>
  <c r="AU131" i="19"/>
  <c r="AV131" i="19"/>
  <c r="AW131" i="19"/>
  <c r="AX131" i="19"/>
  <c r="AY131" i="19"/>
  <c r="AZ131" i="19"/>
  <c r="BA131" i="19"/>
  <c r="AO132" i="19"/>
  <c r="AP132" i="19"/>
  <c r="AQ132" i="19"/>
  <c r="AR132" i="19"/>
  <c r="AS132" i="19"/>
  <c r="AT132" i="19"/>
  <c r="AU132" i="19"/>
  <c r="AV132" i="19"/>
  <c r="AW132" i="19"/>
  <c r="AX132" i="19"/>
  <c r="AY132" i="19"/>
  <c r="AZ132" i="19"/>
  <c r="BA132" i="19"/>
  <c r="AO133" i="19"/>
  <c r="AP133" i="19"/>
  <c r="AQ133" i="19"/>
  <c r="AR133" i="19"/>
  <c r="AS133" i="19"/>
  <c r="AT133" i="19"/>
  <c r="AU133" i="19"/>
  <c r="AV133" i="19"/>
  <c r="AW133" i="19"/>
  <c r="AX133" i="19"/>
  <c r="AY133" i="19"/>
  <c r="AZ133" i="19"/>
  <c r="BA133" i="19"/>
  <c r="AO134" i="19"/>
  <c r="AP134" i="19"/>
  <c r="AQ134" i="19"/>
  <c r="AR134" i="19"/>
  <c r="AS134" i="19"/>
  <c r="AT134" i="19"/>
  <c r="AU134" i="19"/>
  <c r="AV134" i="19"/>
  <c r="AW134" i="19"/>
  <c r="AX134" i="19"/>
  <c r="AY134" i="19"/>
  <c r="AZ134" i="19"/>
  <c r="BA134" i="19"/>
  <c r="AO135" i="19"/>
  <c r="AP135" i="19"/>
  <c r="AQ135" i="19"/>
  <c r="AR135" i="19"/>
  <c r="AS135" i="19"/>
  <c r="AT135" i="19"/>
  <c r="AU135" i="19"/>
  <c r="AV135" i="19"/>
  <c r="AW135" i="19"/>
  <c r="AX135" i="19"/>
  <c r="AY135" i="19"/>
  <c r="AZ135" i="19"/>
  <c r="BA135" i="19"/>
  <c r="AO136" i="19"/>
  <c r="AP136" i="19"/>
  <c r="AQ136" i="19"/>
  <c r="AR136" i="19"/>
  <c r="AS136" i="19"/>
  <c r="AT136" i="19"/>
  <c r="AU136" i="19"/>
  <c r="AV136" i="19"/>
  <c r="AW136" i="19"/>
  <c r="AX136" i="19"/>
  <c r="AY136" i="19"/>
  <c r="AZ136" i="19"/>
  <c r="BA136" i="19"/>
  <c r="AO137" i="19"/>
  <c r="AP137" i="19"/>
  <c r="AQ137" i="19"/>
  <c r="AR137" i="19"/>
  <c r="AS137" i="19"/>
  <c r="AT137" i="19"/>
  <c r="AU137" i="19"/>
  <c r="AV137" i="19"/>
  <c r="AW137" i="19"/>
  <c r="AX137" i="19"/>
  <c r="AY137" i="19"/>
  <c r="AZ137" i="19"/>
  <c r="BA137" i="19"/>
  <c r="AO138" i="19"/>
  <c r="AP138" i="19"/>
  <c r="AQ138" i="19"/>
  <c r="AR138" i="19"/>
  <c r="AS138" i="19"/>
  <c r="AT138" i="19"/>
  <c r="AU138" i="19"/>
  <c r="AV138" i="19"/>
  <c r="AW138" i="19"/>
  <c r="AX138" i="19"/>
  <c r="AY138" i="19"/>
  <c r="AZ138" i="19"/>
  <c r="BA138" i="19"/>
  <c r="AO139" i="19"/>
  <c r="AP139" i="19"/>
  <c r="AQ139" i="19"/>
  <c r="AR139" i="19"/>
  <c r="AS139" i="19"/>
  <c r="AT139" i="19"/>
  <c r="AU139" i="19"/>
  <c r="AV139" i="19"/>
  <c r="AW139" i="19"/>
  <c r="AX139" i="19"/>
  <c r="AY139" i="19"/>
  <c r="AZ139" i="19"/>
  <c r="BA139" i="19"/>
  <c r="AO140" i="19"/>
  <c r="AP140" i="19"/>
  <c r="AQ140" i="19"/>
  <c r="AR140" i="19"/>
  <c r="AS140" i="19"/>
  <c r="AT140" i="19"/>
  <c r="AU140" i="19"/>
  <c r="AV140" i="19"/>
  <c r="AW140" i="19"/>
  <c r="AX140" i="19"/>
  <c r="AY140" i="19"/>
  <c r="AZ140" i="19"/>
  <c r="BA140" i="19"/>
  <c r="AO141" i="19"/>
  <c r="AP141" i="19"/>
  <c r="AQ141" i="19"/>
  <c r="AR141" i="19"/>
  <c r="AS141" i="19"/>
  <c r="AT141" i="19"/>
  <c r="AU141" i="19"/>
  <c r="AV141" i="19"/>
  <c r="AW141" i="19"/>
  <c r="AX141" i="19"/>
  <c r="AY141" i="19"/>
  <c r="AZ141" i="19"/>
  <c r="BA141" i="19"/>
  <c r="AO142" i="19"/>
  <c r="AP142" i="19"/>
  <c r="AQ142" i="19"/>
  <c r="AR142" i="19"/>
  <c r="AS142" i="19"/>
  <c r="AT142" i="19"/>
  <c r="AU142" i="19"/>
  <c r="AV142" i="19"/>
  <c r="AW142" i="19"/>
  <c r="AX142" i="19"/>
  <c r="AY142" i="19"/>
  <c r="AZ142" i="19"/>
  <c r="BA142" i="19"/>
  <c r="AO143" i="19"/>
  <c r="AP143" i="19"/>
  <c r="AQ143" i="19"/>
  <c r="AR143" i="19"/>
  <c r="AS143" i="19"/>
  <c r="AT143" i="19"/>
  <c r="AU143" i="19"/>
  <c r="AV143" i="19"/>
  <c r="AW143" i="19"/>
  <c r="AX143" i="19"/>
  <c r="AY143" i="19"/>
  <c r="AZ143" i="19"/>
  <c r="BA143" i="19"/>
  <c r="AO144" i="19"/>
  <c r="AP144" i="19"/>
  <c r="AQ144" i="19"/>
  <c r="AR144" i="19"/>
  <c r="AS144" i="19"/>
  <c r="AT144" i="19"/>
  <c r="AU144" i="19"/>
  <c r="AV144" i="19"/>
  <c r="AW144" i="19"/>
  <c r="AX144" i="19"/>
  <c r="AY144" i="19"/>
  <c r="AZ144" i="19"/>
  <c r="BA144" i="19"/>
  <c r="AO145" i="19"/>
  <c r="AP145" i="19"/>
  <c r="AQ145" i="19"/>
  <c r="AR145" i="19"/>
  <c r="AS145" i="19"/>
  <c r="AT145" i="19"/>
  <c r="AU145" i="19"/>
  <c r="AV145" i="19"/>
  <c r="AW145" i="19"/>
  <c r="AX145" i="19"/>
  <c r="AY145" i="19"/>
  <c r="AZ145" i="19"/>
  <c r="BA145" i="19"/>
  <c r="AO146" i="19"/>
  <c r="AP146" i="19"/>
  <c r="AQ146" i="19"/>
  <c r="AR146" i="19"/>
  <c r="AS146" i="19"/>
  <c r="AT146" i="19"/>
  <c r="AU146" i="19"/>
  <c r="AV146" i="19"/>
  <c r="AW146" i="19"/>
  <c r="AX146" i="19"/>
  <c r="AY146" i="19"/>
  <c r="AZ146" i="19"/>
  <c r="BA146" i="19"/>
  <c r="AO147" i="19"/>
  <c r="AP147" i="19"/>
  <c r="AQ147" i="19"/>
  <c r="AR147" i="19"/>
  <c r="AS147" i="19"/>
  <c r="AT147" i="19"/>
  <c r="AU147" i="19"/>
  <c r="AV147" i="19"/>
  <c r="AW147" i="19"/>
  <c r="AX147" i="19"/>
  <c r="AY147" i="19"/>
  <c r="AZ147" i="19"/>
  <c r="BA147" i="19"/>
  <c r="AO148" i="19"/>
  <c r="AP148" i="19"/>
  <c r="AQ148" i="19"/>
  <c r="AR148" i="19"/>
  <c r="AS148" i="19"/>
  <c r="AT148" i="19"/>
  <c r="AU148" i="19"/>
  <c r="AV148" i="19"/>
  <c r="AW148" i="19"/>
  <c r="AX148" i="19"/>
  <c r="AY148" i="19"/>
  <c r="AZ148" i="19"/>
  <c r="BA148" i="19"/>
  <c r="AO149" i="19"/>
  <c r="AP149" i="19"/>
  <c r="AQ149" i="19"/>
  <c r="AR149" i="19"/>
  <c r="AS149" i="19"/>
  <c r="AT149" i="19"/>
  <c r="AU149" i="19"/>
  <c r="AV149" i="19"/>
  <c r="AW149" i="19"/>
  <c r="AX149" i="19"/>
  <c r="AY149" i="19"/>
  <c r="AZ149" i="19"/>
  <c r="BA149" i="19"/>
  <c r="AO150" i="19"/>
  <c r="AP150" i="19"/>
  <c r="AQ150" i="19"/>
  <c r="AR150" i="19"/>
  <c r="AS150" i="19"/>
  <c r="AT150" i="19"/>
  <c r="AU150" i="19"/>
  <c r="AV150" i="19"/>
  <c r="AW150" i="19"/>
  <c r="AX150" i="19"/>
  <c r="AY150" i="19"/>
  <c r="AZ150" i="19"/>
  <c r="BA150" i="19"/>
  <c r="AO151" i="19"/>
  <c r="AP151" i="19"/>
  <c r="AQ151" i="19"/>
  <c r="AR151" i="19"/>
  <c r="AS151" i="19"/>
  <c r="AT151" i="19"/>
  <c r="AU151" i="19"/>
  <c r="AV151" i="19"/>
  <c r="AW151" i="19"/>
  <c r="AX151" i="19"/>
  <c r="AY151" i="19"/>
  <c r="AZ151" i="19"/>
  <c r="BA151" i="19"/>
  <c r="AO152" i="19"/>
  <c r="AP152" i="19"/>
  <c r="AQ152" i="19"/>
  <c r="AR152" i="19"/>
  <c r="AS152" i="19"/>
  <c r="AT152" i="19"/>
  <c r="AU152" i="19"/>
  <c r="AV152" i="19"/>
  <c r="AW152" i="19"/>
  <c r="AX152" i="19"/>
  <c r="AY152" i="19"/>
  <c r="AZ152" i="19"/>
  <c r="BA152" i="19"/>
  <c r="AO153" i="19"/>
  <c r="AP153" i="19"/>
  <c r="AQ153" i="19"/>
  <c r="AR153" i="19"/>
  <c r="AS153" i="19"/>
  <c r="AT153" i="19"/>
  <c r="AU153" i="19"/>
  <c r="AV153" i="19"/>
  <c r="AW153" i="19"/>
  <c r="AX153" i="19"/>
  <c r="AY153" i="19"/>
  <c r="AZ153" i="19"/>
  <c r="BA153" i="19"/>
  <c r="AO154" i="19"/>
  <c r="AP154" i="19"/>
  <c r="AQ154" i="19"/>
  <c r="AR154" i="19"/>
  <c r="AS154" i="19"/>
  <c r="AT154" i="19"/>
  <c r="AU154" i="19"/>
  <c r="AV154" i="19"/>
  <c r="AW154" i="19"/>
  <c r="AX154" i="19"/>
  <c r="AY154" i="19"/>
  <c r="AZ154" i="19"/>
  <c r="BA154" i="19"/>
  <c r="AO155" i="19"/>
  <c r="AP155" i="19"/>
  <c r="AQ155" i="19"/>
  <c r="AR155" i="19"/>
  <c r="AS155" i="19"/>
  <c r="AT155" i="19"/>
  <c r="AU155" i="19"/>
  <c r="AV155" i="19"/>
  <c r="AW155" i="19"/>
  <c r="AX155" i="19"/>
  <c r="AY155" i="19"/>
  <c r="AZ155" i="19"/>
  <c r="BA155" i="19"/>
  <c r="AO156" i="19"/>
  <c r="AP156" i="19"/>
  <c r="AQ156" i="19"/>
  <c r="AR156" i="19"/>
  <c r="AS156" i="19"/>
  <c r="AT156" i="19"/>
  <c r="AU156" i="19"/>
  <c r="AV156" i="19"/>
  <c r="AW156" i="19"/>
  <c r="AX156" i="19"/>
  <c r="AY156" i="19"/>
  <c r="AZ156" i="19"/>
  <c r="BA156" i="19"/>
  <c r="AO157" i="19"/>
  <c r="AP157" i="19"/>
  <c r="AQ157" i="19"/>
  <c r="AR157" i="19"/>
  <c r="AS157" i="19"/>
  <c r="AT157" i="19"/>
  <c r="AU157" i="19"/>
  <c r="AV157" i="19"/>
  <c r="AW157" i="19"/>
  <c r="AX157" i="19"/>
  <c r="AY157" i="19"/>
  <c r="AZ157" i="19"/>
  <c r="BA157" i="19"/>
  <c r="AO158" i="19"/>
  <c r="AP158" i="19"/>
  <c r="AQ158" i="19"/>
  <c r="AR158" i="19"/>
  <c r="AS158" i="19"/>
  <c r="AT158" i="19"/>
  <c r="AU158" i="19"/>
  <c r="AV158" i="19"/>
  <c r="AW158" i="19"/>
  <c r="AX158" i="19"/>
  <c r="AY158" i="19"/>
  <c r="AZ158" i="19"/>
  <c r="BA158" i="19"/>
  <c r="AO159" i="19"/>
  <c r="AP159" i="19"/>
  <c r="AQ159" i="19"/>
  <c r="AR159" i="19"/>
  <c r="AS159" i="19"/>
  <c r="AT159" i="19"/>
  <c r="AU159" i="19"/>
  <c r="AV159" i="19"/>
  <c r="AW159" i="19"/>
  <c r="AX159" i="19"/>
  <c r="AY159" i="19"/>
  <c r="AZ159" i="19"/>
  <c r="BA159" i="19"/>
  <c r="AO160" i="19"/>
  <c r="AP160" i="19"/>
  <c r="AQ160" i="19"/>
  <c r="AR160" i="19"/>
  <c r="AS160" i="19"/>
  <c r="AT160" i="19"/>
  <c r="AU160" i="19"/>
  <c r="AV160" i="19"/>
  <c r="AW160" i="19"/>
  <c r="AX160" i="19"/>
  <c r="AY160" i="19"/>
  <c r="AZ160" i="19"/>
  <c r="BA160" i="19"/>
  <c r="AO161" i="19"/>
  <c r="AP161" i="19"/>
  <c r="AQ161" i="19"/>
  <c r="AR161" i="19"/>
  <c r="AS161" i="19"/>
  <c r="AT161" i="19"/>
  <c r="AU161" i="19"/>
  <c r="AV161" i="19"/>
  <c r="AW161" i="19"/>
  <c r="AX161" i="19"/>
  <c r="AY161" i="19"/>
  <c r="AZ161" i="19"/>
  <c r="BA161" i="19"/>
  <c r="AO162" i="19"/>
  <c r="AP162" i="19"/>
  <c r="AQ162" i="19"/>
  <c r="AR162" i="19"/>
  <c r="AS162" i="19"/>
  <c r="AT162" i="19"/>
  <c r="AU162" i="19"/>
  <c r="AV162" i="19"/>
  <c r="AW162" i="19"/>
  <c r="AX162" i="19"/>
  <c r="AY162" i="19"/>
  <c r="AZ162" i="19"/>
  <c r="BA162" i="19"/>
  <c r="AO163" i="19"/>
  <c r="AP163" i="19"/>
  <c r="AQ163" i="19"/>
  <c r="AR163" i="19"/>
  <c r="AS163" i="19"/>
  <c r="AT163" i="19"/>
  <c r="AU163" i="19"/>
  <c r="AV163" i="19"/>
  <c r="AW163" i="19"/>
  <c r="AX163" i="19"/>
  <c r="AY163" i="19"/>
  <c r="AZ163" i="19"/>
  <c r="BA163" i="19"/>
  <c r="AO164" i="19"/>
  <c r="AP164" i="19"/>
  <c r="AQ164" i="19"/>
  <c r="AR164" i="19"/>
  <c r="AS164" i="19"/>
  <c r="AT164" i="19"/>
  <c r="AU164" i="19"/>
  <c r="AV164" i="19"/>
  <c r="AW164" i="19"/>
  <c r="AX164" i="19"/>
  <c r="AY164" i="19"/>
  <c r="AZ164" i="19"/>
  <c r="BA164" i="19"/>
  <c r="AO165" i="19"/>
  <c r="AP165" i="19"/>
  <c r="AQ165" i="19"/>
  <c r="AR165" i="19"/>
  <c r="AS165" i="19"/>
  <c r="AT165" i="19"/>
  <c r="AU165" i="19"/>
  <c r="AV165" i="19"/>
  <c r="AW165" i="19"/>
  <c r="AX165" i="19"/>
  <c r="AY165" i="19"/>
  <c r="AZ165" i="19"/>
  <c r="BA165" i="19"/>
  <c r="AO166" i="19"/>
  <c r="AP166" i="19"/>
  <c r="AQ166" i="19"/>
  <c r="AR166" i="19"/>
  <c r="AS166" i="19"/>
  <c r="AT166" i="19"/>
  <c r="AU166" i="19"/>
  <c r="AV166" i="19"/>
  <c r="AW166" i="19"/>
  <c r="AX166" i="19"/>
  <c r="AY166" i="19"/>
  <c r="AZ166" i="19"/>
  <c r="BA166" i="19"/>
  <c r="AO167" i="19"/>
  <c r="AP167" i="19"/>
  <c r="AQ167" i="19"/>
  <c r="AR167" i="19"/>
  <c r="AS167" i="19"/>
  <c r="AT167" i="19"/>
  <c r="AU167" i="19"/>
  <c r="AV167" i="19"/>
  <c r="AW167" i="19"/>
  <c r="AX167" i="19"/>
  <c r="AY167" i="19"/>
  <c r="AZ167" i="19"/>
  <c r="BA167" i="19"/>
  <c r="AO168" i="19"/>
  <c r="AP168" i="19"/>
  <c r="AQ168" i="19"/>
  <c r="AR168" i="19"/>
  <c r="AS168" i="19"/>
  <c r="AT168" i="19"/>
  <c r="AU168" i="19"/>
  <c r="AV168" i="19"/>
  <c r="AW168" i="19"/>
  <c r="AX168" i="19"/>
  <c r="AY168" i="19"/>
  <c r="AZ168" i="19"/>
  <c r="BA168" i="19"/>
  <c r="AO169" i="19"/>
  <c r="AP169" i="19"/>
  <c r="AQ169" i="19"/>
  <c r="AR169" i="19"/>
  <c r="AS169" i="19"/>
  <c r="AT169" i="19"/>
  <c r="AU169" i="19"/>
  <c r="AV169" i="19"/>
  <c r="AW169" i="19"/>
  <c r="AX169" i="19"/>
  <c r="AY169" i="19"/>
  <c r="AZ169" i="19"/>
  <c r="BA169" i="19"/>
  <c r="AO170" i="19"/>
  <c r="AP170" i="19"/>
  <c r="AQ170" i="19"/>
  <c r="AR170" i="19"/>
  <c r="AS170" i="19"/>
  <c r="AT170" i="19"/>
  <c r="AU170" i="19"/>
  <c r="AV170" i="19"/>
  <c r="AW170" i="19"/>
  <c r="AX170" i="19"/>
  <c r="AY170" i="19"/>
  <c r="AZ170" i="19"/>
  <c r="BA170" i="19"/>
  <c r="AO171" i="19"/>
  <c r="AP171" i="19"/>
  <c r="AQ171" i="19"/>
  <c r="AR171" i="19"/>
  <c r="AS171" i="19"/>
  <c r="AT171" i="19"/>
  <c r="AU171" i="19"/>
  <c r="AV171" i="19"/>
  <c r="AW171" i="19"/>
  <c r="AX171" i="19"/>
  <c r="AY171" i="19"/>
  <c r="AZ171" i="19"/>
  <c r="BA171" i="19"/>
  <c r="AO172" i="19"/>
  <c r="AP172" i="19"/>
  <c r="AQ172" i="19"/>
  <c r="AR172" i="19"/>
  <c r="AS172" i="19"/>
  <c r="AT172" i="19"/>
  <c r="AU172" i="19"/>
  <c r="AV172" i="19"/>
  <c r="AW172" i="19"/>
  <c r="AX172" i="19"/>
  <c r="AY172" i="19"/>
  <c r="AZ172" i="19"/>
  <c r="BA172" i="19"/>
  <c r="AO173" i="19"/>
  <c r="AP173" i="19"/>
  <c r="AQ173" i="19"/>
  <c r="AR173" i="19"/>
  <c r="AS173" i="19"/>
  <c r="AT173" i="19"/>
  <c r="AU173" i="19"/>
  <c r="AV173" i="19"/>
  <c r="AW173" i="19"/>
  <c r="AX173" i="19"/>
  <c r="AY173" i="19"/>
  <c r="AZ173" i="19"/>
  <c r="BA173" i="19"/>
  <c r="AO174" i="19"/>
  <c r="AP174" i="19"/>
  <c r="AQ174" i="19"/>
  <c r="AR174" i="19"/>
  <c r="AS174" i="19"/>
  <c r="AT174" i="19"/>
  <c r="AU174" i="19"/>
  <c r="AV174" i="19"/>
  <c r="AW174" i="19"/>
  <c r="AX174" i="19"/>
  <c r="AY174" i="19"/>
  <c r="AZ174" i="19"/>
  <c r="BA174" i="19"/>
  <c r="AO175" i="19"/>
  <c r="AP175" i="19"/>
  <c r="AQ175" i="19"/>
  <c r="AR175" i="19"/>
  <c r="AS175" i="19"/>
  <c r="AT175" i="19"/>
  <c r="AU175" i="19"/>
  <c r="AV175" i="19"/>
  <c r="AW175" i="19"/>
  <c r="AX175" i="19"/>
  <c r="AY175" i="19"/>
  <c r="AZ175" i="19"/>
  <c r="BA175" i="19"/>
  <c r="AO176" i="19"/>
  <c r="AP176" i="19"/>
  <c r="AQ176" i="19"/>
  <c r="AR176" i="19"/>
  <c r="AS176" i="19"/>
  <c r="AT176" i="19"/>
  <c r="AU176" i="19"/>
  <c r="AV176" i="19"/>
  <c r="AW176" i="19"/>
  <c r="AX176" i="19"/>
  <c r="AY176" i="19"/>
  <c r="AZ176" i="19"/>
  <c r="BA176" i="19"/>
  <c r="AO177" i="19"/>
  <c r="AP177" i="19"/>
  <c r="AQ177" i="19"/>
  <c r="AR177" i="19"/>
  <c r="AS177" i="19"/>
  <c r="AT177" i="19"/>
  <c r="AU177" i="19"/>
  <c r="AV177" i="19"/>
  <c r="AW177" i="19"/>
  <c r="AX177" i="19"/>
  <c r="AY177" i="19"/>
  <c r="AZ177" i="19"/>
  <c r="BA177" i="19"/>
  <c r="AO178" i="19"/>
  <c r="AP178" i="19"/>
  <c r="AQ178" i="19"/>
  <c r="AR178" i="19"/>
  <c r="AS178" i="19"/>
  <c r="AT178" i="19"/>
  <c r="AU178" i="19"/>
  <c r="AV178" i="19"/>
  <c r="AW178" i="19"/>
  <c r="AX178" i="19"/>
  <c r="AY178" i="19"/>
  <c r="AZ178" i="19"/>
  <c r="BA178" i="19"/>
  <c r="AO179" i="19"/>
  <c r="AP179" i="19"/>
  <c r="AQ179" i="19"/>
  <c r="AR179" i="19"/>
  <c r="AS179" i="19"/>
  <c r="AT179" i="19"/>
  <c r="AU179" i="19"/>
  <c r="AV179" i="19"/>
  <c r="AW179" i="19"/>
  <c r="AX179" i="19"/>
  <c r="AY179" i="19"/>
  <c r="AZ179" i="19"/>
  <c r="BA179" i="19"/>
  <c r="AO180" i="19"/>
  <c r="AP180" i="19"/>
  <c r="AQ180" i="19"/>
  <c r="AR180" i="19"/>
  <c r="AS180" i="19"/>
  <c r="AT180" i="19"/>
  <c r="AU180" i="19"/>
  <c r="AV180" i="19"/>
  <c r="AW180" i="19"/>
  <c r="AX180" i="19"/>
  <c r="AY180" i="19"/>
  <c r="AZ180" i="19"/>
  <c r="BA180" i="19"/>
  <c r="AO181" i="19"/>
  <c r="AP181" i="19"/>
  <c r="AQ181" i="19"/>
  <c r="AR181" i="19"/>
  <c r="AS181" i="19"/>
  <c r="AT181" i="19"/>
  <c r="AU181" i="19"/>
  <c r="AV181" i="19"/>
  <c r="AW181" i="19"/>
  <c r="AX181" i="19"/>
  <c r="AY181" i="19"/>
  <c r="AZ181" i="19"/>
  <c r="BA181" i="19"/>
  <c r="AO182" i="19"/>
  <c r="AP182" i="19"/>
  <c r="AQ182" i="19"/>
  <c r="AR182" i="19"/>
  <c r="AS182" i="19"/>
  <c r="AT182" i="19"/>
  <c r="AU182" i="19"/>
  <c r="AV182" i="19"/>
  <c r="AW182" i="19"/>
  <c r="AX182" i="19"/>
  <c r="AY182" i="19"/>
  <c r="AZ182" i="19"/>
  <c r="BA182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AO4" i="19"/>
  <c r="BA3" i="19"/>
  <c r="AP3" i="19"/>
  <c r="AQ3" i="19"/>
  <c r="AR3" i="19"/>
  <c r="AS3" i="19"/>
  <c r="AT3" i="19"/>
  <c r="AU3" i="19"/>
  <c r="AV3" i="19"/>
  <c r="AW3" i="19"/>
  <c r="AX3" i="19"/>
  <c r="AY3" i="19"/>
  <c r="AZ3" i="19"/>
  <c r="AO3" i="19"/>
  <c r="C3" i="19"/>
  <c r="D3" i="19"/>
  <c r="E3" i="19"/>
  <c r="F3" i="19"/>
  <c r="G3" i="19"/>
  <c r="H3" i="19"/>
  <c r="I3" i="19"/>
  <c r="J3" i="19"/>
  <c r="K3" i="19"/>
  <c r="L3" i="19"/>
  <c r="M3" i="19"/>
  <c r="N3" i="19"/>
  <c r="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O3" i="18"/>
  <c r="Y4" i="18"/>
  <c r="Q4" i="18"/>
  <c r="R4" i="18"/>
  <c r="S4" i="18"/>
  <c r="T4" i="18"/>
  <c r="U4" i="18"/>
  <c r="V4" i="18"/>
  <c r="W4" i="18"/>
  <c r="X4" i="18"/>
  <c r="Z4" i="18"/>
  <c r="AA4" i="18"/>
  <c r="AB4" i="18"/>
  <c r="AC4" i="18"/>
  <c r="AD4" i="18"/>
  <c r="AE4" i="18"/>
  <c r="M3" i="22" l="1"/>
  <c r="C4" i="18"/>
  <c r="D4" i="18"/>
  <c r="E4" i="18"/>
  <c r="F4" i="18"/>
  <c r="G4" i="18"/>
  <c r="H4" i="18"/>
  <c r="I4" i="18"/>
  <c r="X5" i="18" s="1"/>
  <c r="I5" i="18" s="1"/>
  <c r="J4" i="18"/>
  <c r="K4" i="18"/>
  <c r="L4" i="18"/>
  <c r="M4" i="18"/>
  <c r="N4" i="18"/>
  <c r="O4" i="18"/>
  <c r="P4" i="18"/>
  <c r="C3" i="18"/>
  <c r="D3" i="18"/>
  <c r="E3" i="18"/>
  <c r="F3" i="18"/>
  <c r="G3" i="18"/>
  <c r="H3" i="18"/>
  <c r="I3" i="18"/>
  <c r="J3" i="18"/>
  <c r="K3" i="18"/>
  <c r="L3" i="18"/>
  <c r="M3" i="18"/>
  <c r="N3" i="18"/>
  <c r="P3" i="18"/>
  <c r="B3" i="18"/>
  <c r="DC182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AC5" i="18" l="1"/>
  <c r="Y5" i="18"/>
  <c r="U5" i="18"/>
  <c r="Z5" i="18"/>
  <c r="AB5" i="18"/>
  <c r="Y4" i="19"/>
  <c r="T5" i="18"/>
  <c r="AD5" i="18"/>
  <c r="AA4" i="19"/>
  <c r="AN4" i="19" s="1"/>
  <c r="N4" i="19" s="1"/>
  <c r="K4" i="22" s="1"/>
  <c r="U4" i="22" s="1"/>
  <c r="CA4" i="19" s="1"/>
  <c r="V5" i="18"/>
  <c r="AE5" i="18"/>
  <c r="P5" i="18" s="1"/>
  <c r="AA5" i="18"/>
  <c r="W5" i="18"/>
  <c r="Q4" i="19"/>
  <c r="S5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U4" i="20"/>
  <c r="AV4" i="20"/>
  <c r="AW4" i="20"/>
  <c r="AX4" i="20"/>
  <c r="AY4" i="20"/>
  <c r="AZ4" i="20"/>
  <c r="BA4" i="20"/>
  <c r="BB4" i="20"/>
  <c r="BC4" i="20"/>
  <c r="AX5" i="20"/>
  <c r="AV3" i="20"/>
  <c r="AW3" i="20"/>
  <c r="AE3" i="20" s="1"/>
  <c r="M4" i="20" s="1"/>
  <c r="AN4" i="20" s="1"/>
  <c r="AX3" i="20"/>
  <c r="AY3" i="20"/>
  <c r="AZ3" i="20"/>
  <c r="BA3" i="20"/>
  <c r="BB3" i="20"/>
  <c r="BC3" i="20"/>
  <c r="AU3" i="20"/>
  <c r="AO4" i="20"/>
  <c r="AM3" i="20"/>
  <c r="AN3" i="20"/>
  <c r="AO3" i="20"/>
  <c r="AP3" i="20"/>
  <c r="AQ3" i="20"/>
  <c r="AR3" i="20"/>
  <c r="AS3" i="20"/>
  <c r="AT3" i="20"/>
  <c r="AL3" i="20"/>
  <c r="AD3" i="20"/>
  <c r="L4" i="20" s="1"/>
  <c r="AM4" i="20" s="1"/>
  <c r="AI3" i="20"/>
  <c r="Q4" i="20" s="1"/>
  <c r="AR4" i="20" s="1"/>
  <c r="AF3" i="20"/>
  <c r="N4" i="20" s="1"/>
  <c r="AH3" i="20"/>
  <c r="P4" i="20" s="1"/>
  <c r="AQ4" i="20" s="1"/>
  <c r="AH4" i="20" s="1"/>
  <c r="CJ4" i="20" s="1"/>
  <c r="AJ3" i="20"/>
  <c r="R4" i="20" s="1"/>
  <c r="AS4" i="20" s="1"/>
  <c r="V4" i="19" l="1"/>
  <c r="AD4" i="19"/>
  <c r="D4" i="19" s="1"/>
  <c r="D4" i="22" s="1"/>
  <c r="N4" i="22" s="1"/>
  <c r="BS4" i="19" s="1"/>
  <c r="L5" i="18"/>
  <c r="G5" i="18"/>
  <c r="O5" i="18"/>
  <c r="AL4" i="19"/>
  <c r="L4" i="19" s="1"/>
  <c r="J4" i="22" s="1"/>
  <c r="T4" i="22" s="1"/>
  <c r="BY4" i="19" s="1"/>
  <c r="M5" i="18"/>
  <c r="F5" i="18"/>
  <c r="J5" i="18"/>
  <c r="BZ5" i="19"/>
  <c r="N5" i="18"/>
  <c r="AI4" i="19"/>
  <c r="I4" i="19" s="1"/>
  <c r="I4" i="22" s="1"/>
  <c r="S4" i="22" s="1"/>
  <c r="BX4" i="19" s="1"/>
  <c r="H5" i="18"/>
  <c r="BR5" i="19"/>
  <c r="E5" i="18"/>
  <c r="K5" i="18"/>
  <c r="BI4" i="19"/>
  <c r="BP5" i="19"/>
  <c r="D5" i="18"/>
  <c r="Q5" i="19" s="1"/>
  <c r="BM182" i="20"/>
  <c r="AF4" i="20"/>
  <c r="AJ4" i="20"/>
  <c r="AD4" i="20"/>
  <c r="AI4" i="20"/>
  <c r="AE4" i="20"/>
  <c r="P5" i="20"/>
  <c r="AK3" i="20"/>
  <c r="S4" i="20" s="1"/>
  <c r="AT4" i="20" s="1"/>
  <c r="AG3" i="20"/>
  <c r="O4" i="20" s="1"/>
  <c r="AP4" i="20" s="1"/>
  <c r="AC3" i="20"/>
  <c r="K4" i="20" s="1"/>
  <c r="AL4" i="20" s="1"/>
  <c r="Y6" i="18" l="1"/>
  <c r="AY5" i="20"/>
  <c r="Y5" i="19"/>
  <c r="BB5" i="20"/>
  <c r="AB6" i="18"/>
  <c r="AA5" i="19"/>
  <c r="AD6" i="18"/>
  <c r="AA6" i="18"/>
  <c r="BA5" i="20"/>
  <c r="Q5" i="20"/>
  <c r="CK4" i="20"/>
  <c r="W4" i="19"/>
  <c r="AJ4" i="19" s="1"/>
  <c r="J4" i="19" s="1"/>
  <c r="BJ4" i="19"/>
  <c r="AE6" i="18"/>
  <c r="Z6" i="18"/>
  <c r="AZ5" i="20"/>
  <c r="W6" i="18"/>
  <c r="AW5" i="20"/>
  <c r="X6" i="18"/>
  <c r="N5" i="20"/>
  <c r="BY5" i="20" s="1"/>
  <c r="CH4" i="20"/>
  <c r="BG4" i="19"/>
  <c r="T4" i="19"/>
  <c r="AC6" i="18"/>
  <c r="BC5" i="20"/>
  <c r="U6" i="18"/>
  <c r="AU5" i="20"/>
  <c r="AV5" i="20"/>
  <c r="M5" i="20"/>
  <c r="CG4" i="20"/>
  <c r="BF4" i="19" s="1"/>
  <c r="S4" i="19"/>
  <c r="AF4" i="19" s="1"/>
  <c r="F4" i="19" s="1"/>
  <c r="F4" i="22" s="1"/>
  <c r="P4" i="22" s="1"/>
  <c r="BU4" i="19" s="1"/>
  <c r="L5" i="20"/>
  <c r="BW5" i="20" s="1"/>
  <c r="CF4" i="20"/>
  <c r="BE4" i="19"/>
  <c r="R4" i="19"/>
  <c r="AD5" i="19"/>
  <c r="D5" i="19" s="1"/>
  <c r="D5" i="22" s="1"/>
  <c r="N5" i="22" s="1"/>
  <c r="BS5" i="19" s="1"/>
  <c r="AQ5" i="20"/>
  <c r="CA5" i="20"/>
  <c r="R5" i="20"/>
  <c r="CL4" i="20"/>
  <c r="BK4" i="19" s="1"/>
  <c r="X4" i="19"/>
  <c r="T6" i="18"/>
  <c r="V6" i="18"/>
  <c r="AM5" i="20"/>
  <c r="AD5" i="20" s="1"/>
  <c r="R5" i="19" s="1"/>
  <c r="AG4" i="20"/>
  <c r="AK4" i="20"/>
  <c r="AC4" i="20"/>
  <c r="AH5" i="20"/>
  <c r="V5" i="19" s="1"/>
  <c r="P6" i="18" l="1"/>
  <c r="AT7" i="18"/>
  <c r="AI5" i="19"/>
  <c r="I5" i="19" s="1"/>
  <c r="I5" i="22" s="1"/>
  <c r="S5" i="22" s="1"/>
  <c r="BX5" i="19" s="1"/>
  <c r="AE5" i="19"/>
  <c r="E5" i="19" s="1"/>
  <c r="E5" i="22" s="1"/>
  <c r="O5" i="22" s="1"/>
  <c r="BT5" i="19" s="1"/>
  <c r="AN5" i="19"/>
  <c r="N5" i="19" s="1"/>
  <c r="K5" i="22" s="1"/>
  <c r="U5" i="22" s="1"/>
  <c r="CA5" i="19" s="1"/>
  <c r="AS6" i="18" s="1"/>
  <c r="BE5" i="19"/>
  <c r="AJ6" i="18" s="1"/>
  <c r="F6" i="18" s="1"/>
  <c r="AU6" i="20" s="1"/>
  <c r="AS5" i="20"/>
  <c r="AJ5" i="20" s="1"/>
  <c r="CC5" i="20"/>
  <c r="AN5" i="20"/>
  <c r="AE5" i="20" s="1"/>
  <c r="BX5" i="20"/>
  <c r="CG5" i="20" s="1"/>
  <c r="AG4" i="19"/>
  <c r="G4" i="19" s="1"/>
  <c r="G4" i="22" s="1"/>
  <c r="Q4" i="22" s="1"/>
  <c r="BV4" i="19" s="1"/>
  <c r="P6" i="20"/>
  <c r="CJ5" i="20"/>
  <c r="O5" i="20"/>
  <c r="BZ5" i="20" s="1"/>
  <c r="CI4" i="20"/>
  <c r="BH4" i="19" s="1"/>
  <c r="U4" i="19"/>
  <c r="BZ6" i="19"/>
  <c r="AR7" i="18" s="1"/>
  <c r="N6" i="18"/>
  <c r="AR5" i="20"/>
  <c r="AI5" i="20" s="1"/>
  <c r="CB5" i="20"/>
  <c r="BI5" i="19"/>
  <c r="AO6" i="18" s="1"/>
  <c r="L6" i="20"/>
  <c r="CF5" i="20"/>
  <c r="K5" i="20"/>
  <c r="BV5" i="20" s="1"/>
  <c r="CE4" i="20"/>
  <c r="BC4" i="19" s="1"/>
  <c r="P4" i="19"/>
  <c r="AK4" i="19"/>
  <c r="K4" i="19" s="1"/>
  <c r="AE4" i="19"/>
  <c r="E4" i="19" s="1"/>
  <c r="E4" i="22" s="1"/>
  <c r="O4" i="22" s="1"/>
  <c r="BT4" i="19" s="1"/>
  <c r="S5" i="20"/>
  <c r="CD5" i="20" s="1"/>
  <c r="CM4" i="20"/>
  <c r="BM4" i="19" s="1"/>
  <c r="Z4" i="19"/>
  <c r="AO5" i="20"/>
  <c r="AF5" i="20" s="1"/>
  <c r="BR6" i="19"/>
  <c r="E6" i="18"/>
  <c r="AL5" i="19"/>
  <c r="L5" i="19"/>
  <c r="J5" i="22" s="1"/>
  <c r="T5" i="22" s="1"/>
  <c r="BY5" i="19" s="1"/>
  <c r="J6" i="18"/>
  <c r="AL5" i="20"/>
  <c r="AT5" i="20"/>
  <c r="AK5" i="20" s="1"/>
  <c r="BN6" i="19" l="1"/>
  <c r="O6" i="18"/>
  <c r="AD7" i="18" s="1"/>
  <c r="K6" i="18"/>
  <c r="CK5" i="20"/>
  <c r="AP5" i="20"/>
  <c r="AG5" i="20" s="1"/>
  <c r="U5" i="19" s="1"/>
  <c r="S6" i="20"/>
  <c r="CM5" i="20"/>
  <c r="Z5" i="19"/>
  <c r="BC6" i="20"/>
  <c r="CI5" i="20"/>
  <c r="BH5" i="19" s="1"/>
  <c r="AM6" i="18" s="1"/>
  <c r="I6" i="18" s="1"/>
  <c r="AX6" i="20" s="1"/>
  <c r="AE7" i="18"/>
  <c r="AT8" i="18" s="1"/>
  <c r="AA6" i="19"/>
  <c r="U7" i="18"/>
  <c r="M6" i="20"/>
  <c r="BF5" i="19"/>
  <c r="AK6" i="18" s="1"/>
  <c r="G6" i="18" s="1"/>
  <c r="S5" i="19"/>
  <c r="Y7" i="18"/>
  <c r="AY6" i="20"/>
  <c r="AC5" i="20"/>
  <c r="BM5" i="19"/>
  <c r="AC4" i="19"/>
  <c r="C4" i="19" s="1"/>
  <c r="C4" i="22" s="1"/>
  <c r="AM6" i="20"/>
  <c r="AD6" i="20" s="1"/>
  <c r="L7" i="20" s="1"/>
  <c r="BW6" i="20"/>
  <c r="AH4" i="19"/>
  <c r="H4" i="19" s="1"/>
  <c r="H4" i="22" s="1"/>
  <c r="R4" i="22" s="1"/>
  <c r="BW4" i="19" s="1"/>
  <c r="AM4" i="19"/>
  <c r="M4" i="19" s="1"/>
  <c r="Z7" i="18"/>
  <c r="AZ6" i="20"/>
  <c r="N6" i="20"/>
  <c r="CH5" i="20"/>
  <c r="BG5" i="19" s="1"/>
  <c r="T5" i="19"/>
  <c r="Q6" i="20"/>
  <c r="BJ5" i="19"/>
  <c r="AP6" i="18" s="1"/>
  <c r="W5" i="19"/>
  <c r="AQ6" i="20"/>
  <c r="AH6" i="20" s="1"/>
  <c r="P7" i="20" s="1"/>
  <c r="CA6" i="20"/>
  <c r="R6" i="20"/>
  <c r="CL5" i="20"/>
  <c r="BK5" i="19"/>
  <c r="AQ6" i="18" s="1"/>
  <c r="X5" i="19"/>
  <c r="BL6" i="19" l="1"/>
  <c r="M6" i="18"/>
  <c r="L6" i="18"/>
  <c r="V7" i="18"/>
  <c r="AV6" i="20"/>
  <c r="O6" i="20"/>
  <c r="M4" i="22"/>
  <c r="BQ4" i="19"/>
  <c r="AQ7" i="20"/>
  <c r="AH7" i="20" s="1"/>
  <c r="CA7" i="20"/>
  <c r="V6" i="19"/>
  <c r="AI6" i="19" s="1"/>
  <c r="I6" i="19" s="1"/>
  <c r="I6" i="22" s="1"/>
  <c r="S6" i="22" s="1"/>
  <c r="BX6" i="19" s="1"/>
  <c r="AH5" i="19"/>
  <c r="H5" i="19" s="1"/>
  <c r="H5" i="22" s="1"/>
  <c r="R5" i="22" s="1"/>
  <c r="BW5" i="19" s="1"/>
  <c r="AM5" i="19"/>
  <c r="M5" i="19" s="1"/>
  <c r="AJ5" i="19"/>
  <c r="J5" i="19" s="1"/>
  <c r="CF6" i="20"/>
  <c r="BX6" i="20"/>
  <c r="AN6" i="20"/>
  <c r="AE6" i="20" s="1"/>
  <c r="AN6" i="19"/>
  <c r="N6" i="19" s="1"/>
  <c r="K6" i="22" s="1"/>
  <c r="U6" i="22" s="1"/>
  <c r="CA6" i="19" s="1"/>
  <c r="AS7" i="18" s="1"/>
  <c r="AO6" i="20"/>
  <c r="AF6" i="20" s="1"/>
  <c r="BY6" i="20"/>
  <c r="AM7" i="20"/>
  <c r="AD7" i="20" s="1"/>
  <c r="BW7" i="20"/>
  <c r="K6" i="20"/>
  <c r="CE5" i="20"/>
  <c r="R6" i="19"/>
  <c r="AE6" i="19" s="1"/>
  <c r="E6" i="19" s="1"/>
  <c r="E6" i="22" s="1"/>
  <c r="O6" i="22" s="1"/>
  <c r="BT6" i="19" s="1"/>
  <c r="P7" i="18"/>
  <c r="AP6" i="20"/>
  <c r="AG6" i="20" s="1"/>
  <c r="BZ6" i="20"/>
  <c r="AT6" i="20"/>
  <c r="AK6" i="20" s="1"/>
  <c r="CD6" i="20"/>
  <c r="AG5" i="19"/>
  <c r="G5" i="19" s="1"/>
  <c r="G5" i="22" s="1"/>
  <c r="Q5" i="22" s="1"/>
  <c r="BV5" i="19" s="1"/>
  <c r="AS6" i="20"/>
  <c r="AJ6" i="20" s="1"/>
  <c r="CC6" i="20"/>
  <c r="AK5" i="19"/>
  <c r="K5" i="19" s="1"/>
  <c r="CJ6" i="20"/>
  <c r="BI6" i="19" s="1"/>
  <c r="CB6" i="20"/>
  <c r="AR6" i="20"/>
  <c r="AI6" i="20" s="1"/>
  <c r="AF5" i="19"/>
  <c r="F5" i="19" s="1"/>
  <c r="F5" i="22" s="1"/>
  <c r="P5" i="22" s="1"/>
  <c r="BU5" i="19" s="1"/>
  <c r="AL6" i="18" s="1"/>
  <c r="BE6" i="19"/>
  <c r="BN7" i="19" l="1"/>
  <c r="O7" i="18"/>
  <c r="AA7" i="19" s="1"/>
  <c r="AN7" i="19" s="1"/>
  <c r="N7" i="19" s="1"/>
  <c r="K7" i="22" s="1"/>
  <c r="U7" i="22" s="1"/>
  <c r="CA7" i="19" s="1"/>
  <c r="AS8" i="18" s="1"/>
  <c r="AE8" i="18"/>
  <c r="Y6" i="19"/>
  <c r="AL6" i="19" s="1"/>
  <c r="L6" i="19" s="1"/>
  <c r="J6" i="22" s="1"/>
  <c r="T6" i="22" s="1"/>
  <c r="BY6" i="19" s="1"/>
  <c r="AC7" i="18"/>
  <c r="BB6" i="20"/>
  <c r="AA7" i="18"/>
  <c r="AB7" i="18"/>
  <c r="BA6" i="20"/>
  <c r="H6" i="18"/>
  <c r="O7" i="20"/>
  <c r="CI6" i="20"/>
  <c r="BH6" i="19" s="1"/>
  <c r="AM7" i="18" s="1"/>
  <c r="U6" i="19"/>
  <c r="AL6" i="20"/>
  <c r="BV6" i="20"/>
  <c r="M7" i="20"/>
  <c r="CG6" i="20"/>
  <c r="BF6" i="19" s="1"/>
  <c r="AK7" i="18" s="1"/>
  <c r="S6" i="19"/>
  <c r="P8" i="20"/>
  <c r="CJ7" i="20"/>
  <c r="S7" i="20"/>
  <c r="CM6" i="20"/>
  <c r="Z6" i="19"/>
  <c r="AM6" i="19" s="1"/>
  <c r="M6" i="19" s="1"/>
  <c r="L8" i="20"/>
  <c r="CF7" i="20"/>
  <c r="Q7" i="20"/>
  <c r="CK6" i="20"/>
  <c r="BJ6" i="19" s="1"/>
  <c r="AP7" i="18" s="1"/>
  <c r="W6" i="19"/>
  <c r="N7" i="20"/>
  <c r="CH6" i="20"/>
  <c r="BG6" i="19" s="1"/>
  <c r="T6" i="19"/>
  <c r="R7" i="20"/>
  <c r="CL6" i="20"/>
  <c r="BK6" i="19" s="1"/>
  <c r="AQ7" i="18" s="1"/>
  <c r="X6" i="19"/>
  <c r="P8" i="18" l="1"/>
  <c r="AT9" i="18"/>
  <c r="BN8" i="19"/>
  <c r="BL7" i="19"/>
  <c r="N7" i="18"/>
  <c r="BZ7" i="19"/>
  <c r="AR8" i="18" s="1"/>
  <c r="M7" i="18"/>
  <c r="L7" i="18"/>
  <c r="W7" i="18"/>
  <c r="X7" i="18"/>
  <c r="AW6" i="20"/>
  <c r="G7" i="18"/>
  <c r="AQ8" i="20"/>
  <c r="AH8" i="20" s="1"/>
  <c r="CA8" i="20"/>
  <c r="AN7" i="20"/>
  <c r="AE7" i="20" s="1"/>
  <c r="BX7" i="20"/>
  <c r="AM8" i="20"/>
  <c r="AD8" i="20" s="1"/>
  <c r="BW8" i="20"/>
  <c r="AH6" i="19"/>
  <c r="H6" i="19" s="1"/>
  <c r="H6" i="22" s="1"/>
  <c r="R6" i="22" s="1"/>
  <c r="BW6" i="19" s="1"/>
  <c r="AO7" i="18" s="1"/>
  <c r="AO7" i="20"/>
  <c r="AF7" i="20" s="1"/>
  <c r="BY7" i="20"/>
  <c r="AR7" i="20"/>
  <c r="AI7" i="20" s="1"/>
  <c r="CB7" i="20"/>
  <c r="AS7" i="20"/>
  <c r="AJ7" i="20" s="1"/>
  <c r="CC7" i="20"/>
  <c r="AK6" i="19"/>
  <c r="K6" i="19" s="1"/>
  <c r="AG6" i="19"/>
  <c r="G6" i="19" s="1"/>
  <c r="G6" i="22" s="1"/>
  <c r="Q6" i="22" s="1"/>
  <c r="BV6" i="19" s="1"/>
  <c r="AN7" i="18" s="1"/>
  <c r="AJ6" i="19"/>
  <c r="J6" i="19" s="1"/>
  <c r="AT7" i="20"/>
  <c r="AK7" i="20" s="1"/>
  <c r="CD7" i="20"/>
  <c r="AF6" i="19"/>
  <c r="F6" i="19" s="1"/>
  <c r="F6" i="22" s="1"/>
  <c r="P6" i="22" s="1"/>
  <c r="BU6" i="19" s="1"/>
  <c r="AL7" i="18" s="1"/>
  <c r="AC6" i="20"/>
  <c r="BM6" i="19"/>
  <c r="AP7" i="20"/>
  <c r="AG7" i="20" s="1"/>
  <c r="BZ7" i="20"/>
  <c r="AD8" i="18" l="1"/>
  <c r="BC7" i="20"/>
  <c r="AC8" i="18"/>
  <c r="Y7" i="19"/>
  <c r="AL7" i="19" s="1"/>
  <c r="L7" i="19" s="1"/>
  <c r="J7" i="22" s="1"/>
  <c r="T7" i="22" s="1"/>
  <c r="BY7" i="19" s="1"/>
  <c r="BB7" i="20"/>
  <c r="AB8" i="18"/>
  <c r="BA7" i="20"/>
  <c r="K7" i="18"/>
  <c r="J7" i="18"/>
  <c r="I7" i="18"/>
  <c r="AX7" i="20" s="1"/>
  <c r="H7" i="18"/>
  <c r="AW7" i="20" s="1"/>
  <c r="AV7" i="20"/>
  <c r="CM7" i="20"/>
  <c r="M8" i="20"/>
  <c r="CG7" i="20"/>
  <c r="S8" i="20"/>
  <c r="Z7" i="19"/>
  <c r="AM7" i="19" s="1"/>
  <c r="M7" i="19" s="1"/>
  <c r="N8" i="20"/>
  <c r="CH7" i="20"/>
  <c r="BG7" i="19" s="1"/>
  <c r="T7" i="19"/>
  <c r="K7" i="20"/>
  <c r="CE6" i="20"/>
  <c r="L9" i="20"/>
  <c r="CF8" i="20"/>
  <c r="P9" i="20"/>
  <c r="CJ8" i="20"/>
  <c r="O8" i="20"/>
  <c r="CI7" i="20"/>
  <c r="BH7" i="19" s="1"/>
  <c r="AM8" i="18" s="1"/>
  <c r="R8" i="20"/>
  <c r="CL7" i="20"/>
  <c r="BK7" i="19" s="1"/>
  <c r="AQ8" i="18" s="1"/>
  <c r="X7" i="19"/>
  <c r="Q8" i="20"/>
  <c r="CK7" i="20"/>
  <c r="BJ7" i="19" s="1"/>
  <c r="W7" i="19"/>
  <c r="O8" i="18" l="1"/>
  <c r="BZ8" i="19"/>
  <c r="AR9" i="18" s="1"/>
  <c r="N8" i="18"/>
  <c r="AD9" i="18" s="1"/>
  <c r="M8" i="18"/>
  <c r="BL8" i="19"/>
  <c r="AA8" i="18"/>
  <c r="AZ7" i="20"/>
  <c r="U7" i="19"/>
  <c r="W8" i="18"/>
  <c r="Y8" i="18"/>
  <c r="V7" i="19"/>
  <c r="AI7" i="19" s="1"/>
  <c r="I7" i="19" s="1"/>
  <c r="I7" i="22" s="1"/>
  <c r="S7" i="22" s="1"/>
  <c r="BX7" i="19" s="1"/>
  <c r="AP8" i="18" s="1"/>
  <c r="Z8" i="18"/>
  <c r="AY7" i="20"/>
  <c r="BI7" i="19"/>
  <c r="X8" i="18"/>
  <c r="I8" i="18" s="1"/>
  <c r="AX8" i="20" s="1"/>
  <c r="AR8" i="20"/>
  <c r="AI8" i="20" s="1"/>
  <c r="CB8" i="20"/>
  <c r="AO8" i="20"/>
  <c r="AF8" i="20" s="1"/>
  <c r="BY8" i="20"/>
  <c r="AH7" i="19"/>
  <c r="H7" i="19" s="1"/>
  <c r="H7" i="22" s="1"/>
  <c r="R7" i="22" s="1"/>
  <c r="BW7" i="19" s="1"/>
  <c r="AJ7" i="19"/>
  <c r="J7" i="19" s="1"/>
  <c r="AK7" i="19"/>
  <c r="K7" i="19" s="1"/>
  <c r="AP8" i="20"/>
  <c r="AG8" i="20" s="1"/>
  <c r="BZ8" i="20"/>
  <c r="AM9" i="20"/>
  <c r="AD9" i="20" s="1"/>
  <c r="BW9" i="20"/>
  <c r="AL7" i="20"/>
  <c r="BV7" i="20"/>
  <c r="AG7" i="19"/>
  <c r="G7" i="19" s="1"/>
  <c r="G7" i="22" s="1"/>
  <c r="Q7" i="22" s="1"/>
  <c r="BV7" i="19" s="1"/>
  <c r="AN8" i="18" s="1"/>
  <c r="AS8" i="20"/>
  <c r="AJ8" i="20" s="1"/>
  <c r="CC8" i="20"/>
  <c r="AQ9" i="20"/>
  <c r="AH9" i="20" s="1"/>
  <c r="CA9" i="20"/>
  <c r="AT8" i="20"/>
  <c r="AK8" i="20" s="1"/>
  <c r="CD8" i="20"/>
  <c r="AN8" i="20"/>
  <c r="AE8" i="20" s="1"/>
  <c r="BX8" i="20"/>
  <c r="AE9" i="18" l="1"/>
  <c r="AA8" i="19"/>
  <c r="AN8" i="19" s="1"/>
  <c r="N8" i="19" s="1"/>
  <c r="K8" i="22" s="1"/>
  <c r="U8" i="22" s="1"/>
  <c r="CA8" i="19" s="1"/>
  <c r="AS9" i="18" s="1"/>
  <c r="BB8" i="20"/>
  <c r="Y8" i="19"/>
  <c r="AL8" i="19" s="1"/>
  <c r="L8" i="19" s="1"/>
  <c r="J8" i="22" s="1"/>
  <c r="T8" i="22" s="1"/>
  <c r="BY8" i="19" s="1"/>
  <c r="BC8" i="20"/>
  <c r="AC9" i="18"/>
  <c r="L8" i="18"/>
  <c r="AB9" i="18" s="1"/>
  <c r="AO8" i="18"/>
  <c r="BA8" i="20"/>
  <c r="J8" i="18"/>
  <c r="K8" i="18"/>
  <c r="Z9" i="18" s="1"/>
  <c r="CF9" i="20"/>
  <c r="L10" i="20"/>
  <c r="AM10" i="20" s="1"/>
  <c r="AD10" i="20" s="1"/>
  <c r="L11" i="20" s="1"/>
  <c r="P10" i="20"/>
  <c r="CJ9" i="20"/>
  <c r="N9" i="20"/>
  <c r="Q9" i="20"/>
  <c r="CK8" i="20"/>
  <c r="W8" i="19"/>
  <c r="S9" i="20"/>
  <c r="CM8" i="20"/>
  <c r="Z8" i="19"/>
  <c r="AM8" i="19" s="1"/>
  <c r="M8" i="19" s="1"/>
  <c r="CL8" i="20"/>
  <c r="BK8" i="19" s="1"/>
  <c r="AQ9" i="18" s="1"/>
  <c r="R9" i="20"/>
  <c r="X8" i="19"/>
  <c r="O9" i="20"/>
  <c r="CI8" i="20"/>
  <c r="M9" i="20"/>
  <c r="CG8" i="20"/>
  <c r="AC7" i="20"/>
  <c r="K8" i="20" s="1"/>
  <c r="BM7" i="19"/>
  <c r="CH8" i="20"/>
  <c r="P9" i="18" l="1"/>
  <c r="AT10" i="18"/>
  <c r="BN9" i="19"/>
  <c r="O9" i="18"/>
  <c r="AA9" i="19" s="1"/>
  <c r="AN9" i="19" s="1"/>
  <c r="N9" i="19" s="1"/>
  <c r="K9" i="22" s="1"/>
  <c r="U9" i="22" s="1"/>
  <c r="CA9" i="19" s="1"/>
  <c r="AS10" i="18" s="1"/>
  <c r="N9" i="18"/>
  <c r="BZ9" i="19"/>
  <c r="AR10" i="18" s="1"/>
  <c r="BL9" i="19"/>
  <c r="M9" i="18"/>
  <c r="BJ8" i="19"/>
  <c r="BB9" i="20"/>
  <c r="Y9" i="19"/>
  <c r="AL9" i="19" s="1"/>
  <c r="L9" i="19" s="1"/>
  <c r="J9" i="22" s="1"/>
  <c r="T9" i="22" s="1"/>
  <c r="BY9" i="19" s="1"/>
  <c r="AZ8" i="20"/>
  <c r="AA9" i="18"/>
  <c r="Y9" i="18"/>
  <c r="V8" i="19"/>
  <c r="AI8" i="19" s="1"/>
  <c r="I8" i="19" s="1"/>
  <c r="I8" i="22" s="1"/>
  <c r="S8" i="22" s="1"/>
  <c r="BX8" i="19" s="1"/>
  <c r="AY8" i="20"/>
  <c r="BI8" i="19"/>
  <c r="BW10" i="20"/>
  <c r="CF10" i="20" s="1"/>
  <c r="CE7" i="20"/>
  <c r="AR9" i="20"/>
  <c r="AI9" i="20" s="1"/>
  <c r="CB9" i="20"/>
  <c r="AN9" i="20"/>
  <c r="AE9" i="20" s="1"/>
  <c r="M10" i="20" s="1"/>
  <c r="BX9" i="20"/>
  <c r="AS9" i="20"/>
  <c r="AJ9" i="20" s="1"/>
  <c r="CC9" i="20"/>
  <c r="AM11" i="20"/>
  <c r="AD11" i="20" s="1"/>
  <c r="L12" i="20" s="1"/>
  <c r="BW11" i="20"/>
  <c r="AQ10" i="20"/>
  <c r="AH10" i="20" s="1"/>
  <c r="CA10" i="20"/>
  <c r="AJ8" i="19"/>
  <c r="J8" i="19" s="1"/>
  <c r="AT9" i="20"/>
  <c r="AK9" i="20" s="1"/>
  <c r="CD9" i="20"/>
  <c r="AL8" i="20"/>
  <c r="BV8" i="20"/>
  <c r="AP9" i="20"/>
  <c r="AG9" i="20" s="1"/>
  <c r="BZ9" i="20"/>
  <c r="AK8" i="19"/>
  <c r="K8" i="19" s="1"/>
  <c r="AO9" i="20"/>
  <c r="AF9" i="20" s="1"/>
  <c r="BY9" i="20"/>
  <c r="BN10" i="19" l="1"/>
  <c r="AE10" i="18"/>
  <c r="P10" i="18" s="1"/>
  <c r="AC10" i="18"/>
  <c r="BC9" i="20"/>
  <c r="AD10" i="18"/>
  <c r="O10" i="18" s="1"/>
  <c r="AA10" i="19" s="1"/>
  <c r="AP9" i="18"/>
  <c r="CG9" i="20"/>
  <c r="BW12" i="20"/>
  <c r="AM12" i="20"/>
  <c r="AD12" i="20" s="1"/>
  <c r="CF12" i="20" s="1"/>
  <c r="P11" i="20"/>
  <c r="N10" i="20"/>
  <c r="CH9" i="20"/>
  <c r="R10" i="20"/>
  <c r="CL9" i="20"/>
  <c r="CK9" i="20"/>
  <c r="S10" i="20"/>
  <c r="CM9" i="20"/>
  <c r="Z9" i="19"/>
  <c r="AM9" i="19" s="1"/>
  <c r="M9" i="19" s="1"/>
  <c r="AC8" i="20"/>
  <c r="BM8" i="19"/>
  <c r="Q10" i="20"/>
  <c r="O10" i="20"/>
  <c r="CI9" i="20"/>
  <c r="CJ10" i="20"/>
  <c r="CF11" i="20"/>
  <c r="AN10" i="20"/>
  <c r="AE10" i="20" s="1"/>
  <c r="M11" i="20" s="1"/>
  <c r="BX10" i="20"/>
  <c r="AT11" i="18" l="1"/>
  <c r="AT12" i="18" s="1"/>
  <c r="AE11" i="18"/>
  <c r="BZ10" i="19"/>
  <c r="N10" i="18"/>
  <c r="BC10" i="20" s="1"/>
  <c r="AR11" i="18"/>
  <c r="L9" i="18"/>
  <c r="AN11" i="20"/>
  <c r="AE11" i="20" s="1"/>
  <c r="BX11" i="20"/>
  <c r="AQ11" i="20"/>
  <c r="AH11" i="20" s="1"/>
  <c r="CA11" i="20"/>
  <c r="AP10" i="20"/>
  <c r="AG10" i="20" s="1"/>
  <c r="BZ10" i="20"/>
  <c r="AR10" i="20"/>
  <c r="AI10" i="20" s="1"/>
  <c r="CB10" i="20"/>
  <c r="AO10" i="20"/>
  <c r="AF10" i="20" s="1"/>
  <c r="BY10" i="20"/>
  <c r="L13" i="20"/>
  <c r="AN10" i="19"/>
  <c r="N10" i="19" s="1"/>
  <c r="K10" i="22" s="1"/>
  <c r="U10" i="22" s="1"/>
  <c r="CA10" i="19" s="1"/>
  <c r="AS11" i="18" s="1"/>
  <c r="CE8" i="20"/>
  <c r="K9" i="20"/>
  <c r="AT10" i="20"/>
  <c r="AK10" i="20" s="1"/>
  <c r="CD10" i="20"/>
  <c r="CG10" i="20"/>
  <c r="AS10" i="20"/>
  <c r="AJ10" i="20" s="1"/>
  <c r="CC10" i="20"/>
  <c r="P11" i="18" l="1"/>
  <c r="BN11" i="19"/>
  <c r="AD11" i="18"/>
  <c r="O11" i="18" s="1"/>
  <c r="AE12" i="18" s="1"/>
  <c r="P12" i="18" s="1"/>
  <c r="X9" i="19"/>
  <c r="AK9" i="19" s="1"/>
  <c r="K9" i="19" s="1"/>
  <c r="BA9" i="20"/>
  <c r="AB10" i="18"/>
  <c r="BK9" i="19"/>
  <c r="AQ10" i="18" s="1"/>
  <c r="CG11" i="20"/>
  <c r="R11" i="20"/>
  <c r="CL10" i="20"/>
  <c r="S11" i="20"/>
  <c r="CM10" i="20"/>
  <c r="Z10" i="19"/>
  <c r="AM10" i="19" s="1"/>
  <c r="M10" i="19" s="1"/>
  <c r="AM13" i="20"/>
  <c r="AD13" i="20" s="1"/>
  <c r="BW13" i="20"/>
  <c r="O11" i="20"/>
  <c r="CI10" i="20"/>
  <c r="M12" i="20"/>
  <c r="P12" i="20"/>
  <c r="CJ11" i="20"/>
  <c r="AL9" i="20"/>
  <c r="BV9" i="20"/>
  <c r="AA11" i="19"/>
  <c r="N11" i="20"/>
  <c r="CH10" i="20"/>
  <c r="Q11" i="20"/>
  <c r="CK10" i="20"/>
  <c r="AT13" i="18" l="1"/>
  <c r="BL10" i="19"/>
  <c r="M10" i="18"/>
  <c r="AO11" i="20"/>
  <c r="AF11" i="20" s="1"/>
  <c r="N12" i="20" s="1"/>
  <c r="BY11" i="20"/>
  <c r="AC9" i="20"/>
  <c r="BM9" i="19"/>
  <c r="AQ12" i="20"/>
  <c r="AH12" i="20" s="1"/>
  <c r="CA12" i="20"/>
  <c r="CF13" i="20"/>
  <c r="L14" i="20"/>
  <c r="AR11" i="20"/>
  <c r="AI11" i="20" s="1"/>
  <c r="CB11" i="20"/>
  <c r="AN11" i="19"/>
  <c r="N11" i="19" s="1"/>
  <c r="K11" i="22" s="1"/>
  <c r="U11" i="22" s="1"/>
  <c r="CA11" i="19" s="1"/>
  <c r="AS12" i="18" s="1"/>
  <c r="AP11" i="20"/>
  <c r="AG11" i="20" s="1"/>
  <c r="O12" i="20" s="1"/>
  <c r="BZ11" i="20"/>
  <c r="AN12" i="20"/>
  <c r="AE12" i="20" s="1"/>
  <c r="M13" i="20" s="1"/>
  <c r="BX12" i="20"/>
  <c r="AT11" i="20"/>
  <c r="AK11" i="20" s="1"/>
  <c r="CD11" i="20"/>
  <c r="AS11" i="20"/>
  <c r="AJ11" i="20" s="1"/>
  <c r="CC11" i="20"/>
  <c r="BN12" i="19" l="1"/>
  <c r="BB10" i="20"/>
  <c r="Y10" i="19"/>
  <c r="AL10" i="19" s="1"/>
  <c r="L10" i="19" s="1"/>
  <c r="J10" i="22" s="1"/>
  <c r="T10" i="22" s="1"/>
  <c r="BY10" i="19" s="1"/>
  <c r="AC11" i="18"/>
  <c r="CI11" i="20"/>
  <c r="AN13" i="20"/>
  <c r="AE13" i="20" s="1"/>
  <c r="M14" i="20" s="1"/>
  <c r="BX13" i="20"/>
  <c r="AP12" i="20"/>
  <c r="AG12" i="20" s="1"/>
  <c r="BZ12" i="20"/>
  <c r="CE9" i="20"/>
  <c r="K10" i="20"/>
  <c r="AO12" i="20"/>
  <c r="AF12" i="20" s="1"/>
  <c r="N13" i="20" s="1"/>
  <c r="BY12" i="20"/>
  <c r="R12" i="20"/>
  <c r="CL11" i="20"/>
  <c r="Q12" i="20"/>
  <c r="CK11" i="20"/>
  <c r="BW14" i="20"/>
  <c r="AM14" i="20"/>
  <c r="AD14" i="20" s="1"/>
  <c r="S12" i="20"/>
  <c r="CM11" i="20"/>
  <c r="CG12" i="20"/>
  <c r="P13" i="20"/>
  <c r="CJ12" i="20"/>
  <c r="CH11" i="20"/>
  <c r="N11" i="18" l="1"/>
  <c r="BZ11" i="19"/>
  <c r="AR12" i="18" s="1"/>
  <c r="AR12" i="20"/>
  <c r="AI12" i="20" s="1"/>
  <c r="CB12" i="20"/>
  <c r="AS12" i="20"/>
  <c r="AJ12" i="20" s="1"/>
  <c r="CC12" i="20"/>
  <c r="O13" i="20"/>
  <c r="CI12" i="20"/>
  <c r="CH12" i="20"/>
  <c r="CG13" i="20"/>
  <c r="AQ13" i="20"/>
  <c r="AH13" i="20" s="1"/>
  <c r="CA13" i="20"/>
  <c r="BY13" i="20"/>
  <c r="AO13" i="20"/>
  <c r="AF13" i="20" s="1"/>
  <c r="N14" i="20" s="1"/>
  <c r="AN14" i="20"/>
  <c r="AE14" i="20" s="1"/>
  <c r="M15" i="20" s="1"/>
  <c r="BX14" i="20"/>
  <c r="AT12" i="20"/>
  <c r="AK12" i="20" s="1"/>
  <c r="CD12" i="20"/>
  <c r="L15" i="20"/>
  <c r="CF14" i="20"/>
  <c r="AL10" i="20"/>
  <c r="BV10" i="20"/>
  <c r="AD12" i="18" l="1"/>
  <c r="Z11" i="19"/>
  <c r="AM11" i="19" s="1"/>
  <c r="M11" i="19" s="1"/>
  <c r="BC11" i="20"/>
  <c r="AN15" i="20"/>
  <c r="AE15" i="20" s="1"/>
  <c r="BX15" i="20"/>
  <c r="R13" i="20"/>
  <c r="AC10" i="20"/>
  <c r="BM10" i="19"/>
  <c r="CH13" i="20"/>
  <c r="S13" i="20"/>
  <c r="CM12" i="20"/>
  <c r="AP13" i="20"/>
  <c r="AG13" i="20" s="1"/>
  <c r="BZ13" i="20"/>
  <c r="Q13" i="20"/>
  <c r="CK12" i="20"/>
  <c r="BY14" i="20"/>
  <c r="AO14" i="20"/>
  <c r="AF14" i="20" s="1"/>
  <c r="BW15" i="20"/>
  <c r="AM15" i="20"/>
  <c r="AD15" i="20" s="1"/>
  <c r="CF15" i="20" s="1"/>
  <c r="CG14" i="20"/>
  <c r="P14" i="20"/>
  <c r="CJ13" i="20"/>
  <c r="CL12" i="20"/>
  <c r="O12" i="18" l="1"/>
  <c r="AE13" i="18"/>
  <c r="AA12" i="19"/>
  <c r="AN12" i="19" s="1"/>
  <c r="N12" i="19" s="1"/>
  <c r="K12" i="22" s="1"/>
  <c r="U12" i="22" s="1"/>
  <c r="CA12" i="19" s="1"/>
  <c r="AS13" i="18" s="1"/>
  <c r="CG15" i="20"/>
  <c r="M16" i="20"/>
  <c r="BX16" i="20" s="1"/>
  <c r="CH14" i="20"/>
  <c r="CE10" i="20"/>
  <c r="K11" i="20"/>
  <c r="AN16" i="20"/>
  <c r="AE16" i="20" s="1"/>
  <c r="L16" i="20"/>
  <c r="N15" i="20"/>
  <c r="O14" i="20"/>
  <c r="CI13" i="20"/>
  <c r="AQ14" i="20"/>
  <c r="AH14" i="20" s="1"/>
  <c r="CA14" i="20"/>
  <c r="AR13" i="20"/>
  <c r="AI13" i="20" s="1"/>
  <c r="CB13" i="20"/>
  <c r="AT13" i="20"/>
  <c r="AK13" i="20" s="1"/>
  <c r="CD13" i="20"/>
  <c r="AS13" i="20"/>
  <c r="AJ13" i="20" s="1"/>
  <c r="CC13" i="20"/>
  <c r="P13" i="18" l="1"/>
  <c r="AT14" i="18"/>
  <c r="BN13" i="19"/>
  <c r="AO15" i="20"/>
  <c r="AF15" i="20" s="1"/>
  <c r="BY15" i="20"/>
  <c r="CK13" i="20"/>
  <c r="BW16" i="20"/>
  <c r="AM16" i="20"/>
  <c r="AD16" i="20" s="1"/>
  <c r="CG16" i="20"/>
  <c r="M17" i="20"/>
  <c r="S14" i="20"/>
  <c r="CM13" i="20"/>
  <c r="Q14" i="20"/>
  <c r="AL11" i="20"/>
  <c r="BV11" i="20"/>
  <c r="P15" i="20"/>
  <c r="R14" i="20"/>
  <c r="CL13" i="20"/>
  <c r="CJ14" i="20"/>
  <c r="AP14" i="20"/>
  <c r="AG14" i="20" s="1"/>
  <c r="BZ14" i="20"/>
  <c r="CF16" i="20" l="1"/>
  <c r="AS14" i="20"/>
  <c r="AJ14" i="20" s="1"/>
  <c r="CC14" i="20"/>
  <c r="L17" i="20"/>
  <c r="CH15" i="20"/>
  <c r="BM11" i="19"/>
  <c r="AC11" i="20"/>
  <c r="AT14" i="20"/>
  <c r="AK14" i="20" s="1"/>
  <c r="CD14" i="20"/>
  <c r="AQ15" i="20"/>
  <c r="AH15" i="20" s="1"/>
  <c r="CA15" i="20"/>
  <c r="O15" i="20"/>
  <c r="CI14" i="20"/>
  <c r="AR14" i="20"/>
  <c r="AI14" i="20" s="1"/>
  <c r="CB14" i="20"/>
  <c r="BX17" i="20"/>
  <c r="AN17" i="20"/>
  <c r="AE17" i="20" s="1"/>
  <c r="N16" i="20"/>
  <c r="BW17" i="20" l="1"/>
  <c r="AM17" i="20"/>
  <c r="AD17" i="20" s="1"/>
  <c r="R15" i="20"/>
  <c r="CL14" i="20"/>
  <c r="M18" i="20"/>
  <c r="CG17" i="20"/>
  <c r="AO16" i="20"/>
  <c r="AF16" i="20" s="1"/>
  <c r="BY16" i="20"/>
  <c r="P16" i="20"/>
  <c r="CJ15" i="20"/>
  <c r="K12" i="20"/>
  <c r="CE11" i="20"/>
  <c r="Q15" i="20"/>
  <c r="CK14" i="20"/>
  <c r="AP15" i="20"/>
  <c r="AG15" i="20" s="1"/>
  <c r="O16" i="20" s="1"/>
  <c r="BZ15" i="20"/>
  <c r="S15" i="20"/>
  <c r="CM14" i="20"/>
  <c r="CF17" i="20" l="1"/>
  <c r="CI15" i="20"/>
  <c r="AL12" i="20"/>
  <c r="BV12" i="20"/>
  <c r="AQ16" i="20"/>
  <c r="AH16" i="20" s="1"/>
  <c r="CA16" i="20"/>
  <c r="BX18" i="20"/>
  <c r="AN18" i="20"/>
  <c r="AE18" i="20" s="1"/>
  <c r="CG18" i="20" s="1"/>
  <c r="AT15" i="20"/>
  <c r="AK15" i="20" s="1"/>
  <c r="CD15" i="20"/>
  <c r="AP16" i="20"/>
  <c r="AG16" i="20" s="1"/>
  <c r="BZ16" i="20"/>
  <c r="AS15" i="20"/>
  <c r="AJ15" i="20" s="1"/>
  <c r="CC15" i="20"/>
  <c r="AR15" i="20"/>
  <c r="AI15" i="20" s="1"/>
  <c r="CB15" i="20"/>
  <c r="N17" i="20"/>
  <c r="CH16" i="20"/>
  <c r="L18" i="20"/>
  <c r="S16" i="20" l="1"/>
  <c r="Q16" i="20"/>
  <c r="CK15" i="20"/>
  <c r="R16" i="20"/>
  <c r="CL15" i="20"/>
  <c r="M19" i="20"/>
  <c r="P17" i="20"/>
  <c r="CJ16" i="20"/>
  <c r="AC12" i="20"/>
  <c r="O17" i="20"/>
  <c r="CI16" i="20"/>
  <c r="AM18" i="20"/>
  <c r="AD18" i="20" s="1"/>
  <c r="L19" i="20" s="1"/>
  <c r="BW18" i="20"/>
  <c r="AO17" i="20"/>
  <c r="AF17" i="20" s="1"/>
  <c r="BY17" i="20"/>
  <c r="CM15" i="20"/>
  <c r="CF18" i="20" l="1"/>
  <c r="AQ17" i="20"/>
  <c r="AH17" i="20" s="1"/>
  <c r="CA17" i="20"/>
  <c r="CH17" i="20"/>
  <c r="AN19" i="20"/>
  <c r="AE19" i="20" s="1"/>
  <c r="BX19" i="20"/>
  <c r="AS16" i="20"/>
  <c r="AJ16" i="20" s="1"/>
  <c r="CC16" i="20"/>
  <c r="AR16" i="20"/>
  <c r="AI16" i="20" s="1"/>
  <c r="CB16" i="20"/>
  <c r="AP17" i="20"/>
  <c r="AG17" i="20" s="1"/>
  <c r="BZ17" i="20"/>
  <c r="N18" i="20"/>
  <c r="AM19" i="20"/>
  <c r="AD19" i="20" s="1"/>
  <c r="L20" i="20" s="1"/>
  <c r="BW19" i="20"/>
  <c r="CE12" i="20"/>
  <c r="K13" i="20"/>
  <c r="AT16" i="20"/>
  <c r="AK16" i="20" s="1"/>
  <c r="CD16" i="20"/>
  <c r="CF19" i="20" l="1"/>
  <c r="CL16" i="20"/>
  <c r="CG19" i="20"/>
  <c r="AM20" i="20"/>
  <c r="AD20" i="20" s="1"/>
  <c r="BW20" i="20"/>
  <c r="O18" i="20"/>
  <c r="CI17" i="20"/>
  <c r="R17" i="20"/>
  <c r="S17" i="20"/>
  <c r="CM16" i="20"/>
  <c r="Q17" i="20"/>
  <c r="CK16" i="20"/>
  <c r="AL13" i="20"/>
  <c r="BV13" i="20"/>
  <c r="AO18" i="20"/>
  <c r="AF18" i="20" s="1"/>
  <c r="N19" i="20" s="1"/>
  <c r="BY18" i="20"/>
  <c r="M20" i="20"/>
  <c r="P18" i="20"/>
  <c r="CJ17" i="20"/>
  <c r="AO19" i="20" l="1"/>
  <c r="AF19" i="20" s="1"/>
  <c r="N20" i="20" s="1"/>
  <c r="BY19" i="20"/>
  <c r="AN20" i="20"/>
  <c r="AE20" i="20" s="1"/>
  <c r="BX20" i="20"/>
  <c r="AT17" i="20"/>
  <c r="AK17" i="20" s="1"/>
  <c r="CD17" i="20"/>
  <c r="CF20" i="20"/>
  <c r="L21" i="20"/>
  <c r="AR17" i="20"/>
  <c r="AI17" i="20" s="1"/>
  <c r="CB17" i="20"/>
  <c r="AS17" i="20"/>
  <c r="AJ17" i="20" s="1"/>
  <c r="CC17" i="20"/>
  <c r="AC13" i="20"/>
  <c r="AQ18" i="20"/>
  <c r="AH18" i="20" s="1"/>
  <c r="CA18" i="20"/>
  <c r="CH18" i="20"/>
  <c r="AP18" i="20"/>
  <c r="AG18" i="20" s="1"/>
  <c r="BZ18" i="20"/>
  <c r="CG20" i="20" l="1"/>
  <c r="Q18" i="20"/>
  <c r="AO20" i="20"/>
  <c r="AF20" i="20" s="1"/>
  <c r="N21" i="20" s="1"/>
  <c r="BY20" i="20"/>
  <c r="BW21" i="20"/>
  <c r="AM21" i="20"/>
  <c r="AD21" i="20" s="1"/>
  <c r="L22" i="20" s="1"/>
  <c r="R18" i="20"/>
  <c r="CL17" i="20"/>
  <c r="M21" i="20"/>
  <c r="P19" i="20"/>
  <c r="O19" i="20"/>
  <c r="CI18" i="20"/>
  <c r="CJ18" i="20"/>
  <c r="CE13" i="20"/>
  <c r="K14" i="20"/>
  <c r="CK17" i="20"/>
  <c r="S18" i="20"/>
  <c r="CM17" i="20"/>
  <c r="CH19" i="20"/>
  <c r="AM22" i="20" l="1"/>
  <c r="AD22" i="20" s="1"/>
  <c r="L23" i="20" s="1"/>
  <c r="BW23" i="20" s="1"/>
  <c r="BW22" i="20"/>
  <c r="CH20" i="20"/>
  <c r="CF21" i="20"/>
  <c r="AQ19" i="20"/>
  <c r="AH19" i="20" s="1"/>
  <c r="CA19" i="20"/>
  <c r="AP19" i="20"/>
  <c r="AG19" i="20" s="1"/>
  <c r="O20" i="20" s="1"/>
  <c r="BZ19" i="20"/>
  <c r="BX21" i="20"/>
  <c r="AN21" i="20"/>
  <c r="AE21" i="20" s="1"/>
  <c r="AS18" i="20"/>
  <c r="AJ18" i="20" s="1"/>
  <c r="CC18" i="20"/>
  <c r="BY21" i="20"/>
  <c r="AO21" i="20"/>
  <c r="AF21" i="20" s="1"/>
  <c r="N22" i="20" s="1"/>
  <c r="AR18" i="20"/>
  <c r="AI18" i="20" s="1"/>
  <c r="CB18" i="20"/>
  <c r="BV14" i="20"/>
  <c r="AL14" i="20"/>
  <c r="AT18" i="20"/>
  <c r="AK18" i="20" s="1"/>
  <c r="CD18" i="20"/>
  <c r="AM23" i="20"/>
  <c r="AD23" i="20" s="1"/>
  <c r="CF22" i="20" l="1"/>
  <c r="AP20" i="20"/>
  <c r="AG20" i="20" s="1"/>
  <c r="BZ20" i="20"/>
  <c r="Q19" i="20"/>
  <c r="CK18" i="20"/>
  <c r="M22" i="20"/>
  <c r="CG21" i="20"/>
  <c r="S19" i="20"/>
  <c r="CM18" i="20"/>
  <c r="AC14" i="20"/>
  <c r="AO22" i="20"/>
  <c r="AF22" i="20" s="1"/>
  <c r="BY22" i="20"/>
  <c r="R19" i="20"/>
  <c r="CL18" i="20"/>
  <c r="CH21" i="20"/>
  <c r="CI19" i="20"/>
  <c r="P20" i="20"/>
  <c r="CJ19" i="20"/>
  <c r="L24" i="20"/>
  <c r="CF23" i="20"/>
  <c r="CH22" i="20" l="1"/>
  <c r="AT19" i="20"/>
  <c r="AK19" i="20" s="1"/>
  <c r="CD19" i="20"/>
  <c r="O21" i="20"/>
  <c r="CI20" i="20"/>
  <c r="AS19" i="20"/>
  <c r="AJ19" i="20" s="1"/>
  <c r="CC19" i="20"/>
  <c r="CE14" i="20"/>
  <c r="K15" i="20"/>
  <c r="AQ20" i="20"/>
  <c r="AH20" i="20" s="1"/>
  <c r="CA20" i="20"/>
  <c r="BX22" i="20"/>
  <c r="AN22" i="20"/>
  <c r="AE22" i="20" s="1"/>
  <c r="M23" i="20" s="1"/>
  <c r="N23" i="20"/>
  <c r="AR19" i="20"/>
  <c r="AI19" i="20" s="1"/>
  <c r="CB19" i="20"/>
  <c r="AM24" i="20"/>
  <c r="AD24" i="20" s="1"/>
  <c r="BW24" i="20"/>
  <c r="S20" i="20" l="1"/>
  <c r="Q20" i="20"/>
  <c r="CK19" i="20"/>
  <c r="AL15" i="20"/>
  <c r="BV15" i="20"/>
  <c r="R20" i="20"/>
  <c r="CL19" i="20"/>
  <c r="AN23" i="20"/>
  <c r="AE23" i="20" s="1"/>
  <c r="BX23" i="20"/>
  <c r="P21" i="20"/>
  <c r="CJ20" i="20"/>
  <c r="AP21" i="20"/>
  <c r="AG21" i="20" s="1"/>
  <c r="BZ21" i="20"/>
  <c r="AO23" i="20"/>
  <c r="AF23" i="20" s="1"/>
  <c r="BY23" i="20"/>
  <c r="CG22" i="20"/>
  <c r="CM19" i="20"/>
  <c r="L25" i="20"/>
  <c r="CF24" i="20"/>
  <c r="CG23" i="20" l="1"/>
  <c r="CH23" i="20"/>
  <c r="N24" i="20"/>
  <c r="BY24" i="20" s="1"/>
  <c r="M24" i="20"/>
  <c r="BX24" i="20" s="1"/>
  <c r="AC15" i="20"/>
  <c r="AS20" i="20"/>
  <c r="AJ20" i="20" s="1"/>
  <c r="CC20" i="20"/>
  <c r="AO24" i="20"/>
  <c r="AF24" i="20" s="1"/>
  <c r="AR20" i="20"/>
  <c r="AI20" i="20" s="1"/>
  <c r="CB20" i="20"/>
  <c r="O22" i="20"/>
  <c r="CI21" i="20"/>
  <c r="AQ21" i="20"/>
  <c r="AH21" i="20" s="1"/>
  <c r="CA21" i="20"/>
  <c r="AT20" i="20"/>
  <c r="AK20" i="20" s="1"/>
  <c r="CD20" i="20"/>
  <c r="AM25" i="20"/>
  <c r="AD25" i="20" s="1"/>
  <c r="BW25" i="20"/>
  <c r="AN24" i="20" l="1"/>
  <c r="AE24" i="20" s="1"/>
  <c r="M25" i="20" s="1"/>
  <c r="P22" i="20"/>
  <c r="CJ21" i="20"/>
  <c r="R21" i="20"/>
  <c r="N25" i="20"/>
  <c r="CH24" i="20"/>
  <c r="S21" i="20"/>
  <c r="CM20" i="20"/>
  <c r="AP22" i="20"/>
  <c r="AG22" i="20" s="1"/>
  <c r="BZ22" i="20"/>
  <c r="Q21" i="20"/>
  <c r="CK20" i="20"/>
  <c r="CL20" i="20"/>
  <c r="K16" i="20"/>
  <c r="CE15" i="20"/>
  <c r="L26" i="20"/>
  <c r="CF25" i="20"/>
  <c r="CG24" i="20" l="1"/>
  <c r="AN25" i="20"/>
  <c r="AE25" i="20" s="1"/>
  <c r="BX25" i="20"/>
  <c r="AL16" i="20"/>
  <c r="BV16" i="20"/>
  <c r="AT21" i="20"/>
  <c r="AK21" i="20" s="1"/>
  <c r="CD21" i="20"/>
  <c r="AR21" i="20"/>
  <c r="AI21" i="20" s="1"/>
  <c r="CB21" i="20"/>
  <c r="O23" i="20"/>
  <c r="CI22" i="20"/>
  <c r="AS21" i="20"/>
  <c r="AJ21" i="20" s="1"/>
  <c r="CC21" i="20"/>
  <c r="AQ22" i="20"/>
  <c r="AH22" i="20" s="1"/>
  <c r="CA22" i="20"/>
  <c r="AO25" i="20"/>
  <c r="AF25" i="20" s="1"/>
  <c r="N26" i="20" s="1"/>
  <c r="BY25" i="20"/>
  <c r="AM26" i="20"/>
  <c r="AD26" i="20" s="1"/>
  <c r="L27" i="20" s="1"/>
  <c r="BW26" i="20"/>
  <c r="M26" i="20" l="1"/>
  <c r="CG25" i="20"/>
  <c r="BY26" i="20"/>
  <c r="AO26" i="20"/>
  <c r="AF26" i="20" s="1"/>
  <c r="AC16" i="20"/>
  <c r="CK21" i="20"/>
  <c r="S22" i="20"/>
  <c r="CM21" i="20"/>
  <c r="P23" i="20"/>
  <c r="R22" i="20"/>
  <c r="CL21" i="20"/>
  <c r="Q22" i="20"/>
  <c r="AP23" i="20"/>
  <c r="AG23" i="20" s="1"/>
  <c r="O24" i="20" s="1"/>
  <c r="BZ23" i="20"/>
  <c r="CH25" i="20"/>
  <c r="CJ22" i="20"/>
  <c r="CF26" i="20"/>
  <c r="AM27" i="20"/>
  <c r="AD27" i="20" s="1"/>
  <c r="BW27" i="20"/>
  <c r="CH26" i="20" l="1"/>
  <c r="BX26" i="20"/>
  <c r="AN26" i="20"/>
  <c r="AE26" i="20" s="1"/>
  <c r="CG26" i="20" s="1"/>
  <c r="CE16" i="20"/>
  <c r="K17" i="20"/>
  <c r="N27" i="20"/>
  <c r="AP24" i="20"/>
  <c r="AG24" i="20" s="1"/>
  <c r="BZ24" i="20"/>
  <c r="AT22" i="20"/>
  <c r="AK22" i="20" s="1"/>
  <c r="CD22" i="20"/>
  <c r="CI23" i="20"/>
  <c r="AR22" i="20"/>
  <c r="AI22" i="20" s="1"/>
  <c r="CB22" i="20"/>
  <c r="AS22" i="20"/>
  <c r="AJ22" i="20" s="1"/>
  <c r="CC22" i="20"/>
  <c r="AQ23" i="20"/>
  <c r="AH23" i="20" s="1"/>
  <c r="CA23" i="20"/>
  <c r="L28" i="20"/>
  <c r="CF27" i="20"/>
  <c r="M27" i="20" l="1"/>
  <c r="AL17" i="20"/>
  <c r="BV17" i="20"/>
  <c r="R23" i="20"/>
  <c r="CL22" i="20"/>
  <c r="S23" i="20"/>
  <c r="CM22" i="20"/>
  <c r="P24" i="20"/>
  <c r="CJ23" i="20"/>
  <c r="Q23" i="20"/>
  <c r="CK22" i="20"/>
  <c r="O25" i="20"/>
  <c r="CI24" i="20"/>
  <c r="AO27" i="20"/>
  <c r="AF27" i="20" s="1"/>
  <c r="N28" i="20" s="1"/>
  <c r="BY27" i="20"/>
  <c r="AM28" i="20"/>
  <c r="AD28" i="20" s="1"/>
  <c r="BW28" i="20"/>
  <c r="AN27" i="20" l="1"/>
  <c r="AE27" i="20" s="1"/>
  <c r="M28" i="20" s="1"/>
  <c r="BX27" i="20"/>
  <c r="BY28" i="20"/>
  <c r="AO28" i="20"/>
  <c r="AF28" i="20" s="1"/>
  <c r="N29" i="20" s="1"/>
  <c r="CH27" i="20"/>
  <c r="AT23" i="20"/>
  <c r="AK23" i="20" s="1"/>
  <c r="CD23" i="20"/>
  <c r="AS23" i="20"/>
  <c r="AJ23" i="20" s="1"/>
  <c r="CC23" i="20"/>
  <c r="AP25" i="20"/>
  <c r="AG25" i="20" s="1"/>
  <c r="BZ25" i="20"/>
  <c r="AR23" i="20"/>
  <c r="AI23" i="20" s="1"/>
  <c r="CB23" i="20"/>
  <c r="AQ24" i="20"/>
  <c r="AH24" i="20" s="1"/>
  <c r="CA24" i="20"/>
  <c r="AC17" i="20"/>
  <c r="L29" i="20"/>
  <c r="CF28" i="20"/>
  <c r="BX28" i="20" l="1"/>
  <c r="AN28" i="20"/>
  <c r="AE28" i="20" s="1"/>
  <c r="CG27" i="20"/>
  <c r="CM23" i="20"/>
  <c r="CH28" i="20"/>
  <c r="CE17" i="20"/>
  <c r="K18" i="20"/>
  <c r="Q24" i="20"/>
  <c r="CK23" i="20"/>
  <c r="R24" i="20"/>
  <c r="CL23" i="20"/>
  <c r="P25" i="20"/>
  <c r="CJ24" i="20"/>
  <c r="O26" i="20"/>
  <c r="CI25" i="20"/>
  <c r="S24" i="20"/>
  <c r="AO29" i="20"/>
  <c r="AF29" i="20" s="1"/>
  <c r="BY29" i="20"/>
  <c r="AM29" i="20"/>
  <c r="AD29" i="20" s="1"/>
  <c r="BW29" i="20"/>
  <c r="M29" i="20" l="1"/>
  <c r="CG28" i="20"/>
  <c r="CH29" i="20"/>
  <c r="N30" i="20"/>
  <c r="AP26" i="20"/>
  <c r="AG26" i="20" s="1"/>
  <c r="BZ26" i="20"/>
  <c r="BV18" i="20"/>
  <c r="AL18" i="20"/>
  <c r="AQ25" i="20"/>
  <c r="AH25" i="20" s="1"/>
  <c r="CA25" i="20"/>
  <c r="AS24" i="20"/>
  <c r="AJ24" i="20" s="1"/>
  <c r="CC24" i="20"/>
  <c r="AR24" i="20"/>
  <c r="AI24" i="20" s="1"/>
  <c r="CB24" i="20"/>
  <c r="AT24" i="20"/>
  <c r="AK24" i="20" s="1"/>
  <c r="CD24" i="20"/>
  <c r="L30" i="20"/>
  <c r="CF29" i="20"/>
  <c r="CL24" i="20" l="1"/>
  <c r="BX29" i="20"/>
  <c r="AN29" i="20"/>
  <c r="AE29" i="20" s="1"/>
  <c r="R25" i="20"/>
  <c r="AC18" i="20"/>
  <c r="S25" i="20"/>
  <c r="CM24" i="20"/>
  <c r="BY30" i="20"/>
  <c r="AO30" i="20"/>
  <c r="AF30" i="20" s="1"/>
  <c r="Q25" i="20"/>
  <c r="CK24" i="20"/>
  <c r="P26" i="20"/>
  <c r="CJ25" i="20"/>
  <c r="O27" i="20"/>
  <c r="CI26" i="20"/>
  <c r="AM30" i="20"/>
  <c r="AD30" i="20" s="1"/>
  <c r="L31" i="20" s="1"/>
  <c r="BW30" i="20"/>
  <c r="CF30" i="20" l="1"/>
  <c r="M30" i="20"/>
  <c r="CG29" i="20"/>
  <c r="AP27" i="20"/>
  <c r="AG27" i="20" s="1"/>
  <c r="O28" i="20" s="1"/>
  <c r="BZ27" i="20"/>
  <c r="AQ26" i="20"/>
  <c r="AH26" i="20" s="1"/>
  <c r="CA26" i="20"/>
  <c r="AR25" i="20"/>
  <c r="AI25" i="20" s="1"/>
  <c r="CB25" i="20"/>
  <c r="AT25" i="20"/>
  <c r="AK25" i="20" s="1"/>
  <c r="CD25" i="20"/>
  <c r="N31" i="20"/>
  <c r="CH30" i="20"/>
  <c r="AS25" i="20"/>
  <c r="AJ25" i="20" s="1"/>
  <c r="CC25" i="20"/>
  <c r="CE18" i="20"/>
  <c r="K19" i="20"/>
  <c r="AM31" i="20"/>
  <c r="AD31" i="20" s="1"/>
  <c r="BW31" i="20"/>
  <c r="CJ26" i="20" l="1"/>
  <c r="BX30" i="20"/>
  <c r="AN30" i="20"/>
  <c r="AE30" i="20" s="1"/>
  <c r="CG30" i="20" s="1"/>
  <c r="CI27" i="20"/>
  <c r="R26" i="20"/>
  <c r="CL25" i="20"/>
  <c r="S26" i="20"/>
  <c r="CM25" i="20"/>
  <c r="P27" i="20"/>
  <c r="CK25" i="20"/>
  <c r="BV19" i="20"/>
  <c r="AL19" i="20"/>
  <c r="BY31" i="20"/>
  <c r="AO31" i="20"/>
  <c r="AF31" i="20" s="1"/>
  <c r="Q26" i="20"/>
  <c r="AP28" i="20"/>
  <c r="AG28" i="20" s="1"/>
  <c r="BZ28" i="20"/>
  <c r="L32" i="20"/>
  <c r="CF31" i="20"/>
  <c r="M31" i="20" l="1"/>
  <c r="AR26" i="20"/>
  <c r="AI26" i="20" s="1"/>
  <c r="CB26" i="20"/>
  <c r="AC19" i="20"/>
  <c r="O29" i="20"/>
  <c r="CI28" i="20"/>
  <c r="CH31" i="20"/>
  <c r="N32" i="20"/>
  <c r="AT26" i="20"/>
  <c r="AK26" i="20" s="1"/>
  <c r="CD26" i="20"/>
  <c r="AS26" i="20"/>
  <c r="AJ26" i="20" s="1"/>
  <c r="CC26" i="20"/>
  <c r="AQ27" i="20"/>
  <c r="AH27" i="20" s="1"/>
  <c r="CA27" i="20"/>
  <c r="AM32" i="20"/>
  <c r="AD32" i="20" s="1"/>
  <c r="BW32" i="20"/>
  <c r="AN31" i="20" l="1"/>
  <c r="AE31" i="20" s="1"/>
  <c r="M32" i="20" s="1"/>
  <c r="BX31" i="20"/>
  <c r="K20" i="20"/>
  <c r="CE19" i="20"/>
  <c r="P28" i="20"/>
  <c r="CJ27" i="20"/>
  <c r="S27" i="20"/>
  <c r="CM26" i="20"/>
  <c r="AP29" i="20"/>
  <c r="AG29" i="20" s="1"/>
  <c r="BZ29" i="20"/>
  <c r="R27" i="20"/>
  <c r="CL26" i="20"/>
  <c r="AO32" i="20"/>
  <c r="AF32" i="20" s="1"/>
  <c r="N33" i="20" s="1"/>
  <c r="BY32" i="20"/>
  <c r="Q27" i="20"/>
  <c r="CK26" i="20"/>
  <c r="L33" i="20"/>
  <c r="CF32" i="20"/>
  <c r="BX32" i="20" l="1"/>
  <c r="AN32" i="20"/>
  <c r="AE32" i="20" s="1"/>
  <c r="CG31" i="20"/>
  <c r="CH32" i="20"/>
  <c r="AT27" i="20"/>
  <c r="AK27" i="20" s="1"/>
  <c r="CD27" i="20"/>
  <c r="AO33" i="20"/>
  <c r="AF33" i="20" s="1"/>
  <c r="BY33" i="20"/>
  <c r="O30" i="20"/>
  <c r="CI29" i="20"/>
  <c r="AL20" i="20"/>
  <c r="BV20" i="20"/>
  <c r="AR27" i="20"/>
  <c r="AI27" i="20" s="1"/>
  <c r="CB27" i="20"/>
  <c r="AS27" i="20"/>
  <c r="AJ27" i="20" s="1"/>
  <c r="CC27" i="20"/>
  <c r="AQ28" i="20"/>
  <c r="AH28" i="20" s="1"/>
  <c r="CA28" i="20"/>
  <c r="AM33" i="20"/>
  <c r="AD33" i="20" s="1"/>
  <c r="BW33" i="20"/>
  <c r="M33" i="20" l="1"/>
  <c r="CG32" i="20"/>
  <c r="CM27" i="20"/>
  <c r="P29" i="20"/>
  <c r="CJ28" i="20"/>
  <c r="AP30" i="20"/>
  <c r="AG30" i="20" s="1"/>
  <c r="BZ30" i="20"/>
  <c r="S28" i="20"/>
  <c r="Q28" i="20"/>
  <c r="CK27" i="20"/>
  <c r="R28" i="20"/>
  <c r="CL27" i="20"/>
  <c r="AC20" i="20"/>
  <c r="N34" i="20"/>
  <c r="CH33" i="20"/>
  <c r="L34" i="20"/>
  <c r="CF33" i="20"/>
  <c r="AN33" i="20" l="1"/>
  <c r="AE33" i="20" s="1"/>
  <c r="BX33" i="20"/>
  <c r="CE20" i="20"/>
  <c r="K21" i="20"/>
  <c r="AS28" i="20"/>
  <c r="AJ28" i="20" s="1"/>
  <c r="CC28" i="20"/>
  <c r="AT28" i="20"/>
  <c r="AK28" i="20" s="1"/>
  <c r="CD28" i="20"/>
  <c r="AO34" i="20"/>
  <c r="AF34" i="20" s="1"/>
  <c r="N35" i="20" s="1"/>
  <c r="BY34" i="20"/>
  <c r="O31" i="20"/>
  <c r="CI30" i="20"/>
  <c r="AR28" i="20"/>
  <c r="AI28" i="20" s="1"/>
  <c r="CB28" i="20"/>
  <c r="AQ29" i="20"/>
  <c r="AH29" i="20" s="1"/>
  <c r="CA29" i="20"/>
  <c r="AM34" i="20"/>
  <c r="AD34" i="20" s="1"/>
  <c r="L35" i="20" s="1"/>
  <c r="BW34" i="20"/>
  <c r="M34" i="20" l="1"/>
  <c r="CG33" i="20"/>
  <c r="CL28" i="20"/>
  <c r="AO35" i="20"/>
  <c r="AF35" i="20" s="1"/>
  <c r="N36" i="20" s="1"/>
  <c r="BY35" i="20"/>
  <c r="BV21" i="20"/>
  <c r="AL21" i="20"/>
  <c r="CF34" i="20"/>
  <c r="S29" i="20"/>
  <c r="CM28" i="20"/>
  <c r="P30" i="20"/>
  <c r="CJ29" i="20"/>
  <c r="Q29" i="20"/>
  <c r="CK28" i="20"/>
  <c r="AP31" i="20"/>
  <c r="AG31" i="20" s="1"/>
  <c r="O32" i="20" s="1"/>
  <c r="BZ31" i="20"/>
  <c r="CH34" i="20"/>
  <c r="R29" i="20"/>
  <c r="AM35" i="20"/>
  <c r="AD35" i="20" s="1"/>
  <c r="BW35" i="20"/>
  <c r="CH35" i="20" l="1"/>
  <c r="BX34" i="20"/>
  <c r="AN34" i="20"/>
  <c r="AE34" i="20" s="1"/>
  <c r="AP32" i="20"/>
  <c r="AG32" i="20" s="1"/>
  <c r="BZ32" i="20"/>
  <c r="AR29" i="20"/>
  <c r="AI29" i="20" s="1"/>
  <c r="CB29" i="20"/>
  <c r="AS29" i="20"/>
  <c r="AJ29" i="20" s="1"/>
  <c r="CC29" i="20"/>
  <c r="AQ30" i="20"/>
  <c r="AH30" i="20" s="1"/>
  <c r="CA30" i="20"/>
  <c r="AT29" i="20"/>
  <c r="AK29" i="20" s="1"/>
  <c r="CD29" i="20"/>
  <c r="AC21" i="20"/>
  <c r="CI31" i="20"/>
  <c r="L36" i="20"/>
  <c r="CF35" i="20"/>
  <c r="AO36" i="20"/>
  <c r="AF36" i="20" s="1"/>
  <c r="N37" i="20" s="1"/>
  <c r="BY36" i="20"/>
  <c r="CG34" i="20" l="1"/>
  <c r="CK29" i="20"/>
  <c r="M35" i="20"/>
  <c r="CH36" i="20"/>
  <c r="Q30" i="20"/>
  <c r="S30" i="20"/>
  <c r="CM29" i="20"/>
  <c r="R30" i="20"/>
  <c r="CL29" i="20"/>
  <c r="P31" i="20"/>
  <c r="CE21" i="20"/>
  <c r="K22" i="20"/>
  <c r="CJ30" i="20"/>
  <c r="O33" i="20"/>
  <c r="CI32" i="20"/>
  <c r="AM36" i="20"/>
  <c r="AD36" i="20" s="1"/>
  <c r="BW36" i="20"/>
  <c r="AO37" i="20"/>
  <c r="AF37" i="20" s="1"/>
  <c r="BY37" i="20"/>
  <c r="BX35" i="20" l="1"/>
  <c r="AN35" i="20"/>
  <c r="AE35" i="20" s="1"/>
  <c r="AT30" i="20"/>
  <c r="AK30" i="20" s="1"/>
  <c r="CD30" i="20"/>
  <c r="AP33" i="20"/>
  <c r="AG33" i="20" s="1"/>
  <c r="BZ33" i="20"/>
  <c r="AQ31" i="20"/>
  <c r="AH31" i="20" s="1"/>
  <c r="CA31" i="20"/>
  <c r="AS30" i="20"/>
  <c r="AJ30" i="20" s="1"/>
  <c r="CC30" i="20"/>
  <c r="AL22" i="20"/>
  <c r="BV22" i="20"/>
  <c r="AR30" i="20"/>
  <c r="AI30" i="20" s="1"/>
  <c r="CB30" i="20"/>
  <c r="N38" i="20"/>
  <c r="CH37" i="20"/>
  <c r="L37" i="20"/>
  <c r="CF36" i="20"/>
  <c r="CG35" i="20" l="1"/>
  <c r="M36" i="20"/>
  <c r="AN36" i="20" s="1"/>
  <c r="AE36" i="20" s="1"/>
  <c r="O34" i="20"/>
  <c r="CI33" i="20"/>
  <c r="P32" i="20"/>
  <c r="CJ31" i="20"/>
  <c r="S31" i="20"/>
  <c r="CM30" i="20"/>
  <c r="Q31" i="20"/>
  <c r="CK30" i="20"/>
  <c r="R31" i="20"/>
  <c r="CL30" i="20"/>
  <c r="AC22" i="20"/>
  <c r="AM37" i="20"/>
  <c r="AD37" i="20" s="1"/>
  <c r="BW37" i="20"/>
  <c r="AO38" i="20"/>
  <c r="AF38" i="20" s="1"/>
  <c r="BY38" i="20"/>
  <c r="BX36" i="20" l="1"/>
  <c r="CG36" i="20" s="1"/>
  <c r="M37" i="20"/>
  <c r="AS31" i="20"/>
  <c r="AJ31" i="20" s="1"/>
  <c r="CC31" i="20"/>
  <c r="AP34" i="20"/>
  <c r="AG34" i="20" s="1"/>
  <c r="BZ34" i="20"/>
  <c r="CE22" i="20"/>
  <c r="K23" i="20"/>
  <c r="AR31" i="20"/>
  <c r="AI31" i="20" s="1"/>
  <c r="CB31" i="20"/>
  <c r="AT31" i="20"/>
  <c r="AK31" i="20" s="1"/>
  <c r="CD31" i="20"/>
  <c r="AQ32" i="20"/>
  <c r="AH32" i="20" s="1"/>
  <c r="CA32" i="20"/>
  <c r="N39" i="20"/>
  <c r="CH38" i="20"/>
  <c r="L38" i="20"/>
  <c r="CF37" i="20"/>
  <c r="AN37" i="20" l="1"/>
  <c r="AE37" i="20" s="1"/>
  <c r="BX37" i="20"/>
  <c r="P33" i="20"/>
  <c r="CJ32" i="20"/>
  <c r="AL23" i="20"/>
  <c r="BV23" i="20"/>
  <c r="O35" i="20"/>
  <c r="CI34" i="20"/>
  <c r="CM31" i="20"/>
  <c r="Q32" i="20"/>
  <c r="CK31" i="20"/>
  <c r="S32" i="20"/>
  <c r="R32" i="20"/>
  <c r="CL31" i="20"/>
  <c r="AM38" i="20"/>
  <c r="AD38" i="20" s="1"/>
  <c r="L39" i="20" s="1"/>
  <c r="BW38" i="20"/>
  <c r="AO39" i="20"/>
  <c r="AF39" i="20" s="1"/>
  <c r="BY39" i="20"/>
  <c r="M38" i="20" l="1"/>
  <c r="CG37" i="20"/>
  <c r="CF38" i="20"/>
  <c r="AP35" i="20"/>
  <c r="AG35" i="20" s="1"/>
  <c r="O36" i="20" s="1"/>
  <c r="BZ35" i="20"/>
  <c r="AT32" i="20"/>
  <c r="AK32" i="20" s="1"/>
  <c r="CD32" i="20"/>
  <c r="AS32" i="20"/>
  <c r="AJ32" i="20" s="1"/>
  <c r="CC32" i="20"/>
  <c r="AR32" i="20"/>
  <c r="AI32" i="20" s="1"/>
  <c r="CB32" i="20"/>
  <c r="AC23" i="20"/>
  <c r="AQ33" i="20"/>
  <c r="AH33" i="20" s="1"/>
  <c r="CA33" i="20"/>
  <c r="N40" i="20"/>
  <c r="CH39" i="20"/>
  <c r="AM39" i="20"/>
  <c r="AD39" i="20" s="1"/>
  <c r="BW39" i="20"/>
  <c r="BX38" i="20" l="1"/>
  <c r="AN38" i="20"/>
  <c r="AE38" i="20" s="1"/>
  <c r="P34" i="20"/>
  <c r="CJ33" i="20"/>
  <c r="Q33" i="20"/>
  <c r="CK32" i="20"/>
  <c r="CL32" i="20"/>
  <c r="S33" i="20"/>
  <c r="CM32" i="20"/>
  <c r="AP36" i="20"/>
  <c r="AG36" i="20" s="1"/>
  <c r="BZ36" i="20"/>
  <c r="K24" i="20"/>
  <c r="CE23" i="20"/>
  <c r="R33" i="20"/>
  <c r="CI35" i="20"/>
  <c r="L40" i="20"/>
  <c r="CF39" i="20"/>
  <c r="AO40" i="20"/>
  <c r="AF40" i="20" s="1"/>
  <c r="N41" i="20" s="1"/>
  <c r="BY40" i="20"/>
  <c r="CG38" i="20" l="1"/>
  <c r="M39" i="20"/>
  <c r="AN39" i="20" s="1"/>
  <c r="AE39" i="20" s="1"/>
  <c r="CH40" i="20"/>
  <c r="AR33" i="20"/>
  <c r="AI33" i="20" s="1"/>
  <c r="CB33" i="20"/>
  <c r="AQ34" i="20"/>
  <c r="AH34" i="20" s="1"/>
  <c r="CA34" i="20"/>
  <c r="AS33" i="20"/>
  <c r="AJ33" i="20" s="1"/>
  <c r="CC33" i="20"/>
  <c r="AT33" i="20"/>
  <c r="AK33" i="20" s="1"/>
  <c r="CD33" i="20"/>
  <c r="O37" i="20"/>
  <c r="CI36" i="20"/>
  <c r="BV24" i="20"/>
  <c r="AL24" i="20"/>
  <c r="AO41" i="20"/>
  <c r="AF41" i="20" s="1"/>
  <c r="BY41" i="20"/>
  <c r="AM40" i="20"/>
  <c r="AD40" i="20" s="1"/>
  <c r="BW40" i="20"/>
  <c r="CJ34" i="20" l="1"/>
  <c r="BX39" i="20"/>
  <c r="CG39" i="20" s="1"/>
  <c r="M40" i="20"/>
  <c r="CK33" i="20"/>
  <c r="AC24" i="20"/>
  <c r="S34" i="20"/>
  <c r="CM33" i="20"/>
  <c r="P35" i="20"/>
  <c r="AP37" i="20"/>
  <c r="AG37" i="20" s="1"/>
  <c r="BZ37" i="20"/>
  <c r="R34" i="20"/>
  <c r="CL33" i="20"/>
  <c r="Q34" i="20"/>
  <c r="L41" i="20"/>
  <c r="CF40" i="20"/>
  <c r="N42" i="20"/>
  <c r="CH41" i="20"/>
  <c r="AN40" i="20" l="1"/>
  <c r="AE40" i="20" s="1"/>
  <c r="BX40" i="20"/>
  <c r="AS34" i="20"/>
  <c r="AJ34" i="20" s="1"/>
  <c r="CC34" i="20"/>
  <c r="AQ35" i="20"/>
  <c r="AH35" i="20" s="1"/>
  <c r="CA35" i="20"/>
  <c r="CE24" i="20"/>
  <c r="K25" i="20"/>
  <c r="AR34" i="20"/>
  <c r="AI34" i="20" s="1"/>
  <c r="CB34" i="20"/>
  <c r="O38" i="20"/>
  <c r="CI37" i="20"/>
  <c r="AT34" i="20"/>
  <c r="AK34" i="20" s="1"/>
  <c r="CD34" i="20"/>
  <c r="AO42" i="20"/>
  <c r="AF42" i="20" s="1"/>
  <c r="BY42" i="20"/>
  <c r="AM41" i="20"/>
  <c r="AD41" i="20" s="1"/>
  <c r="BW41" i="20"/>
  <c r="M41" i="20" l="1"/>
  <c r="CG40" i="20"/>
  <c r="Q35" i="20"/>
  <c r="CK34" i="20"/>
  <c r="S35" i="20"/>
  <c r="CM34" i="20"/>
  <c r="AP38" i="20"/>
  <c r="AG38" i="20" s="1"/>
  <c r="BZ38" i="20"/>
  <c r="R35" i="20"/>
  <c r="CL34" i="20"/>
  <c r="P36" i="20"/>
  <c r="CJ35" i="20"/>
  <c r="BV25" i="20"/>
  <c r="AL25" i="20"/>
  <c r="L42" i="20"/>
  <c r="CF41" i="20"/>
  <c r="N43" i="20"/>
  <c r="CH42" i="20"/>
  <c r="AN41" i="20" l="1"/>
  <c r="AE41" i="20" s="1"/>
  <c r="BX41" i="20"/>
  <c r="AS35" i="20"/>
  <c r="AJ35" i="20" s="1"/>
  <c r="CC35" i="20"/>
  <c r="AC25" i="20"/>
  <c r="AT35" i="20"/>
  <c r="AK35" i="20" s="1"/>
  <c r="CD35" i="20"/>
  <c r="O39" i="20"/>
  <c r="CI38" i="20"/>
  <c r="AQ36" i="20"/>
  <c r="AH36" i="20" s="1"/>
  <c r="CA36" i="20"/>
  <c r="AR35" i="20"/>
  <c r="AI35" i="20" s="1"/>
  <c r="CB35" i="20"/>
  <c r="AO43" i="20"/>
  <c r="AF43" i="20" s="1"/>
  <c r="BY43" i="20"/>
  <c r="AM42" i="20"/>
  <c r="AD42" i="20" s="1"/>
  <c r="L43" i="20" s="1"/>
  <c r="BW42" i="20"/>
  <c r="M42" i="20" l="1"/>
  <c r="CG41" i="20"/>
  <c r="S36" i="20"/>
  <c r="P37" i="20"/>
  <c r="CJ36" i="20"/>
  <c r="CE25" i="20"/>
  <c r="K26" i="20"/>
  <c r="R36" i="20"/>
  <c r="CL35" i="20"/>
  <c r="CF42" i="20"/>
  <c r="AP39" i="20"/>
  <c r="AG39" i="20" s="1"/>
  <c r="O40" i="20" s="1"/>
  <c r="BZ39" i="20"/>
  <c r="CI39" i="20" s="1"/>
  <c r="Q36" i="20"/>
  <c r="CK35" i="20"/>
  <c r="CM35" i="20"/>
  <c r="AM43" i="20"/>
  <c r="AD43" i="20" s="1"/>
  <c r="BW43" i="20"/>
  <c r="N44" i="20"/>
  <c r="CH43" i="20"/>
  <c r="BX42" i="20" l="1"/>
  <c r="AN42" i="20"/>
  <c r="AE42" i="20" s="1"/>
  <c r="AP40" i="20"/>
  <c r="AG40" i="20" s="1"/>
  <c r="BZ40" i="20"/>
  <c r="AT36" i="20"/>
  <c r="AK36" i="20" s="1"/>
  <c r="CD36" i="20"/>
  <c r="AR36" i="20"/>
  <c r="AI36" i="20" s="1"/>
  <c r="CB36" i="20"/>
  <c r="BV26" i="20"/>
  <c r="AL26" i="20"/>
  <c r="AS36" i="20"/>
  <c r="AJ36" i="20" s="1"/>
  <c r="CC36" i="20"/>
  <c r="AQ37" i="20"/>
  <c r="AH37" i="20" s="1"/>
  <c r="CA37" i="20"/>
  <c r="AO44" i="20"/>
  <c r="AF44" i="20" s="1"/>
  <c r="N45" i="20" s="1"/>
  <c r="BY44" i="20"/>
  <c r="L44" i="20"/>
  <c r="CF43" i="20"/>
  <c r="CG42" i="20" l="1"/>
  <c r="CL36" i="20"/>
  <c r="M43" i="20"/>
  <c r="CH44" i="20"/>
  <c r="P38" i="20"/>
  <c r="CJ37" i="20"/>
  <c r="AC26" i="20"/>
  <c r="Q37" i="20"/>
  <c r="CK36" i="20"/>
  <c r="S37" i="20"/>
  <c r="CM36" i="20"/>
  <c r="R37" i="20"/>
  <c r="O41" i="20"/>
  <c r="CI40" i="20"/>
  <c r="AM44" i="20"/>
  <c r="AD44" i="20" s="1"/>
  <c r="BW44" i="20"/>
  <c r="AO45" i="20"/>
  <c r="AF45" i="20" s="1"/>
  <c r="BY45" i="20"/>
  <c r="BX43" i="20" l="1"/>
  <c r="AN43" i="20"/>
  <c r="AE43" i="20" s="1"/>
  <c r="AP41" i="20"/>
  <c r="AG41" i="20" s="1"/>
  <c r="BZ41" i="20"/>
  <c r="AT37" i="20"/>
  <c r="AK37" i="20" s="1"/>
  <c r="CD37" i="20"/>
  <c r="AR37" i="20"/>
  <c r="AI37" i="20" s="1"/>
  <c r="CB37" i="20"/>
  <c r="AS37" i="20"/>
  <c r="AJ37" i="20" s="1"/>
  <c r="CC37" i="20"/>
  <c r="CE26" i="20"/>
  <c r="K27" i="20"/>
  <c r="AQ38" i="20"/>
  <c r="AH38" i="20" s="1"/>
  <c r="CA38" i="20"/>
  <c r="N46" i="20"/>
  <c r="CH45" i="20"/>
  <c r="L45" i="20"/>
  <c r="CF44" i="20"/>
  <c r="CG43" i="20" l="1"/>
  <c r="CK37" i="20"/>
  <c r="M44" i="20"/>
  <c r="CJ38" i="20"/>
  <c r="O42" i="20"/>
  <c r="CI41" i="20"/>
  <c r="S38" i="20"/>
  <c r="CM37" i="20"/>
  <c r="P39" i="20"/>
  <c r="R38" i="20"/>
  <c r="CL37" i="20"/>
  <c r="Q38" i="20"/>
  <c r="AL27" i="20"/>
  <c r="BV27" i="20"/>
  <c r="AM45" i="20"/>
  <c r="AD45" i="20" s="1"/>
  <c r="BW45" i="20"/>
  <c r="AO46" i="20"/>
  <c r="AF46" i="20" s="1"/>
  <c r="BY46" i="20"/>
  <c r="AN44" i="20" l="1"/>
  <c r="AE44" i="20" s="1"/>
  <c r="M45" i="20" s="1"/>
  <c r="BX44" i="20"/>
  <c r="AR38" i="20"/>
  <c r="AI38" i="20" s="1"/>
  <c r="CB38" i="20"/>
  <c r="AT38" i="20"/>
  <c r="AK38" i="20" s="1"/>
  <c r="CD38" i="20"/>
  <c r="AS38" i="20"/>
  <c r="AJ38" i="20" s="1"/>
  <c r="CC38" i="20"/>
  <c r="AP42" i="20"/>
  <c r="AG42" i="20" s="1"/>
  <c r="BZ42" i="20"/>
  <c r="AC27" i="20"/>
  <c r="AQ39" i="20"/>
  <c r="AH39" i="20" s="1"/>
  <c r="CA39" i="20"/>
  <c r="N47" i="20"/>
  <c r="CH46" i="20"/>
  <c r="L46" i="20"/>
  <c r="CF45" i="20"/>
  <c r="CG44" i="20" l="1"/>
  <c r="AN45" i="20"/>
  <c r="AE45" i="20" s="1"/>
  <c r="BX45" i="20"/>
  <c r="S39" i="20"/>
  <c r="CM38" i="20"/>
  <c r="P40" i="20"/>
  <c r="CJ39" i="20"/>
  <c r="O43" i="20"/>
  <c r="CI42" i="20"/>
  <c r="R39" i="20"/>
  <c r="CL38" i="20"/>
  <c r="Q39" i="20"/>
  <c r="CK38" i="20"/>
  <c r="K28" i="20"/>
  <c r="CE27" i="20"/>
  <c r="AM46" i="20"/>
  <c r="AD46" i="20" s="1"/>
  <c r="L47" i="20" s="1"/>
  <c r="BW46" i="20"/>
  <c r="AO47" i="20"/>
  <c r="AF47" i="20" s="1"/>
  <c r="BY47" i="20"/>
  <c r="M46" i="20" l="1"/>
  <c r="CG45" i="20"/>
  <c r="AS39" i="20"/>
  <c r="AJ39" i="20" s="1"/>
  <c r="CC39" i="20"/>
  <c r="AP43" i="20"/>
  <c r="AG43" i="20" s="1"/>
  <c r="O44" i="20" s="1"/>
  <c r="BZ43" i="20"/>
  <c r="BV28" i="20"/>
  <c r="AL28" i="20"/>
  <c r="AQ40" i="20"/>
  <c r="AH40" i="20" s="1"/>
  <c r="CA40" i="20"/>
  <c r="AR39" i="20"/>
  <c r="AI39" i="20" s="1"/>
  <c r="CB39" i="20"/>
  <c r="AT39" i="20"/>
  <c r="AK39" i="20" s="1"/>
  <c r="CD39" i="20"/>
  <c r="CF46" i="20"/>
  <c r="N48" i="20"/>
  <c r="CH47" i="20"/>
  <c r="AM47" i="20"/>
  <c r="AD47" i="20" s="1"/>
  <c r="BW47" i="20"/>
  <c r="BX46" i="20" l="1"/>
  <c r="AN46" i="20"/>
  <c r="AE46" i="20" s="1"/>
  <c r="CM39" i="20"/>
  <c r="CI43" i="20"/>
  <c r="Q40" i="20"/>
  <c r="CK39" i="20"/>
  <c r="S40" i="20"/>
  <c r="R40" i="20"/>
  <c r="CL39" i="20"/>
  <c r="AC28" i="20"/>
  <c r="P41" i="20"/>
  <c r="CJ40" i="20"/>
  <c r="AP44" i="20"/>
  <c r="AG44" i="20" s="1"/>
  <c r="BZ44" i="20"/>
  <c r="L48" i="20"/>
  <c r="CF47" i="20"/>
  <c r="AO48" i="20"/>
  <c r="AF48" i="20" s="1"/>
  <c r="N49" i="20" s="1"/>
  <c r="BY48" i="20"/>
  <c r="CG46" i="20" l="1"/>
  <c r="M47" i="20"/>
  <c r="O45" i="20"/>
  <c r="CI44" i="20"/>
  <c r="AQ41" i="20"/>
  <c r="AH41" i="20" s="1"/>
  <c r="CA41" i="20"/>
  <c r="AT40" i="20"/>
  <c r="AK40" i="20" s="1"/>
  <c r="CD40" i="20"/>
  <c r="AR40" i="20"/>
  <c r="AI40" i="20" s="1"/>
  <c r="CB40" i="20"/>
  <c r="CE28" i="20"/>
  <c r="K29" i="20"/>
  <c r="AS40" i="20"/>
  <c r="AJ40" i="20" s="1"/>
  <c r="CC40" i="20"/>
  <c r="CH48" i="20"/>
  <c r="AO49" i="20"/>
  <c r="AF49" i="20" s="1"/>
  <c r="BY49" i="20"/>
  <c r="AM48" i="20"/>
  <c r="AD48" i="20" s="1"/>
  <c r="BW48" i="20"/>
  <c r="AN47" i="20" l="1"/>
  <c r="AE47" i="20" s="1"/>
  <c r="M48" i="20" s="1"/>
  <c r="BX47" i="20"/>
  <c r="S41" i="20"/>
  <c r="CM40" i="20"/>
  <c r="P42" i="20"/>
  <c r="CJ41" i="20"/>
  <c r="AL29" i="20"/>
  <c r="BV29" i="20"/>
  <c r="CL40" i="20"/>
  <c r="Q41" i="20"/>
  <c r="CK40" i="20"/>
  <c r="R41" i="20"/>
  <c r="AP45" i="20"/>
  <c r="AG45" i="20" s="1"/>
  <c r="BZ45" i="20"/>
  <c r="L49" i="20"/>
  <c r="CF48" i="20"/>
  <c r="N50" i="20"/>
  <c r="CH49" i="20"/>
  <c r="AN48" i="20" l="1"/>
  <c r="AE48" i="20" s="1"/>
  <c r="BX48" i="20"/>
  <c r="CG47" i="20"/>
  <c r="O46" i="20"/>
  <c r="CI45" i="20"/>
  <c r="AR41" i="20"/>
  <c r="AI41" i="20" s="1"/>
  <c r="CB41" i="20"/>
  <c r="AC29" i="20"/>
  <c r="AQ42" i="20"/>
  <c r="AH42" i="20" s="1"/>
  <c r="CA42" i="20"/>
  <c r="AT41" i="20"/>
  <c r="AK41" i="20" s="1"/>
  <c r="CD41" i="20"/>
  <c r="AS41" i="20"/>
  <c r="AJ41" i="20" s="1"/>
  <c r="CC41" i="20"/>
  <c r="AO50" i="20"/>
  <c r="AF50" i="20" s="1"/>
  <c r="BY50" i="20"/>
  <c r="AM49" i="20"/>
  <c r="AD49" i="20" s="1"/>
  <c r="BW49" i="20"/>
  <c r="CG48" i="20" l="1"/>
  <c r="M49" i="20"/>
  <c r="S42" i="20"/>
  <c r="CM41" i="20"/>
  <c r="CE29" i="20"/>
  <c r="K30" i="20"/>
  <c r="R42" i="20"/>
  <c r="CL41" i="20"/>
  <c r="CJ42" i="20"/>
  <c r="CK41" i="20"/>
  <c r="P43" i="20"/>
  <c r="Q42" i="20"/>
  <c r="AP46" i="20"/>
  <c r="AG46" i="20" s="1"/>
  <c r="BZ46" i="20"/>
  <c r="L50" i="20"/>
  <c r="CF49" i="20"/>
  <c r="N51" i="20"/>
  <c r="CH50" i="20"/>
  <c r="AN49" i="20" l="1"/>
  <c r="AE49" i="20" s="1"/>
  <c r="BX49" i="20"/>
  <c r="AQ43" i="20"/>
  <c r="AH43" i="20" s="1"/>
  <c r="CA43" i="20"/>
  <c r="AS42" i="20"/>
  <c r="AJ42" i="20" s="1"/>
  <c r="CC42" i="20"/>
  <c r="AR42" i="20"/>
  <c r="AI42" i="20" s="1"/>
  <c r="CB42" i="20"/>
  <c r="AL30" i="20"/>
  <c r="BV30" i="20"/>
  <c r="AT42" i="20"/>
  <c r="AK42" i="20" s="1"/>
  <c r="CD42" i="20"/>
  <c r="O47" i="20"/>
  <c r="CI46" i="20"/>
  <c r="AO51" i="20"/>
  <c r="AF51" i="20" s="1"/>
  <c r="BY51" i="20"/>
  <c r="AM50" i="20"/>
  <c r="AD50" i="20" s="1"/>
  <c r="L51" i="20" s="1"/>
  <c r="BW50" i="20"/>
  <c r="M50" i="20" l="1"/>
  <c r="CG49" i="20"/>
  <c r="S43" i="20"/>
  <c r="CM42" i="20"/>
  <c r="P44" i="20"/>
  <c r="CJ43" i="20"/>
  <c r="AP47" i="20"/>
  <c r="AG47" i="20" s="1"/>
  <c r="O48" i="20" s="1"/>
  <c r="BZ47" i="20"/>
  <c r="CI47" i="20" s="1"/>
  <c r="AC30" i="20"/>
  <c r="Q43" i="20"/>
  <c r="CK42" i="20"/>
  <c r="R43" i="20"/>
  <c r="CL42" i="20"/>
  <c r="CF50" i="20"/>
  <c r="AM51" i="20"/>
  <c r="AD51" i="20" s="1"/>
  <c r="BW51" i="20"/>
  <c r="N52" i="20"/>
  <c r="CH51" i="20"/>
  <c r="AN50" i="20" l="1"/>
  <c r="AE50" i="20" s="1"/>
  <c r="M51" i="20" s="1"/>
  <c r="BX50" i="20"/>
  <c r="AP48" i="20"/>
  <c r="AG48" i="20" s="1"/>
  <c r="BZ48" i="20"/>
  <c r="CE30" i="20"/>
  <c r="K31" i="20"/>
  <c r="AQ44" i="20"/>
  <c r="AH44" i="20" s="1"/>
  <c r="CA44" i="20"/>
  <c r="AS43" i="20"/>
  <c r="AJ43" i="20" s="1"/>
  <c r="CC43" i="20"/>
  <c r="AR43" i="20"/>
  <c r="AI43" i="20" s="1"/>
  <c r="CB43" i="20"/>
  <c r="AT43" i="20"/>
  <c r="AK43" i="20" s="1"/>
  <c r="CD43" i="20"/>
  <c r="AO52" i="20"/>
  <c r="AF52" i="20" s="1"/>
  <c r="N53" i="20" s="1"/>
  <c r="BY52" i="20"/>
  <c r="L52" i="20"/>
  <c r="CF51" i="20"/>
  <c r="AN51" i="20" l="1"/>
  <c r="AE51" i="20" s="1"/>
  <c r="BX51" i="20"/>
  <c r="CG50" i="20"/>
  <c r="O49" i="20"/>
  <c r="CI48" i="20"/>
  <c r="R44" i="20"/>
  <c r="CL43" i="20"/>
  <c r="AL31" i="20"/>
  <c r="BV31" i="20"/>
  <c r="P45" i="20"/>
  <c r="CJ44" i="20"/>
  <c r="CM43" i="20"/>
  <c r="S44" i="20"/>
  <c r="Q44" i="20"/>
  <c r="CK43" i="20"/>
  <c r="CH52" i="20"/>
  <c r="AM52" i="20"/>
  <c r="AD52" i="20" s="1"/>
  <c r="BW52" i="20"/>
  <c r="AO53" i="20"/>
  <c r="AF53" i="20" s="1"/>
  <c r="BY53" i="20"/>
  <c r="M52" i="20" l="1"/>
  <c r="CG51" i="20"/>
  <c r="AR44" i="20"/>
  <c r="AI44" i="20" s="1"/>
  <c r="CB44" i="20"/>
  <c r="AC31" i="20"/>
  <c r="AS44" i="20"/>
  <c r="AJ44" i="20" s="1"/>
  <c r="CC44" i="20"/>
  <c r="AT44" i="20"/>
  <c r="AK44" i="20" s="1"/>
  <c r="CD44" i="20"/>
  <c r="AQ45" i="20"/>
  <c r="AH45" i="20" s="1"/>
  <c r="CA45" i="20"/>
  <c r="AP49" i="20"/>
  <c r="AG49" i="20" s="1"/>
  <c r="BZ49" i="20"/>
  <c r="N54" i="20"/>
  <c r="CH53" i="20"/>
  <c r="L53" i="20"/>
  <c r="CF52" i="20"/>
  <c r="BX52" i="20" l="1"/>
  <c r="AN52" i="20"/>
  <c r="AE52" i="20" s="1"/>
  <c r="O50" i="20"/>
  <c r="CI49" i="20"/>
  <c r="K32" i="20"/>
  <c r="CE31" i="20"/>
  <c r="CL44" i="20"/>
  <c r="P46" i="20"/>
  <c r="CJ45" i="20"/>
  <c r="S45" i="20"/>
  <c r="CM44" i="20"/>
  <c r="R45" i="20"/>
  <c r="Q45" i="20"/>
  <c r="CK44" i="20"/>
  <c r="AM53" i="20"/>
  <c r="AD53" i="20" s="1"/>
  <c r="BW53" i="20"/>
  <c r="AO54" i="20"/>
  <c r="AF54" i="20" s="1"/>
  <c r="BY54" i="20"/>
  <c r="CG52" i="20" l="1"/>
  <c r="M53" i="20"/>
  <c r="AQ46" i="20"/>
  <c r="AH46" i="20" s="1"/>
  <c r="CA46" i="20"/>
  <c r="AS45" i="20"/>
  <c r="AJ45" i="20" s="1"/>
  <c r="CC45" i="20"/>
  <c r="AT45" i="20"/>
  <c r="AK45" i="20" s="1"/>
  <c r="CD45" i="20"/>
  <c r="AR45" i="20"/>
  <c r="AI45" i="20" s="1"/>
  <c r="CB45" i="20"/>
  <c r="BV32" i="20"/>
  <c r="AL32" i="20"/>
  <c r="AP50" i="20"/>
  <c r="AG50" i="20" s="1"/>
  <c r="BZ50" i="20"/>
  <c r="N55" i="20"/>
  <c r="CH54" i="20"/>
  <c r="L54" i="20"/>
  <c r="CF53" i="20"/>
  <c r="CK45" i="20" l="1"/>
  <c r="AN53" i="20"/>
  <c r="AE53" i="20" s="1"/>
  <c r="BX53" i="20"/>
  <c r="O51" i="20"/>
  <c r="CI50" i="20"/>
  <c r="S46" i="20"/>
  <c r="CM45" i="20"/>
  <c r="R46" i="20"/>
  <c r="CL45" i="20"/>
  <c r="Q46" i="20"/>
  <c r="CJ46" i="20"/>
  <c r="AC32" i="20"/>
  <c r="P47" i="20"/>
  <c r="AO55" i="20"/>
  <c r="AF55" i="20" s="1"/>
  <c r="BY55" i="20"/>
  <c r="AM54" i="20"/>
  <c r="AD54" i="20" s="1"/>
  <c r="L55" i="20" s="1"/>
  <c r="BW54" i="20"/>
  <c r="M54" i="20" l="1"/>
  <c r="CG53" i="20"/>
  <c r="AQ47" i="20"/>
  <c r="AH47" i="20" s="1"/>
  <c r="CA47" i="20"/>
  <c r="AT46" i="20"/>
  <c r="AK46" i="20" s="1"/>
  <c r="CD46" i="20"/>
  <c r="CE32" i="20"/>
  <c r="K33" i="20"/>
  <c r="AS46" i="20"/>
  <c r="AJ46" i="20" s="1"/>
  <c r="CC46" i="20"/>
  <c r="AR46" i="20"/>
  <c r="AI46" i="20" s="1"/>
  <c r="CB46" i="20"/>
  <c r="AP51" i="20"/>
  <c r="AG51" i="20" s="1"/>
  <c r="O52" i="20" s="1"/>
  <c r="BZ51" i="20"/>
  <c r="CF54" i="20"/>
  <c r="N56" i="20"/>
  <c r="CH55" i="20"/>
  <c r="AM55" i="20"/>
  <c r="AD55" i="20" s="1"/>
  <c r="BW55" i="20"/>
  <c r="AN54" i="20" l="1"/>
  <c r="AE54" i="20" s="1"/>
  <c r="M55" i="20" s="1"/>
  <c r="BX54" i="20"/>
  <c r="CI51" i="20"/>
  <c r="Q47" i="20"/>
  <c r="CK46" i="20"/>
  <c r="R47" i="20"/>
  <c r="CL46" i="20"/>
  <c r="AP52" i="20"/>
  <c r="AG52" i="20" s="1"/>
  <c r="BZ52" i="20"/>
  <c r="BV33" i="20"/>
  <c r="AL33" i="20"/>
  <c r="S47" i="20"/>
  <c r="CM46" i="20"/>
  <c r="P48" i="20"/>
  <c r="CJ47" i="20"/>
  <c r="AO56" i="20"/>
  <c r="AF56" i="20" s="1"/>
  <c r="N57" i="20" s="1"/>
  <c r="BY56" i="20"/>
  <c r="L56" i="20"/>
  <c r="CF55" i="20"/>
  <c r="AN55" i="20" l="1"/>
  <c r="AE55" i="20" s="1"/>
  <c r="BX55" i="20"/>
  <c r="CG54" i="20"/>
  <c r="AT47" i="20"/>
  <c r="AK47" i="20" s="1"/>
  <c r="CD47" i="20"/>
  <c r="AQ48" i="20"/>
  <c r="AH48" i="20" s="1"/>
  <c r="CA48" i="20"/>
  <c r="AS47" i="20"/>
  <c r="AJ47" i="20" s="1"/>
  <c r="CC47" i="20"/>
  <c r="O53" i="20"/>
  <c r="CI52" i="20"/>
  <c r="AC33" i="20"/>
  <c r="AR47" i="20"/>
  <c r="AI47" i="20" s="1"/>
  <c r="CB47" i="20"/>
  <c r="CH56" i="20"/>
  <c r="AM56" i="20"/>
  <c r="AD56" i="20" s="1"/>
  <c r="BW56" i="20"/>
  <c r="AO57" i="20"/>
  <c r="AF57" i="20" s="1"/>
  <c r="BY57" i="20"/>
  <c r="CG55" i="20" l="1"/>
  <c r="M56" i="20"/>
  <c r="CE33" i="20"/>
  <c r="K34" i="20"/>
  <c r="P49" i="20"/>
  <c r="CJ48" i="20"/>
  <c r="Q48" i="20"/>
  <c r="CK47" i="20"/>
  <c r="R48" i="20"/>
  <c r="CL47" i="20"/>
  <c r="CM47" i="20"/>
  <c r="AP53" i="20"/>
  <c r="AG53" i="20" s="1"/>
  <c r="BZ53" i="20"/>
  <c r="S48" i="20"/>
  <c r="N58" i="20"/>
  <c r="CH57" i="20"/>
  <c r="L57" i="20"/>
  <c r="CF56" i="20"/>
  <c r="BX56" i="20" l="1"/>
  <c r="AN56" i="20"/>
  <c r="AE56" i="20" s="1"/>
  <c r="BV34" i="20"/>
  <c r="AL34" i="20"/>
  <c r="AT48" i="20"/>
  <c r="AK48" i="20" s="1"/>
  <c r="CD48" i="20"/>
  <c r="O54" i="20"/>
  <c r="CI53" i="20"/>
  <c r="AQ49" i="20"/>
  <c r="AH49" i="20" s="1"/>
  <c r="CA49" i="20"/>
  <c r="AS48" i="20"/>
  <c r="AJ48" i="20" s="1"/>
  <c r="CC48" i="20"/>
  <c r="AR48" i="20"/>
  <c r="AI48" i="20" s="1"/>
  <c r="CB48" i="20"/>
  <c r="AM57" i="20"/>
  <c r="AD57" i="20" s="1"/>
  <c r="BW57" i="20"/>
  <c r="AO58" i="20"/>
  <c r="AF58" i="20" s="1"/>
  <c r="BY58" i="20"/>
  <c r="CG56" i="20" l="1"/>
  <c r="M57" i="20"/>
  <c r="AN57" i="20" s="1"/>
  <c r="AE57" i="20" s="1"/>
  <c r="M58" i="20" s="1"/>
  <c r="AN58" i="20" s="1"/>
  <c r="AE58" i="20" s="1"/>
  <c r="CL48" i="20"/>
  <c r="S49" i="20"/>
  <c r="CM48" i="20"/>
  <c r="Q49" i="20"/>
  <c r="CK48" i="20"/>
  <c r="R49" i="20"/>
  <c r="AC34" i="20"/>
  <c r="P50" i="20"/>
  <c r="CJ49" i="20"/>
  <c r="AP54" i="20"/>
  <c r="AG54" i="20" s="1"/>
  <c r="BZ54" i="20"/>
  <c r="N59" i="20"/>
  <c r="CH58" i="20"/>
  <c r="L58" i="20"/>
  <c r="CF57" i="20"/>
  <c r="BX57" i="20" l="1"/>
  <c r="CG57" i="20" s="1"/>
  <c r="BX58" i="20"/>
  <c r="CG58" i="20" s="1"/>
  <c r="CE34" i="20"/>
  <c r="K35" i="20"/>
  <c r="O55" i="20"/>
  <c r="CI54" i="20"/>
  <c r="AQ50" i="20"/>
  <c r="AH50" i="20" s="1"/>
  <c r="CA50" i="20"/>
  <c r="AR49" i="20"/>
  <c r="AI49" i="20" s="1"/>
  <c r="CB49" i="20"/>
  <c r="AS49" i="20"/>
  <c r="AJ49" i="20" s="1"/>
  <c r="CC49" i="20"/>
  <c r="AT49" i="20"/>
  <c r="AK49" i="20" s="1"/>
  <c r="CD49" i="20"/>
  <c r="AM58" i="20"/>
  <c r="AD58" i="20" s="1"/>
  <c r="L59" i="20" s="1"/>
  <c r="BW58" i="20"/>
  <c r="M59" i="20"/>
  <c r="AO59" i="20"/>
  <c r="AF59" i="20" s="1"/>
  <c r="BY59" i="20"/>
  <c r="CK49" i="20" l="1"/>
  <c r="P51" i="20"/>
  <c r="S50" i="20"/>
  <c r="CM49" i="20"/>
  <c r="R50" i="20"/>
  <c r="CL49" i="20"/>
  <c r="Q50" i="20"/>
  <c r="AP55" i="20"/>
  <c r="AG55" i="20" s="1"/>
  <c r="O56" i="20" s="1"/>
  <c r="BZ55" i="20"/>
  <c r="AL35" i="20"/>
  <c r="BV35" i="20"/>
  <c r="CJ50" i="20"/>
  <c r="AM59" i="20"/>
  <c r="AD59" i="20" s="1"/>
  <c r="BW59" i="20"/>
  <c r="AN59" i="20"/>
  <c r="AE59" i="20" s="1"/>
  <c r="BX59" i="20"/>
  <c r="N60" i="20"/>
  <c r="CH59" i="20"/>
  <c r="CF58" i="20"/>
  <c r="CI55" i="20" l="1"/>
  <c r="AP56" i="20"/>
  <c r="AG56" i="20" s="1"/>
  <c r="BZ56" i="20"/>
  <c r="AR50" i="20"/>
  <c r="AI50" i="20" s="1"/>
  <c r="CB50" i="20"/>
  <c r="AS50" i="20"/>
  <c r="AJ50" i="20" s="1"/>
  <c r="CC50" i="20"/>
  <c r="AQ51" i="20"/>
  <c r="AH51" i="20" s="1"/>
  <c r="CA51" i="20"/>
  <c r="AC35" i="20"/>
  <c r="AT50" i="20"/>
  <c r="AK50" i="20" s="1"/>
  <c r="CD50" i="20"/>
  <c r="M60" i="20"/>
  <c r="CG59" i="20"/>
  <c r="AO60" i="20"/>
  <c r="AF60" i="20" s="1"/>
  <c r="N61" i="20" s="1"/>
  <c r="BY60" i="20"/>
  <c r="L60" i="20"/>
  <c r="CF59" i="20"/>
  <c r="R51" i="20" l="1"/>
  <c r="CL50" i="20"/>
  <c r="Q51" i="20"/>
  <c r="CK50" i="20"/>
  <c r="O57" i="20"/>
  <c r="CI56" i="20"/>
  <c r="K36" i="20"/>
  <c r="CE35" i="20"/>
  <c r="S51" i="20"/>
  <c r="CM50" i="20"/>
  <c r="P52" i="20"/>
  <c r="CJ51" i="20"/>
  <c r="CH60" i="20"/>
  <c r="AO61" i="20"/>
  <c r="AF61" i="20" s="1"/>
  <c r="BY61" i="20"/>
  <c r="AM60" i="20"/>
  <c r="AD60" i="20" s="1"/>
  <c r="BW60" i="20"/>
  <c r="AN60" i="20"/>
  <c r="AE60" i="20" s="1"/>
  <c r="BX60" i="20"/>
  <c r="AT51" i="20" l="1"/>
  <c r="AK51" i="20" s="1"/>
  <c r="CD51" i="20"/>
  <c r="BV36" i="20"/>
  <c r="AL36" i="20"/>
  <c r="AQ52" i="20"/>
  <c r="AH52" i="20" s="1"/>
  <c r="CA52" i="20"/>
  <c r="AP57" i="20"/>
  <c r="AG57" i="20" s="1"/>
  <c r="BZ57" i="20"/>
  <c r="AR51" i="20"/>
  <c r="AI51" i="20" s="1"/>
  <c r="CB51" i="20"/>
  <c r="AS51" i="20"/>
  <c r="AJ51" i="20" s="1"/>
  <c r="CC51" i="20"/>
  <c r="M61" i="20"/>
  <c r="CG60" i="20"/>
  <c r="L61" i="20"/>
  <c r="CF60" i="20"/>
  <c r="N62" i="20"/>
  <c r="CH61" i="20"/>
  <c r="P53" i="20" l="1"/>
  <c r="CJ52" i="20"/>
  <c r="AC36" i="20"/>
  <c r="R52" i="20"/>
  <c r="CL51" i="20"/>
  <c r="O58" i="20"/>
  <c r="CI57" i="20"/>
  <c r="CM51" i="20"/>
  <c r="Q52" i="20"/>
  <c r="CK51" i="20"/>
  <c r="S52" i="20"/>
  <c r="AO62" i="20"/>
  <c r="AF62" i="20" s="1"/>
  <c r="BY62" i="20"/>
  <c r="AN61" i="20"/>
  <c r="AE61" i="20" s="1"/>
  <c r="M62" i="20" s="1"/>
  <c r="BX61" i="20"/>
  <c r="AM61" i="20"/>
  <c r="AD61" i="20" s="1"/>
  <c r="BW61" i="20"/>
  <c r="AR52" i="20" l="1"/>
  <c r="AI52" i="20" s="1"/>
  <c r="CB52" i="20"/>
  <c r="AT52" i="20"/>
  <c r="AK52" i="20" s="1"/>
  <c r="CD52" i="20"/>
  <c r="AP58" i="20"/>
  <c r="AG58" i="20" s="1"/>
  <c r="BZ58" i="20"/>
  <c r="AS52" i="20"/>
  <c r="AJ52" i="20" s="1"/>
  <c r="CC52" i="20"/>
  <c r="CE36" i="20"/>
  <c r="K37" i="20"/>
  <c r="AQ53" i="20"/>
  <c r="AH53" i="20" s="1"/>
  <c r="CA53" i="20"/>
  <c r="CG61" i="20"/>
  <c r="AN62" i="20"/>
  <c r="AE62" i="20" s="1"/>
  <c r="BX62" i="20"/>
  <c r="L62" i="20"/>
  <c r="CF61" i="20"/>
  <c r="N63" i="20"/>
  <c r="CH62" i="20"/>
  <c r="CL52" i="20" l="1"/>
  <c r="O59" i="20"/>
  <c r="CI58" i="20"/>
  <c r="AL37" i="20"/>
  <c r="BV37" i="20"/>
  <c r="Q53" i="20"/>
  <c r="CK52" i="20"/>
  <c r="P54" i="20"/>
  <c r="CJ53" i="20"/>
  <c r="R53" i="20"/>
  <c r="S53" i="20"/>
  <c r="CM52" i="20"/>
  <c r="M63" i="20"/>
  <c r="CG62" i="20"/>
  <c r="AO63" i="20"/>
  <c r="AF63" i="20" s="1"/>
  <c r="BY63" i="20"/>
  <c r="AM62" i="20"/>
  <c r="AD62" i="20" s="1"/>
  <c r="L63" i="20" s="1"/>
  <c r="BW62" i="20"/>
  <c r="AC37" i="20" l="1"/>
  <c r="AP59" i="20"/>
  <c r="AG59" i="20" s="1"/>
  <c r="O60" i="20" s="1"/>
  <c r="BZ59" i="20"/>
  <c r="AS53" i="20"/>
  <c r="AJ53" i="20" s="1"/>
  <c r="CC53" i="20"/>
  <c r="AQ54" i="20"/>
  <c r="AH54" i="20" s="1"/>
  <c r="CA54" i="20"/>
  <c r="AR53" i="20"/>
  <c r="AI53" i="20" s="1"/>
  <c r="CB53" i="20"/>
  <c r="AT53" i="20"/>
  <c r="AK53" i="20" s="1"/>
  <c r="CD53" i="20"/>
  <c r="CF62" i="20"/>
  <c r="N64" i="20"/>
  <c r="CH63" i="20"/>
  <c r="AM63" i="20"/>
  <c r="AD63" i="20" s="1"/>
  <c r="BW63" i="20"/>
  <c r="AN63" i="20"/>
  <c r="AE63" i="20" s="1"/>
  <c r="BX63" i="20"/>
  <c r="CJ54" i="20" l="1"/>
  <c r="AP60" i="20"/>
  <c r="AG60" i="20" s="1"/>
  <c r="BZ60" i="20"/>
  <c r="P55" i="20"/>
  <c r="S54" i="20"/>
  <c r="CM53" i="20"/>
  <c r="CK53" i="20"/>
  <c r="Q54" i="20"/>
  <c r="R54" i="20"/>
  <c r="CL53" i="20"/>
  <c r="CI59" i="20"/>
  <c r="CE37" i="20"/>
  <c r="K38" i="20"/>
  <c r="M64" i="20"/>
  <c r="CG63" i="20"/>
  <c r="AO64" i="20"/>
  <c r="AF64" i="20" s="1"/>
  <c r="N65" i="20" s="1"/>
  <c r="BY64" i="20"/>
  <c r="L64" i="20"/>
  <c r="CF63" i="20"/>
  <c r="AT54" i="20" l="1"/>
  <c r="AK54" i="20" s="1"/>
  <c r="CD54" i="20"/>
  <c r="AL38" i="20"/>
  <c r="BV38" i="20"/>
  <c r="AQ55" i="20"/>
  <c r="AH55" i="20" s="1"/>
  <c r="CA55" i="20"/>
  <c r="O61" i="20"/>
  <c r="CI60" i="20"/>
  <c r="AS54" i="20"/>
  <c r="AJ54" i="20" s="1"/>
  <c r="CC54" i="20"/>
  <c r="AR54" i="20"/>
  <c r="AI54" i="20" s="1"/>
  <c r="CB54" i="20"/>
  <c r="CH64" i="20"/>
  <c r="AM64" i="20"/>
  <c r="AD64" i="20" s="1"/>
  <c r="BW64" i="20"/>
  <c r="AO65" i="20"/>
  <c r="AF65" i="20" s="1"/>
  <c r="BY65" i="20"/>
  <c r="AN64" i="20"/>
  <c r="AE64" i="20" s="1"/>
  <c r="BX64" i="20"/>
  <c r="AP61" i="20" l="1"/>
  <c r="AG61" i="20" s="1"/>
  <c r="BZ61" i="20"/>
  <c r="Q55" i="20"/>
  <c r="CK54" i="20"/>
  <c r="S55" i="20"/>
  <c r="CM54" i="20"/>
  <c r="AC38" i="20"/>
  <c r="R55" i="20"/>
  <c r="CL54" i="20"/>
  <c r="P56" i="20"/>
  <c r="CJ55" i="20"/>
  <c r="N66" i="20"/>
  <c r="CH65" i="20"/>
  <c r="M65" i="20"/>
  <c r="CG64" i="20"/>
  <c r="L65" i="20"/>
  <c r="CF64" i="20"/>
  <c r="AQ56" i="20" l="1"/>
  <c r="AH56" i="20" s="1"/>
  <c r="CA56" i="20"/>
  <c r="AS55" i="20"/>
  <c r="AJ55" i="20" s="1"/>
  <c r="CC55" i="20"/>
  <c r="CE38" i="20"/>
  <c r="K39" i="20"/>
  <c r="AT55" i="20"/>
  <c r="AK55" i="20" s="1"/>
  <c r="CD55" i="20"/>
  <c r="AR55" i="20"/>
  <c r="AI55" i="20" s="1"/>
  <c r="CB55" i="20"/>
  <c r="O62" i="20"/>
  <c r="CI61" i="20"/>
  <c r="AM65" i="20"/>
  <c r="AD65" i="20" s="1"/>
  <c r="BW65" i="20"/>
  <c r="AN65" i="20"/>
  <c r="AE65" i="20" s="1"/>
  <c r="M66" i="20" s="1"/>
  <c r="BX65" i="20"/>
  <c r="AO66" i="20"/>
  <c r="AF66" i="20" s="1"/>
  <c r="BY66" i="20"/>
  <c r="CM55" i="20" l="1"/>
  <c r="R56" i="20"/>
  <c r="CL55" i="20"/>
  <c r="AP62" i="20"/>
  <c r="AG62" i="20" s="1"/>
  <c r="BZ62" i="20"/>
  <c r="S56" i="20"/>
  <c r="AL39" i="20"/>
  <c r="BV39" i="20"/>
  <c r="P57" i="20"/>
  <c r="CJ56" i="20"/>
  <c r="Q56" i="20"/>
  <c r="CK55" i="20"/>
  <c r="CG65" i="20"/>
  <c r="AN66" i="20"/>
  <c r="AE66" i="20" s="1"/>
  <c r="BX66" i="20"/>
  <c r="N67" i="20"/>
  <c r="CH66" i="20"/>
  <c r="L66" i="20"/>
  <c r="CF65" i="20"/>
  <c r="O63" i="20" l="1"/>
  <c r="CI62" i="20"/>
  <c r="AR56" i="20"/>
  <c r="AI56" i="20" s="1"/>
  <c r="CB56" i="20"/>
  <c r="AS56" i="20"/>
  <c r="AJ56" i="20" s="1"/>
  <c r="CC56" i="20"/>
  <c r="AC39" i="20"/>
  <c r="AQ57" i="20"/>
  <c r="AH57" i="20" s="1"/>
  <c r="CA57" i="20"/>
  <c r="AT56" i="20"/>
  <c r="AK56" i="20" s="1"/>
  <c r="CD56" i="20"/>
  <c r="AO67" i="20"/>
  <c r="AF67" i="20" s="1"/>
  <c r="BY67" i="20"/>
  <c r="AM66" i="20"/>
  <c r="AD66" i="20" s="1"/>
  <c r="L67" i="20" s="1"/>
  <c r="BW66" i="20"/>
  <c r="M67" i="20"/>
  <c r="CG66" i="20"/>
  <c r="K40" i="20" l="1"/>
  <c r="CE39" i="20"/>
  <c r="Q57" i="20"/>
  <c r="CK56" i="20"/>
  <c r="P58" i="20"/>
  <c r="CJ57" i="20"/>
  <c r="CL56" i="20"/>
  <c r="AP63" i="20"/>
  <c r="AG63" i="20" s="1"/>
  <c r="O64" i="20" s="1"/>
  <c r="BZ63" i="20"/>
  <c r="CI63" i="20" s="1"/>
  <c r="S57" i="20"/>
  <c r="CM56" i="20"/>
  <c r="R57" i="20"/>
  <c r="AN67" i="20"/>
  <c r="AE67" i="20" s="1"/>
  <c r="BX67" i="20"/>
  <c r="CF66" i="20"/>
  <c r="AM67" i="20"/>
  <c r="AD67" i="20" s="1"/>
  <c r="BW67" i="20"/>
  <c r="N68" i="20"/>
  <c r="CH67" i="20"/>
  <c r="AP64" i="20" l="1"/>
  <c r="AG64" i="20" s="1"/>
  <c r="BZ64" i="20"/>
  <c r="AT57" i="20"/>
  <c r="AK57" i="20" s="1"/>
  <c r="CD57" i="20"/>
  <c r="AS57" i="20"/>
  <c r="AJ57" i="20" s="1"/>
  <c r="CC57" i="20"/>
  <c r="AL40" i="20"/>
  <c r="BV40" i="20"/>
  <c r="AR57" i="20"/>
  <c r="AI57" i="20" s="1"/>
  <c r="CB57" i="20"/>
  <c r="AQ58" i="20"/>
  <c r="AH58" i="20" s="1"/>
  <c r="CA58" i="20"/>
  <c r="AO68" i="20"/>
  <c r="AF68" i="20" s="1"/>
  <c r="N69" i="20" s="1"/>
  <c r="BY68" i="20"/>
  <c r="L68" i="20"/>
  <c r="CF67" i="20"/>
  <c r="M68" i="20"/>
  <c r="CG67" i="20"/>
  <c r="CJ58" i="20" l="1"/>
  <c r="CH68" i="20"/>
  <c r="P59" i="20"/>
  <c r="CK57" i="20"/>
  <c r="Q58" i="20"/>
  <c r="AC40" i="20"/>
  <c r="S58" i="20"/>
  <c r="CM57" i="20"/>
  <c r="O65" i="20"/>
  <c r="CI64" i="20"/>
  <c r="R58" i="20"/>
  <c r="CL57" i="20"/>
  <c r="AN68" i="20"/>
  <c r="AE68" i="20" s="1"/>
  <c r="BX68" i="20"/>
  <c r="AM68" i="20"/>
  <c r="AD68" i="20" s="1"/>
  <c r="BW68" i="20"/>
  <c r="AO69" i="20"/>
  <c r="AF69" i="20" s="1"/>
  <c r="BY69" i="20"/>
  <c r="AQ59" i="20" l="1"/>
  <c r="AH59" i="20" s="1"/>
  <c r="CA59" i="20"/>
  <c r="AS58" i="20"/>
  <c r="AJ58" i="20" s="1"/>
  <c r="CC58" i="20"/>
  <c r="AT58" i="20"/>
  <c r="AK58" i="20" s="1"/>
  <c r="CD58" i="20"/>
  <c r="AP65" i="20"/>
  <c r="AG65" i="20" s="1"/>
  <c r="BZ65" i="20"/>
  <c r="CE40" i="20"/>
  <c r="K41" i="20"/>
  <c r="AR58" i="20"/>
  <c r="AI58" i="20" s="1"/>
  <c r="CB58" i="20"/>
  <c r="N70" i="20"/>
  <c r="CH69" i="20"/>
  <c r="L69" i="20"/>
  <c r="CF68" i="20"/>
  <c r="M69" i="20"/>
  <c r="CG68" i="20"/>
  <c r="P60" i="20" l="1"/>
  <c r="CJ59" i="20"/>
  <c r="Q59" i="20"/>
  <c r="CK58" i="20"/>
  <c r="O66" i="20"/>
  <c r="CI65" i="20"/>
  <c r="BV41" i="20"/>
  <c r="AL41" i="20"/>
  <c r="S59" i="20"/>
  <c r="CM58" i="20"/>
  <c r="R59" i="20"/>
  <c r="CL58" i="20"/>
  <c r="AM69" i="20"/>
  <c r="AD69" i="20" s="1"/>
  <c r="BW69" i="20"/>
  <c r="AN69" i="20"/>
  <c r="AE69" i="20" s="1"/>
  <c r="M70" i="20" s="1"/>
  <c r="BX69" i="20"/>
  <c r="AO70" i="20"/>
  <c r="AF70" i="20" s="1"/>
  <c r="BY70" i="20"/>
  <c r="AQ60" i="20" l="1"/>
  <c r="AH60" i="20" s="1"/>
  <c r="CA60" i="20"/>
  <c r="AC41" i="20"/>
  <c r="AP66" i="20"/>
  <c r="AG66" i="20" s="1"/>
  <c r="BZ66" i="20"/>
  <c r="AR59" i="20"/>
  <c r="AI59" i="20" s="1"/>
  <c r="CB59" i="20"/>
  <c r="AT59" i="20"/>
  <c r="AK59" i="20" s="1"/>
  <c r="CD59" i="20"/>
  <c r="AS59" i="20"/>
  <c r="AJ59" i="20" s="1"/>
  <c r="CC59" i="20"/>
  <c r="CG69" i="20"/>
  <c r="AN70" i="20"/>
  <c r="AE70" i="20" s="1"/>
  <c r="BX70" i="20"/>
  <c r="N71" i="20"/>
  <c r="CH70" i="20"/>
  <c r="L70" i="20"/>
  <c r="CF69" i="20"/>
  <c r="R60" i="20" l="1"/>
  <c r="CL59" i="20"/>
  <c r="Q60" i="20"/>
  <c r="CK59" i="20"/>
  <c r="P61" i="20"/>
  <c r="CJ60" i="20"/>
  <c r="CE41" i="20"/>
  <c r="K42" i="20"/>
  <c r="CM59" i="20"/>
  <c r="S60" i="20"/>
  <c r="O67" i="20"/>
  <c r="CI66" i="20"/>
  <c r="AM70" i="20"/>
  <c r="AD70" i="20" s="1"/>
  <c r="L71" i="20" s="1"/>
  <c r="BW70" i="20"/>
  <c r="AO71" i="20"/>
  <c r="AF71" i="20" s="1"/>
  <c r="BY71" i="20"/>
  <c r="M71" i="20"/>
  <c r="CG70" i="20"/>
  <c r="BV42" i="20" l="1"/>
  <c r="AL42" i="20"/>
  <c r="AT60" i="20"/>
  <c r="AK60" i="20" s="1"/>
  <c r="CD60" i="20"/>
  <c r="AQ61" i="20"/>
  <c r="AH61" i="20" s="1"/>
  <c r="CA61" i="20"/>
  <c r="AR60" i="20"/>
  <c r="AI60" i="20" s="1"/>
  <c r="CB60" i="20"/>
  <c r="AS60" i="20"/>
  <c r="AJ60" i="20" s="1"/>
  <c r="CC60" i="20"/>
  <c r="AP67" i="20"/>
  <c r="AG67" i="20" s="1"/>
  <c r="O68" i="20" s="1"/>
  <c r="BZ67" i="20"/>
  <c r="CF70" i="20"/>
  <c r="AN71" i="20"/>
  <c r="AE71" i="20" s="1"/>
  <c r="BX71" i="20"/>
  <c r="AM71" i="20"/>
  <c r="AD71" i="20" s="1"/>
  <c r="BW71" i="20"/>
  <c r="N72" i="20"/>
  <c r="CH71" i="20"/>
  <c r="Q61" i="20" l="1"/>
  <c r="CK60" i="20"/>
  <c r="S61" i="20"/>
  <c r="CM60" i="20"/>
  <c r="AC42" i="20"/>
  <c r="CI67" i="20"/>
  <c r="CL60" i="20"/>
  <c r="AP68" i="20"/>
  <c r="AG68" i="20" s="1"/>
  <c r="BZ68" i="20"/>
  <c r="R61" i="20"/>
  <c r="P62" i="20"/>
  <c r="CJ61" i="20"/>
  <c r="AO72" i="20"/>
  <c r="AF72" i="20" s="1"/>
  <c r="N73" i="20" s="1"/>
  <c r="BY72" i="20"/>
  <c r="L72" i="20"/>
  <c r="CF71" i="20"/>
  <c r="M72" i="20"/>
  <c r="CG71" i="20"/>
  <c r="CH72" i="20" l="1"/>
  <c r="AT61" i="20"/>
  <c r="AK61" i="20" s="1"/>
  <c r="CD61" i="20"/>
  <c r="CE42" i="20"/>
  <c r="K43" i="20"/>
  <c r="AR61" i="20"/>
  <c r="AI61" i="20" s="1"/>
  <c r="CB61" i="20"/>
  <c r="AQ62" i="20"/>
  <c r="AH62" i="20" s="1"/>
  <c r="CA62" i="20"/>
  <c r="AS61" i="20"/>
  <c r="AJ61" i="20" s="1"/>
  <c r="CC61" i="20"/>
  <c r="O69" i="20"/>
  <c r="CI68" i="20"/>
  <c r="AM72" i="20"/>
  <c r="AD72" i="20" s="1"/>
  <c r="BW72" i="20"/>
  <c r="AN72" i="20"/>
  <c r="AE72" i="20" s="1"/>
  <c r="BX72" i="20"/>
  <c r="AO73" i="20"/>
  <c r="AF73" i="20" s="1"/>
  <c r="BY73" i="20"/>
  <c r="P63" i="20" l="1"/>
  <c r="AP69" i="20"/>
  <c r="AG69" i="20" s="1"/>
  <c r="BZ69" i="20"/>
  <c r="AL43" i="20"/>
  <c r="BV43" i="20"/>
  <c r="CK61" i="20"/>
  <c r="S62" i="20"/>
  <c r="CM61" i="20"/>
  <c r="R62" i="20"/>
  <c r="CL61" i="20"/>
  <c r="CJ62" i="20"/>
  <c r="Q62" i="20"/>
  <c r="M73" i="20"/>
  <c r="CG72" i="20"/>
  <c r="N74" i="20"/>
  <c r="CH73" i="20"/>
  <c r="L73" i="20"/>
  <c r="CF72" i="20"/>
  <c r="AT62" i="20" l="1"/>
  <c r="AK62" i="20" s="1"/>
  <c r="CD62" i="20"/>
  <c r="AC43" i="20"/>
  <c r="O70" i="20"/>
  <c r="CI69" i="20"/>
  <c r="AQ63" i="20"/>
  <c r="AH63" i="20" s="1"/>
  <c r="CA63" i="20"/>
  <c r="AR62" i="20"/>
  <c r="AI62" i="20" s="1"/>
  <c r="CB62" i="20"/>
  <c r="AS62" i="20"/>
  <c r="AJ62" i="20" s="1"/>
  <c r="CC62" i="20"/>
  <c r="AM73" i="20"/>
  <c r="AD73" i="20" s="1"/>
  <c r="BW73" i="20"/>
  <c r="AO74" i="20"/>
  <c r="AF74" i="20" s="1"/>
  <c r="BY74" i="20"/>
  <c r="AN73" i="20"/>
  <c r="AE73" i="20" s="1"/>
  <c r="M74" i="20" s="1"/>
  <c r="BX73" i="20"/>
  <c r="AP70" i="20" l="1"/>
  <c r="AG70" i="20" s="1"/>
  <c r="BZ70" i="20"/>
  <c r="S63" i="20"/>
  <c r="CM62" i="20"/>
  <c r="R63" i="20"/>
  <c r="CL62" i="20"/>
  <c r="Q63" i="20"/>
  <c r="CK62" i="20"/>
  <c r="P64" i="20"/>
  <c r="CJ63" i="20"/>
  <c r="K44" i="20"/>
  <c r="CE43" i="20"/>
  <c r="CG73" i="20"/>
  <c r="AN74" i="20"/>
  <c r="AE74" i="20" s="1"/>
  <c r="BX74" i="20"/>
  <c r="L74" i="20"/>
  <c r="CF73" i="20"/>
  <c r="N75" i="20"/>
  <c r="CH74" i="20"/>
  <c r="O71" i="20" l="1"/>
  <c r="CI70" i="20"/>
  <c r="AL44" i="20"/>
  <c r="BV44" i="20"/>
  <c r="AQ64" i="20"/>
  <c r="AH64" i="20" s="1"/>
  <c r="CA64" i="20"/>
  <c r="AR63" i="20"/>
  <c r="AI63" i="20" s="1"/>
  <c r="CB63" i="20"/>
  <c r="AS63" i="20"/>
  <c r="AJ63" i="20" s="1"/>
  <c r="CC63" i="20"/>
  <c r="AT63" i="20"/>
  <c r="AK63" i="20" s="1"/>
  <c r="CD63" i="20"/>
  <c r="AM74" i="20"/>
  <c r="AD74" i="20" s="1"/>
  <c r="L75" i="20" s="1"/>
  <c r="BW74" i="20"/>
  <c r="AO75" i="20"/>
  <c r="AF75" i="20" s="1"/>
  <c r="BY75" i="20"/>
  <c r="M75" i="20"/>
  <c r="CG74" i="20"/>
  <c r="AP71" i="20" l="1"/>
  <c r="AG71" i="20" s="1"/>
  <c r="O72" i="20" s="1"/>
  <c r="BZ71" i="20"/>
  <c r="Q64" i="20"/>
  <c r="CK63" i="20"/>
  <c r="CM63" i="20"/>
  <c r="AC44" i="20"/>
  <c r="S64" i="20"/>
  <c r="R64" i="20"/>
  <c r="CL63" i="20"/>
  <c r="P65" i="20"/>
  <c r="CJ64" i="20"/>
  <c r="CF74" i="20"/>
  <c r="AM75" i="20"/>
  <c r="AD75" i="20" s="1"/>
  <c r="BW75" i="20"/>
  <c r="AN75" i="20"/>
  <c r="AE75" i="20" s="1"/>
  <c r="BX75" i="20"/>
  <c r="N76" i="20"/>
  <c r="CH75" i="20"/>
  <c r="AQ65" i="20" l="1"/>
  <c r="AH65" i="20" s="1"/>
  <c r="CA65" i="20"/>
  <c r="AS64" i="20"/>
  <c r="AJ64" i="20" s="1"/>
  <c r="CC64" i="20"/>
  <c r="AR64" i="20"/>
  <c r="AI64" i="20" s="1"/>
  <c r="CB64" i="20"/>
  <c r="CI71" i="20"/>
  <c r="CE44" i="20"/>
  <c r="K45" i="20"/>
  <c r="AT64" i="20"/>
  <c r="AK64" i="20" s="1"/>
  <c r="CD64" i="20"/>
  <c r="AP72" i="20"/>
  <c r="AG72" i="20" s="1"/>
  <c r="BZ72" i="20"/>
  <c r="M76" i="20"/>
  <c r="CG75" i="20"/>
  <c r="AO76" i="20"/>
  <c r="AF76" i="20" s="1"/>
  <c r="N77" i="20" s="1"/>
  <c r="BY76" i="20"/>
  <c r="L76" i="20"/>
  <c r="CF75" i="20"/>
  <c r="S65" i="20" l="1"/>
  <c r="CM64" i="20"/>
  <c r="Q65" i="20"/>
  <c r="CK64" i="20"/>
  <c r="P66" i="20"/>
  <c r="CJ65" i="20"/>
  <c r="R65" i="20"/>
  <c r="O73" i="20"/>
  <c r="CI72" i="20"/>
  <c r="BV45" i="20"/>
  <c r="AL45" i="20"/>
  <c r="CL64" i="20"/>
  <c r="AM76" i="20"/>
  <c r="AD76" i="20" s="1"/>
  <c r="BW76" i="20"/>
  <c r="AN76" i="20"/>
  <c r="AE76" i="20" s="1"/>
  <c r="BX76" i="20"/>
  <c r="CH76" i="20"/>
  <c r="AO77" i="20"/>
  <c r="AF77" i="20" s="1"/>
  <c r="BY77" i="20"/>
  <c r="AR65" i="20" l="1"/>
  <c r="AI65" i="20" s="1"/>
  <c r="CB65" i="20"/>
  <c r="AS65" i="20"/>
  <c r="AJ65" i="20" s="1"/>
  <c r="CC65" i="20"/>
  <c r="AQ66" i="20"/>
  <c r="AH66" i="20" s="1"/>
  <c r="CA66" i="20"/>
  <c r="AP73" i="20"/>
  <c r="AG73" i="20" s="1"/>
  <c r="BZ73" i="20"/>
  <c r="AT65" i="20"/>
  <c r="AK65" i="20" s="1"/>
  <c r="CD65" i="20"/>
  <c r="AC45" i="20"/>
  <c r="N78" i="20"/>
  <c r="CH77" i="20"/>
  <c r="M77" i="20"/>
  <c r="CG76" i="20"/>
  <c r="L77" i="20"/>
  <c r="CF76" i="20"/>
  <c r="CK65" i="20" l="1"/>
  <c r="S66" i="20"/>
  <c r="CM65" i="20"/>
  <c r="O74" i="20"/>
  <c r="CI73" i="20"/>
  <c r="CJ66" i="20"/>
  <c r="CE45" i="20"/>
  <c r="K46" i="20"/>
  <c r="P67" i="20"/>
  <c r="R66" i="20"/>
  <c r="CL65" i="20"/>
  <c r="Q66" i="20"/>
  <c r="AM77" i="20"/>
  <c r="AD77" i="20" s="1"/>
  <c r="BW77" i="20"/>
  <c r="AN77" i="20"/>
  <c r="AE77" i="20" s="1"/>
  <c r="M78" i="20" s="1"/>
  <c r="BX77" i="20"/>
  <c r="AO78" i="20"/>
  <c r="AF78" i="20" s="1"/>
  <c r="BY78" i="20"/>
  <c r="AQ67" i="20" l="1"/>
  <c r="AH67" i="20" s="1"/>
  <c r="CA67" i="20"/>
  <c r="AT66" i="20"/>
  <c r="AK66" i="20" s="1"/>
  <c r="CD66" i="20"/>
  <c r="AR66" i="20"/>
  <c r="AI66" i="20" s="1"/>
  <c r="CB66" i="20"/>
  <c r="AS66" i="20"/>
  <c r="AJ66" i="20" s="1"/>
  <c r="CC66" i="20"/>
  <c r="AL46" i="20"/>
  <c r="BV46" i="20"/>
  <c r="AP74" i="20"/>
  <c r="AG74" i="20" s="1"/>
  <c r="BZ74" i="20"/>
  <c r="CG77" i="20"/>
  <c r="AN78" i="20"/>
  <c r="AE78" i="20" s="1"/>
  <c r="BX78" i="20"/>
  <c r="L78" i="20"/>
  <c r="CF77" i="20"/>
  <c r="N79" i="20"/>
  <c r="CH78" i="20"/>
  <c r="P68" i="20" l="1"/>
  <c r="CJ67" i="20"/>
  <c r="R67" i="20"/>
  <c r="CL66" i="20"/>
  <c r="O75" i="20"/>
  <c r="CI74" i="20"/>
  <c r="S67" i="20"/>
  <c r="CM66" i="20"/>
  <c r="AC46" i="20"/>
  <c r="Q67" i="20"/>
  <c r="CK66" i="20"/>
  <c r="AM78" i="20"/>
  <c r="AD78" i="20" s="1"/>
  <c r="L79" i="20" s="1"/>
  <c r="BW78" i="20"/>
  <c r="AO79" i="20"/>
  <c r="AF79" i="20" s="1"/>
  <c r="BY79" i="20"/>
  <c r="M79" i="20"/>
  <c r="CG78" i="20"/>
  <c r="AT67" i="20" l="1"/>
  <c r="AK67" i="20" s="1"/>
  <c r="CD67" i="20"/>
  <c r="AP75" i="20"/>
  <c r="AG75" i="20" s="1"/>
  <c r="O76" i="20" s="1"/>
  <c r="BZ75" i="20"/>
  <c r="CE46" i="20"/>
  <c r="K47" i="20"/>
  <c r="AR67" i="20"/>
  <c r="AI67" i="20" s="1"/>
  <c r="CB67" i="20"/>
  <c r="AS67" i="20"/>
  <c r="AJ67" i="20" s="1"/>
  <c r="CC67" i="20"/>
  <c r="AQ68" i="20"/>
  <c r="AH68" i="20" s="1"/>
  <c r="CA68" i="20"/>
  <c r="CF78" i="20"/>
  <c r="AN79" i="20"/>
  <c r="AE79" i="20" s="1"/>
  <c r="BX79" i="20"/>
  <c r="AM79" i="20"/>
  <c r="AD79" i="20" s="1"/>
  <c r="BW79" i="20"/>
  <c r="N80" i="20"/>
  <c r="CH79" i="20"/>
  <c r="R68" i="20" l="1"/>
  <c r="CL67" i="20"/>
  <c r="CI75" i="20"/>
  <c r="CM67" i="20"/>
  <c r="AP76" i="20"/>
  <c r="AG76" i="20" s="1"/>
  <c r="BZ76" i="20"/>
  <c r="S68" i="20"/>
  <c r="AL47" i="20"/>
  <c r="BV47" i="20"/>
  <c r="P69" i="20"/>
  <c r="CJ68" i="20"/>
  <c r="Q68" i="20"/>
  <c r="CK67" i="20"/>
  <c r="AO80" i="20"/>
  <c r="AF80" i="20" s="1"/>
  <c r="N81" i="20" s="1"/>
  <c r="BY80" i="20"/>
  <c r="L80" i="20"/>
  <c r="CF79" i="20"/>
  <c r="M80" i="20"/>
  <c r="CG79" i="20"/>
  <c r="AC47" i="20" l="1"/>
  <c r="AT68" i="20"/>
  <c r="AK68" i="20" s="1"/>
  <c r="CD68" i="20"/>
  <c r="AR68" i="20"/>
  <c r="AI68" i="20" s="1"/>
  <c r="CB68" i="20"/>
  <c r="AQ69" i="20"/>
  <c r="AH69" i="20" s="1"/>
  <c r="CA69" i="20"/>
  <c r="O77" i="20"/>
  <c r="CI76" i="20"/>
  <c r="AS68" i="20"/>
  <c r="AJ68" i="20" s="1"/>
  <c r="CC68" i="20"/>
  <c r="CH80" i="20"/>
  <c r="AN80" i="20"/>
  <c r="AE80" i="20" s="1"/>
  <c r="BX80" i="20"/>
  <c r="AO81" i="20"/>
  <c r="AF81" i="20" s="1"/>
  <c r="BY81" i="20"/>
  <c r="AM80" i="20"/>
  <c r="AD80" i="20" s="1"/>
  <c r="BW80" i="20"/>
  <c r="R69" i="20" l="1"/>
  <c r="S69" i="20"/>
  <c r="CM68" i="20"/>
  <c r="P70" i="20"/>
  <c r="CJ69" i="20"/>
  <c r="AP77" i="20"/>
  <c r="AG77" i="20" s="1"/>
  <c r="BZ77" i="20"/>
  <c r="Q69" i="20"/>
  <c r="CK68" i="20"/>
  <c r="K48" i="20"/>
  <c r="CE47" i="20"/>
  <c r="CL68" i="20"/>
  <c r="N82" i="20"/>
  <c r="CH81" i="20"/>
  <c r="L81" i="20"/>
  <c r="CF80" i="20"/>
  <c r="M81" i="20"/>
  <c r="CG80" i="20"/>
  <c r="O78" i="20" l="1"/>
  <c r="CI77" i="20"/>
  <c r="AQ70" i="20"/>
  <c r="AH70" i="20" s="1"/>
  <c r="CA70" i="20"/>
  <c r="AS69" i="20"/>
  <c r="AJ69" i="20" s="1"/>
  <c r="CC69" i="20"/>
  <c r="AL48" i="20"/>
  <c r="BV48" i="20"/>
  <c r="AR69" i="20"/>
  <c r="AI69" i="20" s="1"/>
  <c r="CB69" i="20"/>
  <c r="AT69" i="20"/>
  <c r="AK69" i="20" s="1"/>
  <c r="CD69" i="20"/>
  <c r="AN81" i="20"/>
  <c r="AE81" i="20" s="1"/>
  <c r="M82" i="20" s="1"/>
  <c r="BX81" i="20"/>
  <c r="AO82" i="20"/>
  <c r="AF82" i="20" s="1"/>
  <c r="BY82" i="20"/>
  <c r="AM81" i="20"/>
  <c r="AD81" i="20" s="1"/>
  <c r="BW81" i="20"/>
  <c r="CJ70" i="20" l="1"/>
  <c r="CK69" i="20"/>
  <c r="AC48" i="20"/>
  <c r="R70" i="20"/>
  <c r="CL69" i="20"/>
  <c r="P71" i="20"/>
  <c r="S70" i="20"/>
  <c r="CM69" i="20"/>
  <c r="Q70" i="20"/>
  <c r="AP78" i="20"/>
  <c r="AG78" i="20" s="1"/>
  <c r="BZ78" i="20"/>
  <c r="CG81" i="20"/>
  <c r="N83" i="20"/>
  <c r="CH82" i="20"/>
  <c r="L82" i="20"/>
  <c r="CF81" i="20"/>
  <c r="AN82" i="20"/>
  <c r="AE82" i="20" s="1"/>
  <c r="BX82" i="20"/>
  <c r="AT70" i="20" l="1"/>
  <c r="AK70" i="20" s="1"/>
  <c r="CD70" i="20"/>
  <c r="AS70" i="20"/>
  <c r="AJ70" i="20" s="1"/>
  <c r="CC70" i="20"/>
  <c r="O79" i="20"/>
  <c r="CI78" i="20"/>
  <c r="AR70" i="20"/>
  <c r="AI70" i="20" s="1"/>
  <c r="CB70" i="20"/>
  <c r="AQ71" i="20"/>
  <c r="AH71" i="20" s="1"/>
  <c r="CA71" i="20"/>
  <c r="CE48" i="20"/>
  <c r="K49" i="20"/>
  <c r="M83" i="20"/>
  <c r="CG82" i="20"/>
  <c r="AM82" i="20"/>
  <c r="AD82" i="20" s="1"/>
  <c r="L83" i="20" s="1"/>
  <c r="BW82" i="20"/>
  <c r="AO83" i="20"/>
  <c r="AF83" i="20" s="1"/>
  <c r="BY83" i="20"/>
  <c r="AL49" i="20" l="1"/>
  <c r="BV49" i="20"/>
  <c r="Q71" i="20"/>
  <c r="CK70" i="20"/>
  <c r="R71" i="20"/>
  <c r="CL70" i="20"/>
  <c r="P72" i="20"/>
  <c r="CJ71" i="20"/>
  <c r="CF82" i="20"/>
  <c r="AP79" i="20"/>
  <c r="AG79" i="20" s="1"/>
  <c r="O80" i="20" s="1"/>
  <c r="BZ79" i="20"/>
  <c r="S71" i="20"/>
  <c r="CM70" i="20"/>
  <c r="AN83" i="20"/>
  <c r="AE83" i="20" s="1"/>
  <c r="BX83" i="20"/>
  <c r="N84" i="20"/>
  <c r="CH83" i="20"/>
  <c r="AM83" i="20"/>
  <c r="AD83" i="20" s="1"/>
  <c r="BW83" i="20"/>
  <c r="CI79" i="20" l="1"/>
  <c r="AP80" i="20"/>
  <c r="AG80" i="20" s="1"/>
  <c r="BZ80" i="20"/>
  <c r="AS71" i="20"/>
  <c r="AJ71" i="20" s="1"/>
  <c r="CC71" i="20"/>
  <c r="AR71" i="20"/>
  <c r="AI71" i="20" s="1"/>
  <c r="CB71" i="20"/>
  <c r="AQ72" i="20"/>
  <c r="AH72" i="20" s="1"/>
  <c r="CA72" i="20"/>
  <c r="AT71" i="20"/>
  <c r="AK71" i="20" s="1"/>
  <c r="CD71" i="20"/>
  <c r="AC49" i="20"/>
  <c r="AO84" i="20"/>
  <c r="AF84" i="20" s="1"/>
  <c r="N85" i="20" s="1"/>
  <c r="BY84" i="20"/>
  <c r="L84" i="20"/>
  <c r="CF83" i="20"/>
  <c r="M84" i="20"/>
  <c r="CG83" i="20"/>
  <c r="CM71" i="20" l="1"/>
  <c r="O81" i="20"/>
  <c r="CI80" i="20"/>
  <c r="S72" i="20"/>
  <c r="Q72" i="20"/>
  <c r="CK71" i="20"/>
  <c r="P73" i="20"/>
  <c r="CJ72" i="20"/>
  <c r="R72" i="20"/>
  <c r="CL71" i="20"/>
  <c r="CE49" i="20"/>
  <c r="K50" i="20"/>
  <c r="AO85" i="20"/>
  <c r="AF85" i="20" s="1"/>
  <c r="BY85" i="20"/>
  <c r="AM84" i="20"/>
  <c r="AD84" i="20" s="1"/>
  <c r="BW84" i="20"/>
  <c r="AN84" i="20"/>
  <c r="AE84" i="20" s="1"/>
  <c r="BX84" i="20"/>
  <c r="CH84" i="20"/>
  <c r="AS72" i="20" l="1"/>
  <c r="AJ72" i="20" s="1"/>
  <c r="CC72" i="20"/>
  <c r="AQ73" i="20"/>
  <c r="AH73" i="20" s="1"/>
  <c r="CA73" i="20"/>
  <c r="AT72" i="20"/>
  <c r="AK72" i="20" s="1"/>
  <c r="CD72" i="20"/>
  <c r="AP81" i="20"/>
  <c r="AG81" i="20" s="1"/>
  <c r="BZ81" i="20"/>
  <c r="AL50" i="20"/>
  <c r="BV50" i="20"/>
  <c r="AR72" i="20"/>
  <c r="AI72" i="20" s="1"/>
  <c r="CB72" i="20"/>
  <c r="L85" i="20"/>
  <c r="CF84" i="20"/>
  <c r="M85" i="20"/>
  <c r="CG84" i="20"/>
  <c r="N86" i="20"/>
  <c r="CH85" i="20"/>
  <c r="CL72" i="20" l="1"/>
  <c r="O82" i="20"/>
  <c r="CI81" i="20"/>
  <c r="R73" i="20"/>
  <c r="Q73" i="20"/>
  <c r="CK72" i="20"/>
  <c r="AC50" i="20"/>
  <c r="S73" i="20"/>
  <c r="CM72" i="20"/>
  <c r="P74" i="20"/>
  <c r="CJ73" i="20"/>
  <c r="AM85" i="20"/>
  <c r="AD85" i="20" s="1"/>
  <c r="BW85" i="20"/>
  <c r="AO86" i="20"/>
  <c r="AF86" i="20" s="1"/>
  <c r="BY86" i="20"/>
  <c r="AN85" i="20"/>
  <c r="AE85" i="20" s="1"/>
  <c r="M86" i="20" s="1"/>
  <c r="BX85" i="20"/>
  <c r="AQ74" i="20" l="1"/>
  <c r="AH74" i="20" s="1"/>
  <c r="CA74" i="20"/>
  <c r="CE50" i="20"/>
  <c r="K51" i="20"/>
  <c r="AS73" i="20"/>
  <c r="AJ73" i="20" s="1"/>
  <c r="CC73" i="20"/>
  <c r="AT73" i="20"/>
  <c r="AK73" i="20" s="1"/>
  <c r="CD73" i="20"/>
  <c r="AR73" i="20"/>
  <c r="AI73" i="20" s="1"/>
  <c r="CB73" i="20"/>
  <c r="AP82" i="20"/>
  <c r="AG82" i="20" s="1"/>
  <c r="BZ82" i="20"/>
  <c r="CG85" i="20"/>
  <c r="AN86" i="20"/>
  <c r="AE86" i="20" s="1"/>
  <c r="BX86" i="20"/>
  <c r="N87" i="20"/>
  <c r="CH86" i="20"/>
  <c r="L86" i="20"/>
  <c r="CF85" i="20"/>
  <c r="R74" i="20" l="1"/>
  <c r="CL73" i="20"/>
  <c r="P75" i="20"/>
  <c r="O83" i="20"/>
  <c r="CI82" i="20"/>
  <c r="AL51" i="20"/>
  <c r="BV51" i="20"/>
  <c r="S74" i="20"/>
  <c r="CM73" i="20"/>
  <c r="Q74" i="20"/>
  <c r="CK73" i="20"/>
  <c r="CJ74" i="20"/>
  <c r="AM86" i="20"/>
  <c r="AD86" i="20" s="1"/>
  <c r="L87" i="20" s="1"/>
  <c r="BW86" i="20"/>
  <c r="AO87" i="20"/>
  <c r="AF87" i="20" s="1"/>
  <c r="BY87" i="20"/>
  <c r="M87" i="20"/>
  <c r="CG86" i="20"/>
  <c r="AP83" i="20" l="1"/>
  <c r="AG83" i="20" s="1"/>
  <c r="O84" i="20" s="1"/>
  <c r="BZ83" i="20"/>
  <c r="AQ75" i="20"/>
  <c r="AH75" i="20" s="1"/>
  <c r="CA75" i="20"/>
  <c r="AS74" i="20"/>
  <c r="AJ74" i="20" s="1"/>
  <c r="CC74" i="20"/>
  <c r="AC51" i="20"/>
  <c r="AR74" i="20"/>
  <c r="AI74" i="20" s="1"/>
  <c r="CB74" i="20"/>
  <c r="AT74" i="20"/>
  <c r="AK74" i="20" s="1"/>
  <c r="CD74" i="20"/>
  <c r="CF86" i="20"/>
  <c r="AN87" i="20"/>
  <c r="AE87" i="20" s="1"/>
  <c r="BX87" i="20"/>
  <c r="AM87" i="20"/>
  <c r="AD87" i="20" s="1"/>
  <c r="BW87" i="20"/>
  <c r="N88" i="20"/>
  <c r="CH87" i="20"/>
  <c r="CI83" i="20" l="1"/>
  <c r="Q75" i="20"/>
  <c r="CK74" i="20"/>
  <c r="K52" i="20"/>
  <c r="CE51" i="20"/>
  <c r="P76" i="20"/>
  <c r="CJ75" i="20"/>
  <c r="S75" i="20"/>
  <c r="CM74" i="20"/>
  <c r="R75" i="20"/>
  <c r="CL74" i="20"/>
  <c r="AP84" i="20"/>
  <c r="AG84" i="20" s="1"/>
  <c r="BZ84" i="20"/>
  <c r="AO88" i="20"/>
  <c r="AF88" i="20" s="1"/>
  <c r="N89" i="20" s="1"/>
  <c r="BY88" i="20"/>
  <c r="L88" i="20"/>
  <c r="CF87" i="20"/>
  <c r="M88" i="20"/>
  <c r="CG87" i="20"/>
  <c r="BV52" i="20" l="1"/>
  <c r="AL52" i="20"/>
  <c r="AR75" i="20"/>
  <c r="AI75" i="20" s="1"/>
  <c r="CB75" i="20"/>
  <c r="O85" i="20"/>
  <c r="CI84" i="20"/>
  <c r="AS75" i="20"/>
  <c r="AJ75" i="20" s="1"/>
  <c r="CC75" i="20"/>
  <c r="AT75" i="20"/>
  <c r="AK75" i="20" s="1"/>
  <c r="CD75" i="20"/>
  <c r="AQ76" i="20"/>
  <c r="AH76" i="20" s="1"/>
  <c r="CA76" i="20"/>
  <c r="CH88" i="20"/>
  <c r="AO89" i="20"/>
  <c r="AF89" i="20" s="1"/>
  <c r="BY89" i="20"/>
  <c r="AN88" i="20"/>
  <c r="AE88" i="20" s="1"/>
  <c r="BX88" i="20"/>
  <c r="AM88" i="20"/>
  <c r="AD88" i="20" s="1"/>
  <c r="BW88" i="20"/>
  <c r="Q76" i="20" l="1"/>
  <c r="CK75" i="20"/>
  <c r="CM75" i="20"/>
  <c r="R76" i="20"/>
  <c r="CL75" i="20"/>
  <c r="AC52" i="20"/>
  <c r="P77" i="20"/>
  <c r="CJ76" i="20"/>
  <c r="S76" i="20"/>
  <c r="AP85" i="20"/>
  <c r="AG85" i="20" s="1"/>
  <c r="BZ85" i="20"/>
  <c r="M89" i="20"/>
  <c r="CG88" i="20"/>
  <c r="L89" i="20"/>
  <c r="CF88" i="20"/>
  <c r="N90" i="20"/>
  <c r="CH89" i="20"/>
  <c r="AT76" i="20" l="1"/>
  <c r="AK76" i="20" s="1"/>
  <c r="CD76" i="20"/>
  <c r="CE52" i="20"/>
  <c r="K53" i="20"/>
  <c r="AR76" i="20"/>
  <c r="AI76" i="20" s="1"/>
  <c r="CB76" i="20"/>
  <c r="AS76" i="20"/>
  <c r="AJ76" i="20" s="1"/>
  <c r="CC76" i="20"/>
  <c r="O86" i="20"/>
  <c r="CI85" i="20"/>
  <c r="AQ77" i="20"/>
  <c r="AH77" i="20" s="1"/>
  <c r="CA77" i="20"/>
  <c r="AO90" i="20"/>
  <c r="AF90" i="20" s="1"/>
  <c r="BY90" i="20"/>
  <c r="AN89" i="20"/>
  <c r="AE89" i="20" s="1"/>
  <c r="M90" i="20" s="1"/>
  <c r="BX89" i="20"/>
  <c r="AM89" i="20"/>
  <c r="AD89" i="20" s="1"/>
  <c r="BW89" i="20"/>
  <c r="S77" i="20" l="1"/>
  <c r="CM76" i="20"/>
  <c r="P78" i="20"/>
  <c r="CJ77" i="20"/>
  <c r="BV53" i="20"/>
  <c r="AL53" i="20"/>
  <c r="CL76" i="20"/>
  <c r="AP86" i="20"/>
  <c r="AG86" i="20" s="1"/>
  <c r="BZ86" i="20"/>
  <c r="R77" i="20"/>
  <c r="Q77" i="20"/>
  <c r="CK76" i="20"/>
  <c r="CG89" i="20"/>
  <c r="AN90" i="20"/>
  <c r="AE90" i="20" s="1"/>
  <c r="BX90" i="20"/>
  <c r="L90" i="20"/>
  <c r="CF89" i="20"/>
  <c r="N91" i="20"/>
  <c r="CH90" i="20"/>
  <c r="AQ78" i="20" l="1"/>
  <c r="AH78" i="20" s="1"/>
  <c r="CA78" i="20"/>
  <c r="AT77" i="20"/>
  <c r="AK77" i="20" s="1"/>
  <c r="CD77" i="20"/>
  <c r="AS77" i="20"/>
  <c r="AJ77" i="20" s="1"/>
  <c r="CC77" i="20"/>
  <c r="AR77" i="20"/>
  <c r="AI77" i="20" s="1"/>
  <c r="CB77" i="20"/>
  <c r="O87" i="20"/>
  <c r="CI86" i="20"/>
  <c r="AC53" i="20"/>
  <c r="AO91" i="20"/>
  <c r="AF91" i="20" s="1"/>
  <c r="BY91" i="20"/>
  <c r="AM90" i="20"/>
  <c r="AD90" i="20" s="1"/>
  <c r="L91" i="20" s="1"/>
  <c r="BW90" i="20"/>
  <c r="M91" i="20"/>
  <c r="CG90" i="20"/>
  <c r="CF90" i="20" l="1"/>
  <c r="AP87" i="20"/>
  <c r="AG87" i="20" s="1"/>
  <c r="O88" i="20" s="1"/>
  <c r="BZ87" i="20"/>
  <c r="R78" i="20"/>
  <c r="CL77" i="20"/>
  <c r="CE53" i="20"/>
  <c r="K54" i="20"/>
  <c r="CJ78" i="20"/>
  <c r="Q78" i="20"/>
  <c r="P79" i="20"/>
  <c r="S78" i="20"/>
  <c r="CM77" i="20"/>
  <c r="CK77" i="20"/>
  <c r="AM91" i="20"/>
  <c r="AD91" i="20" s="1"/>
  <c r="BW91" i="20"/>
  <c r="AN91" i="20"/>
  <c r="AE91" i="20" s="1"/>
  <c r="BX91" i="20"/>
  <c r="N92" i="20"/>
  <c r="CH91" i="20"/>
  <c r="AQ79" i="20" l="1"/>
  <c r="AH79" i="20" s="1"/>
  <c r="CA79" i="20"/>
  <c r="BV54" i="20"/>
  <c r="AL54" i="20"/>
  <c r="AP88" i="20"/>
  <c r="AG88" i="20" s="1"/>
  <c r="BZ88" i="20"/>
  <c r="AT78" i="20"/>
  <c r="AK78" i="20" s="1"/>
  <c r="CD78" i="20"/>
  <c r="AR78" i="20"/>
  <c r="AI78" i="20" s="1"/>
  <c r="CB78" i="20"/>
  <c r="AS78" i="20"/>
  <c r="AJ78" i="20" s="1"/>
  <c r="CC78" i="20"/>
  <c r="CI87" i="20"/>
  <c r="AO92" i="20"/>
  <c r="AF92" i="20" s="1"/>
  <c r="N93" i="20" s="1"/>
  <c r="BY92" i="20"/>
  <c r="M92" i="20"/>
  <c r="CG91" i="20"/>
  <c r="L92" i="20"/>
  <c r="CF91" i="20"/>
  <c r="AC54" i="20" l="1"/>
  <c r="Q79" i="20"/>
  <c r="CK78" i="20"/>
  <c r="P80" i="20"/>
  <c r="CJ79" i="20"/>
  <c r="O89" i="20"/>
  <c r="CI88" i="20"/>
  <c r="R79" i="20"/>
  <c r="CL78" i="20"/>
  <c r="S79" i="20"/>
  <c r="CM78" i="20"/>
  <c r="AM92" i="20"/>
  <c r="AD92" i="20" s="1"/>
  <c r="BW92" i="20"/>
  <c r="AN92" i="20"/>
  <c r="AE92" i="20" s="1"/>
  <c r="BX92" i="20"/>
  <c r="CH92" i="20"/>
  <c r="AO93" i="20"/>
  <c r="AF93" i="20" s="1"/>
  <c r="BY93" i="20"/>
  <c r="AT79" i="20" l="1"/>
  <c r="AK79" i="20" s="1"/>
  <c r="CD79" i="20"/>
  <c r="AS79" i="20"/>
  <c r="AJ79" i="20" s="1"/>
  <c r="CC79" i="20"/>
  <c r="CE54" i="20"/>
  <c r="K55" i="20"/>
  <c r="AQ80" i="20"/>
  <c r="AH80" i="20" s="1"/>
  <c r="CA80" i="20"/>
  <c r="AP89" i="20"/>
  <c r="AG89" i="20" s="1"/>
  <c r="BZ89" i="20"/>
  <c r="AR79" i="20"/>
  <c r="AI79" i="20" s="1"/>
  <c r="CB79" i="20"/>
  <c r="M93" i="20"/>
  <c r="CG92" i="20"/>
  <c r="N94" i="20"/>
  <c r="CH93" i="20"/>
  <c r="L93" i="20"/>
  <c r="CF92" i="20"/>
  <c r="CM79" i="20" l="1"/>
  <c r="Q80" i="20"/>
  <c r="CK79" i="20"/>
  <c r="O90" i="20"/>
  <c r="CI89" i="20"/>
  <c r="P81" i="20"/>
  <c r="CJ80" i="20"/>
  <c r="R80" i="20"/>
  <c r="CL79" i="20"/>
  <c r="AL55" i="20"/>
  <c r="BV55" i="20"/>
  <c r="S80" i="20"/>
  <c r="AM93" i="20"/>
  <c r="AD93" i="20" s="1"/>
  <c r="BW93" i="20"/>
  <c r="AO94" i="20"/>
  <c r="AF94" i="20" s="1"/>
  <c r="BY94" i="20"/>
  <c r="AN93" i="20"/>
  <c r="AE93" i="20" s="1"/>
  <c r="M94" i="20" s="1"/>
  <c r="BX93" i="20"/>
  <c r="AQ81" i="20" l="1"/>
  <c r="AH81" i="20" s="1"/>
  <c r="CA81" i="20"/>
  <c r="AP90" i="20"/>
  <c r="AG90" i="20" s="1"/>
  <c r="BZ90" i="20"/>
  <c r="AR80" i="20"/>
  <c r="AI80" i="20" s="1"/>
  <c r="CB80" i="20"/>
  <c r="AT80" i="20"/>
  <c r="AK80" i="20" s="1"/>
  <c r="CD80" i="20"/>
  <c r="AS80" i="20"/>
  <c r="AJ80" i="20" s="1"/>
  <c r="CC80" i="20"/>
  <c r="AC55" i="20"/>
  <c r="CG93" i="20"/>
  <c r="L94" i="20"/>
  <c r="CF93" i="20"/>
  <c r="AN94" i="20"/>
  <c r="AE94" i="20" s="1"/>
  <c r="BX94" i="20"/>
  <c r="N95" i="20"/>
  <c r="CH94" i="20"/>
  <c r="S81" i="20" l="1"/>
  <c r="CM80" i="20"/>
  <c r="Q81" i="20"/>
  <c r="CK80" i="20"/>
  <c r="K56" i="20"/>
  <c r="CE55" i="20"/>
  <c r="CL80" i="20"/>
  <c r="R81" i="20"/>
  <c r="O91" i="20"/>
  <c r="CI90" i="20"/>
  <c r="P82" i="20"/>
  <c r="CJ81" i="20"/>
  <c r="M95" i="20"/>
  <c r="CG94" i="20"/>
  <c r="AO95" i="20"/>
  <c r="AF95" i="20" s="1"/>
  <c r="BY95" i="20"/>
  <c r="AM94" i="20"/>
  <c r="AD94" i="20" s="1"/>
  <c r="L95" i="20" s="1"/>
  <c r="BW94" i="20"/>
  <c r="AP91" i="20" l="1"/>
  <c r="AG91" i="20" s="1"/>
  <c r="O92" i="20" s="1"/>
  <c r="BZ91" i="20"/>
  <c r="AT81" i="20"/>
  <c r="AK81" i="20" s="1"/>
  <c r="CD81" i="20"/>
  <c r="AQ82" i="20"/>
  <c r="AH82" i="20" s="1"/>
  <c r="CA82" i="20"/>
  <c r="AR81" i="20"/>
  <c r="AI81" i="20" s="1"/>
  <c r="CB81" i="20"/>
  <c r="AS81" i="20"/>
  <c r="AJ81" i="20" s="1"/>
  <c r="CC81" i="20"/>
  <c r="AL56" i="20"/>
  <c r="BV56" i="20"/>
  <c r="CF94" i="20"/>
  <c r="AM95" i="20"/>
  <c r="AD95" i="20" s="1"/>
  <c r="BW95" i="20"/>
  <c r="N96" i="20"/>
  <c r="CH95" i="20"/>
  <c r="AN95" i="20"/>
  <c r="AE95" i="20" s="1"/>
  <c r="BX95" i="20"/>
  <c r="CK81" i="20" l="1"/>
  <c r="CI91" i="20"/>
  <c r="P83" i="20"/>
  <c r="AP92" i="20"/>
  <c r="AG92" i="20" s="1"/>
  <c r="BZ92" i="20"/>
  <c r="R82" i="20"/>
  <c r="CL81" i="20"/>
  <c r="AC56" i="20"/>
  <c r="Q82" i="20"/>
  <c r="CJ82" i="20"/>
  <c r="S82" i="20"/>
  <c r="CM81" i="20"/>
  <c r="L96" i="20"/>
  <c r="CF95" i="20"/>
  <c r="M96" i="20"/>
  <c r="CG95" i="20"/>
  <c r="AO96" i="20"/>
  <c r="AF96" i="20" s="1"/>
  <c r="N97" i="20" s="1"/>
  <c r="BY96" i="20"/>
  <c r="AR82" i="20" l="1"/>
  <c r="AI82" i="20" s="1"/>
  <c r="CB82" i="20"/>
  <c r="CE56" i="20"/>
  <c r="K57" i="20"/>
  <c r="AS82" i="20"/>
  <c r="AJ82" i="20" s="1"/>
  <c r="CC82" i="20"/>
  <c r="O93" i="20"/>
  <c r="CI92" i="20"/>
  <c r="AT82" i="20"/>
  <c r="AK82" i="20" s="1"/>
  <c r="CD82" i="20"/>
  <c r="AQ83" i="20"/>
  <c r="AH83" i="20" s="1"/>
  <c r="CA83" i="20"/>
  <c r="CH96" i="20"/>
  <c r="AN96" i="20"/>
  <c r="AE96" i="20" s="1"/>
  <c r="BX96" i="20"/>
  <c r="AO97" i="20"/>
  <c r="AF97" i="20" s="1"/>
  <c r="BY97" i="20"/>
  <c r="AM96" i="20"/>
  <c r="AD96" i="20" s="1"/>
  <c r="BW96" i="20"/>
  <c r="BV57" i="20" l="1"/>
  <c r="AL57" i="20"/>
  <c r="P84" i="20"/>
  <c r="CJ83" i="20"/>
  <c r="AP93" i="20"/>
  <c r="AG93" i="20" s="1"/>
  <c r="BZ93" i="20"/>
  <c r="S83" i="20"/>
  <c r="CM82" i="20"/>
  <c r="Q83" i="20"/>
  <c r="CK82" i="20"/>
  <c r="R83" i="20"/>
  <c r="CL82" i="20"/>
  <c r="L97" i="20"/>
  <c r="CF96" i="20"/>
  <c r="N98" i="20"/>
  <c r="CH97" i="20"/>
  <c r="M97" i="20"/>
  <c r="CG96" i="20"/>
  <c r="AS83" i="20" l="1"/>
  <c r="AJ83" i="20" s="1"/>
  <c r="CC83" i="20"/>
  <c r="AT83" i="20"/>
  <c r="AK83" i="20" s="1"/>
  <c r="CD83" i="20"/>
  <c r="AR83" i="20"/>
  <c r="AI83" i="20" s="1"/>
  <c r="CB83" i="20"/>
  <c r="AC57" i="20"/>
  <c r="O94" i="20"/>
  <c r="CI93" i="20"/>
  <c r="AQ84" i="20"/>
  <c r="AH84" i="20" s="1"/>
  <c r="CA84" i="20"/>
  <c r="AO98" i="20"/>
  <c r="AF98" i="20" s="1"/>
  <c r="BY98" i="20"/>
  <c r="AN97" i="20"/>
  <c r="AE97" i="20" s="1"/>
  <c r="M98" i="20" s="1"/>
  <c r="BX97" i="20"/>
  <c r="AM97" i="20"/>
  <c r="AD97" i="20" s="1"/>
  <c r="BW97" i="20"/>
  <c r="CM83" i="20" l="1"/>
  <c r="CE57" i="20"/>
  <c r="K58" i="20"/>
  <c r="R84" i="20"/>
  <c r="CL83" i="20"/>
  <c r="P85" i="20"/>
  <c r="CJ84" i="20"/>
  <c r="AP94" i="20"/>
  <c r="AG94" i="20" s="1"/>
  <c r="BZ94" i="20"/>
  <c r="Q84" i="20"/>
  <c r="CK83" i="20"/>
  <c r="S84" i="20"/>
  <c r="CG97" i="20"/>
  <c r="L98" i="20"/>
  <c r="CF97" i="20"/>
  <c r="AN98" i="20"/>
  <c r="AE98" i="20" s="1"/>
  <c r="BX98" i="20"/>
  <c r="N99" i="20"/>
  <c r="CH98" i="20"/>
  <c r="AS84" i="20" l="1"/>
  <c r="AJ84" i="20" s="1"/>
  <c r="CC84" i="20"/>
  <c r="AT84" i="20"/>
  <c r="AK84" i="20" s="1"/>
  <c r="CD84" i="20"/>
  <c r="AR84" i="20"/>
  <c r="AI84" i="20" s="1"/>
  <c r="CB84" i="20"/>
  <c r="O95" i="20"/>
  <c r="CI94" i="20"/>
  <c r="AQ85" i="20"/>
  <c r="AH85" i="20" s="1"/>
  <c r="CA85" i="20"/>
  <c r="AL58" i="20"/>
  <c r="BV58" i="20"/>
  <c r="AO99" i="20"/>
  <c r="AF99" i="20" s="1"/>
  <c r="BY99" i="20"/>
  <c r="M99" i="20"/>
  <c r="CG98" i="20"/>
  <c r="AM98" i="20"/>
  <c r="AD98" i="20" s="1"/>
  <c r="L99" i="20" s="1"/>
  <c r="BW98" i="20"/>
  <c r="CL84" i="20" l="1"/>
  <c r="AP95" i="20"/>
  <c r="AG95" i="20" s="1"/>
  <c r="O96" i="20" s="1"/>
  <c r="BZ95" i="20"/>
  <c r="S85" i="20"/>
  <c r="CM84" i="20"/>
  <c r="R85" i="20"/>
  <c r="AC58" i="20"/>
  <c r="P86" i="20"/>
  <c r="CJ85" i="20"/>
  <c r="Q85" i="20"/>
  <c r="CK84" i="20"/>
  <c r="CF98" i="20"/>
  <c r="AM99" i="20"/>
  <c r="AD99" i="20" s="1"/>
  <c r="BW99" i="20"/>
  <c r="AN99" i="20"/>
  <c r="AE99" i="20" s="1"/>
  <c r="BX99" i="20"/>
  <c r="N100" i="20"/>
  <c r="CH99" i="20"/>
  <c r="AP96" i="20" l="1"/>
  <c r="AG96" i="20" s="1"/>
  <c r="BZ96" i="20"/>
  <c r="AS85" i="20"/>
  <c r="AJ85" i="20" s="1"/>
  <c r="CC85" i="20"/>
  <c r="AR85" i="20"/>
  <c r="AI85" i="20" s="1"/>
  <c r="CB85" i="20"/>
  <c r="AQ86" i="20"/>
  <c r="AH86" i="20" s="1"/>
  <c r="CA86" i="20"/>
  <c r="AT85" i="20"/>
  <c r="AK85" i="20" s="1"/>
  <c r="CD85" i="20"/>
  <c r="CE58" i="20"/>
  <c r="K59" i="20"/>
  <c r="CI95" i="20"/>
  <c r="M100" i="20"/>
  <c r="CG99" i="20"/>
  <c r="AO100" i="20"/>
  <c r="AF100" i="20" s="1"/>
  <c r="N101" i="20" s="1"/>
  <c r="BY100" i="20"/>
  <c r="L100" i="20"/>
  <c r="CF99" i="20"/>
  <c r="CK85" i="20" l="1"/>
  <c r="CJ86" i="20"/>
  <c r="S86" i="20"/>
  <c r="CM85" i="20"/>
  <c r="P87" i="20"/>
  <c r="R86" i="20"/>
  <c r="CL85" i="20"/>
  <c r="O97" i="20"/>
  <c r="CI96" i="20"/>
  <c r="AL59" i="20"/>
  <c r="BV59" i="20"/>
  <c r="Q86" i="20"/>
  <c r="CH100" i="20"/>
  <c r="AM100" i="20"/>
  <c r="AD100" i="20" s="1"/>
  <c r="BW100" i="20"/>
  <c r="AO101" i="20"/>
  <c r="AF101" i="20" s="1"/>
  <c r="BY101" i="20"/>
  <c r="AN100" i="20"/>
  <c r="AE100" i="20" s="1"/>
  <c r="BX100" i="20"/>
  <c r="AR86" i="20" l="1"/>
  <c r="AI86" i="20" s="1"/>
  <c r="CB86" i="20"/>
  <c r="AQ87" i="20"/>
  <c r="AH87" i="20" s="1"/>
  <c r="CA87" i="20"/>
  <c r="AS86" i="20"/>
  <c r="AJ86" i="20" s="1"/>
  <c r="CC86" i="20"/>
  <c r="AC59" i="20"/>
  <c r="AP97" i="20"/>
  <c r="AG97" i="20" s="1"/>
  <c r="BZ97" i="20"/>
  <c r="AT86" i="20"/>
  <c r="AK86" i="20" s="1"/>
  <c r="CD86" i="20"/>
  <c r="L101" i="20"/>
  <c r="CF100" i="20"/>
  <c r="N102" i="20"/>
  <c r="CH101" i="20"/>
  <c r="M101" i="20"/>
  <c r="CG100" i="20"/>
  <c r="Q87" i="20" l="1"/>
  <c r="CK86" i="20"/>
  <c r="S87" i="20"/>
  <c r="CM86" i="20"/>
  <c r="P88" i="20"/>
  <c r="CJ87" i="20"/>
  <c r="K60" i="20"/>
  <c r="CE59" i="20"/>
  <c r="R87" i="20"/>
  <c r="CL86" i="20"/>
  <c r="O98" i="20"/>
  <c r="CI97" i="20"/>
  <c r="AO102" i="20"/>
  <c r="AF102" i="20" s="1"/>
  <c r="BY102" i="20"/>
  <c r="AN101" i="20"/>
  <c r="AE101" i="20" s="1"/>
  <c r="M102" i="20" s="1"/>
  <c r="BX101" i="20"/>
  <c r="AM101" i="20"/>
  <c r="AD101" i="20" s="1"/>
  <c r="BW101" i="20"/>
  <c r="AQ88" i="20" l="1"/>
  <c r="AH88" i="20" s="1"/>
  <c r="CA88" i="20"/>
  <c r="AP98" i="20"/>
  <c r="AG98" i="20" s="1"/>
  <c r="BZ98" i="20"/>
  <c r="AL60" i="20"/>
  <c r="BV60" i="20"/>
  <c r="AS87" i="20"/>
  <c r="AJ87" i="20" s="1"/>
  <c r="CC87" i="20"/>
  <c r="AR87" i="20"/>
  <c r="AI87" i="20" s="1"/>
  <c r="CB87" i="20"/>
  <c r="AT87" i="20"/>
  <c r="AK87" i="20" s="1"/>
  <c r="CD87" i="20"/>
  <c r="L102" i="20"/>
  <c r="CF101" i="20"/>
  <c r="N103" i="20"/>
  <c r="CH102" i="20"/>
  <c r="CG101" i="20"/>
  <c r="AN102" i="20"/>
  <c r="AE102" i="20" s="1"/>
  <c r="BX102" i="20"/>
  <c r="CM87" i="20" l="1"/>
  <c r="R88" i="20"/>
  <c r="CL87" i="20"/>
  <c r="O99" i="20"/>
  <c r="CI98" i="20"/>
  <c r="Q88" i="20"/>
  <c r="CK87" i="20"/>
  <c r="P89" i="20"/>
  <c r="CJ88" i="20"/>
  <c r="S88" i="20"/>
  <c r="AC60" i="20"/>
  <c r="AO103" i="20"/>
  <c r="AF103" i="20" s="1"/>
  <c r="BY103" i="20"/>
  <c r="M103" i="20"/>
  <c r="CG102" i="20"/>
  <c r="AM102" i="20"/>
  <c r="AD102" i="20" s="1"/>
  <c r="L103" i="20" s="1"/>
  <c r="BW102" i="20"/>
  <c r="AQ89" i="20" l="1"/>
  <c r="AH89" i="20" s="1"/>
  <c r="CA89" i="20"/>
  <c r="AT88" i="20"/>
  <c r="AK88" i="20" s="1"/>
  <c r="CD88" i="20"/>
  <c r="CE60" i="20"/>
  <c r="K61" i="20"/>
  <c r="AR88" i="20"/>
  <c r="AI88" i="20" s="1"/>
  <c r="CB88" i="20"/>
  <c r="AP99" i="20"/>
  <c r="AG99" i="20" s="1"/>
  <c r="O100" i="20" s="1"/>
  <c r="BZ99" i="20"/>
  <c r="AS88" i="20"/>
  <c r="AJ88" i="20" s="1"/>
  <c r="CC88" i="20"/>
  <c r="AM103" i="20"/>
  <c r="AD103" i="20" s="1"/>
  <c r="BW103" i="20"/>
  <c r="N104" i="20"/>
  <c r="CH103" i="20"/>
  <c r="CF102" i="20"/>
  <c r="AN103" i="20"/>
  <c r="AE103" i="20" s="1"/>
  <c r="BX103" i="20"/>
  <c r="P90" i="20" l="1"/>
  <c r="CJ89" i="20"/>
  <c r="CI99" i="20"/>
  <c r="AL61" i="20"/>
  <c r="BV61" i="20"/>
  <c r="R89" i="20"/>
  <c r="AP100" i="20"/>
  <c r="AG100" i="20" s="1"/>
  <c r="BZ100" i="20"/>
  <c r="Q89" i="20"/>
  <c r="CK88" i="20"/>
  <c r="S89" i="20"/>
  <c r="CM88" i="20"/>
  <c r="CL88" i="20"/>
  <c r="M104" i="20"/>
  <c r="CG103" i="20"/>
  <c r="L104" i="20"/>
  <c r="CF103" i="20"/>
  <c r="AO104" i="20"/>
  <c r="AF104" i="20" s="1"/>
  <c r="N105" i="20" s="1"/>
  <c r="BY104" i="20"/>
  <c r="AT89" i="20" l="1"/>
  <c r="AK89" i="20" s="1"/>
  <c r="CD89" i="20"/>
  <c r="AR89" i="20"/>
  <c r="AI89" i="20" s="1"/>
  <c r="CB89" i="20"/>
  <c r="AC61" i="20"/>
  <c r="O101" i="20"/>
  <c r="CI100" i="20"/>
  <c r="AS89" i="20"/>
  <c r="AJ89" i="20" s="1"/>
  <c r="CC89" i="20"/>
  <c r="AQ90" i="20"/>
  <c r="AH90" i="20" s="1"/>
  <c r="CA90" i="20"/>
  <c r="AM104" i="20"/>
  <c r="AD104" i="20" s="1"/>
  <c r="BW104" i="20"/>
  <c r="CH104" i="20"/>
  <c r="AO105" i="20"/>
  <c r="AF105" i="20" s="1"/>
  <c r="BY105" i="20"/>
  <c r="AN104" i="20"/>
  <c r="AE104" i="20" s="1"/>
  <c r="BX104" i="20"/>
  <c r="CJ90" i="20" l="1"/>
  <c r="CK89" i="20"/>
  <c r="R90" i="20"/>
  <c r="CL89" i="20"/>
  <c r="Q90" i="20"/>
  <c r="P91" i="20"/>
  <c r="CE61" i="20"/>
  <c r="K62" i="20"/>
  <c r="AP101" i="20"/>
  <c r="AG101" i="20" s="1"/>
  <c r="BZ101" i="20"/>
  <c r="S90" i="20"/>
  <c r="CM89" i="20"/>
  <c r="L105" i="20"/>
  <c r="CF104" i="20"/>
  <c r="N106" i="20"/>
  <c r="CH105" i="20"/>
  <c r="M105" i="20"/>
  <c r="CG104" i="20"/>
  <c r="AQ91" i="20" l="1"/>
  <c r="AH91" i="20" s="1"/>
  <c r="CA91" i="20"/>
  <c r="O102" i="20"/>
  <c r="CI101" i="20"/>
  <c r="AT90" i="20"/>
  <c r="AK90" i="20" s="1"/>
  <c r="CD90" i="20"/>
  <c r="AL62" i="20"/>
  <c r="BV62" i="20"/>
  <c r="AR90" i="20"/>
  <c r="AI90" i="20" s="1"/>
  <c r="CB90" i="20"/>
  <c r="AS90" i="20"/>
  <c r="AJ90" i="20" s="1"/>
  <c r="CC90" i="20"/>
  <c r="AO106" i="20"/>
  <c r="AF106" i="20" s="1"/>
  <c r="BY106" i="20"/>
  <c r="AN105" i="20"/>
  <c r="AE105" i="20" s="1"/>
  <c r="M106" i="20" s="1"/>
  <c r="BX105" i="20"/>
  <c r="AM105" i="20"/>
  <c r="AD105" i="20" s="1"/>
  <c r="BW105" i="20"/>
  <c r="R91" i="20" l="1"/>
  <c r="CL90" i="20"/>
  <c r="AP102" i="20"/>
  <c r="AG102" i="20" s="1"/>
  <c r="BZ102" i="20"/>
  <c r="P92" i="20"/>
  <c r="CJ91" i="20"/>
  <c r="Q91" i="20"/>
  <c r="CK90" i="20"/>
  <c r="S91" i="20"/>
  <c r="CM90" i="20"/>
  <c r="AC62" i="20"/>
  <c r="CG105" i="20"/>
  <c r="L106" i="20"/>
  <c r="CF105" i="20"/>
  <c r="AN106" i="20"/>
  <c r="AE106" i="20" s="1"/>
  <c r="BX106" i="20"/>
  <c r="N107" i="20"/>
  <c r="CH106" i="20"/>
  <c r="O103" i="20" l="1"/>
  <c r="CI102" i="20"/>
  <c r="AS91" i="20"/>
  <c r="AJ91" i="20" s="1"/>
  <c r="CC91" i="20"/>
  <c r="AQ92" i="20"/>
  <c r="AH92" i="20" s="1"/>
  <c r="CA92" i="20"/>
  <c r="CE62" i="20"/>
  <c r="K63" i="20"/>
  <c r="AT91" i="20"/>
  <c r="AK91" i="20" s="1"/>
  <c r="CD91" i="20"/>
  <c r="AR91" i="20"/>
  <c r="AI91" i="20" s="1"/>
  <c r="CB91" i="20"/>
  <c r="AM106" i="20"/>
  <c r="AD106" i="20" s="1"/>
  <c r="L107" i="20" s="1"/>
  <c r="BW106" i="20"/>
  <c r="M107" i="20"/>
  <c r="CG106" i="20"/>
  <c r="AO107" i="20"/>
  <c r="AF107" i="20" s="1"/>
  <c r="BY107" i="20"/>
  <c r="CM91" i="20" l="1"/>
  <c r="Q92" i="20"/>
  <c r="CK91" i="20"/>
  <c r="R92" i="20"/>
  <c r="CL91" i="20"/>
  <c r="S92" i="20"/>
  <c r="AL63" i="20"/>
  <c r="BV63" i="20"/>
  <c r="P93" i="20"/>
  <c r="CJ92" i="20"/>
  <c r="AP103" i="20"/>
  <c r="AG103" i="20" s="1"/>
  <c r="O104" i="20" s="1"/>
  <c r="BZ103" i="20"/>
  <c r="AN107" i="20"/>
  <c r="AE107" i="20" s="1"/>
  <c r="BX107" i="20"/>
  <c r="CF106" i="20"/>
  <c r="N108" i="20"/>
  <c r="CH107" i="20"/>
  <c r="AM107" i="20"/>
  <c r="AD107" i="20" s="1"/>
  <c r="BW107" i="20"/>
  <c r="AT92" i="20" l="1"/>
  <c r="AK92" i="20" s="1"/>
  <c r="CD92" i="20"/>
  <c r="AQ93" i="20"/>
  <c r="AH93" i="20" s="1"/>
  <c r="CA93" i="20"/>
  <c r="AS92" i="20"/>
  <c r="AJ92" i="20" s="1"/>
  <c r="CC92" i="20"/>
  <c r="AP104" i="20"/>
  <c r="AG104" i="20" s="1"/>
  <c r="BZ104" i="20"/>
  <c r="CI103" i="20"/>
  <c r="AC63" i="20"/>
  <c r="AR92" i="20"/>
  <c r="AI92" i="20" s="1"/>
  <c r="CB92" i="20"/>
  <c r="L108" i="20"/>
  <c r="CF107" i="20"/>
  <c r="AO108" i="20"/>
  <c r="AF108" i="20" s="1"/>
  <c r="N109" i="20" s="1"/>
  <c r="BY108" i="20"/>
  <c r="M108" i="20"/>
  <c r="CG107" i="20"/>
  <c r="Q93" i="20" l="1"/>
  <c r="CK92" i="20"/>
  <c r="S93" i="20"/>
  <c r="CM92" i="20"/>
  <c r="CL92" i="20"/>
  <c r="P94" i="20"/>
  <c r="CJ93" i="20"/>
  <c r="K64" i="20"/>
  <c r="CE63" i="20"/>
  <c r="R93" i="20"/>
  <c r="O105" i="20"/>
  <c r="CI104" i="20"/>
  <c r="CH108" i="20"/>
  <c r="AO109" i="20"/>
  <c r="AF109" i="20" s="1"/>
  <c r="BY109" i="20"/>
  <c r="AN108" i="20"/>
  <c r="AE108" i="20" s="1"/>
  <c r="BX108" i="20"/>
  <c r="AM108" i="20"/>
  <c r="AD108" i="20" s="1"/>
  <c r="BW108" i="20"/>
  <c r="AP105" i="20" l="1"/>
  <c r="AG105" i="20" s="1"/>
  <c r="BZ105" i="20"/>
  <c r="AQ94" i="20"/>
  <c r="AH94" i="20" s="1"/>
  <c r="CA94" i="20"/>
  <c r="AS93" i="20"/>
  <c r="AJ93" i="20" s="1"/>
  <c r="CC93" i="20"/>
  <c r="AL64" i="20"/>
  <c r="BV64" i="20"/>
  <c r="AT93" i="20"/>
  <c r="AK93" i="20" s="1"/>
  <c r="CD93" i="20"/>
  <c r="AR93" i="20"/>
  <c r="AI93" i="20" s="1"/>
  <c r="CB93" i="20"/>
  <c r="M109" i="20"/>
  <c r="CG108" i="20"/>
  <c r="L109" i="20"/>
  <c r="CF108" i="20"/>
  <c r="N110" i="20"/>
  <c r="CH109" i="20"/>
  <c r="S94" i="20" l="1"/>
  <c r="CM93" i="20"/>
  <c r="CK93" i="20"/>
  <c r="R94" i="20"/>
  <c r="CL93" i="20"/>
  <c r="CJ94" i="20"/>
  <c r="AC64" i="20"/>
  <c r="Q94" i="20"/>
  <c r="P95" i="20"/>
  <c r="O106" i="20"/>
  <c r="CI105" i="20"/>
  <c r="AO110" i="20"/>
  <c r="AF110" i="20" s="1"/>
  <c r="BY110" i="20"/>
  <c r="AM109" i="20"/>
  <c r="AD109" i="20" s="1"/>
  <c r="BW109" i="20"/>
  <c r="AN109" i="20"/>
  <c r="AE109" i="20" s="1"/>
  <c r="M110" i="20" s="1"/>
  <c r="BX109" i="20"/>
  <c r="B4" i="18"/>
  <c r="O4" i="19" s="1"/>
  <c r="AB4" i="19" s="1"/>
  <c r="AQ95" i="20" l="1"/>
  <c r="AH95" i="20" s="1"/>
  <c r="CA95" i="20"/>
  <c r="AS94" i="20"/>
  <c r="AJ94" i="20" s="1"/>
  <c r="CC94" i="20"/>
  <c r="AT94" i="20"/>
  <c r="AK94" i="20" s="1"/>
  <c r="CD94" i="20"/>
  <c r="CE64" i="20"/>
  <c r="K65" i="20"/>
  <c r="AP106" i="20"/>
  <c r="AG106" i="20" s="1"/>
  <c r="BZ106" i="20"/>
  <c r="AR94" i="20"/>
  <c r="AI94" i="20" s="1"/>
  <c r="CB94" i="20"/>
  <c r="AN110" i="20"/>
  <c r="AE110" i="20" s="1"/>
  <c r="BX110" i="20"/>
  <c r="L110" i="20"/>
  <c r="CF109" i="20"/>
  <c r="CG109" i="20"/>
  <c r="N111" i="20"/>
  <c r="CH110" i="20"/>
  <c r="R5" i="18"/>
  <c r="Q5" i="18"/>
  <c r="B5" i="18" s="1"/>
  <c r="Q95" i="20" l="1"/>
  <c r="CK94" i="20"/>
  <c r="O107" i="20"/>
  <c r="CI106" i="20"/>
  <c r="S95" i="20"/>
  <c r="CM94" i="20"/>
  <c r="R95" i="20"/>
  <c r="CL94" i="20"/>
  <c r="P96" i="20"/>
  <c r="CJ95" i="20"/>
  <c r="BV65" i="20"/>
  <c r="AL65" i="20"/>
  <c r="Q6" i="18"/>
  <c r="O5" i="19"/>
  <c r="AM110" i="20"/>
  <c r="AD110" i="20" s="1"/>
  <c r="L111" i="20" s="1"/>
  <c r="BW110" i="20"/>
  <c r="AO111" i="20"/>
  <c r="AF111" i="20" s="1"/>
  <c r="BY111" i="20"/>
  <c r="M111" i="20"/>
  <c r="CG110" i="20"/>
  <c r="C5" i="18"/>
  <c r="AQ96" i="20" l="1"/>
  <c r="AH96" i="20" s="1"/>
  <c r="CA96" i="20"/>
  <c r="AP107" i="20"/>
  <c r="AG107" i="20" s="1"/>
  <c r="O108" i="20" s="1"/>
  <c r="BZ107" i="20"/>
  <c r="AC65" i="20"/>
  <c r="AS95" i="20"/>
  <c r="AJ95" i="20" s="1"/>
  <c r="CC95" i="20"/>
  <c r="AT95" i="20"/>
  <c r="AK95" i="20" s="1"/>
  <c r="CD95" i="20"/>
  <c r="AR95" i="20"/>
  <c r="AI95" i="20" s="1"/>
  <c r="CB95" i="20"/>
  <c r="N112" i="20"/>
  <c r="CH111" i="20"/>
  <c r="AN111" i="20"/>
  <c r="AE111" i="20" s="1"/>
  <c r="BX111" i="20"/>
  <c r="CF110" i="20"/>
  <c r="AB5" i="19"/>
  <c r="B5" i="19" s="1"/>
  <c r="B5" i="22" s="1"/>
  <c r="L5" i="22" s="1"/>
  <c r="BO5" i="19" s="1"/>
  <c r="AF6" i="18" s="1"/>
  <c r="S6" i="18"/>
  <c r="BC5" i="19"/>
  <c r="P5" i="19"/>
  <c r="AM111" i="20"/>
  <c r="AD111" i="20" s="1"/>
  <c r="BW111" i="20"/>
  <c r="R6" i="18"/>
  <c r="C6" i="18" l="1"/>
  <c r="BB6" i="19"/>
  <c r="B6" i="18"/>
  <c r="CE65" i="20"/>
  <c r="K66" i="20"/>
  <c r="Q96" i="20"/>
  <c r="CK95" i="20"/>
  <c r="CM95" i="20"/>
  <c r="CI107" i="20"/>
  <c r="S96" i="20"/>
  <c r="R96" i="20"/>
  <c r="CL95" i="20"/>
  <c r="AP108" i="20"/>
  <c r="AG108" i="20" s="1"/>
  <c r="BZ108" i="20"/>
  <c r="P97" i="20"/>
  <c r="CJ96" i="20"/>
  <c r="BP6" i="19"/>
  <c r="AG7" i="18" s="1"/>
  <c r="BC6" i="19"/>
  <c r="P6" i="19"/>
  <c r="AC5" i="19"/>
  <c r="C5" i="19" s="1"/>
  <c r="C5" i="22" s="1"/>
  <c r="L112" i="20"/>
  <c r="CF111" i="20"/>
  <c r="M112" i="20"/>
  <c r="CG111" i="20"/>
  <c r="AO112" i="20"/>
  <c r="AF112" i="20" s="1"/>
  <c r="N113" i="20" s="1"/>
  <c r="BY112" i="20"/>
  <c r="R7" i="18"/>
  <c r="Q7" i="18" l="1"/>
  <c r="O6" i="19"/>
  <c r="AB6" i="19" s="1"/>
  <c r="B6" i="19" s="1"/>
  <c r="B6" i="22" s="1"/>
  <c r="L6" i="22" s="1"/>
  <c r="BO6" i="19" s="1"/>
  <c r="AF7" i="18" s="1"/>
  <c r="BV66" i="20"/>
  <c r="AL66" i="20"/>
  <c r="AR96" i="20"/>
  <c r="AI96" i="20" s="1"/>
  <c r="CB96" i="20"/>
  <c r="AQ97" i="20"/>
  <c r="AH97" i="20" s="1"/>
  <c r="CA97" i="20"/>
  <c r="O109" i="20"/>
  <c r="CI108" i="20"/>
  <c r="AS96" i="20"/>
  <c r="AJ96" i="20" s="1"/>
  <c r="CC96" i="20"/>
  <c r="AT96" i="20"/>
  <c r="AK96" i="20" s="1"/>
  <c r="CD96" i="20"/>
  <c r="AM112" i="20"/>
  <c r="AD112" i="20" s="1"/>
  <c r="BW112" i="20"/>
  <c r="AN112" i="20"/>
  <c r="AE112" i="20" s="1"/>
  <c r="BX112" i="20"/>
  <c r="AO113" i="20"/>
  <c r="AF113" i="20" s="1"/>
  <c r="BY113" i="20"/>
  <c r="AC6" i="19"/>
  <c r="C6" i="19" s="1"/>
  <c r="C6" i="22" s="1"/>
  <c r="C7" i="18"/>
  <c r="CH112" i="20"/>
  <c r="M5" i="22"/>
  <c r="BQ5" i="19"/>
  <c r="AH6" i="18" s="1"/>
  <c r="BD6" i="19" l="1"/>
  <c r="AI7" i="18" s="1"/>
  <c r="D6" i="18"/>
  <c r="BB7" i="19"/>
  <c r="B7" i="18"/>
  <c r="O7" i="19" s="1"/>
  <c r="AB7" i="19" s="1"/>
  <c r="B7" i="19" s="1"/>
  <c r="B7" i="22" s="1"/>
  <c r="L7" i="22" s="1"/>
  <c r="BO7" i="19" s="1"/>
  <c r="AF8" i="18" s="1"/>
  <c r="R97" i="20"/>
  <c r="AC66" i="20"/>
  <c r="Q97" i="20"/>
  <c r="CK96" i="20"/>
  <c r="S97" i="20"/>
  <c r="CM96" i="20"/>
  <c r="AP109" i="20"/>
  <c r="AG109" i="20" s="1"/>
  <c r="BZ109" i="20"/>
  <c r="CL96" i="20"/>
  <c r="P98" i="20"/>
  <c r="CJ97" i="20"/>
  <c r="N114" i="20"/>
  <c r="CH113" i="20"/>
  <c r="M113" i="20"/>
  <c r="CG112" i="20"/>
  <c r="M6" i="22"/>
  <c r="BQ6" i="19"/>
  <c r="AH7" i="18" s="1"/>
  <c r="L113" i="20"/>
  <c r="CF112" i="20"/>
  <c r="R8" i="18"/>
  <c r="BC7" i="19"/>
  <c r="P7" i="19"/>
  <c r="AG8" i="18" l="1"/>
  <c r="S7" i="18"/>
  <c r="BP7" i="19" s="1"/>
  <c r="T7" i="18"/>
  <c r="Q6" i="19"/>
  <c r="AD6" i="19" s="1"/>
  <c r="D6" i="19" s="1"/>
  <c r="D6" i="22" s="1"/>
  <c r="N6" i="22" s="1"/>
  <c r="BS6" i="19" s="1"/>
  <c r="AJ7" i="18" s="1"/>
  <c r="BD7" i="19"/>
  <c r="D7" i="18"/>
  <c r="BB8" i="19"/>
  <c r="Q8" i="18"/>
  <c r="AQ98" i="20"/>
  <c r="AH98" i="20" s="1"/>
  <c r="CA98" i="20"/>
  <c r="AT97" i="20"/>
  <c r="AK97" i="20" s="1"/>
  <c r="CD97" i="20"/>
  <c r="O110" i="20"/>
  <c r="CI109" i="20"/>
  <c r="AS97" i="20"/>
  <c r="AJ97" i="20" s="1"/>
  <c r="CC97" i="20"/>
  <c r="AR97" i="20"/>
  <c r="AI97" i="20" s="1"/>
  <c r="CB97" i="20"/>
  <c r="CE66" i="20"/>
  <c r="K67" i="20"/>
  <c r="AC7" i="19"/>
  <c r="C7" i="19" s="1"/>
  <c r="C7" i="22" s="1"/>
  <c r="AN113" i="20"/>
  <c r="AE113" i="20" s="1"/>
  <c r="M114" i="20" s="1"/>
  <c r="BX113" i="20"/>
  <c r="C8" i="18"/>
  <c r="AM113" i="20"/>
  <c r="AD113" i="20" s="1"/>
  <c r="BW113" i="20"/>
  <c r="AO114" i="20"/>
  <c r="AF114" i="20" s="1"/>
  <c r="BY114" i="20"/>
  <c r="CK97" i="20" l="1"/>
  <c r="F7" i="18"/>
  <c r="E7" i="18"/>
  <c r="BR7" i="19"/>
  <c r="T8" i="18"/>
  <c r="E8" i="18" s="1"/>
  <c r="AI8" i="18"/>
  <c r="Q7" i="19"/>
  <c r="AD7" i="19" s="1"/>
  <c r="D7" i="19" s="1"/>
  <c r="D7" i="22" s="1"/>
  <c r="N7" i="22" s="1"/>
  <c r="BS7" i="19" s="1"/>
  <c r="S8" i="18"/>
  <c r="B8" i="18"/>
  <c r="O8" i="19" s="1"/>
  <c r="AB8" i="19" s="1"/>
  <c r="B8" i="19" s="1"/>
  <c r="B8" i="22" s="1"/>
  <c r="L8" i="22" s="1"/>
  <c r="BO8" i="19" s="1"/>
  <c r="AF9" i="18" s="1"/>
  <c r="Q9" i="18"/>
  <c r="CJ98" i="20"/>
  <c r="CG113" i="20"/>
  <c r="AP110" i="20"/>
  <c r="AG110" i="20" s="1"/>
  <c r="BZ110" i="20"/>
  <c r="S98" i="20"/>
  <c r="CM97" i="20"/>
  <c r="Q98" i="20"/>
  <c r="R98" i="20"/>
  <c r="CL97" i="20"/>
  <c r="AL67" i="20"/>
  <c r="BV67" i="20"/>
  <c r="P99" i="20"/>
  <c r="N115" i="20"/>
  <c r="CH114" i="20"/>
  <c r="AN114" i="20"/>
  <c r="AE114" i="20" s="1"/>
  <c r="BX114" i="20"/>
  <c r="M7" i="22"/>
  <c r="BQ7" i="19"/>
  <c r="AH8" i="18" s="1"/>
  <c r="R9" i="18"/>
  <c r="BC8" i="19"/>
  <c r="P8" i="19"/>
  <c r="L114" i="20"/>
  <c r="CF113" i="20"/>
  <c r="BE8" i="19" l="1"/>
  <c r="R8" i="19"/>
  <c r="AE8" i="19" s="1"/>
  <c r="E8" i="19" s="1"/>
  <c r="E8" i="22" s="1"/>
  <c r="O8" i="22" s="1"/>
  <c r="BR8" i="19"/>
  <c r="BE7" i="19"/>
  <c r="AJ8" i="18" s="1"/>
  <c r="R7" i="19"/>
  <c r="AE7" i="19" s="1"/>
  <c r="E7" i="19" s="1"/>
  <c r="E7" i="22" s="1"/>
  <c r="O7" i="22" s="1"/>
  <c r="BT7" i="19" s="1"/>
  <c r="V8" i="18"/>
  <c r="AU7" i="20"/>
  <c r="S7" i="19"/>
  <c r="AF7" i="19" s="1"/>
  <c r="F7" i="19" s="1"/>
  <c r="F7" i="22" s="1"/>
  <c r="P7" i="22" s="1"/>
  <c r="BU7" i="19" s="1"/>
  <c r="AL8" i="18" s="1"/>
  <c r="BF7" i="19"/>
  <c r="AK8" i="18" s="1"/>
  <c r="U8" i="18"/>
  <c r="BD8" i="19"/>
  <c r="AI9" i="18" s="1"/>
  <c r="D8" i="18"/>
  <c r="BP8" i="19"/>
  <c r="AG9" i="18" s="1"/>
  <c r="C9" i="18" s="1"/>
  <c r="BB9" i="19"/>
  <c r="B9" i="18"/>
  <c r="O9" i="19" s="1"/>
  <c r="AB9" i="19" s="1"/>
  <c r="B9" i="19" s="1"/>
  <c r="B9" i="22" s="1"/>
  <c r="L9" i="22" s="1"/>
  <c r="AC67" i="20"/>
  <c r="AR98" i="20"/>
  <c r="AI98" i="20" s="1"/>
  <c r="CB98" i="20"/>
  <c r="AQ99" i="20"/>
  <c r="AH99" i="20" s="1"/>
  <c r="CA99" i="20"/>
  <c r="AS98" i="20"/>
  <c r="AJ98" i="20" s="1"/>
  <c r="CC98" i="20"/>
  <c r="AT98" i="20"/>
  <c r="AK98" i="20" s="1"/>
  <c r="CD98" i="20"/>
  <c r="O111" i="20"/>
  <c r="CI110" i="20"/>
  <c r="AC8" i="19"/>
  <c r="C8" i="19" s="1"/>
  <c r="C8" i="22" s="1"/>
  <c r="M115" i="20"/>
  <c r="CG114" i="20"/>
  <c r="AM114" i="20"/>
  <c r="AD114" i="20" s="1"/>
  <c r="L115" i="20" s="1"/>
  <c r="BW114" i="20"/>
  <c r="AO115" i="20"/>
  <c r="AF115" i="20" s="1"/>
  <c r="BY115" i="20"/>
  <c r="BO9" i="19"/>
  <c r="AF10" i="18" s="1"/>
  <c r="H8" i="18" l="1"/>
  <c r="F8" i="18"/>
  <c r="G8" i="18"/>
  <c r="BT8" i="19"/>
  <c r="T9" i="18"/>
  <c r="S9" i="18"/>
  <c r="Q8" i="19"/>
  <c r="AD8" i="19" s="1"/>
  <c r="D8" i="19" s="1"/>
  <c r="D8" i="22" s="1"/>
  <c r="N8" i="22" s="1"/>
  <c r="BS8" i="19" s="1"/>
  <c r="AJ9" i="18" s="1"/>
  <c r="BB10" i="19"/>
  <c r="Q10" i="18"/>
  <c r="K68" i="20"/>
  <c r="CE67" i="20"/>
  <c r="S99" i="20"/>
  <c r="CM98" i="20"/>
  <c r="P100" i="20"/>
  <c r="CJ99" i="20"/>
  <c r="Q99" i="20"/>
  <c r="CK98" i="20"/>
  <c r="AP111" i="20"/>
  <c r="AG111" i="20" s="1"/>
  <c r="O112" i="20" s="1"/>
  <c r="BZ111" i="20"/>
  <c r="R99" i="20"/>
  <c r="CL98" i="20"/>
  <c r="CF114" i="20"/>
  <c r="M8" i="22"/>
  <c r="BQ8" i="19"/>
  <c r="AH9" i="18" s="1"/>
  <c r="AM115" i="20"/>
  <c r="AD115" i="20" s="1"/>
  <c r="BW115" i="20"/>
  <c r="BC9" i="19"/>
  <c r="P9" i="19"/>
  <c r="AN115" i="20"/>
  <c r="AE115" i="20" s="1"/>
  <c r="BX115" i="20"/>
  <c r="N116" i="20"/>
  <c r="CH115" i="20"/>
  <c r="R10" i="18"/>
  <c r="V9" i="18" l="1"/>
  <c r="BG8" i="19"/>
  <c r="T8" i="19"/>
  <c r="AG8" i="19" s="1"/>
  <c r="G8" i="19" s="1"/>
  <c r="G8" i="22" s="1"/>
  <c r="Q8" i="22" s="1"/>
  <c r="BV8" i="19" s="1"/>
  <c r="AN9" i="18" s="1"/>
  <c r="AW8" i="20"/>
  <c r="X9" i="18"/>
  <c r="U8" i="19"/>
  <c r="AH8" i="19" s="1"/>
  <c r="H8" i="19" s="1"/>
  <c r="H8" i="22" s="1"/>
  <c r="R8" i="22" s="1"/>
  <c r="BW8" i="19" s="1"/>
  <c r="AO9" i="18" s="1"/>
  <c r="BH8" i="19"/>
  <c r="AM9" i="18" s="1"/>
  <c r="AV8" i="20"/>
  <c r="W9" i="18"/>
  <c r="U9" i="18"/>
  <c r="BF8" i="19"/>
  <c r="AK9" i="18" s="1"/>
  <c r="S8" i="19"/>
  <c r="AF8" i="19" s="1"/>
  <c r="F8" i="19" s="1"/>
  <c r="F8" i="22" s="1"/>
  <c r="P8" i="22" s="1"/>
  <c r="BU8" i="19" s="1"/>
  <c r="AU8" i="20"/>
  <c r="F9" i="18"/>
  <c r="BP9" i="19"/>
  <c r="AG10" i="18" s="1"/>
  <c r="C10" i="18" s="1"/>
  <c r="D9" i="18"/>
  <c r="BR9" i="19"/>
  <c r="E9" i="18"/>
  <c r="BD9" i="19"/>
  <c r="B10" i="18"/>
  <c r="O10" i="19" s="1"/>
  <c r="AB10" i="19" s="1"/>
  <c r="B10" i="19" s="1"/>
  <c r="B10" i="22" s="1"/>
  <c r="L10" i="22" s="1"/>
  <c r="BO10" i="19" s="1"/>
  <c r="AF11" i="18" s="1"/>
  <c r="AS99" i="20"/>
  <c r="AJ99" i="20" s="1"/>
  <c r="CC99" i="20"/>
  <c r="AQ100" i="20"/>
  <c r="AH100" i="20" s="1"/>
  <c r="CA100" i="20"/>
  <c r="CI111" i="20"/>
  <c r="AR99" i="20"/>
  <c r="AI99" i="20" s="1"/>
  <c r="CB99" i="20"/>
  <c r="AT99" i="20"/>
  <c r="AK99" i="20" s="1"/>
  <c r="CD99" i="20"/>
  <c r="AP112" i="20"/>
  <c r="AG112" i="20" s="1"/>
  <c r="BZ112" i="20"/>
  <c r="AL68" i="20"/>
  <c r="BV68" i="20"/>
  <c r="M116" i="20"/>
  <c r="CG115" i="20"/>
  <c r="AO116" i="20"/>
  <c r="AF116" i="20" s="1"/>
  <c r="N117" i="20" s="1"/>
  <c r="BY116" i="20"/>
  <c r="AC9" i="19"/>
  <c r="C9" i="19" s="1"/>
  <c r="C9" i="22" s="1"/>
  <c r="L116" i="20"/>
  <c r="CF115" i="20"/>
  <c r="K9" i="18" l="1"/>
  <c r="J9" i="18"/>
  <c r="I9" i="18"/>
  <c r="AX9" i="20" s="1"/>
  <c r="AI10" i="18"/>
  <c r="AL9" i="18"/>
  <c r="G9" i="18"/>
  <c r="V10" i="18" s="1"/>
  <c r="Q11" i="18"/>
  <c r="AU9" i="20"/>
  <c r="BF9" i="19"/>
  <c r="AK10" i="18" s="1"/>
  <c r="S9" i="19"/>
  <c r="AF9" i="19" s="1"/>
  <c r="F9" i="19" s="1"/>
  <c r="F9" i="22" s="1"/>
  <c r="P9" i="22" s="1"/>
  <c r="BU9" i="19" s="1"/>
  <c r="R9" i="19"/>
  <c r="AE9" i="19" s="1"/>
  <c r="E9" i="19" s="1"/>
  <c r="E9" i="22" s="1"/>
  <c r="O9" i="22" s="1"/>
  <c r="BT9" i="19" s="1"/>
  <c r="BE9" i="19"/>
  <c r="U10" i="18"/>
  <c r="T10" i="18"/>
  <c r="S10" i="18"/>
  <c r="Q9" i="19"/>
  <c r="AD9" i="19" s="1"/>
  <c r="D9" i="19" s="1"/>
  <c r="D9" i="22" s="1"/>
  <c r="N9" i="22" s="1"/>
  <c r="BS9" i="19" s="1"/>
  <c r="BB11" i="19"/>
  <c r="B11" i="18"/>
  <c r="O11" i="19" s="1"/>
  <c r="AB11" i="19" s="1"/>
  <c r="B11" i="19" s="1"/>
  <c r="B11" i="22" s="1"/>
  <c r="L11" i="22" s="1"/>
  <c r="CM99" i="20"/>
  <c r="P101" i="20"/>
  <c r="CJ100" i="20"/>
  <c r="Q100" i="20"/>
  <c r="CK99" i="20"/>
  <c r="R100" i="20"/>
  <c r="CL99" i="20"/>
  <c r="AC68" i="20"/>
  <c r="O113" i="20"/>
  <c r="CI112" i="20"/>
  <c r="S100" i="20"/>
  <c r="M9" i="22"/>
  <c r="BQ9" i="19"/>
  <c r="AH10" i="18" s="1"/>
  <c r="AM116" i="20"/>
  <c r="AD116" i="20" s="1"/>
  <c r="BW116" i="20"/>
  <c r="AO117" i="20"/>
  <c r="AF117" i="20" s="1"/>
  <c r="BY117" i="20"/>
  <c r="R11" i="18"/>
  <c r="BC10" i="19"/>
  <c r="P10" i="19"/>
  <c r="CH116" i="20"/>
  <c r="AN116" i="20"/>
  <c r="AE116" i="20" s="1"/>
  <c r="BX116" i="20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I9" i="22" s="1"/>
  <c r="S9" i="22" s="1"/>
  <c r="BX9" i="19" s="1"/>
  <c r="BI9" i="19"/>
  <c r="Z10" i="18"/>
  <c r="H9" i="18"/>
  <c r="W10" i="18" s="1"/>
  <c r="G10" i="18"/>
  <c r="BG9" i="19"/>
  <c r="AL10" i="18" s="1"/>
  <c r="T9" i="19"/>
  <c r="AG9" i="19" s="1"/>
  <c r="G9" i="19" s="1"/>
  <c r="G9" i="22" s="1"/>
  <c r="Q9" i="22" s="1"/>
  <c r="BV9" i="19" s="1"/>
  <c r="AN10" i="18" s="1"/>
  <c r="AV9" i="20"/>
  <c r="AJ10" i="18"/>
  <c r="BR10" i="19"/>
  <c r="E10" i="18"/>
  <c r="BD10" i="19"/>
  <c r="D10" i="18"/>
  <c r="BP10" i="19"/>
  <c r="AG11" i="18" s="1"/>
  <c r="C11" i="18" s="1"/>
  <c r="Q12" i="18"/>
  <c r="AP113" i="20"/>
  <c r="AG113" i="20" s="1"/>
  <c r="BZ113" i="20"/>
  <c r="AT100" i="20"/>
  <c r="AK100" i="20" s="1"/>
  <c r="CD100" i="20"/>
  <c r="CE68" i="20"/>
  <c r="K69" i="20"/>
  <c r="AR100" i="20"/>
  <c r="AI100" i="20" s="1"/>
  <c r="CB100" i="20"/>
  <c r="AQ101" i="20"/>
  <c r="AH101" i="20" s="1"/>
  <c r="CA101" i="20"/>
  <c r="AS100" i="20"/>
  <c r="AJ100" i="20" s="1"/>
  <c r="CC100" i="20"/>
  <c r="N118" i="20"/>
  <c r="CH117" i="20"/>
  <c r="AC10" i="19"/>
  <c r="C10" i="19" s="1"/>
  <c r="C10" i="22" s="1"/>
  <c r="L117" i="20"/>
  <c r="CF116" i="20"/>
  <c r="M117" i="20"/>
  <c r="CG116" i="20"/>
  <c r="BO11" i="19"/>
  <c r="AF12" i="18" s="1"/>
  <c r="AP10" i="18" l="1"/>
  <c r="L10" i="18" s="1"/>
  <c r="J10" i="18"/>
  <c r="H10" i="18"/>
  <c r="BH9" i="19"/>
  <c r="AM10" i="18" s="1"/>
  <c r="U9" i="19"/>
  <c r="AH9" i="19" s="1"/>
  <c r="H9" i="19" s="1"/>
  <c r="H9" i="22" s="1"/>
  <c r="R9" i="22" s="1"/>
  <c r="BW9" i="19" s="1"/>
  <c r="AO10" i="18" s="1"/>
  <c r="AW9" i="20"/>
  <c r="X10" i="18"/>
  <c r="AI11" i="18"/>
  <c r="BG10" i="19"/>
  <c r="T10" i="19"/>
  <c r="AG10" i="19" s="1"/>
  <c r="G10" i="19" s="1"/>
  <c r="G10" i="22" s="1"/>
  <c r="Q10" i="22" s="1"/>
  <c r="BV10" i="19" s="1"/>
  <c r="AN11" i="18" s="1"/>
  <c r="AV10" i="20"/>
  <c r="W11" i="18"/>
  <c r="F10" i="18"/>
  <c r="U11" i="18" s="1"/>
  <c r="T11" i="18"/>
  <c r="BR11" i="19" s="1"/>
  <c r="R10" i="19"/>
  <c r="AE10" i="19" s="1"/>
  <c r="E10" i="19" s="1"/>
  <c r="E10" i="22" s="1"/>
  <c r="O10" i="22" s="1"/>
  <c r="BT10" i="19" s="1"/>
  <c r="BE10" i="19"/>
  <c r="S11" i="18"/>
  <c r="Q10" i="19"/>
  <c r="AD10" i="19" s="1"/>
  <c r="D10" i="19" s="1"/>
  <c r="D10" i="22" s="1"/>
  <c r="N10" i="22" s="1"/>
  <c r="BS10" i="19" s="1"/>
  <c r="BB12" i="19"/>
  <c r="B12" i="18"/>
  <c r="O12" i="19" s="1"/>
  <c r="AB12" i="19" s="1"/>
  <c r="B12" i="19" s="1"/>
  <c r="B12" i="22" s="1"/>
  <c r="L12" i="22" s="1"/>
  <c r="R101" i="20"/>
  <c r="AL69" i="20"/>
  <c r="BV69" i="20"/>
  <c r="O114" i="20"/>
  <c r="CI113" i="20"/>
  <c r="Q101" i="20"/>
  <c r="CK100" i="20"/>
  <c r="P102" i="20"/>
  <c r="CJ101" i="20"/>
  <c r="S101" i="20"/>
  <c r="CM100" i="20"/>
  <c r="CL100" i="20"/>
  <c r="R12" i="18"/>
  <c r="BC11" i="19"/>
  <c r="P11" i="19"/>
  <c r="AM117" i="20"/>
  <c r="AD117" i="20" s="1"/>
  <c r="BW117" i="20"/>
  <c r="M10" i="22"/>
  <c r="BQ10" i="19"/>
  <c r="AH11" i="18" s="1"/>
  <c r="AN117" i="20"/>
  <c r="AE117" i="20" s="1"/>
  <c r="M118" i="20" s="1"/>
  <c r="BX117" i="20"/>
  <c r="AO118" i="20"/>
  <c r="AF118" i="20" s="1"/>
  <c r="BY118" i="20"/>
  <c r="BK10" i="19" l="1"/>
  <c r="AQ11" i="18" s="1"/>
  <c r="BA10" i="20"/>
  <c r="AB11" i="18"/>
  <c r="X10" i="19"/>
  <c r="AK10" i="19" s="1"/>
  <c r="K10" i="19" s="1"/>
  <c r="K10" i="18"/>
  <c r="Z11" i="18" s="1"/>
  <c r="Y11" i="18"/>
  <c r="J11" i="18" s="1"/>
  <c r="AY10" i="20"/>
  <c r="V10" i="19"/>
  <c r="AI10" i="19" s="1"/>
  <c r="I10" i="19" s="1"/>
  <c r="I10" i="22" s="1"/>
  <c r="S10" i="22" s="1"/>
  <c r="BX10" i="19" s="1"/>
  <c r="BI10" i="19"/>
  <c r="AO11" i="18" s="1"/>
  <c r="AZ10" i="20"/>
  <c r="AA11" i="18"/>
  <c r="W10" i="19"/>
  <c r="AJ10" i="19" s="1"/>
  <c r="J10" i="19" s="1"/>
  <c r="BJ10" i="19"/>
  <c r="AP11" i="18" s="1"/>
  <c r="I10" i="18"/>
  <c r="AX10" i="20" s="1"/>
  <c r="BH10" i="19"/>
  <c r="AM11" i="18" s="1"/>
  <c r="U10" i="19"/>
  <c r="AH10" i="19" s="1"/>
  <c r="H10" i="19" s="1"/>
  <c r="H10" i="22" s="1"/>
  <c r="R10" i="22" s="1"/>
  <c r="BW10" i="19" s="1"/>
  <c r="AW10" i="20"/>
  <c r="AJ11" i="18"/>
  <c r="F11" i="18" s="1"/>
  <c r="V11" i="18"/>
  <c r="AU10" i="20"/>
  <c r="BF10" i="19"/>
  <c r="AK11" i="18" s="1"/>
  <c r="S10" i="19"/>
  <c r="AF10" i="19" s="1"/>
  <c r="F10" i="19" s="1"/>
  <c r="F10" i="22" s="1"/>
  <c r="P10" i="22" s="1"/>
  <c r="BU10" i="19" s="1"/>
  <c r="AL11" i="18" s="1"/>
  <c r="E11" i="18"/>
  <c r="BD11" i="19"/>
  <c r="AI12" i="18" s="1"/>
  <c r="D11" i="18"/>
  <c r="BP11" i="19"/>
  <c r="AG12" i="18" s="1"/>
  <c r="C12" i="18" s="1"/>
  <c r="Q13" i="18"/>
  <c r="AT101" i="20"/>
  <c r="AK101" i="20" s="1"/>
  <c r="CD101" i="20"/>
  <c r="AQ102" i="20"/>
  <c r="AH102" i="20" s="1"/>
  <c r="CA102" i="20"/>
  <c r="AP114" i="20"/>
  <c r="AG114" i="20" s="1"/>
  <c r="BZ114" i="20"/>
  <c r="AR101" i="20"/>
  <c r="AI101" i="20" s="1"/>
  <c r="CB101" i="20"/>
  <c r="AC69" i="20"/>
  <c r="AS101" i="20"/>
  <c r="AJ101" i="20" s="1"/>
  <c r="CC101" i="20"/>
  <c r="CG117" i="20"/>
  <c r="N119" i="20"/>
  <c r="CH118" i="20"/>
  <c r="AN118" i="20"/>
  <c r="AE118" i="20" s="1"/>
  <c r="BX118" i="20"/>
  <c r="AC11" i="19"/>
  <c r="C11" i="19" s="1"/>
  <c r="C11" i="22" s="1"/>
  <c r="L118" i="20"/>
  <c r="CF117" i="20"/>
  <c r="BO12" i="19"/>
  <c r="AF13" i="18" s="1"/>
  <c r="M11" i="18" l="1"/>
  <c r="BL11" i="19"/>
  <c r="K11" i="18"/>
  <c r="Z12" i="18" s="1"/>
  <c r="L11" i="18"/>
  <c r="AA12" i="18" s="1"/>
  <c r="AZ11" i="20"/>
  <c r="W11" i="19"/>
  <c r="AJ11" i="19" s="1"/>
  <c r="J11" i="19" s="1"/>
  <c r="BJ11" i="19"/>
  <c r="AP12" i="18" s="1"/>
  <c r="Y12" i="18"/>
  <c r="AY11" i="20"/>
  <c r="V11" i="19"/>
  <c r="AI11" i="19" s="1"/>
  <c r="I11" i="19" s="1"/>
  <c r="I11" i="22" s="1"/>
  <c r="S11" i="22" s="1"/>
  <c r="BX11" i="19" s="1"/>
  <c r="BI11" i="19"/>
  <c r="X11" i="18"/>
  <c r="I11" i="18" s="1"/>
  <c r="AX11" i="20" s="1"/>
  <c r="H11" i="18"/>
  <c r="U12" i="18"/>
  <c r="BF11" i="19"/>
  <c r="G11" i="18"/>
  <c r="V12" i="18" s="1"/>
  <c r="AU11" i="20"/>
  <c r="S11" i="19"/>
  <c r="AF11" i="19" s="1"/>
  <c r="F11" i="19" s="1"/>
  <c r="F11" i="22" s="1"/>
  <c r="P11" i="22" s="1"/>
  <c r="BU11" i="19" s="1"/>
  <c r="R11" i="19"/>
  <c r="AE11" i="19" s="1"/>
  <c r="E11" i="19" s="1"/>
  <c r="E11" i="22" s="1"/>
  <c r="O11" i="22" s="1"/>
  <c r="BT11" i="19" s="1"/>
  <c r="AK12" i="18" s="1"/>
  <c r="BE11" i="19"/>
  <c r="Q11" i="19"/>
  <c r="AD11" i="19" s="1"/>
  <c r="D11" i="19" s="1"/>
  <c r="D11" i="22" s="1"/>
  <c r="N11" i="22" s="1"/>
  <c r="BS11" i="19" s="1"/>
  <c r="T12" i="18"/>
  <c r="S12" i="18"/>
  <c r="BB13" i="19"/>
  <c r="B13" i="18"/>
  <c r="O13" i="19" s="1"/>
  <c r="AB13" i="19" s="1"/>
  <c r="B13" i="19" s="1"/>
  <c r="B13" i="22" s="1"/>
  <c r="L13" i="22" s="1"/>
  <c r="CK101" i="20"/>
  <c r="CJ102" i="20"/>
  <c r="P103" i="20"/>
  <c r="O115" i="20"/>
  <c r="CI114" i="20"/>
  <c r="R102" i="20"/>
  <c r="CL101" i="20"/>
  <c r="CE69" i="20"/>
  <c r="K70" i="20"/>
  <c r="Q102" i="20"/>
  <c r="S102" i="20"/>
  <c r="CM101" i="20"/>
  <c r="M11" i="22"/>
  <c r="BQ11" i="19"/>
  <c r="AH12" i="18" s="1"/>
  <c r="AM118" i="20"/>
  <c r="AD118" i="20" s="1"/>
  <c r="BW118" i="20"/>
  <c r="AO119" i="20"/>
  <c r="AF119" i="20" s="1"/>
  <c r="BY119" i="20"/>
  <c r="R13" i="18"/>
  <c r="BC12" i="19"/>
  <c r="P12" i="19"/>
  <c r="M119" i="20"/>
  <c r="CG118" i="20"/>
  <c r="AC12" i="18" l="1"/>
  <c r="Y11" i="19"/>
  <c r="AL11" i="19" s="1"/>
  <c r="L11" i="19" s="1"/>
  <c r="J11" i="22" s="1"/>
  <c r="T11" i="22" s="1"/>
  <c r="BY11" i="19" s="1"/>
  <c r="BB11" i="20"/>
  <c r="L12" i="18"/>
  <c r="BA11" i="20"/>
  <c r="AB12" i="18"/>
  <c r="X11" i="19"/>
  <c r="AK11" i="19" s="1"/>
  <c r="K11" i="19" s="1"/>
  <c r="BK11" i="19"/>
  <c r="BG11" i="19"/>
  <c r="AL12" i="18" s="1"/>
  <c r="H12" i="18" s="1"/>
  <c r="W12" i="18"/>
  <c r="X12" i="18"/>
  <c r="BH11" i="19"/>
  <c r="AM12" i="18" s="1"/>
  <c r="U11" i="19"/>
  <c r="AH11" i="19" s="1"/>
  <c r="H11" i="19" s="1"/>
  <c r="H11" i="22" s="1"/>
  <c r="R11" i="22" s="1"/>
  <c r="BW11" i="19" s="1"/>
  <c r="AO12" i="18" s="1"/>
  <c r="AW11" i="20"/>
  <c r="G12" i="18"/>
  <c r="AV11" i="20"/>
  <c r="T11" i="19"/>
  <c r="AG11" i="19" s="1"/>
  <c r="G11" i="19" s="1"/>
  <c r="G11" i="22" s="1"/>
  <c r="Q11" i="22" s="1"/>
  <c r="BV11" i="19" s="1"/>
  <c r="AN12" i="18" s="1"/>
  <c r="AJ12" i="18"/>
  <c r="BD12" i="19"/>
  <c r="BP12" i="19"/>
  <c r="AG13" i="18" s="1"/>
  <c r="C13" i="18" s="1"/>
  <c r="D12" i="18"/>
  <c r="BR12" i="19"/>
  <c r="E12" i="18"/>
  <c r="Q14" i="18"/>
  <c r="BV70" i="20"/>
  <c r="AL70" i="20"/>
  <c r="AR102" i="20"/>
  <c r="AI102" i="20" s="1"/>
  <c r="CB102" i="20"/>
  <c r="AP115" i="20"/>
  <c r="AG115" i="20" s="1"/>
  <c r="O116" i="20" s="1"/>
  <c r="BZ115" i="20"/>
  <c r="AQ103" i="20"/>
  <c r="AH103" i="20" s="1"/>
  <c r="CA103" i="20"/>
  <c r="AT102" i="20"/>
  <c r="AK102" i="20" s="1"/>
  <c r="CD102" i="20"/>
  <c r="AS102" i="20"/>
  <c r="AJ102" i="20" s="1"/>
  <c r="CC102" i="20"/>
  <c r="BO13" i="19"/>
  <c r="AF14" i="18" s="1"/>
  <c r="L119" i="20"/>
  <c r="CF118" i="20"/>
  <c r="AN119" i="20"/>
  <c r="AE119" i="20" s="1"/>
  <c r="BX119" i="20"/>
  <c r="AC12" i="19"/>
  <c r="C12" i="19" s="1"/>
  <c r="C12" i="22" s="1"/>
  <c r="N120" i="20"/>
  <c r="CH119" i="20"/>
  <c r="AQ12" i="18" l="1"/>
  <c r="M12" i="18" s="1"/>
  <c r="AB13" i="18" s="1"/>
  <c r="BZ12" i="19"/>
  <c r="AR13" i="18" s="1"/>
  <c r="N12" i="18"/>
  <c r="K12" i="18"/>
  <c r="BA12" i="20"/>
  <c r="X12" i="19"/>
  <c r="AK12" i="19" s="1"/>
  <c r="K12" i="19" s="1"/>
  <c r="BK12" i="19"/>
  <c r="AN13" i="18"/>
  <c r="J12" i="18"/>
  <c r="I12" i="18"/>
  <c r="AX12" i="20" s="1"/>
  <c r="U12" i="19"/>
  <c r="AH12" i="19" s="1"/>
  <c r="H12" i="19" s="1"/>
  <c r="H12" i="22" s="1"/>
  <c r="R12" i="22" s="1"/>
  <c r="BW12" i="19" s="1"/>
  <c r="BH12" i="19"/>
  <c r="AM13" i="18" s="1"/>
  <c r="AW12" i="20"/>
  <c r="T12" i="19"/>
  <c r="AG12" i="19" s="1"/>
  <c r="G12" i="19" s="1"/>
  <c r="G12" i="22" s="1"/>
  <c r="Q12" i="22" s="1"/>
  <c r="BV12" i="19" s="1"/>
  <c r="AV12" i="20"/>
  <c r="BG12" i="19"/>
  <c r="W13" i="18"/>
  <c r="AI13" i="18"/>
  <c r="F12" i="18"/>
  <c r="U13" i="18" s="1"/>
  <c r="Q12" i="19"/>
  <c r="AD12" i="19" s="1"/>
  <c r="D12" i="19" s="1"/>
  <c r="D12" i="22" s="1"/>
  <c r="N12" i="22" s="1"/>
  <c r="BS12" i="19" s="1"/>
  <c r="S13" i="18"/>
  <c r="BE12" i="19"/>
  <c r="T13" i="18"/>
  <c r="R12" i="19"/>
  <c r="AE12" i="19" s="1"/>
  <c r="E12" i="19" s="1"/>
  <c r="E12" i="22" s="1"/>
  <c r="O12" i="22" s="1"/>
  <c r="BT12" i="19" s="1"/>
  <c r="BB14" i="19"/>
  <c r="B14" i="18"/>
  <c r="O14" i="19" s="1"/>
  <c r="AB14" i="19" s="1"/>
  <c r="B14" i="19" s="1"/>
  <c r="B14" i="22" s="1"/>
  <c r="L14" i="22" s="1"/>
  <c r="Q103" i="20"/>
  <c r="CK102" i="20"/>
  <c r="R103" i="20"/>
  <c r="CL102" i="20"/>
  <c r="CI115" i="20"/>
  <c r="AC70" i="20"/>
  <c r="AP116" i="20"/>
  <c r="AG116" i="20" s="1"/>
  <c r="BZ116" i="20"/>
  <c r="P104" i="20"/>
  <c r="CJ103" i="20"/>
  <c r="S103" i="20"/>
  <c r="CM102" i="20"/>
  <c r="AO120" i="20"/>
  <c r="AF120" i="20" s="1"/>
  <c r="BY120" i="20"/>
  <c r="AM119" i="20"/>
  <c r="AD119" i="20" s="1"/>
  <c r="BW119" i="20"/>
  <c r="M12" i="22"/>
  <c r="BQ12" i="19"/>
  <c r="AH13" i="18" s="1"/>
  <c r="R14" i="18"/>
  <c r="BC13" i="19"/>
  <c r="P13" i="19"/>
  <c r="M120" i="20"/>
  <c r="CG119" i="20"/>
  <c r="AD13" i="18" l="1"/>
  <c r="Z12" i="19"/>
  <c r="AM12" i="19" s="1"/>
  <c r="M12" i="19" s="1"/>
  <c r="BM12" i="19"/>
  <c r="BC12" i="20"/>
  <c r="BL12" i="19"/>
  <c r="AZ12" i="20"/>
  <c r="W12" i="19"/>
  <c r="AJ12" i="19" s="1"/>
  <c r="J12" i="19" s="1"/>
  <c r="BJ12" i="19"/>
  <c r="AA13" i="18"/>
  <c r="AJ13" i="18"/>
  <c r="AY12" i="20"/>
  <c r="V12" i="19"/>
  <c r="AI12" i="19" s="1"/>
  <c r="I12" i="19" s="1"/>
  <c r="I12" i="22" s="1"/>
  <c r="S12" i="22" s="1"/>
  <c r="BX12" i="19" s="1"/>
  <c r="BI12" i="19"/>
  <c r="AO13" i="18" s="1"/>
  <c r="Z13" i="18"/>
  <c r="Y13" i="18"/>
  <c r="BB12" i="20"/>
  <c r="Y12" i="19"/>
  <c r="AL12" i="19" s="1"/>
  <c r="L12" i="19" s="1"/>
  <c r="J12" i="22" s="1"/>
  <c r="T12" i="22" s="1"/>
  <c r="BY12" i="19" s="1"/>
  <c r="AQ13" i="18" s="1"/>
  <c r="AC13" i="18"/>
  <c r="X13" i="18"/>
  <c r="I13" i="18" s="1"/>
  <c r="AX13" i="20" s="1"/>
  <c r="S12" i="19"/>
  <c r="AF12" i="19" s="1"/>
  <c r="F12" i="19" s="1"/>
  <c r="F12" i="22" s="1"/>
  <c r="P12" i="22" s="1"/>
  <c r="BU12" i="19" s="1"/>
  <c r="AL13" i="18" s="1"/>
  <c r="AU12" i="20"/>
  <c r="BF12" i="19"/>
  <c r="AK13" i="18" s="1"/>
  <c r="V13" i="18"/>
  <c r="F13" i="18"/>
  <c r="E13" i="18"/>
  <c r="BR13" i="19"/>
  <c r="BD13" i="19"/>
  <c r="BP13" i="19"/>
  <c r="AG14" i="18" s="1"/>
  <c r="C14" i="18" s="1"/>
  <c r="D13" i="18"/>
  <c r="Q15" i="18"/>
  <c r="AS103" i="20"/>
  <c r="AJ103" i="20" s="1"/>
  <c r="CC103" i="20"/>
  <c r="AT103" i="20"/>
  <c r="AK103" i="20" s="1"/>
  <c r="CD103" i="20"/>
  <c r="AQ104" i="20"/>
  <c r="AH104" i="20" s="1"/>
  <c r="CA104" i="20"/>
  <c r="AR103" i="20"/>
  <c r="AI103" i="20" s="1"/>
  <c r="CB103" i="20"/>
  <c r="O117" i="20"/>
  <c r="CI116" i="20"/>
  <c r="CE70" i="20"/>
  <c r="K71" i="20"/>
  <c r="AN120" i="20"/>
  <c r="AE120" i="20" s="1"/>
  <c r="BX120" i="20"/>
  <c r="BO14" i="19"/>
  <c r="AF15" i="18" s="1"/>
  <c r="L120" i="20"/>
  <c r="CF119" i="20"/>
  <c r="AC13" i="19"/>
  <c r="C13" i="19" s="1"/>
  <c r="C13" i="22" s="1"/>
  <c r="N121" i="20"/>
  <c r="CH120" i="20"/>
  <c r="O13" i="18" l="1"/>
  <c r="BL13" i="19"/>
  <c r="M13" i="18"/>
  <c r="AA13" i="19"/>
  <c r="AN13" i="19" s="1"/>
  <c r="N13" i="19" s="1"/>
  <c r="K13" i="22" s="1"/>
  <c r="U13" i="22" s="1"/>
  <c r="CA13" i="19" s="1"/>
  <c r="AS14" i="18" s="1"/>
  <c r="AE14" i="18"/>
  <c r="AP13" i="18"/>
  <c r="K13" i="18"/>
  <c r="AI14" i="18"/>
  <c r="J13" i="18"/>
  <c r="N13" i="18"/>
  <c r="AC14" i="18" s="1"/>
  <c r="BZ13" i="19"/>
  <c r="AR14" i="18" s="1"/>
  <c r="AZ13" i="20"/>
  <c r="W13" i="19"/>
  <c r="AJ13" i="19" s="1"/>
  <c r="J13" i="19" s="1"/>
  <c r="BJ13" i="19"/>
  <c r="Y13" i="19"/>
  <c r="AL13" i="19" s="1"/>
  <c r="L13" i="19" s="1"/>
  <c r="J13" i="22" s="1"/>
  <c r="T13" i="22" s="1"/>
  <c r="BY13" i="19" s="1"/>
  <c r="BB13" i="20"/>
  <c r="H13" i="18"/>
  <c r="S13" i="19"/>
  <c r="AF13" i="19" s="1"/>
  <c r="F13" i="19" s="1"/>
  <c r="F13" i="22" s="1"/>
  <c r="P13" i="22" s="1"/>
  <c r="BU13" i="19" s="1"/>
  <c r="AU13" i="20"/>
  <c r="BF13" i="19"/>
  <c r="G13" i="18"/>
  <c r="V14" i="18"/>
  <c r="Q13" i="19"/>
  <c r="AD13" i="19" s="1"/>
  <c r="D13" i="19" s="1"/>
  <c r="D13" i="22" s="1"/>
  <c r="N13" i="22" s="1"/>
  <c r="BS13" i="19" s="1"/>
  <c r="S14" i="18"/>
  <c r="T14" i="18"/>
  <c r="U14" i="18"/>
  <c r="BE13" i="19"/>
  <c r="AJ14" i="18" s="1"/>
  <c r="R13" i="19"/>
  <c r="AE13" i="19" s="1"/>
  <c r="E13" i="19" s="1"/>
  <c r="E13" i="22" s="1"/>
  <c r="O13" i="22" s="1"/>
  <c r="BT13" i="19" s="1"/>
  <c r="BB15" i="19"/>
  <c r="B15" i="18"/>
  <c r="O15" i="19" s="1"/>
  <c r="AB15" i="19" s="1"/>
  <c r="B15" i="19" s="1"/>
  <c r="B15" i="22" s="1"/>
  <c r="L15" i="22" s="1"/>
  <c r="CM103" i="20"/>
  <c r="AP117" i="20"/>
  <c r="AG117" i="20" s="1"/>
  <c r="BZ117" i="20"/>
  <c r="AL71" i="20"/>
  <c r="BV71" i="20"/>
  <c r="S104" i="20"/>
  <c r="R104" i="20"/>
  <c r="CL103" i="20"/>
  <c r="Q104" i="20"/>
  <c r="CK103" i="20"/>
  <c r="P105" i="20"/>
  <c r="CJ104" i="20"/>
  <c r="R15" i="18"/>
  <c r="BC14" i="19"/>
  <c r="P14" i="19"/>
  <c r="M13" i="22"/>
  <c r="BQ13" i="19"/>
  <c r="AH14" i="18" s="1"/>
  <c r="AM120" i="20"/>
  <c r="AD120" i="20" s="1"/>
  <c r="BW120" i="20"/>
  <c r="AO121" i="20"/>
  <c r="AF121" i="20" s="1"/>
  <c r="BY121" i="20"/>
  <c r="M121" i="20"/>
  <c r="CG120" i="20"/>
  <c r="P14" i="18" l="1"/>
  <c r="AT15" i="18"/>
  <c r="BN14" i="19"/>
  <c r="L13" i="18"/>
  <c r="N14" i="18"/>
  <c r="BZ14" i="19"/>
  <c r="AR15" i="18" s="1"/>
  <c r="BC13" i="20"/>
  <c r="AD14" i="18"/>
  <c r="O14" i="18" s="1"/>
  <c r="Z13" i="19"/>
  <c r="AM13" i="19" s="1"/>
  <c r="M13" i="19" s="1"/>
  <c r="BM13" i="19"/>
  <c r="AY13" i="20"/>
  <c r="V13" i="19"/>
  <c r="AI13" i="19" s="1"/>
  <c r="I13" i="19" s="1"/>
  <c r="I13" i="22" s="1"/>
  <c r="S13" i="22" s="1"/>
  <c r="BX13" i="19" s="1"/>
  <c r="AP14" i="18" s="1"/>
  <c r="BI13" i="19"/>
  <c r="Z14" i="18"/>
  <c r="Y14" i="18"/>
  <c r="U13" i="19"/>
  <c r="AH13" i="19" s="1"/>
  <c r="H13" i="19" s="1"/>
  <c r="H13" i="22" s="1"/>
  <c r="R13" i="22" s="1"/>
  <c r="BW13" i="19" s="1"/>
  <c r="BH13" i="19"/>
  <c r="AM14" i="18" s="1"/>
  <c r="AW13" i="20"/>
  <c r="X14" i="18"/>
  <c r="AK14" i="18"/>
  <c r="G14" i="18" s="1"/>
  <c r="BG13" i="19"/>
  <c r="AL14" i="18" s="1"/>
  <c r="T13" i="19"/>
  <c r="AG13" i="19" s="1"/>
  <c r="G13" i="19" s="1"/>
  <c r="G13" i="22" s="1"/>
  <c r="Q13" i="22" s="1"/>
  <c r="BV13" i="19" s="1"/>
  <c r="AN14" i="18" s="1"/>
  <c r="AV13" i="20"/>
  <c r="W14" i="18"/>
  <c r="BD14" i="19"/>
  <c r="AI15" i="18" s="1"/>
  <c r="E14" i="18"/>
  <c r="BR14" i="19"/>
  <c r="D14" i="18"/>
  <c r="BP14" i="19"/>
  <c r="AG15" i="18" s="1"/>
  <c r="C15" i="18" s="1"/>
  <c r="F14" i="18"/>
  <c r="Q16" i="18"/>
  <c r="AS104" i="20"/>
  <c r="AJ104" i="20" s="1"/>
  <c r="CC104" i="20"/>
  <c r="AT104" i="20"/>
  <c r="AK104" i="20" s="1"/>
  <c r="CD104" i="20"/>
  <c r="AQ105" i="20"/>
  <c r="AH105" i="20" s="1"/>
  <c r="CA105" i="20"/>
  <c r="O118" i="20"/>
  <c r="CI117" i="20"/>
  <c r="AR104" i="20"/>
  <c r="AI104" i="20" s="1"/>
  <c r="CB104" i="20"/>
  <c r="AC71" i="20"/>
  <c r="BO15" i="19"/>
  <c r="AF16" i="18" s="1"/>
  <c r="AN121" i="20"/>
  <c r="AE121" i="20" s="1"/>
  <c r="BX121" i="20"/>
  <c r="N122" i="20"/>
  <c r="CH121" i="20"/>
  <c r="L121" i="20"/>
  <c r="CF120" i="20"/>
  <c r="AC14" i="19"/>
  <c r="C14" i="19" s="1"/>
  <c r="C14" i="22" s="1"/>
  <c r="BA13" i="20" l="1"/>
  <c r="BK13" i="19"/>
  <c r="AQ14" i="18" s="1"/>
  <c r="X13" i="19"/>
  <c r="AK13" i="19" s="1"/>
  <c r="K13" i="19" s="1"/>
  <c r="AA14" i="18"/>
  <c r="L14" i="18" s="1"/>
  <c r="BK14" i="19" s="1"/>
  <c r="AB14" i="18"/>
  <c r="AO14" i="18"/>
  <c r="BA14" i="20"/>
  <c r="X14" i="19"/>
  <c r="AK14" i="19" s="1"/>
  <c r="K14" i="19" s="1"/>
  <c r="AD15" i="18"/>
  <c r="AA14" i="19"/>
  <c r="AN14" i="19" s="1"/>
  <c r="N14" i="19" s="1"/>
  <c r="K14" i="22" s="1"/>
  <c r="U14" i="22" s="1"/>
  <c r="CA14" i="19" s="1"/>
  <c r="AS15" i="18" s="1"/>
  <c r="AE15" i="18"/>
  <c r="AT16" i="18" s="1"/>
  <c r="BC14" i="20"/>
  <c r="Z14" i="19"/>
  <c r="AM14" i="19" s="1"/>
  <c r="M14" i="19" s="1"/>
  <c r="BM14" i="19"/>
  <c r="J14" i="18"/>
  <c r="Y15" i="18"/>
  <c r="I14" i="18"/>
  <c r="AX14" i="20" s="1"/>
  <c r="T14" i="19"/>
  <c r="AG14" i="19" s="1"/>
  <c r="G14" i="19" s="1"/>
  <c r="G14" i="22" s="1"/>
  <c r="Q14" i="22" s="1"/>
  <c r="BV14" i="19" s="1"/>
  <c r="AN15" i="18" s="1"/>
  <c r="BG14" i="19"/>
  <c r="AV14" i="20"/>
  <c r="H14" i="18"/>
  <c r="W15" i="18" s="1"/>
  <c r="R14" i="19"/>
  <c r="AE14" i="19" s="1"/>
  <c r="E14" i="19" s="1"/>
  <c r="E14" i="22" s="1"/>
  <c r="O14" i="22" s="1"/>
  <c r="BT14" i="19" s="1"/>
  <c r="BE14" i="19"/>
  <c r="S15" i="18"/>
  <c r="Q14" i="19"/>
  <c r="AD14" i="19" s="1"/>
  <c r="D14" i="19" s="1"/>
  <c r="D14" i="22" s="1"/>
  <c r="N14" i="22" s="1"/>
  <c r="BS14" i="19" s="1"/>
  <c r="AU14" i="20"/>
  <c r="BF14" i="19"/>
  <c r="S14" i="19"/>
  <c r="AF14" i="19" s="1"/>
  <c r="F14" i="19" s="1"/>
  <c r="F14" i="22" s="1"/>
  <c r="P14" i="22" s="1"/>
  <c r="BU14" i="19" s="1"/>
  <c r="V15" i="18"/>
  <c r="U15" i="18"/>
  <c r="T15" i="18"/>
  <c r="BB16" i="19"/>
  <c r="B16" i="18"/>
  <c r="O16" i="19" s="1"/>
  <c r="AB16" i="19" s="1"/>
  <c r="B16" i="19" s="1"/>
  <c r="B16" i="22" s="1"/>
  <c r="L16" i="22" s="1"/>
  <c r="CL104" i="20"/>
  <c r="K72" i="20"/>
  <c r="CE71" i="20"/>
  <c r="AP118" i="20"/>
  <c r="AG118" i="20" s="1"/>
  <c r="BZ118" i="20"/>
  <c r="S105" i="20"/>
  <c r="CM104" i="20"/>
  <c r="Q105" i="20"/>
  <c r="CK104" i="20"/>
  <c r="P106" i="20"/>
  <c r="CJ105" i="20"/>
  <c r="R105" i="20"/>
  <c r="M122" i="20"/>
  <c r="CG121" i="20"/>
  <c r="AO122" i="20"/>
  <c r="AF122" i="20" s="1"/>
  <c r="BY122" i="20"/>
  <c r="R16" i="18"/>
  <c r="BC15" i="19"/>
  <c r="P15" i="19"/>
  <c r="M14" i="22"/>
  <c r="BQ14" i="19"/>
  <c r="AH15" i="18" s="1"/>
  <c r="AM121" i="20"/>
  <c r="AD121" i="20" s="1"/>
  <c r="BW121" i="20"/>
  <c r="BN15" i="19" l="1"/>
  <c r="O15" i="18"/>
  <c r="AA15" i="19" s="1"/>
  <c r="AN15" i="19" s="1"/>
  <c r="N15" i="19" s="1"/>
  <c r="K15" i="22" s="1"/>
  <c r="U15" i="22" s="1"/>
  <c r="CA15" i="19" s="1"/>
  <c r="AS16" i="18" s="1"/>
  <c r="BL14" i="19"/>
  <c r="M14" i="18"/>
  <c r="BB14" i="20" s="1"/>
  <c r="AC15" i="18"/>
  <c r="Z15" i="18"/>
  <c r="K14" i="18"/>
  <c r="J15" i="18"/>
  <c r="Y16" i="18" s="1"/>
  <c r="AY14" i="20"/>
  <c r="V14" i="19"/>
  <c r="AI14" i="19" s="1"/>
  <c r="I14" i="19" s="1"/>
  <c r="I14" i="22" s="1"/>
  <c r="S14" i="22" s="1"/>
  <c r="BX14" i="19" s="1"/>
  <c r="BI14" i="19"/>
  <c r="AO15" i="18" s="1"/>
  <c r="P15" i="18"/>
  <c r="AL15" i="18"/>
  <c r="H15" i="18" s="1"/>
  <c r="AW15" i="20" s="1"/>
  <c r="AK15" i="18"/>
  <c r="G15" i="18" s="1"/>
  <c r="AJ15" i="18"/>
  <c r="F15" i="18" s="1"/>
  <c r="U14" i="19"/>
  <c r="AH14" i="19" s="1"/>
  <c r="H14" i="19" s="1"/>
  <c r="H14" i="22" s="1"/>
  <c r="R14" i="22" s="1"/>
  <c r="BW14" i="19" s="1"/>
  <c r="BH14" i="19"/>
  <c r="AM15" i="18" s="1"/>
  <c r="X15" i="18"/>
  <c r="AW14" i="20"/>
  <c r="E15" i="18"/>
  <c r="BR15" i="19"/>
  <c r="BP15" i="19"/>
  <c r="AG16" i="18" s="1"/>
  <c r="C16" i="18" s="1"/>
  <c r="D15" i="18"/>
  <c r="BD15" i="19"/>
  <c r="Q17" i="18"/>
  <c r="AS105" i="20"/>
  <c r="AJ105" i="20" s="1"/>
  <c r="CC105" i="20"/>
  <c r="AR105" i="20"/>
  <c r="AI105" i="20" s="1"/>
  <c r="CB105" i="20"/>
  <c r="AQ106" i="20"/>
  <c r="AH106" i="20" s="1"/>
  <c r="CA106" i="20"/>
  <c r="AT105" i="20"/>
  <c r="AK105" i="20" s="1"/>
  <c r="CD105" i="20"/>
  <c r="O119" i="20"/>
  <c r="CI118" i="20"/>
  <c r="AL72" i="20"/>
  <c r="BV72" i="20"/>
  <c r="L122" i="20"/>
  <c r="CF121" i="20"/>
  <c r="BO16" i="19"/>
  <c r="AF17" i="18" s="1"/>
  <c r="AC15" i="19"/>
  <c r="C15" i="19" s="1"/>
  <c r="C15" i="22" s="1"/>
  <c r="N123" i="20"/>
  <c r="CH122" i="20"/>
  <c r="AN122" i="20"/>
  <c r="AE122" i="20" s="1"/>
  <c r="BX122" i="20"/>
  <c r="BN16" i="19" l="1"/>
  <c r="AE16" i="18"/>
  <c r="Y14" i="19"/>
  <c r="AL14" i="19" s="1"/>
  <c r="L14" i="19" s="1"/>
  <c r="J14" i="22" s="1"/>
  <c r="T14" i="22" s="1"/>
  <c r="BY14" i="19" s="1"/>
  <c r="AQ15" i="18" s="1"/>
  <c r="AB15" i="18"/>
  <c r="N15" i="18"/>
  <c r="BZ15" i="19"/>
  <c r="AR16" i="18" s="1"/>
  <c r="K15" i="18"/>
  <c r="Z16" i="18" s="1"/>
  <c r="AZ14" i="20"/>
  <c r="AA15" i="18"/>
  <c r="W14" i="19"/>
  <c r="AJ14" i="19" s="1"/>
  <c r="J14" i="19" s="1"/>
  <c r="BJ14" i="19"/>
  <c r="AP15" i="18" s="1"/>
  <c r="AP16" i="18" s="1"/>
  <c r="AY15" i="20"/>
  <c r="V15" i="19"/>
  <c r="AI15" i="19" s="1"/>
  <c r="I15" i="19" s="1"/>
  <c r="I15" i="22" s="1"/>
  <c r="S15" i="22" s="1"/>
  <c r="BX15" i="19" s="1"/>
  <c r="BI15" i="19"/>
  <c r="AO16" i="18" s="1"/>
  <c r="AZ15" i="20"/>
  <c r="W15" i="19"/>
  <c r="AJ15" i="19" s="1"/>
  <c r="J15" i="19" s="1"/>
  <c r="BJ15" i="19"/>
  <c r="AI16" i="18"/>
  <c r="AV15" i="20"/>
  <c r="T15" i="19"/>
  <c r="AG15" i="19" s="1"/>
  <c r="G15" i="19" s="1"/>
  <c r="G15" i="22" s="1"/>
  <c r="Q15" i="22" s="1"/>
  <c r="BV15" i="19" s="1"/>
  <c r="AN16" i="18" s="1"/>
  <c r="BG15" i="19"/>
  <c r="U15" i="19"/>
  <c r="AH15" i="19" s="1"/>
  <c r="H15" i="19" s="1"/>
  <c r="H15" i="22" s="1"/>
  <c r="R15" i="22" s="1"/>
  <c r="BW15" i="19" s="1"/>
  <c r="BH15" i="19"/>
  <c r="AM16" i="18" s="1"/>
  <c r="W16" i="18"/>
  <c r="BF15" i="19"/>
  <c r="S15" i="19"/>
  <c r="AF15" i="19" s="1"/>
  <c r="F15" i="19" s="1"/>
  <c r="F15" i="22" s="1"/>
  <c r="P15" i="22" s="1"/>
  <c r="BU15" i="19" s="1"/>
  <c r="V16" i="18"/>
  <c r="AU15" i="20"/>
  <c r="I15" i="18"/>
  <c r="AX15" i="20" s="1"/>
  <c r="X16" i="18"/>
  <c r="Q15" i="19"/>
  <c r="AD15" i="19" s="1"/>
  <c r="D15" i="19" s="1"/>
  <c r="D15" i="22" s="1"/>
  <c r="N15" i="22" s="1"/>
  <c r="BS15" i="19" s="1"/>
  <c r="S16" i="18"/>
  <c r="BE15" i="19"/>
  <c r="R15" i="19"/>
  <c r="AE15" i="19" s="1"/>
  <c r="E15" i="19" s="1"/>
  <c r="E15" i="22" s="1"/>
  <c r="O15" i="22" s="1"/>
  <c r="BT15" i="19" s="1"/>
  <c r="U16" i="18"/>
  <c r="T16" i="18"/>
  <c r="BB17" i="19"/>
  <c r="B17" i="18"/>
  <c r="O17" i="19" s="1"/>
  <c r="AB17" i="19" s="1"/>
  <c r="B17" i="19" s="1"/>
  <c r="B17" i="22" s="1"/>
  <c r="L17" i="22" s="1"/>
  <c r="CJ106" i="20"/>
  <c r="CK105" i="20"/>
  <c r="AP119" i="20"/>
  <c r="AG119" i="20" s="1"/>
  <c r="BZ119" i="20"/>
  <c r="P107" i="20"/>
  <c r="Q106" i="20"/>
  <c r="AC72" i="20"/>
  <c r="S106" i="20"/>
  <c r="CM105" i="20"/>
  <c r="R106" i="20"/>
  <c r="CL105" i="20"/>
  <c r="M123" i="20"/>
  <c r="CG122" i="20"/>
  <c r="AM122" i="20"/>
  <c r="AD122" i="20" s="1"/>
  <c r="BW122" i="20"/>
  <c r="M15" i="22"/>
  <c r="BQ15" i="19"/>
  <c r="AH16" i="18" s="1"/>
  <c r="AO123" i="20"/>
  <c r="AF123" i="20" s="1"/>
  <c r="BY123" i="20"/>
  <c r="R17" i="18"/>
  <c r="BC16" i="19"/>
  <c r="P16" i="19"/>
  <c r="P16" i="18" l="1"/>
  <c r="AT17" i="18"/>
  <c r="M15" i="18"/>
  <c r="BL15" i="19"/>
  <c r="L15" i="18"/>
  <c r="BC15" i="20"/>
  <c r="Z15" i="19"/>
  <c r="AM15" i="19" s="1"/>
  <c r="M15" i="19" s="1"/>
  <c r="AD16" i="18"/>
  <c r="BM15" i="19"/>
  <c r="K16" i="18"/>
  <c r="X15" i="19"/>
  <c r="AK15" i="19" s="1"/>
  <c r="K15" i="19" s="1"/>
  <c r="BK15" i="19"/>
  <c r="BA15" i="20"/>
  <c r="AZ16" i="20"/>
  <c r="W16" i="19"/>
  <c r="AJ16" i="19" s="1"/>
  <c r="J16" i="19" s="1"/>
  <c r="BJ16" i="19"/>
  <c r="J16" i="18"/>
  <c r="AL16" i="18"/>
  <c r="H16" i="18" s="1"/>
  <c r="AJ16" i="18"/>
  <c r="F16" i="18" s="1"/>
  <c r="AK16" i="18"/>
  <c r="I16" i="18"/>
  <c r="AX16" i="20" s="1"/>
  <c r="BP16" i="19"/>
  <c r="AG17" i="18" s="1"/>
  <c r="C17" i="18" s="1"/>
  <c r="D16" i="18"/>
  <c r="Q16" i="19" s="1"/>
  <c r="AD16" i="19" s="1"/>
  <c r="D16" i="19" s="1"/>
  <c r="D16" i="22" s="1"/>
  <c r="N16" i="22" s="1"/>
  <c r="BS16" i="19" s="1"/>
  <c r="E16" i="18"/>
  <c r="BR16" i="19"/>
  <c r="BD16" i="19"/>
  <c r="Q18" i="18"/>
  <c r="O120" i="20"/>
  <c r="CI119" i="20"/>
  <c r="AT106" i="20"/>
  <c r="AK106" i="20" s="1"/>
  <c r="CD106" i="20"/>
  <c r="AS106" i="20"/>
  <c r="AJ106" i="20" s="1"/>
  <c r="CC106" i="20"/>
  <c r="CE72" i="20"/>
  <c r="K73" i="20"/>
  <c r="AQ107" i="20"/>
  <c r="AH107" i="20" s="1"/>
  <c r="CA107" i="20"/>
  <c r="AR106" i="20"/>
  <c r="AI106" i="20" s="1"/>
  <c r="CB106" i="20"/>
  <c r="BO17" i="19"/>
  <c r="AF18" i="18" s="1"/>
  <c r="L123" i="20"/>
  <c r="CF122" i="20"/>
  <c r="AN123" i="20"/>
  <c r="AE123" i="20" s="1"/>
  <c r="BX123" i="20"/>
  <c r="AC16" i="19"/>
  <c r="C16" i="19" s="1"/>
  <c r="C16" i="22" s="1"/>
  <c r="N124" i="20"/>
  <c r="CH123" i="20"/>
  <c r="O16" i="18" l="1"/>
  <c r="AA16" i="19" s="1"/>
  <c r="AN16" i="19" s="1"/>
  <c r="N16" i="19" s="1"/>
  <c r="K16" i="22" s="1"/>
  <c r="U16" i="22" s="1"/>
  <c r="CA16" i="19" s="1"/>
  <c r="AS17" i="18" s="1"/>
  <c r="AE17" i="18"/>
  <c r="P17" i="18" s="1"/>
  <c r="Y15" i="19"/>
  <c r="AL15" i="19" s="1"/>
  <c r="L15" i="19" s="1"/>
  <c r="J15" i="22" s="1"/>
  <c r="T15" i="22" s="1"/>
  <c r="BY15" i="19" s="1"/>
  <c r="AQ16" i="18" s="1"/>
  <c r="BB15" i="20"/>
  <c r="AC16" i="18"/>
  <c r="AA16" i="18"/>
  <c r="AB16" i="18"/>
  <c r="AY16" i="20"/>
  <c r="V16" i="19"/>
  <c r="AI16" i="19" s="1"/>
  <c r="I16" i="19" s="1"/>
  <c r="I16" i="22" s="1"/>
  <c r="S16" i="22" s="1"/>
  <c r="BX16" i="19" s="1"/>
  <c r="BI16" i="19"/>
  <c r="Y17" i="18"/>
  <c r="Z17" i="18"/>
  <c r="AW16" i="20"/>
  <c r="BH16" i="19"/>
  <c r="AM17" i="18" s="1"/>
  <c r="U16" i="19"/>
  <c r="AH16" i="19" s="1"/>
  <c r="H16" i="19" s="1"/>
  <c r="H16" i="22" s="1"/>
  <c r="R16" i="22" s="1"/>
  <c r="BW16" i="19" s="1"/>
  <c r="AI17" i="18"/>
  <c r="X17" i="18"/>
  <c r="G16" i="18"/>
  <c r="U17" i="18"/>
  <c r="BF16" i="19"/>
  <c r="S16" i="19"/>
  <c r="AF16" i="19" s="1"/>
  <c r="F16" i="19" s="1"/>
  <c r="F16" i="22" s="1"/>
  <c r="P16" i="22" s="1"/>
  <c r="BU16" i="19" s="1"/>
  <c r="V17" i="18"/>
  <c r="AU16" i="20"/>
  <c r="R16" i="19"/>
  <c r="AE16" i="19" s="1"/>
  <c r="E16" i="19" s="1"/>
  <c r="E16" i="22" s="1"/>
  <c r="O16" i="22" s="1"/>
  <c r="BT16" i="19" s="1"/>
  <c r="BE16" i="19"/>
  <c r="AJ17" i="18" s="1"/>
  <c r="T17" i="18"/>
  <c r="S17" i="18"/>
  <c r="BB18" i="19"/>
  <c r="B18" i="18"/>
  <c r="R107" i="20"/>
  <c r="CL106" i="20"/>
  <c r="Q107" i="20"/>
  <c r="CK106" i="20"/>
  <c r="BV73" i="20"/>
  <c r="AL73" i="20"/>
  <c r="S107" i="20"/>
  <c r="CM106" i="20"/>
  <c r="AP120" i="20"/>
  <c r="AG120" i="20" s="1"/>
  <c r="BZ120" i="20"/>
  <c r="P108" i="20"/>
  <c r="CJ107" i="20"/>
  <c r="AO124" i="20"/>
  <c r="AF124" i="20" s="1"/>
  <c r="BY124" i="20"/>
  <c r="M16" i="22"/>
  <c r="BQ16" i="19"/>
  <c r="AH17" i="18" s="1"/>
  <c r="AM123" i="20"/>
  <c r="AD123" i="20" s="1"/>
  <c r="BW123" i="20"/>
  <c r="M124" i="20"/>
  <c r="CG123" i="20"/>
  <c r="R18" i="18"/>
  <c r="BC17" i="19"/>
  <c r="P17" i="19"/>
  <c r="AT18" i="18" l="1"/>
  <c r="BN17" i="19"/>
  <c r="BL16" i="19"/>
  <c r="M16" i="18"/>
  <c r="N16" i="18"/>
  <c r="BZ16" i="19"/>
  <c r="AR17" i="18" s="1"/>
  <c r="L16" i="18"/>
  <c r="AP17" i="18"/>
  <c r="AA17" i="18"/>
  <c r="AO17" i="18"/>
  <c r="K17" i="18" s="1"/>
  <c r="AK17" i="18"/>
  <c r="G17" i="18" s="1"/>
  <c r="I17" i="18"/>
  <c r="AX17" i="20" s="1"/>
  <c r="BG16" i="19"/>
  <c r="AL17" i="18" s="1"/>
  <c r="AV16" i="20"/>
  <c r="T16" i="19"/>
  <c r="AG16" i="19" s="1"/>
  <c r="G16" i="19" s="1"/>
  <c r="G16" i="22" s="1"/>
  <c r="Q16" i="22" s="1"/>
  <c r="BV16" i="19" s="1"/>
  <c r="AN17" i="18" s="1"/>
  <c r="W17" i="18"/>
  <c r="F17" i="18"/>
  <c r="D17" i="18"/>
  <c r="BP17" i="19"/>
  <c r="AG18" i="18" s="1"/>
  <c r="C18" i="18" s="1"/>
  <c r="BR17" i="19"/>
  <c r="E17" i="18"/>
  <c r="BD17" i="19"/>
  <c r="O18" i="19"/>
  <c r="AB18" i="19" s="1"/>
  <c r="B18" i="19" s="1"/>
  <c r="B18" i="22" s="1"/>
  <c r="L18" i="22" s="1"/>
  <c r="BO18" i="19" s="1"/>
  <c r="AF19" i="18" s="1"/>
  <c r="Q19" i="18"/>
  <c r="AC73" i="20"/>
  <c r="AQ108" i="20"/>
  <c r="AH108" i="20" s="1"/>
  <c r="CA108" i="20"/>
  <c r="AR107" i="20"/>
  <c r="AI107" i="20" s="1"/>
  <c r="CB107" i="20"/>
  <c r="AT107" i="20"/>
  <c r="AK107" i="20" s="1"/>
  <c r="CD107" i="20"/>
  <c r="O121" i="20"/>
  <c r="CI120" i="20"/>
  <c r="AS107" i="20"/>
  <c r="AJ107" i="20" s="1"/>
  <c r="CC107" i="20"/>
  <c r="AC17" i="19"/>
  <c r="C17" i="19" s="1"/>
  <c r="C17" i="22" s="1"/>
  <c r="AN124" i="20"/>
  <c r="AE124" i="20" s="1"/>
  <c r="BX124" i="20"/>
  <c r="L124" i="20"/>
  <c r="CF123" i="20"/>
  <c r="N125" i="20"/>
  <c r="CH124" i="20"/>
  <c r="AC17" i="18" l="1"/>
  <c r="AD17" i="18"/>
  <c r="BC16" i="20"/>
  <c r="Z16" i="19"/>
  <c r="AM16" i="19" s="1"/>
  <c r="M16" i="19" s="1"/>
  <c r="BM16" i="19"/>
  <c r="BB16" i="20"/>
  <c r="Y16" i="19"/>
  <c r="AL16" i="19" s="1"/>
  <c r="L16" i="19" s="1"/>
  <c r="J16" i="22" s="1"/>
  <c r="T16" i="22" s="1"/>
  <c r="BY16" i="19" s="1"/>
  <c r="BA16" i="20"/>
  <c r="X16" i="19"/>
  <c r="AK16" i="19" s="1"/>
  <c r="K16" i="19" s="1"/>
  <c r="BK16" i="19"/>
  <c r="L17" i="18"/>
  <c r="AB17" i="18"/>
  <c r="W17" i="19"/>
  <c r="AJ17" i="19" s="1"/>
  <c r="J17" i="19" s="1"/>
  <c r="AA18" i="18"/>
  <c r="BJ17" i="19"/>
  <c r="AZ17" i="20"/>
  <c r="J17" i="18"/>
  <c r="H17" i="18"/>
  <c r="W18" i="18" s="1"/>
  <c r="AI18" i="18"/>
  <c r="BG17" i="19"/>
  <c r="T17" i="19"/>
  <c r="AG17" i="19" s="1"/>
  <c r="G17" i="19" s="1"/>
  <c r="G17" i="22" s="1"/>
  <c r="Q17" i="22" s="1"/>
  <c r="BV17" i="19" s="1"/>
  <c r="AN18" i="18" s="1"/>
  <c r="AV17" i="20"/>
  <c r="BF17" i="19"/>
  <c r="S17" i="19"/>
  <c r="AF17" i="19" s="1"/>
  <c r="F17" i="19" s="1"/>
  <c r="F17" i="22" s="1"/>
  <c r="P17" i="22" s="1"/>
  <c r="BU17" i="19" s="1"/>
  <c r="AU17" i="20"/>
  <c r="V18" i="18"/>
  <c r="U18" i="18"/>
  <c r="T18" i="18"/>
  <c r="R17" i="19"/>
  <c r="AE17" i="19" s="1"/>
  <c r="E17" i="19" s="1"/>
  <c r="E17" i="22" s="1"/>
  <c r="O17" i="22" s="1"/>
  <c r="BT17" i="19" s="1"/>
  <c r="BE17" i="19"/>
  <c r="Q17" i="19"/>
  <c r="AD17" i="19" s="1"/>
  <c r="D17" i="19" s="1"/>
  <c r="D17" i="22" s="1"/>
  <c r="N17" i="22" s="1"/>
  <c r="BS17" i="19" s="1"/>
  <c r="S18" i="18"/>
  <c r="BB19" i="19"/>
  <c r="B19" i="18"/>
  <c r="O19" i="19" s="1"/>
  <c r="AB19" i="19" s="1"/>
  <c r="B19" i="19" s="1"/>
  <c r="B19" i="22" s="1"/>
  <c r="L19" i="22" s="1"/>
  <c r="P109" i="20"/>
  <c r="CJ108" i="20"/>
  <c r="CE73" i="20"/>
  <c r="K74" i="20"/>
  <c r="R108" i="20"/>
  <c r="CL107" i="20"/>
  <c r="CM107" i="20"/>
  <c r="S108" i="20"/>
  <c r="Q108" i="20"/>
  <c r="CK107" i="20"/>
  <c r="AP121" i="20"/>
  <c r="AG121" i="20" s="1"/>
  <c r="BZ121" i="20"/>
  <c r="R19" i="18"/>
  <c r="BC18" i="19"/>
  <c r="P18" i="19"/>
  <c r="M17" i="22"/>
  <c r="BQ17" i="19"/>
  <c r="AH18" i="18" s="1"/>
  <c r="AM124" i="20"/>
  <c r="AD124" i="20" s="1"/>
  <c r="BW124" i="20"/>
  <c r="AO125" i="20"/>
  <c r="AF125" i="20" s="1"/>
  <c r="BY125" i="20"/>
  <c r="M125" i="20"/>
  <c r="CG124" i="20"/>
  <c r="AQ17" i="18" l="1"/>
  <c r="O17" i="18"/>
  <c r="AD18" i="18"/>
  <c r="N17" i="18"/>
  <c r="BZ17" i="19"/>
  <c r="AR18" i="18" s="1"/>
  <c r="BK17" i="19"/>
  <c r="BA17" i="20"/>
  <c r="X17" i="19"/>
  <c r="AK17" i="19" s="1"/>
  <c r="K17" i="19" s="1"/>
  <c r="AY17" i="20"/>
  <c r="V17" i="19"/>
  <c r="AI17" i="19" s="1"/>
  <c r="I17" i="19" s="1"/>
  <c r="I17" i="22" s="1"/>
  <c r="S17" i="22" s="1"/>
  <c r="BX17" i="19" s="1"/>
  <c r="AP18" i="18" s="1"/>
  <c r="BI17" i="19"/>
  <c r="AO18" i="18" s="1"/>
  <c r="Y18" i="18"/>
  <c r="Z18" i="18"/>
  <c r="AL18" i="18"/>
  <c r="H18" i="18" s="1"/>
  <c r="AK18" i="18"/>
  <c r="G18" i="18" s="1"/>
  <c r="AW17" i="20"/>
  <c r="U17" i="19"/>
  <c r="AH17" i="19" s="1"/>
  <c r="H17" i="19" s="1"/>
  <c r="H17" i="22" s="1"/>
  <c r="R17" i="22" s="1"/>
  <c r="BW17" i="19" s="1"/>
  <c r="BH17" i="19"/>
  <c r="AM18" i="18" s="1"/>
  <c r="X18" i="18"/>
  <c r="AJ18" i="18"/>
  <c r="F18" i="18" s="1"/>
  <c r="BD18" i="19"/>
  <c r="AI19" i="18" s="1"/>
  <c r="BP18" i="19"/>
  <c r="AG19" i="18" s="1"/>
  <c r="C19" i="18" s="1"/>
  <c r="D18" i="18"/>
  <c r="E18" i="18"/>
  <c r="BR18" i="19"/>
  <c r="Q20" i="18"/>
  <c r="AL74" i="20"/>
  <c r="BV74" i="20"/>
  <c r="AT108" i="20"/>
  <c r="AK108" i="20" s="1"/>
  <c r="CD108" i="20"/>
  <c r="O122" i="20"/>
  <c r="CI121" i="20"/>
  <c r="AR108" i="20"/>
  <c r="AI108" i="20" s="1"/>
  <c r="CB108" i="20"/>
  <c r="AS108" i="20"/>
  <c r="AJ108" i="20" s="1"/>
  <c r="CC108" i="20"/>
  <c r="AQ109" i="20"/>
  <c r="AH109" i="20" s="1"/>
  <c r="CA109" i="20"/>
  <c r="AC18" i="19"/>
  <c r="C18" i="19" s="1"/>
  <c r="C18" i="22" s="1"/>
  <c r="L125" i="20"/>
  <c r="CF124" i="20"/>
  <c r="BO19" i="19"/>
  <c r="AF20" i="18" s="1"/>
  <c r="AN125" i="20"/>
  <c r="AE125" i="20" s="1"/>
  <c r="BX125" i="20"/>
  <c r="N126" i="20"/>
  <c r="CH125" i="20"/>
  <c r="AA17" i="19" l="1"/>
  <c r="AN17" i="19" s="1"/>
  <c r="N17" i="19" s="1"/>
  <c r="K17" i="22" s="1"/>
  <c r="U17" i="22" s="1"/>
  <c r="CA17" i="19" s="1"/>
  <c r="AS18" i="18" s="1"/>
  <c r="AE18" i="18"/>
  <c r="BL17" i="19"/>
  <c r="BC17" i="20"/>
  <c r="Z17" i="19"/>
  <c r="AM17" i="19" s="1"/>
  <c r="M17" i="19" s="1"/>
  <c r="BM17" i="19"/>
  <c r="M17" i="18"/>
  <c r="AC18" i="18" s="1"/>
  <c r="L18" i="18"/>
  <c r="K18" i="18"/>
  <c r="Z19" i="18" s="1"/>
  <c r="J18" i="18"/>
  <c r="Y19" i="18"/>
  <c r="I18" i="18"/>
  <c r="AX18" i="20" s="1"/>
  <c r="BG18" i="19"/>
  <c r="AV18" i="20"/>
  <c r="T18" i="19"/>
  <c r="AG18" i="19" s="1"/>
  <c r="G18" i="19" s="1"/>
  <c r="G18" i="22" s="1"/>
  <c r="Q18" i="22" s="1"/>
  <c r="BV18" i="19" s="1"/>
  <c r="AN19" i="18" s="1"/>
  <c r="W19" i="18"/>
  <c r="AW18" i="20"/>
  <c r="U18" i="19"/>
  <c r="AH18" i="19" s="1"/>
  <c r="H18" i="19" s="1"/>
  <c r="H18" i="22" s="1"/>
  <c r="R18" i="22" s="1"/>
  <c r="BW18" i="19" s="1"/>
  <c r="BH18" i="19"/>
  <c r="AM19" i="18" s="1"/>
  <c r="V19" i="18"/>
  <c r="AU18" i="20"/>
  <c r="BF18" i="19"/>
  <c r="S18" i="19"/>
  <c r="AF18" i="19" s="1"/>
  <c r="F18" i="19" s="1"/>
  <c r="F18" i="22" s="1"/>
  <c r="P18" i="22" s="1"/>
  <c r="BU18" i="19" s="1"/>
  <c r="S19" i="18"/>
  <c r="Q18" i="19"/>
  <c r="AD18" i="19" s="1"/>
  <c r="D18" i="19" s="1"/>
  <c r="D18" i="22" s="1"/>
  <c r="N18" i="22" s="1"/>
  <c r="BS18" i="19" s="1"/>
  <c r="AJ19" i="18" s="1"/>
  <c r="R18" i="19"/>
  <c r="AE18" i="19" s="1"/>
  <c r="E18" i="19" s="1"/>
  <c r="E18" i="22" s="1"/>
  <c r="O18" i="22" s="1"/>
  <c r="BT18" i="19" s="1"/>
  <c r="U19" i="18"/>
  <c r="BE18" i="19"/>
  <c r="T19" i="18"/>
  <c r="BB20" i="19"/>
  <c r="B20" i="18"/>
  <c r="O20" i="19" s="1"/>
  <c r="AB20" i="19" s="1"/>
  <c r="B20" i="19" s="1"/>
  <c r="B20" i="22" s="1"/>
  <c r="L20" i="22" s="1"/>
  <c r="R109" i="20"/>
  <c r="S109" i="20"/>
  <c r="CM108" i="20"/>
  <c r="AP122" i="20"/>
  <c r="AG122" i="20" s="1"/>
  <c r="BZ122" i="20"/>
  <c r="P110" i="20"/>
  <c r="CJ109" i="20"/>
  <c r="Q109" i="20"/>
  <c r="CK108" i="20"/>
  <c r="AC74" i="20"/>
  <c r="CL108" i="20"/>
  <c r="R20" i="18"/>
  <c r="BC19" i="19"/>
  <c r="P19" i="19"/>
  <c r="AM125" i="20"/>
  <c r="AD125" i="20" s="1"/>
  <c r="BW125" i="20"/>
  <c r="M18" i="22"/>
  <c r="BQ18" i="19"/>
  <c r="AH19" i="18" s="1"/>
  <c r="M126" i="20"/>
  <c r="CG125" i="20"/>
  <c r="AO126" i="20"/>
  <c r="AF126" i="20" s="1"/>
  <c r="BY126" i="20"/>
  <c r="P18" i="18" l="1"/>
  <c r="AT19" i="18"/>
  <c r="BN18" i="19"/>
  <c r="O18" i="18"/>
  <c r="AA18" i="19" s="1"/>
  <c r="AN18" i="19" s="1"/>
  <c r="N18" i="19" s="1"/>
  <c r="K18" i="22" s="1"/>
  <c r="U18" i="22" s="1"/>
  <c r="CA18" i="19" s="1"/>
  <c r="AS19" i="18" s="1"/>
  <c r="AR19" i="18"/>
  <c r="BZ18" i="19"/>
  <c r="N18" i="18"/>
  <c r="AB18" i="18"/>
  <c r="Y17" i="19"/>
  <c r="AL17" i="19" s="1"/>
  <c r="L17" i="19" s="1"/>
  <c r="J17" i="22" s="1"/>
  <c r="T17" i="22" s="1"/>
  <c r="BY17" i="19" s="1"/>
  <c r="AQ18" i="18" s="1"/>
  <c r="BB17" i="20"/>
  <c r="BA18" i="20"/>
  <c r="BK18" i="19"/>
  <c r="X18" i="19"/>
  <c r="AK18" i="19" s="1"/>
  <c r="K18" i="19" s="1"/>
  <c r="AZ18" i="20"/>
  <c r="W18" i="19"/>
  <c r="AJ18" i="19" s="1"/>
  <c r="J18" i="19" s="1"/>
  <c r="BJ18" i="19"/>
  <c r="AP19" i="18" s="1"/>
  <c r="AA19" i="18"/>
  <c r="J19" i="18"/>
  <c r="AY18" i="20"/>
  <c r="V18" i="19"/>
  <c r="AI18" i="19" s="1"/>
  <c r="I18" i="19" s="1"/>
  <c r="I18" i="22" s="1"/>
  <c r="S18" i="22" s="1"/>
  <c r="BX18" i="19" s="1"/>
  <c r="BI18" i="19"/>
  <c r="AO19" i="18" s="1"/>
  <c r="X19" i="18"/>
  <c r="I19" i="18" s="1"/>
  <c r="AX19" i="20" s="1"/>
  <c r="AK19" i="18"/>
  <c r="G19" i="18" s="1"/>
  <c r="AL19" i="18"/>
  <c r="H19" i="18" s="1"/>
  <c r="F19" i="18"/>
  <c r="BD19" i="19"/>
  <c r="BR19" i="19"/>
  <c r="E19" i="18"/>
  <c r="D19" i="18"/>
  <c r="BP19" i="19"/>
  <c r="AG20" i="18" s="1"/>
  <c r="C20" i="18" s="1"/>
  <c r="Q21" i="18"/>
  <c r="AS109" i="20"/>
  <c r="AJ109" i="20" s="1"/>
  <c r="CC109" i="20"/>
  <c r="O123" i="20"/>
  <c r="CI122" i="20"/>
  <c r="AT109" i="20"/>
  <c r="AK109" i="20" s="1"/>
  <c r="CD109" i="20"/>
  <c r="CE74" i="20"/>
  <c r="K75" i="20"/>
  <c r="AR109" i="20"/>
  <c r="AI109" i="20" s="1"/>
  <c r="CB109" i="20"/>
  <c r="AQ110" i="20"/>
  <c r="AH110" i="20" s="1"/>
  <c r="CA110" i="20"/>
  <c r="AN126" i="20"/>
  <c r="AE126" i="20" s="1"/>
  <c r="BX126" i="20"/>
  <c r="AC19" i="19"/>
  <c r="C19" i="19" s="1"/>
  <c r="C19" i="22" s="1"/>
  <c r="N127" i="20"/>
  <c r="CH126" i="20"/>
  <c r="L126" i="20"/>
  <c r="CF125" i="20"/>
  <c r="BO20" i="19"/>
  <c r="AF21" i="18" s="1"/>
  <c r="BN19" i="19" l="1"/>
  <c r="AE19" i="18"/>
  <c r="P19" i="18" s="1"/>
  <c r="M18" i="18"/>
  <c r="AB19" i="18"/>
  <c r="Z18" i="19"/>
  <c r="AM18" i="19" s="1"/>
  <c r="M18" i="19" s="1"/>
  <c r="BM18" i="19"/>
  <c r="AD19" i="18"/>
  <c r="O19" i="18" s="1"/>
  <c r="AA19" i="19" s="1"/>
  <c r="BC18" i="20"/>
  <c r="BL18" i="19"/>
  <c r="L19" i="18"/>
  <c r="BA19" i="20" s="1"/>
  <c r="K19" i="18"/>
  <c r="Z20" i="18" s="1"/>
  <c r="AA20" i="18"/>
  <c r="X19" i="19"/>
  <c r="AK19" i="19" s="1"/>
  <c r="K19" i="19" s="1"/>
  <c r="BK19" i="19"/>
  <c r="AZ19" i="20"/>
  <c r="W19" i="19"/>
  <c r="AJ19" i="19" s="1"/>
  <c r="J19" i="19" s="1"/>
  <c r="BJ19" i="19"/>
  <c r="AP20" i="18" s="1"/>
  <c r="Y20" i="18"/>
  <c r="AY19" i="20"/>
  <c r="V19" i="19"/>
  <c r="AI19" i="19" s="1"/>
  <c r="I19" i="19" s="1"/>
  <c r="I19" i="22" s="1"/>
  <c r="S19" i="22" s="1"/>
  <c r="BX19" i="19" s="1"/>
  <c r="BI19" i="19"/>
  <c r="AO20" i="18" s="1"/>
  <c r="AV19" i="20"/>
  <c r="BG19" i="19"/>
  <c r="AL20" i="18" s="1"/>
  <c r="T19" i="19"/>
  <c r="AG19" i="19" s="1"/>
  <c r="G19" i="19" s="1"/>
  <c r="G19" i="22" s="1"/>
  <c r="Q19" i="22" s="1"/>
  <c r="BV19" i="19" s="1"/>
  <c r="AN20" i="18" s="1"/>
  <c r="V20" i="18"/>
  <c r="S19" i="19"/>
  <c r="AF19" i="19" s="1"/>
  <c r="F19" i="19" s="1"/>
  <c r="F19" i="22" s="1"/>
  <c r="P19" i="22" s="1"/>
  <c r="BU19" i="19" s="1"/>
  <c r="AW19" i="20"/>
  <c r="U19" i="19"/>
  <c r="AH19" i="19" s="1"/>
  <c r="H19" i="19" s="1"/>
  <c r="H19" i="22" s="1"/>
  <c r="R19" i="22" s="1"/>
  <c r="BW19" i="19" s="1"/>
  <c r="X20" i="18"/>
  <c r="BH19" i="19"/>
  <c r="AM20" i="18" s="1"/>
  <c r="W20" i="18"/>
  <c r="AI20" i="18"/>
  <c r="BF19" i="19"/>
  <c r="AU19" i="20"/>
  <c r="R19" i="19"/>
  <c r="AE19" i="19" s="1"/>
  <c r="E19" i="19" s="1"/>
  <c r="E19" i="22" s="1"/>
  <c r="O19" i="22" s="1"/>
  <c r="BT19" i="19" s="1"/>
  <c r="BE19" i="19"/>
  <c r="Q19" i="19"/>
  <c r="AD19" i="19" s="1"/>
  <c r="D19" i="19" s="1"/>
  <c r="D19" i="22" s="1"/>
  <c r="N19" i="22" s="1"/>
  <c r="BS19" i="19" s="1"/>
  <c r="S20" i="18"/>
  <c r="U20" i="18"/>
  <c r="T20" i="18"/>
  <c r="BB21" i="19"/>
  <c r="B21" i="18"/>
  <c r="O21" i="19" s="1"/>
  <c r="AB21" i="19" s="1"/>
  <c r="B21" i="19" s="1"/>
  <c r="B21" i="22" s="1"/>
  <c r="L21" i="22" s="1"/>
  <c r="CK109" i="20"/>
  <c r="AP123" i="20"/>
  <c r="AG123" i="20" s="1"/>
  <c r="BZ123" i="20"/>
  <c r="Q110" i="20"/>
  <c r="S110" i="20"/>
  <c r="CM109" i="20"/>
  <c r="P111" i="20"/>
  <c r="R110" i="20"/>
  <c r="CL109" i="20"/>
  <c r="CJ110" i="20"/>
  <c r="AL75" i="20"/>
  <c r="BV75" i="20"/>
  <c r="M19" i="22"/>
  <c r="BQ19" i="19"/>
  <c r="AH20" i="18" s="1"/>
  <c r="R21" i="18"/>
  <c r="BC20" i="19"/>
  <c r="P20" i="19"/>
  <c r="AM126" i="20"/>
  <c r="AD126" i="20" s="1"/>
  <c r="BW126" i="20"/>
  <c r="AO127" i="20"/>
  <c r="AF127" i="20" s="1"/>
  <c r="BY127" i="20"/>
  <c r="M127" i="20"/>
  <c r="CG126" i="20"/>
  <c r="AT20" i="18" l="1"/>
  <c r="AT21" i="18" s="1"/>
  <c r="AE20" i="18"/>
  <c r="AC19" i="18"/>
  <c r="BB18" i="20"/>
  <c r="Y18" i="19"/>
  <c r="AL18" i="19" s="1"/>
  <c r="L18" i="19" s="1"/>
  <c r="J18" i="22" s="1"/>
  <c r="T18" i="22" s="1"/>
  <c r="BY18" i="19" s="1"/>
  <c r="AQ19" i="18" s="1"/>
  <c r="L20" i="18"/>
  <c r="K20" i="18"/>
  <c r="AN19" i="19"/>
  <c r="N19" i="19" s="1"/>
  <c r="K19" i="22" s="1"/>
  <c r="U19" i="22" s="1"/>
  <c r="CA19" i="19" s="1"/>
  <c r="AS20" i="18" s="1"/>
  <c r="J20" i="18"/>
  <c r="AA21" i="18"/>
  <c r="BA20" i="20"/>
  <c r="X20" i="19"/>
  <c r="AK20" i="19" s="1"/>
  <c r="K20" i="19" s="1"/>
  <c r="BK20" i="19"/>
  <c r="AK20" i="18"/>
  <c r="I20" i="18"/>
  <c r="AX20" i="20" s="1"/>
  <c r="H20" i="18"/>
  <c r="AJ20" i="18"/>
  <c r="F20" i="18" s="1"/>
  <c r="G20" i="18"/>
  <c r="D20" i="18"/>
  <c r="BP20" i="19"/>
  <c r="AG21" i="18" s="1"/>
  <c r="C21" i="18" s="1"/>
  <c r="E20" i="18"/>
  <c r="BR20" i="19"/>
  <c r="BD20" i="19"/>
  <c r="Q22" i="18"/>
  <c r="AQ111" i="20"/>
  <c r="AH111" i="20" s="1"/>
  <c r="CA111" i="20"/>
  <c r="O124" i="20"/>
  <c r="CI123" i="20"/>
  <c r="AS110" i="20"/>
  <c r="AJ110" i="20" s="1"/>
  <c r="CC110" i="20"/>
  <c r="AT110" i="20"/>
  <c r="AK110" i="20" s="1"/>
  <c r="CD110" i="20"/>
  <c r="AC75" i="20"/>
  <c r="AR110" i="20"/>
  <c r="AI110" i="20" s="1"/>
  <c r="CB110" i="20"/>
  <c r="AN127" i="20"/>
  <c r="AE127" i="20" s="1"/>
  <c r="BX127" i="20"/>
  <c r="N128" i="20"/>
  <c r="CH127" i="20"/>
  <c r="L127" i="20"/>
  <c r="CF126" i="20"/>
  <c r="AC20" i="19"/>
  <c r="C20" i="19" s="1"/>
  <c r="C20" i="22" s="1"/>
  <c r="BO21" i="19"/>
  <c r="AF22" i="18" s="1"/>
  <c r="P20" i="18" l="1"/>
  <c r="BN20" i="19"/>
  <c r="BL19" i="19"/>
  <c r="N19" i="18"/>
  <c r="BZ19" i="19"/>
  <c r="AR20" i="18" s="1"/>
  <c r="M19" i="18"/>
  <c r="BJ20" i="19"/>
  <c r="AZ20" i="20"/>
  <c r="W20" i="19"/>
  <c r="AJ20" i="19" s="1"/>
  <c r="J20" i="19" s="1"/>
  <c r="AY20" i="20"/>
  <c r="V20" i="19"/>
  <c r="AI20" i="19" s="1"/>
  <c r="I20" i="19" s="1"/>
  <c r="I20" i="22" s="1"/>
  <c r="S20" i="22" s="1"/>
  <c r="BX20" i="19" s="1"/>
  <c r="BI20" i="19"/>
  <c r="Z21" i="18"/>
  <c r="Y21" i="18"/>
  <c r="U20" i="19"/>
  <c r="AH20" i="19" s="1"/>
  <c r="H20" i="19" s="1"/>
  <c r="H20" i="22" s="1"/>
  <c r="R20" i="22" s="1"/>
  <c r="BW20" i="19" s="1"/>
  <c r="BH20" i="19"/>
  <c r="AM21" i="18" s="1"/>
  <c r="AW20" i="20"/>
  <c r="X21" i="18"/>
  <c r="W21" i="18"/>
  <c r="AV20" i="20"/>
  <c r="BG20" i="19"/>
  <c r="T20" i="19"/>
  <c r="AG20" i="19" s="1"/>
  <c r="G20" i="19" s="1"/>
  <c r="G20" i="22" s="1"/>
  <c r="Q20" i="22" s="1"/>
  <c r="BV20" i="19" s="1"/>
  <c r="AN21" i="18" s="1"/>
  <c r="AI21" i="18"/>
  <c r="AU20" i="20"/>
  <c r="BF20" i="19"/>
  <c r="S20" i="19"/>
  <c r="AF20" i="19" s="1"/>
  <c r="F20" i="19" s="1"/>
  <c r="F20" i="22" s="1"/>
  <c r="P20" i="22" s="1"/>
  <c r="BU20" i="19" s="1"/>
  <c r="V21" i="18"/>
  <c r="R20" i="19"/>
  <c r="AE20" i="19" s="1"/>
  <c r="E20" i="19" s="1"/>
  <c r="E20" i="22" s="1"/>
  <c r="O20" i="22" s="1"/>
  <c r="BT20" i="19" s="1"/>
  <c r="T21" i="18"/>
  <c r="BE20" i="19"/>
  <c r="S21" i="18"/>
  <c r="Q20" i="19"/>
  <c r="AD20" i="19" s="1"/>
  <c r="D20" i="19" s="1"/>
  <c r="D20" i="22" s="1"/>
  <c r="N20" i="22" s="1"/>
  <c r="BS20" i="19" s="1"/>
  <c r="U21" i="18"/>
  <c r="BB22" i="19"/>
  <c r="B22" i="18"/>
  <c r="O22" i="19" s="1"/>
  <c r="AB22" i="19" s="1"/>
  <c r="B22" i="19" s="1"/>
  <c r="B22" i="22" s="1"/>
  <c r="L22" i="22" s="1"/>
  <c r="R111" i="20"/>
  <c r="CL110" i="20"/>
  <c r="P112" i="20"/>
  <c r="CJ111" i="20"/>
  <c r="S111" i="20"/>
  <c r="CM110" i="20"/>
  <c r="Q111" i="20"/>
  <c r="CK110" i="20"/>
  <c r="AP124" i="20"/>
  <c r="AG124" i="20" s="1"/>
  <c r="BZ124" i="20"/>
  <c r="K76" i="20"/>
  <c r="CE75" i="20"/>
  <c r="M128" i="20"/>
  <c r="CG127" i="20"/>
  <c r="R22" i="18"/>
  <c r="BC21" i="19"/>
  <c r="P21" i="19"/>
  <c r="M20" i="22"/>
  <c r="BQ20" i="19"/>
  <c r="AH21" i="18" s="1"/>
  <c r="AM127" i="20"/>
  <c r="AD127" i="20" s="1"/>
  <c r="BW127" i="20"/>
  <c r="AO128" i="20"/>
  <c r="AF128" i="20" s="1"/>
  <c r="BY128" i="20"/>
  <c r="AC20" i="18" l="1"/>
  <c r="AD20" i="18"/>
  <c r="BM19" i="19"/>
  <c r="BC19" i="20"/>
  <c r="Z19" i="19"/>
  <c r="AM19" i="19" s="1"/>
  <c r="M19" i="19" s="1"/>
  <c r="BB19" i="20"/>
  <c r="Y19" i="19"/>
  <c r="AL19" i="19" s="1"/>
  <c r="L19" i="19" s="1"/>
  <c r="J19" i="22" s="1"/>
  <c r="T19" i="22" s="1"/>
  <c r="BY19" i="19" s="1"/>
  <c r="AQ20" i="18" s="1"/>
  <c r="AB20" i="18"/>
  <c r="AP21" i="18"/>
  <c r="AO21" i="18"/>
  <c r="K21" i="18" s="1"/>
  <c r="Z22" i="18" s="1"/>
  <c r="Y22" i="18"/>
  <c r="J21" i="18"/>
  <c r="I21" i="18"/>
  <c r="AX21" i="20" s="1"/>
  <c r="AL21" i="18"/>
  <c r="H21" i="18" s="1"/>
  <c r="AK21" i="18"/>
  <c r="G21" i="18" s="1"/>
  <c r="AJ21" i="18"/>
  <c r="F21" i="18" s="1"/>
  <c r="D21" i="18"/>
  <c r="Q21" i="19" s="1"/>
  <c r="AD21" i="19" s="1"/>
  <c r="D21" i="19" s="1"/>
  <c r="D21" i="22" s="1"/>
  <c r="N21" i="22" s="1"/>
  <c r="BS21" i="19" s="1"/>
  <c r="BP21" i="19"/>
  <c r="AG22" i="18" s="1"/>
  <c r="C22" i="18" s="1"/>
  <c r="E21" i="18"/>
  <c r="BR21" i="19"/>
  <c r="BD21" i="19"/>
  <c r="Q23" i="18"/>
  <c r="AL76" i="20"/>
  <c r="BV76" i="20"/>
  <c r="O125" i="20"/>
  <c r="CI124" i="20"/>
  <c r="AT111" i="20"/>
  <c r="AK111" i="20" s="1"/>
  <c r="CD111" i="20"/>
  <c r="AR111" i="20"/>
  <c r="AI111" i="20" s="1"/>
  <c r="CB111" i="20"/>
  <c r="AQ112" i="20"/>
  <c r="AH112" i="20" s="1"/>
  <c r="CA112" i="20"/>
  <c r="AS111" i="20"/>
  <c r="AJ111" i="20" s="1"/>
  <c r="CC111" i="20"/>
  <c r="N129" i="20"/>
  <c r="CH128" i="20"/>
  <c r="BO22" i="19"/>
  <c r="AF23" i="18" s="1"/>
  <c r="L128" i="20"/>
  <c r="CF127" i="20"/>
  <c r="AC21" i="19"/>
  <c r="C21" i="19" s="1"/>
  <c r="C21" i="22" s="1"/>
  <c r="AN128" i="20"/>
  <c r="AE128" i="20" s="1"/>
  <c r="BX128" i="20"/>
  <c r="M20" i="18" l="1"/>
  <c r="BL20" i="19"/>
  <c r="O20" i="18"/>
  <c r="BZ20" i="19"/>
  <c r="AR21" i="18" s="1"/>
  <c r="N20" i="18"/>
  <c r="AC21" i="18" s="1"/>
  <c r="L21" i="18"/>
  <c r="AY21" i="20"/>
  <c r="V21" i="19"/>
  <c r="AI21" i="19" s="1"/>
  <c r="I21" i="19" s="1"/>
  <c r="I21" i="22" s="1"/>
  <c r="S21" i="22" s="1"/>
  <c r="BX21" i="19" s="1"/>
  <c r="BI21" i="19"/>
  <c r="AO22" i="18" s="1"/>
  <c r="AZ21" i="20"/>
  <c r="W21" i="19"/>
  <c r="AJ21" i="19" s="1"/>
  <c r="J21" i="19" s="1"/>
  <c r="BJ21" i="19"/>
  <c r="AP22" i="18" s="1"/>
  <c r="AA22" i="18"/>
  <c r="U21" i="19"/>
  <c r="AH21" i="19" s="1"/>
  <c r="H21" i="19" s="1"/>
  <c r="H21" i="22" s="1"/>
  <c r="R21" i="22" s="1"/>
  <c r="BW21" i="19" s="1"/>
  <c r="AW21" i="20"/>
  <c r="BH21" i="19"/>
  <c r="AM22" i="18" s="1"/>
  <c r="X22" i="18"/>
  <c r="AI22" i="18"/>
  <c r="W22" i="18"/>
  <c r="T21" i="19"/>
  <c r="AG21" i="19" s="1"/>
  <c r="G21" i="19" s="1"/>
  <c r="G21" i="22" s="1"/>
  <c r="Q21" i="22" s="1"/>
  <c r="BV21" i="19" s="1"/>
  <c r="AN22" i="18" s="1"/>
  <c r="BG21" i="19"/>
  <c r="AV21" i="20"/>
  <c r="S22" i="18"/>
  <c r="BP22" i="19" s="1"/>
  <c r="AG23" i="18" s="1"/>
  <c r="S21" i="19"/>
  <c r="AF21" i="19" s="1"/>
  <c r="F21" i="19" s="1"/>
  <c r="F21" i="22" s="1"/>
  <c r="P21" i="22" s="1"/>
  <c r="BU21" i="19" s="1"/>
  <c r="AU21" i="20"/>
  <c r="BF21" i="19"/>
  <c r="V22" i="18"/>
  <c r="U22" i="18"/>
  <c r="R21" i="19"/>
  <c r="AE21" i="19" s="1"/>
  <c r="E21" i="19" s="1"/>
  <c r="E21" i="22" s="1"/>
  <c r="O21" i="22" s="1"/>
  <c r="BT21" i="19" s="1"/>
  <c r="T22" i="18"/>
  <c r="BE21" i="19"/>
  <c r="AJ22" i="18" s="1"/>
  <c r="BB23" i="19"/>
  <c r="B23" i="18"/>
  <c r="O23" i="19" s="1"/>
  <c r="AB23" i="19" s="1"/>
  <c r="B23" i="19" s="1"/>
  <c r="B23" i="22" s="1"/>
  <c r="L23" i="22" s="1"/>
  <c r="P113" i="20"/>
  <c r="CJ112" i="20"/>
  <c r="Q112" i="20"/>
  <c r="CK111" i="20"/>
  <c r="CM111" i="20"/>
  <c r="AP125" i="20"/>
  <c r="AG125" i="20" s="1"/>
  <c r="BZ125" i="20"/>
  <c r="R112" i="20"/>
  <c r="CL111" i="20"/>
  <c r="S112" i="20"/>
  <c r="AC76" i="20"/>
  <c r="AM128" i="20"/>
  <c r="AD128" i="20" s="1"/>
  <c r="BW128" i="20"/>
  <c r="M21" i="22"/>
  <c r="BQ21" i="19"/>
  <c r="AH22" i="18" s="1"/>
  <c r="M129" i="20"/>
  <c r="CG128" i="20"/>
  <c r="R23" i="18"/>
  <c r="BC22" i="19"/>
  <c r="P22" i="19"/>
  <c r="AO129" i="20"/>
  <c r="AF129" i="20" s="1"/>
  <c r="BY129" i="20"/>
  <c r="N21" i="18" l="1"/>
  <c r="BZ21" i="19"/>
  <c r="AR22" i="18" s="1"/>
  <c r="AA20" i="19"/>
  <c r="AN20" i="19" s="1"/>
  <c r="N20" i="19" s="1"/>
  <c r="K20" i="22" s="1"/>
  <c r="U20" i="22" s="1"/>
  <c r="CA20" i="19" s="1"/>
  <c r="AS21" i="18" s="1"/>
  <c r="AE21" i="18"/>
  <c r="BM20" i="19"/>
  <c r="BC20" i="20"/>
  <c r="Z20" i="19"/>
  <c r="AM20" i="19" s="1"/>
  <c r="M20" i="19" s="1"/>
  <c r="AD21" i="18"/>
  <c r="AB21" i="18"/>
  <c r="Y20" i="19"/>
  <c r="AL20" i="19" s="1"/>
  <c r="L20" i="19" s="1"/>
  <c r="J20" i="22" s="1"/>
  <c r="T20" i="22" s="1"/>
  <c r="BY20" i="19" s="1"/>
  <c r="AQ21" i="18" s="1"/>
  <c r="BB20" i="20"/>
  <c r="BA21" i="20"/>
  <c r="X21" i="19"/>
  <c r="AK21" i="19" s="1"/>
  <c r="K21" i="19" s="1"/>
  <c r="BK21" i="19"/>
  <c r="K22" i="18"/>
  <c r="W22" i="19" s="1"/>
  <c r="AJ22" i="19" s="1"/>
  <c r="J22" i="19" s="1"/>
  <c r="BJ22" i="19"/>
  <c r="AK22" i="18"/>
  <c r="L22" i="18"/>
  <c r="J22" i="18"/>
  <c r="AL22" i="18"/>
  <c r="H22" i="18" s="1"/>
  <c r="I22" i="18"/>
  <c r="AX22" i="20" s="1"/>
  <c r="G22" i="18"/>
  <c r="BG22" i="19" s="1"/>
  <c r="F22" i="18"/>
  <c r="S22" i="19" s="1"/>
  <c r="AF22" i="19" s="1"/>
  <c r="F22" i="19" s="1"/>
  <c r="F22" i="22" s="1"/>
  <c r="P22" i="22" s="1"/>
  <c r="BU22" i="19" s="1"/>
  <c r="E22" i="18"/>
  <c r="BR22" i="19"/>
  <c r="BD22" i="19"/>
  <c r="D22" i="18"/>
  <c r="Q24" i="18"/>
  <c r="CE76" i="20"/>
  <c r="K77" i="20"/>
  <c r="AS112" i="20"/>
  <c r="AJ112" i="20" s="1"/>
  <c r="CC112" i="20"/>
  <c r="AR112" i="20"/>
  <c r="AI112" i="20" s="1"/>
  <c r="CB112" i="20"/>
  <c r="AT112" i="20"/>
  <c r="AK112" i="20" s="1"/>
  <c r="CD112" i="20"/>
  <c r="O126" i="20"/>
  <c r="CI125" i="20"/>
  <c r="AQ113" i="20"/>
  <c r="AH113" i="20" s="1"/>
  <c r="CA113" i="20"/>
  <c r="N130" i="20"/>
  <c r="CH129" i="20"/>
  <c r="AN129" i="20"/>
  <c r="AE129" i="20" s="1"/>
  <c r="BX129" i="20"/>
  <c r="L129" i="20"/>
  <c r="CF128" i="20"/>
  <c r="C23" i="18"/>
  <c r="BO23" i="19"/>
  <c r="AF24" i="18" s="1"/>
  <c r="AC22" i="19"/>
  <c r="C22" i="19" s="1"/>
  <c r="C22" i="22" s="1"/>
  <c r="P21" i="18" l="1"/>
  <c r="AT22" i="18"/>
  <c r="BN21" i="19"/>
  <c r="BL21" i="19"/>
  <c r="M21" i="18"/>
  <c r="O21" i="18"/>
  <c r="AA21" i="19" s="1"/>
  <c r="AN21" i="19" s="1"/>
  <c r="N21" i="19" s="1"/>
  <c r="K21" i="22" s="1"/>
  <c r="U21" i="22" s="1"/>
  <c r="CA21" i="19" s="1"/>
  <c r="AS22" i="18" s="1"/>
  <c r="BC21" i="20"/>
  <c r="Z21" i="19"/>
  <c r="AM21" i="19" s="1"/>
  <c r="M21" i="19" s="1"/>
  <c r="BM21" i="19"/>
  <c r="AZ22" i="20"/>
  <c r="AW22" i="20"/>
  <c r="U22" i="19"/>
  <c r="AH22" i="19" s="1"/>
  <c r="H22" i="19" s="1"/>
  <c r="H22" i="22" s="1"/>
  <c r="R22" i="22" s="1"/>
  <c r="BW22" i="19" s="1"/>
  <c r="BA22" i="20"/>
  <c r="X22" i="19"/>
  <c r="AK22" i="19" s="1"/>
  <c r="K22" i="19" s="1"/>
  <c r="BK22" i="19"/>
  <c r="Y23" i="18"/>
  <c r="AY22" i="20"/>
  <c r="V22" i="19"/>
  <c r="AI22" i="19" s="1"/>
  <c r="I22" i="19" s="1"/>
  <c r="I22" i="22" s="1"/>
  <c r="S22" i="22" s="1"/>
  <c r="BX22" i="19" s="1"/>
  <c r="AP23" i="18" s="1"/>
  <c r="BI22" i="19"/>
  <c r="AO23" i="18" s="1"/>
  <c r="Z23" i="18"/>
  <c r="AA23" i="18"/>
  <c r="AU22" i="20"/>
  <c r="BH22" i="19"/>
  <c r="AM23" i="18" s="1"/>
  <c r="X23" i="18"/>
  <c r="T22" i="19"/>
  <c r="AG22" i="19" s="1"/>
  <c r="G22" i="19" s="1"/>
  <c r="G22" i="22" s="1"/>
  <c r="Q22" i="22" s="1"/>
  <c r="BV22" i="19" s="1"/>
  <c r="AN23" i="18" s="1"/>
  <c r="AL23" i="18"/>
  <c r="BF22" i="19"/>
  <c r="AV22" i="20"/>
  <c r="V23" i="18"/>
  <c r="W23" i="18"/>
  <c r="H23" i="18" s="1"/>
  <c r="AW23" i="20" s="1"/>
  <c r="BH23" i="19"/>
  <c r="AI23" i="18"/>
  <c r="S23" i="18"/>
  <c r="Q22" i="19"/>
  <c r="AD22" i="19" s="1"/>
  <c r="D22" i="19" s="1"/>
  <c r="D22" i="22" s="1"/>
  <c r="N22" i="22" s="1"/>
  <c r="BS22" i="19" s="1"/>
  <c r="U23" i="18"/>
  <c r="T23" i="18"/>
  <c r="R22" i="19"/>
  <c r="AE22" i="19" s="1"/>
  <c r="E22" i="19" s="1"/>
  <c r="E22" i="22" s="1"/>
  <c r="O22" i="22" s="1"/>
  <c r="BT22" i="19" s="1"/>
  <c r="AK23" i="18" s="1"/>
  <c r="BE22" i="19"/>
  <c r="AJ23" i="18" s="1"/>
  <c r="BB24" i="19"/>
  <c r="B24" i="18"/>
  <c r="O24" i="19" s="1"/>
  <c r="AB24" i="19" s="1"/>
  <c r="B24" i="19" s="1"/>
  <c r="B24" i="22" s="1"/>
  <c r="L24" i="22" s="1"/>
  <c r="Q113" i="20"/>
  <c r="CK112" i="20"/>
  <c r="P114" i="20"/>
  <c r="CJ113" i="20"/>
  <c r="BV77" i="20"/>
  <c r="AL77" i="20"/>
  <c r="R113" i="20"/>
  <c r="AP126" i="20"/>
  <c r="AG126" i="20" s="1"/>
  <c r="BZ126" i="20"/>
  <c r="S113" i="20"/>
  <c r="CM112" i="20"/>
  <c r="CL112" i="20"/>
  <c r="R24" i="18"/>
  <c r="BC23" i="19"/>
  <c r="P23" i="19"/>
  <c r="AM129" i="20"/>
  <c r="AD129" i="20" s="1"/>
  <c r="BW129" i="20"/>
  <c r="M22" i="22"/>
  <c r="BQ22" i="19"/>
  <c r="AH23" i="18" s="1"/>
  <c r="AO130" i="20"/>
  <c r="AF130" i="20" s="1"/>
  <c r="BY130" i="20"/>
  <c r="M130" i="20"/>
  <c r="CG129" i="20"/>
  <c r="BN22" i="19" l="1"/>
  <c r="BB21" i="20"/>
  <c r="Y21" i="19"/>
  <c r="AL21" i="19" s="1"/>
  <c r="L21" i="19" s="1"/>
  <c r="J21" i="22" s="1"/>
  <c r="T21" i="22" s="1"/>
  <c r="BY21" i="19" s="1"/>
  <c r="AQ22" i="18" s="1"/>
  <c r="AB22" i="18"/>
  <c r="AC22" i="18"/>
  <c r="AE22" i="18"/>
  <c r="AT23" i="18" s="1"/>
  <c r="AD22" i="18"/>
  <c r="K23" i="18"/>
  <c r="Z24" i="18" s="1"/>
  <c r="J23" i="18"/>
  <c r="Y24" i="18"/>
  <c r="L23" i="18"/>
  <c r="AA24" i="18" s="1"/>
  <c r="I23" i="18"/>
  <c r="AX23" i="20" s="1"/>
  <c r="AM24" i="18"/>
  <c r="U23" i="19"/>
  <c r="AH23" i="19" s="1"/>
  <c r="H23" i="19" s="1"/>
  <c r="H23" i="22" s="1"/>
  <c r="R23" i="22" s="1"/>
  <c r="BW23" i="19" s="1"/>
  <c r="X24" i="18"/>
  <c r="G23" i="18"/>
  <c r="F23" i="18"/>
  <c r="BP23" i="19"/>
  <c r="AG24" i="18" s="1"/>
  <c r="C24" i="18" s="1"/>
  <c r="D23" i="18"/>
  <c r="S24" i="18" s="1"/>
  <c r="BR23" i="19"/>
  <c r="E23" i="18"/>
  <c r="U24" i="18" s="1"/>
  <c r="BD23" i="19"/>
  <c r="AI24" i="18" s="1"/>
  <c r="Q25" i="18"/>
  <c r="O127" i="20"/>
  <c r="CI126" i="20"/>
  <c r="AC77" i="20"/>
  <c r="AT113" i="20"/>
  <c r="AK113" i="20" s="1"/>
  <c r="CD113" i="20"/>
  <c r="AR113" i="20"/>
  <c r="AI113" i="20" s="1"/>
  <c r="CB113" i="20"/>
  <c r="AS113" i="20"/>
  <c r="AJ113" i="20" s="1"/>
  <c r="CC113" i="20"/>
  <c r="AQ114" i="20"/>
  <c r="AH114" i="20" s="1"/>
  <c r="CA114" i="20"/>
  <c r="N131" i="20"/>
  <c r="CH130" i="20"/>
  <c r="AC23" i="19"/>
  <c r="C23" i="19" s="1"/>
  <c r="C23" i="22" s="1"/>
  <c r="AN130" i="20"/>
  <c r="AE130" i="20" s="1"/>
  <c r="BX130" i="20"/>
  <c r="BO24" i="19"/>
  <c r="AF25" i="18" s="1"/>
  <c r="L130" i="20"/>
  <c r="CF129" i="20"/>
  <c r="AT24" i="18" l="1"/>
  <c r="AR23" i="18"/>
  <c r="N22" i="18"/>
  <c r="BZ22" i="19"/>
  <c r="M22" i="18"/>
  <c r="BL22" i="19"/>
  <c r="O22" i="18"/>
  <c r="AA22" i="19" s="1"/>
  <c r="AN22" i="19" s="1"/>
  <c r="N22" i="19" s="1"/>
  <c r="K22" i="22" s="1"/>
  <c r="U22" i="22" s="1"/>
  <c r="CA22" i="19" s="1"/>
  <c r="AS23" i="18" s="1"/>
  <c r="P22" i="18"/>
  <c r="AE23" i="18" s="1"/>
  <c r="P23" i="18" s="1"/>
  <c r="AZ23" i="20"/>
  <c r="W23" i="19"/>
  <c r="AJ23" i="19" s="1"/>
  <c r="J23" i="19" s="1"/>
  <c r="BJ23" i="19"/>
  <c r="BA23" i="20"/>
  <c r="X23" i="19"/>
  <c r="AK23" i="19" s="1"/>
  <c r="K23" i="19" s="1"/>
  <c r="BK23" i="19"/>
  <c r="AY23" i="20"/>
  <c r="V23" i="19"/>
  <c r="AI23" i="19" s="1"/>
  <c r="I23" i="19" s="1"/>
  <c r="I23" i="22" s="1"/>
  <c r="S23" i="22" s="1"/>
  <c r="BX23" i="19" s="1"/>
  <c r="BI23" i="19"/>
  <c r="AO24" i="18" s="1"/>
  <c r="K24" i="18" s="1"/>
  <c r="I24" i="18"/>
  <c r="AX24" i="20" s="1"/>
  <c r="W24" i="18"/>
  <c r="BG23" i="19"/>
  <c r="T23" i="19"/>
  <c r="AG23" i="19" s="1"/>
  <c r="G23" i="19" s="1"/>
  <c r="G23" i="22" s="1"/>
  <c r="Q23" i="22" s="1"/>
  <c r="BV23" i="19" s="1"/>
  <c r="AN24" i="18" s="1"/>
  <c r="AV23" i="20"/>
  <c r="S23" i="19"/>
  <c r="AF23" i="19" s="1"/>
  <c r="F23" i="19" s="1"/>
  <c r="F23" i="22" s="1"/>
  <c r="P23" i="22" s="1"/>
  <c r="BU23" i="19" s="1"/>
  <c r="V24" i="18"/>
  <c r="AU23" i="20"/>
  <c r="BF23" i="19"/>
  <c r="BP24" i="19"/>
  <c r="AG25" i="18" s="1"/>
  <c r="T24" i="18"/>
  <c r="Q23" i="19"/>
  <c r="AD23" i="19" s="1"/>
  <c r="D23" i="19" s="1"/>
  <c r="D23" i="22" s="1"/>
  <c r="N23" i="22" s="1"/>
  <c r="BS23" i="19" s="1"/>
  <c r="BE23" i="19"/>
  <c r="R23" i="19"/>
  <c r="AE23" i="19" s="1"/>
  <c r="E23" i="19" s="1"/>
  <c r="E23" i="22" s="1"/>
  <c r="O23" i="22" s="1"/>
  <c r="BT23" i="19" s="1"/>
  <c r="BB25" i="19"/>
  <c r="B25" i="18"/>
  <c r="O25" i="19" s="1"/>
  <c r="AB25" i="19" s="1"/>
  <c r="B25" i="19" s="1"/>
  <c r="B25" i="22" s="1"/>
  <c r="L25" i="22" s="1"/>
  <c r="CJ114" i="20"/>
  <c r="Q114" i="20"/>
  <c r="AP127" i="20"/>
  <c r="AG127" i="20" s="1"/>
  <c r="BZ127" i="20"/>
  <c r="R114" i="20"/>
  <c r="CL113" i="20"/>
  <c r="CE77" i="20"/>
  <c r="K78" i="20"/>
  <c r="S114" i="20"/>
  <c r="CM113" i="20"/>
  <c r="P115" i="20"/>
  <c r="CK113" i="20"/>
  <c r="R25" i="18"/>
  <c r="BC24" i="19"/>
  <c r="P24" i="19"/>
  <c r="M23" i="22"/>
  <c r="BQ23" i="19"/>
  <c r="AH24" i="18" s="1"/>
  <c r="AM130" i="20"/>
  <c r="AD130" i="20" s="1"/>
  <c r="BW130" i="20"/>
  <c r="M131" i="20"/>
  <c r="CG130" i="20"/>
  <c r="AO131" i="20"/>
  <c r="AF131" i="20" s="1"/>
  <c r="BY131" i="20"/>
  <c r="BN23" i="19" l="1"/>
  <c r="BB22" i="20"/>
  <c r="Y22" i="19"/>
  <c r="AL22" i="19" s="1"/>
  <c r="L22" i="19" s="1"/>
  <c r="J22" i="22" s="1"/>
  <c r="T22" i="22" s="1"/>
  <c r="BY22" i="19" s="1"/>
  <c r="AQ23" i="18" s="1"/>
  <c r="AC23" i="18"/>
  <c r="AD23" i="18"/>
  <c r="AB23" i="18"/>
  <c r="Z22" i="19"/>
  <c r="AM22" i="19" s="1"/>
  <c r="M22" i="19" s="1"/>
  <c r="BM22" i="19"/>
  <c r="BC22" i="20"/>
  <c r="AP24" i="18"/>
  <c r="J24" i="18"/>
  <c r="AZ24" i="20"/>
  <c r="W24" i="19"/>
  <c r="AJ24" i="19" s="1"/>
  <c r="J24" i="19" s="1"/>
  <c r="BJ24" i="19"/>
  <c r="AK24" i="18"/>
  <c r="G24" i="18" s="1"/>
  <c r="AL24" i="18"/>
  <c r="H24" i="18" s="1"/>
  <c r="AJ24" i="18"/>
  <c r="BD24" i="19"/>
  <c r="AI25" i="18" s="1"/>
  <c r="E24" i="18"/>
  <c r="BR24" i="19"/>
  <c r="D24" i="18"/>
  <c r="Q26" i="18"/>
  <c r="AT114" i="20"/>
  <c r="AK114" i="20" s="1"/>
  <c r="CD114" i="20"/>
  <c r="AQ115" i="20"/>
  <c r="AH115" i="20" s="1"/>
  <c r="CA115" i="20"/>
  <c r="AS114" i="20"/>
  <c r="AJ114" i="20" s="1"/>
  <c r="CC114" i="20"/>
  <c r="BV78" i="20"/>
  <c r="AL78" i="20"/>
  <c r="AR114" i="20"/>
  <c r="AI114" i="20" s="1"/>
  <c r="CB114" i="20"/>
  <c r="O128" i="20"/>
  <c r="CI127" i="20"/>
  <c r="L131" i="20"/>
  <c r="CF130" i="20"/>
  <c r="AN131" i="20"/>
  <c r="AE131" i="20" s="1"/>
  <c r="BX131" i="20"/>
  <c r="BO25" i="19"/>
  <c r="AF26" i="18" s="1"/>
  <c r="C25" i="18"/>
  <c r="N132" i="20"/>
  <c r="CH131" i="20"/>
  <c r="AC24" i="19"/>
  <c r="C24" i="19" s="1"/>
  <c r="C24" i="22" s="1"/>
  <c r="AR24" i="18" l="1"/>
  <c r="BZ23" i="19"/>
  <c r="N23" i="18"/>
  <c r="BL23" i="19"/>
  <c r="M23" i="18"/>
  <c r="AB24" i="18"/>
  <c r="O23" i="18"/>
  <c r="AD24" i="18" s="1"/>
  <c r="AP25" i="18"/>
  <c r="L24" i="18"/>
  <c r="AY24" i="20"/>
  <c r="V24" i="19"/>
  <c r="AI24" i="19" s="1"/>
  <c r="I24" i="19" s="1"/>
  <c r="I24" i="22" s="1"/>
  <c r="S24" i="22" s="1"/>
  <c r="BX24" i="19" s="1"/>
  <c r="BI24" i="19"/>
  <c r="Z25" i="18"/>
  <c r="Y25" i="18"/>
  <c r="X25" i="18"/>
  <c r="BH24" i="19"/>
  <c r="AM25" i="18" s="1"/>
  <c r="U24" i="19"/>
  <c r="AH24" i="19" s="1"/>
  <c r="H24" i="19" s="1"/>
  <c r="H24" i="22" s="1"/>
  <c r="R24" i="22" s="1"/>
  <c r="BW24" i="19" s="1"/>
  <c r="AW24" i="20"/>
  <c r="W25" i="18"/>
  <c r="AV24" i="20"/>
  <c r="BG24" i="19"/>
  <c r="T24" i="19"/>
  <c r="AG24" i="19" s="1"/>
  <c r="G24" i="19" s="1"/>
  <c r="G24" i="22" s="1"/>
  <c r="Q24" i="22" s="1"/>
  <c r="BV24" i="19" s="1"/>
  <c r="AN25" i="18" s="1"/>
  <c r="F24" i="18"/>
  <c r="U25" i="18" s="1"/>
  <c r="BE24" i="19"/>
  <c r="R24" i="19"/>
  <c r="AE24" i="19" s="1"/>
  <c r="E24" i="19" s="1"/>
  <c r="E24" i="22" s="1"/>
  <c r="O24" i="22" s="1"/>
  <c r="BT24" i="19" s="1"/>
  <c r="T25" i="18"/>
  <c r="S25" i="18"/>
  <c r="Q24" i="19"/>
  <c r="AD24" i="19" s="1"/>
  <c r="D24" i="19" s="1"/>
  <c r="D24" i="22" s="1"/>
  <c r="N24" i="22" s="1"/>
  <c r="BS24" i="19" s="1"/>
  <c r="BB26" i="19"/>
  <c r="B26" i="18"/>
  <c r="O26" i="19" s="1"/>
  <c r="AB26" i="19" s="1"/>
  <c r="B26" i="19" s="1"/>
  <c r="B26" i="22" s="1"/>
  <c r="L26" i="22" s="1"/>
  <c r="AC78" i="20"/>
  <c r="P116" i="20"/>
  <c r="CJ115" i="20"/>
  <c r="AP128" i="20"/>
  <c r="AG128" i="20" s="1"/>
  <c r="BZ128" i="20"/>
  <c r="Q115" i="20"/>
  <c r="CK114" i="20"/>
  <c r="R115" i="20"/>
  <c r="CL114" i="20"/>
  <c r="S115" i="20"/>
  <c r="CM114" i="20"/>
  <c r="M24" i="22"/>
  <c r="BQ24" i="19"/>
  <c r="AH25" i="18" s="1"/>
  <c r="AO132" i="20"/>
  <c r="AF132" i="20" s="1"/>
  <c r="BY132" i="20"/>
  <c r="M132" i="20"/>
  <c r="CG131" i="20"/>
  <c r="AM131" i="20"/>
  <c r="AD131" i="20" s="1"/>
  <c r="BW131" i="20"/>
  <c r="R26" i="18"/>
  <c r="BC25" i="19"/>
  <c r="P25" i="19"/>
  <c r="AA23" i="19" l="1"/>
  <c r="AN23" i="19" s="1"/>
  <c r="N23" i="19" s="1"/>
  <c r="K23" i="22" s="1"/>
  <c r="U23" i="22" s="1"/>
  <c r="CA23" i="19" s="1"/>
  <c r="AS24" i="18" s="1"/>
  <c r="AE24" i="18"/>
  <c r="AT25" i="18" s="1"/>
  <c r="AC24" i="18"/>
  <c r="BC23" i="20"/>
  <c r="Z23" i="19"/>
  <c r="AM23" i="19" s="1"/>
  <c r="M23" i="19" s="1"/>
  <c r="BM23" i="19"/>
  <c r="Y23" i="19"/>
  <c r="AL23" i="19" s="1"/>
  <c r="L23" i="19" s="1"/>
  <c r="J23" i="22" s="1"/>
  <c r="T23" i="22" s="1"/>
  <c r="BY23" i="19" s="1"/>
  <c r="AQ24" i="18" s="1"/>
  <c r="BB23" i="20"/>
  <c r="AA25" i="18"/>
  <c r="L25" i="18" s="1"/>
  <c r="BK24" i="19"/>
  <c r="X24" i="19"/>
  <c r="AK24" i="19" s="1"/>
  <c r="K24" i="19" s="1"/>
  <c r="BA24" i="20"/>
  <c r="AO25" i="18"/>
  <c r="K25" i="18" s="1"/>
  <c r="J25" i="18"/>
  <c r="Y26" i="18"/>
  <c r="I25" i="18"/>
  <c r="AX25" i="20" s="1"/>
  <c r="AJ25" i="18"/>
  <c r="F25" i="18" s="1"/>
  <c r="AU24" i="20"/>
  <c r="S24" i="19"/>
  <c r="AF24" i="19" s="1"/>
  <c r="F24" i="19" s="1"/>
  <c r="F24" i="22" s="1"/>
  <c r="P24" i="22" s="1"/>
  <c r="BU24" i="19" s="1"/>
  <c r="AL25" i="18" s="1"/>
  <c r="V25" i="18"/>
  <c r="BF24" i="19"/>
  <c r="AK25" i="18" s="1"/>
  <c r="BD25" i="19"/>
  <c r="E25" i="18"/>
  <c r="BR25" i="19"/>
  <c r="BP25" i="19"/>
  <c r="AG26" i="18" s="1"/>
  <c r="C26" i="18" s="1"/>
  <c r="D25" i="18"/>
  <c r="Q27" i="18"/>
  <c r="AT115" i="20"/>
  <c r="AK115" i="20" s="1"/>
  <c r="CD115" i="20"/>
  <c r="O129" i="20"/>
  <c r="CI128" i="20"/>
  <c r="AS115" i="20"/>
  <c r="AJ115" i="20" s="1"/>
  <c r="CC115" i="20"/>
  <c r="AR115" i="20"/>
  <c r="AI115" i="20" s="1"/>
  <c r="CB115" i="20"/>
  <c r="AQ116" i="20"/>
  <c r="AH116" i="20" s="1"/>
  <c r="CA116" i="20"/>
  <c r="CE78" i="20"/>
  <c r="K79" i="20"/>
  <c r="N133" i="20"/>
  <c r="CH132" i="20"/>
  <c r="L132" i="20"/>
  <c r="CF131" i="20"/>
  <c r="AN132" i="20"/>
  <c r="AE132" i="20" s="1"/>
  <c r="BX132" i="20"/>
  <c r="AC25" i="19"/>
  <c r="C25" i="19" s="1"/>
  <c r="C25" i="22" s="1"/>
  <c r="BO26" i="19"/>
  <c r="AF27" i="18" s="1"/>
  <c r="BN24" i="19" l="1"/>
  <c r="O24" i="18"/>
  <c r="AA24" i="19" s="1"/>
  <c r="AN24" i="19" s="1"/>
  <c r="N24" i="19" s="1"/>
  <c r="K24" i="22" s="1"/>
  <c r="U24" i="22" s="1"/>
  <c r="CA24" i="19" s="1"/>
  <c r="AS25" i="18" s="1"/>
  <c r="AR25" i="18"/>
  <c r="P24" i="18"/>
  <c r="AE25" i="18" s="1"/>
  <c r="P25" i="18" s="1"/>
  <c r="BL24" i="19"/>
  <c r="N24" i="18"/>
  <c r="AC25" i="18" s="1"/>
  <c r="BZ24" i="19"/>
  <c r="M24" i="18"/>
  <c r="BA25" i="20"/>
  <c r="X25" i="19"/>
  <c r="AK25" i="19" s="1"/>
  <c r="K25" i="19" s="1"/>
  <c r="BK25" i="19"/>
  <c r="Z26" i="18"/>
  <c r="AY25" i="20"/>
  <c r="V25" i="19"/>
  <c r="AI25" i="19" s="1"/>
  <c r="I25" i="19" s="1"/>
  <c r="I25" i="22" s="1"/>
  <c r="S25" i="22" s="1"/>
  <c r="BX25" i="19" s="1"/>
  <c r="BI25" i="19"/>
  <c r="AZ25" i="20"/>
  <c r="W25" i="19"/>
  <c r="AJ25" i="19" s="1"/>
  <c r="J25" i="19" s="1"/>
  <c r="BJ25" i="19"/>
  <c r="AP26" i="18" s="1"/>
  <c r="AA26" i="18"/>
  <c r="AU25" i="20"/>
  <c r="S25" i="19"/>
  <c r="AF25" i="19" s="1"/>
  <c r="F25" i="19" s="1"/>
  <c r="F25" i="22" s="1"/>
  <c r="P25" i="22" s="1"/>
  <c r="BU25" i="19" s="1"/>
  <c r="H25" i="18"/>
  <c r="BF25" i="19"/>
  <c r="G25" i="18"/>
  <c r="V26" i="18" s="1"/>
  <c r="AI26" i="18"/>
  <c r="Q25" i="19"/>
  <c r="AD25" i="19" s="1"/>
  <c r="D25" i="19" s="1"/>
  <c r="D25" i="22" s="1"/>
  <c r="N25" i="22" s="1"/>
  <c r="BS25" i="19" s="1"/>
  <c r="S26" i="18"/>
  <c r="BE25" i="19"/>
  <c r="R25" i="19"/>
  <c r="AE25" i="19" s="1"/>
  <c r="E25" i="19" s="1"/>
  <c r="E25" i="22" s="1"/>
  <c r="O25" i="22" s="1"/>
  <c r="BT25" i="19" s="1"/>
  <c r="T26" i="18"/>
  <c r="U26" i="18"/>
  <c r="BB27" i="19"/>
  <c r="B27" i="18"/>
  <c r="O27" i="19" s="1"/>
  <c r="AB27" i="19" s="1"/>
  <c r="B27" i="19" s="1"/>
  <c r="B27" i="22" s="1"/>
  <c r="L27" i="22" s="1"/>
  <c r="S116" i="20"/>
  <c r="AL79" i="20"/>
  <c r="BV79" i="20"/>
  <c r="Q116" i="20"/>
  <c r="CK115" i="20"/>
  <c r="P117" i="20"/>
  <c r="CJ116" i="20"/>
  <c r="R116" i="20"/>
  <c r="CL115" i="20"/>
  <c r="AP129" i="20"/>
  <c r="AG129" i="20" s="1"/>
  <c r="BZ129" i="20"/>
  <c r="CM115" i="20"/>
  <c r="R27" i="18"/>
  <c r="BC26" i="19"/>
  <c r="P26" i="19"/>
  <c r="M133" i="20"/>
  <c r="CG132" i="20"/>
  <c r="AM132" i="20"/>
  <c r="AD132" i="20" s="1"/>
  <c r="BW132" i="20"/>
  <c r="M25" i="22"/>
  <c r="BQ25" i="19"/>
  <c r="AH26" i="18" s="1"/>
  <c r="AO133" i="20"/>
  <c r="AF133" i="20" s="1"/>
  <c r="BY133" i="20"/>
  <c r="AT26" i="18" l="1"/>
  <c r="BN25" i="19"/>
  <c r="Y24" i="19"/>
  <c r="AL24" i="19" s="1"/>
  <c r="L24" i="19" s="1"/>
  <c r="J24" i="22" s="1"/>
  <c r="T24" i="22" s="1"/>
  <c r="BY24" i="19" s="1"/>
  <c r="AQ25" i="18" s="1"/>
  <c r="BB24" i="20"/>
  <c r="AB25" i="18"/>
  <c r="N25" i="18"/>
  <c r="BZ25" i="19"/>
  <c r="AR26" i="18" s="1"/>
  <c r="Z24" i="19"/>
  <c r="AM24" i="19" s="1"/>
  <c r="M24" i="19" s="1"/>
  <c r="BM24" i="19"/>
  <c r="BC24" i="20"/>
  <c r="AD25" i="18"/>
  <c r="L26" i="18"/>
  <c r="AK26" i="18"/>
  <c r="W26" i="18"/>
  <c r="BG25" i="19"/>
  <c r="AL26" i="18" s="1"/>
  <c r="AV25" i="20"/>
  <c r="BH25" i="19"/>
  <c r="AM26" i="18" s="1"/>
  <c r="AW25" i="20"/>
  <c r="U25" i="19"/>
  <c r="AH25" i="19" s="1"/>
  <c r="H25" i="19" s="1"/>
  <c r="H25" i="22" s="1"/>
  <c r="R25" i="22" s="1"/>
  <c r="BW25" i="19" s="1"/>
  <c r="AO26" i="18" s="1"/>
  <c r="X26" i="18"/>
  <c r="T25" i="19"/>
  <c r="AG25" i="19" s="1"/>
  <c r="G25" i="19" s="1"/>
  <c r="G25" i="22" s="1"/>
  <c r="Q25" i="22" s="1"/>
  <c r="BV25" i="19" s="1"/>
  <c r="AN26" i="18" s="1"/>
  <c r="AJ26" i="18"/>
  <c r="F26" i="18" s="1"/>
  <c r="G26" i="18"/>
  <c r="D26" i="18"/>
  <c r="BP26" i="19"/>
  <c r="AG27" i="18" s="1"/>
  <c r="C27" i="18" s="1"/>
  <c r="BD26" i="19"/>
  <c r="BR26" i="19"/>
  <c r="E26" i="18"/>
  <c r="Q28" i="18"/>
  <c r="O130" i="20"/>
  <c r="CI129" i="20"/>
  <c r="AR116" i="20"/>
  <c r="AI116" i="20" s="1"/>
  <c r="CB116" i="20"/>
  <c r="AC79" i="20"/>
  <c r="AQ117" i="20"/>
  <c r="AH117" i="20" s="1"/>
  <c r="CA117" i="20"/>
  <c r="AS116" i="20"/>
  <c r="AJ116" i="20" s="1"/>
  <c r="CC116" i="20"/>
  <c r="AT116" i="20"/>
  <c r="AK116" i="20" s="1"/>
  <c r="CD116" i="20"/>
  <c r="N134" i="20"/>
  <c r="CH133" i="20"/>
  <c r="L133" i="20"/>
  <c r="CF132" i="20"/>
  <c r="AN133" i="20"/>
  <c r="AE133" i="20" s="1"/>
  <c r="BX133" i="20"/>
  <c r="AC26" i="19"/>
  <c r="C26" i="19" s="1"/>
  <c r="C26" i="22" s="1"/>
  <c r="BO27" i="19"/>
  <c r="AF28" i="18" s="1"/>
  <c r="BC25" i="20" l="1"/>
  <c r="Z25" i="19"/>
  <c r="AM25" i="19" s="1"/>
  <c r="M25" i="19" s="1"/>
  <c r="BM25" i="19"/>
  <c r="M25" i="18"/>
  <c r="O25" i="18"/>
  <c r="AD26" i="18" s="1"/>
  <c r="BL25" i="19"/>
  <c r="K26" i="18"/>
  <c r="AA27" i="18" s="1"/>
  <c r="J26" i="18"/>
  <c r="BA26" i="20"/>
  <c r="X26" i="19"/>
  <c r="AK26" i="19" s="1"/>
  <c r="K26" i="19" s="1"/>
  <c r="BK26" i="19"/>
  <c r="H26" i="18"/>
  <c r="X27" i="18" s="1"/>
  <c r="I26" i="18"/>
  <c r="AX26" i="20" s="1"/>
  <c r="T26" i="19"/>
  <c r="AG26" i="19" s="1"/>
  <c r="G26" i="19" s="1"/>
  <c r="G26" i="22" s="1"/>
  <c r="Q26" i="22" s="1"/>
  <c r="BV26" i="19" s="1"/>
  <c r="AN27" i="18" s="1"/>
  <c r="AV26" i="20"/>
  <c r="BG26" i="19"/>
  <c r="AI27" i="18"/>
  <c r="U26" i="19"/>
  <c r="AH26" i="19" s="1"/>
  <c r="H26" i="19" s="1"/>
  <c r="H26" i="22" s="1"/>
  <c r="R26" i="22" s="1"/>
  <c r="BW26" i="19" s="1"/>
  <c r="AU26" i="20"/>
  <c r="BF26" i="19"/>
  <c r="V27" i="18"/>
  <c r="S26" i="19"/>
  <c r="AF26" i="19" s="1"/>
  <c r="F26" i="19" s="1"/>
  <c r="F26" i="22" s="1"/>
  <c r="P26" i="22" s="1"/>
  <c r="BU26" i="19" s="1"/>
  <c r="AL27" i="18" s="1"/>
  <c r="T27" i="18"/>
  <c r="BE26" i="19"/>
  <c r="R26" i="19"/>
  <c r="AE26" i="19" s="1"/>
  <c r="E26" i="19" s="1"/>
  <c r="E26" i="22" s="1"/>
  <c r="O26" i="22" s="1"/>
  <c r="BT26" i="19" s="1"/>
  <c r="U27" i="18"/>
  <c r="S27" i="18"/>
  <c r="Q26" i="19"/>
  <c r="AD26" i="19" s="1"/>
  <c r="D26" i="19" s="1"/>
  <c r="D26" i="22" s="1"/>
  <c r="N26" i="22" s="1"/>
  <c r="BS26" i="19" s="1"/>
  <c r="BB28" i="19"/>
  <c r="B28" i="18"/>
  <c r="O28" i="19" s="1"/>
  <c r="AB28" i="19" s="1"/>
  <c r="B28" i="19" s="1"/>
  <c r="B28" i="22" s="1"/>
  <c r="L28" i="22" s="1"/>
  <c r="S117" i="20"/>
  <c r="CM116" i="20"/>
  <c r="CL116" i="20"/>
  <c r="P118" i="20"/>
  <c r="CJ117" i="20"/>
  <c r="Q117" i="20"/>
  <c r="CK116" i="20"/>
  <c r="R117" i="20"/>
  <c r="K80" i="20"/>
  <c r="CE79" i="20"/>
  <c r="AP130" i="20"/>
  <c r="AG130" i="20" s="1"/>
  <c r="BZ130" i="20"/>
  <c r="M134" i="20"/>
  <c r="CG133" i="20"/>
  <c r="R28" i="18"/>
  <c r="BC27" i="19"/>
  <c r="P27" i="19"/>
  <c r="AO134" i="20"/>
  <c r="AF134" i="20" s="1"/>
  <c r="BY134" i="20"/>
  <c r="M26" i="22"/>
  <c r="BQ26" i="19"/>
  <c r="AH27" i="18" s="1"/>
  <c r="AM133" i="20"/>
  <c r="AD133" i="20" s="1"/>
  <c r="BW133" i="20"/>
  <c r="AA25" i="19" l="1"/>
  <c r="AN25" i="19" s="1"/>
  <c r="N25" i="19" s="1"/>
  <c r="K25" i="22" s="1"/>
  <c r="U25" i="22" s="1"/>
  <c r="CA25" i="19" s="1"/>
  <c r="AS26" i="18" s="1"/>
  <c r="AE26" i="18"/>
  <c r="AT27" i="18" s="1"/>
  <c r="AB26" i="18"/>
  <c r="Y25" i="19"/>
  <c r="AL25" i="19" s="1"/>
  <c r="L25" i="19" s="1"/>
  <c r="J25" i="22" s="1"/>
  <c r="T25" i="22" s="1"/>
  <c r="BY25" i="19" s="1"/>
  <c r="AQ26" i="18" s="1"/>
  <c r="BB25" i="20"/>
  <c r="AC26" i="18"/>
  <c r="AZ26" i="20"/>
  <c r="W26" i="19"/>
  <c r="AJ26" i="19" s="1"/>
  <c r="J26" i="19" s="1"/>
  <c r="BJ26" i="19"/>
  <c r="AP27" i="18" s="1"/>
  <c r="BH26" i="19"/>
  <c r="AM27" i="18" s="1"/>
  <c r="I27" i="18" s="1"/>
  <c r="AX27" i="20" s="1"/>
  <c r="AW26" i="20"/>
  <c r="W27" i="18"/>
  <c r="AY26" i="20"/>
  <c r="BI26" i="19"/>
  <c r="AO27" i="18" s="1"/>
  <c r="V26" i="19"/>
  <c r="AI26" i="19" s="1"/>
  <c r="I26" i="19" s="1"/>
  <c r="I26" i="22" s="1"/>
  <c r="S26" i="22" s="1"/>
  <c r="BX26" i="19" s="1"/>
  <c r="Z27" i="18"/>
  <c r="Y27" i="18"/>
  <c r="J27" i="18" s="1"/>
  <c r="H27" i="18"/>
  <c r="AK27" i="18"/>
  <c r="AJ27" i="18"/>
  <c r="BD27" i="19"/>
  <c r="D27" i="18"/>
  <c r="BP27" i="19"/>
  <c r="AG28" i="18" s="1"/>
  <c r="C28" i="18" s="1"/>
  <c r="BR27" i="19"/>
  <c r="AI28" i="18" s="1"/>
  <c r="E27" i="18"/>
  <c r="Q29" i="18"/>
  <c r="O131" i="20"/>
  <c r="CI130" i="20"/>
  <c r="AS117" i="20"/>
  <c r="AJ117" i="20" s="1"/>
  <c r="CC117" i="20"/>
  <c r="AQ118" i="20"/>
  <c r="AH118" i="20" s="1"/>
  <c r="CA118" i="20"/>
  <c r="AT117" i="20"/>
  <c r="AK117" i="20" s="1"/>
  <c r="CD117" i="20"/>
  <c r="AR117" i="20"/>
  <c r="AI117" i="20" s="1"/>
  <c r="CB117" i="20"/>
  <c r="AL80" i="20"/>
  <c r="BV80" i="20"/>
  <c r="L134" i="20"/>
  <c r="CF133" i="20"/>
  <c r="BO28" i="19"/>
  <c r="AF29" i="18" s="1"/>
  <c r="AC27" i="19"/>
  <c r="C27" i="19" s="1"/>
  <c r="C27" i="22" s="1"/>
  <c r="N135" i="20"/>
  <c r="CH134" i="20"/>
  <c r="AN134" i="20"/>
  <c r="AE134" i="20" s="1"/>
  <c r="BX134" i="20"/>
  <c r="BN26" i="19" l="1"/>
  <c r="O26" i="18"/>
  <c r="AA26" i="19" s="1"/>
  <c r="AN26" i="19" s="1"/>
  <c r="N26" i="19" s="1"/>
  <c r="K26" i="22" s="1"/>
  <c r="U26" i="22" s="1"/>
  <c r="CA26" i="19" s="1"/>
  <c r="AS27" i="18" s="1"/>
  <c r="AR27" i="18"/>
  <c r="BZ26" i="19"/>
  <c r="N26" i="18"/>
  <c r="P26" i="18"/>
  <c r="AE27" i="18" s="1"/>
  <c r="AT28" i="18" s="1"/>
  <c r="BL26" i="19"/>
  <c r="M26" i="18"/>
  <c r="AB27" i="18" s="1"/>
  <c r="L27" i="18"/>
  <c r="K27" i="18"/>
  <c r="Z28" i="18" s="1"/>
  <c r="Y28" i="18"/>
  <c r="AY27" i="20"/>
  <c r="V27" i="19"/>
  <c r="AI27" i="19" s="1"/>
  <c r="I27" i="19" s="1"/>
  <c r="I27" i="22" s="1"/>
  <c r="S27" i="22" s="1"/>
  <c r="BX27" i="19" s="1"/>
  <c r="BI27" i="19"/>
  <c r="AO28" i="18" s="1"/>
  <c r="U27" i="19"/>
  <c r="AH27" i="19" s="1"/>
  <c r="H27" i="19" s="1"/>
  <c r="H27" i="22" s="1"/>
  <c r="R27" i="22" s="1"/>
  <c r="BW27" i="19" s="1"/>
  <c r="BH27" i="19"/>
  <c r="AM28" i="18" s="1"/>
  <c r="AW27" i="20"/>
  <c r="G27" i="18"/>
  <c r="X28" i="18"/>
  <c r="F27" i="18"/>
  <c r="U28" i="18" s="1"/>
  <c r="T28" i="18"/>
  <c r="R27" i="19"/>
  <c r="AE27" i="19" s="1"/>
  <c r="E27" i="19" s="1"/>
  <c r="E27" i="22" s="1"/>
  <c r="O27" i="22" s="1"/>
  <c r="BT27" i="19" s="1"/>
  <c r="BE27" i="19"/>
  <c r="Q27" i="19"/>
  <c r="AD27" i="19" s="1"/>
  <c r="D27" i="19" s="1"/>
  <c r="D27" i="22" s="1"/>
  <c r="N27" i="22" s="1"/>
  <c r="BS27" i="19" s="1"/>
  <c r="S28" i="18"/>
  <c r="BB29" i="19"/>
  <c r="B29" i="18"/>
  <c r="O29" i="19" s="1"/>
  <c r="AB29" i="19" s="1"/>
  <c r="B29" i="19" s="1"/>
  <c r="B29" i="22" s="1"/>
  <c r="L29" i="22" s="1"/>
  <c r="S118" i="20"/>
  <c r="CM117" i="20"/>
  <c r="AC80" i="20"/>
  <c r="P119" i="20"/>
  <c r="CJ118" i="20"/>
  <c r="Q118" i="20"/>
  <c r="CK117" i="20"/>
  <c r="R118" i="20"/>
  <c r="CL117" i="20"/>
  <c r="AP131" i="20"/>
  <c r="AG131" i="20" s="1"/>
  <c r="BZ131" i="20"/>
  <c r="M27" i="22"/>
  <c r="BQ27" i="19"/>
  <c r="AH28" i="18" s="1"/>
  <c r="AO135" i="20"/>
  <c r="AF135" i="20" s="1"/>
  <c r="BY135" i="20"/>
  <c r="M135" i="20"/>
  <c r="CG134" i="20"/>
  <c r="R29" i="18"/>
  <c r="BC28" i="19"/>
  <c r="P28" i="19"/>
  <c r="AM134" i="20"/>
  <c r="AD134" i="20" s="1"/>
  <c r="BW134" i="20"/>
  <c r="BN27" i="19" l="1"/>
  <c r="P27" i="18"/>
  <c r="Y26" i="19"/>
  <c r="AL26" i="19" s="1"/>
  <c r="L26" i="19" s="1"/>
  <c r="J26" i="22" s="1"/>
  <c r="T26" i="22" s="1"/>
  <c r="BY26" i="19" s="1"/>
  <c r="AQ27" i="18" s="1"/>
  <c r="BB26" i="20"/>
  <c r="AC27" i="18"/>
  <c r="BM26" i="19"/>
  <c r="BC26" i="20"/>
  <c r="Z26" i="19"/>
  <c r="AM26" i="19" s="1"/>
  <c r="M26" i="19" s="1"/>
  <c r="AD27" i="18"/>
  <c r="BK27" i="19"/>
  <c r="X27" i="19"/>
  <c r="AK27" i="19" s="1"/>
  <c r="K27" i="19" s="1"/>
  <c r="BA27" i="20"/>
  <c r="K28" i="18"/>
  <c r="AZ27" i="20"/>
  <c r="W27" i="19"/>
  <c r="AJ27" i="19" s="1"/>
  <c r="J27" i="19" s="1"/>
  <c r="BJ27" i="19"/>
  <c r="AP28" i="18" s="1"/>
  <c r="AA28" i="18"/>
  <c r="AJ28" i="18"/>
  <c r="F28" i="18" s="1"/>
  <c r="I28" i="18"/>
  <c r="AX28" i="20" s="1"/>
  <c r="W28" i="18"/>
  <c r="AV27" i="20"/>
  <c r="BG27" i="19"/>
  <c r="T27" i="19"/>
  <c r="AG27" i="19" s="1"/>
  <c r="G27" i="19" s="1"/>
  <c r="G27" i="22" s="1"/>
  <c r="Q27" i="22" s="1"/>
  <c r="BV27" i="19" s="1"/>
  <c r="AN28" i="18" s="1"/>
  <c r="J28" i="18" s="1"/>
  <c r="V28" i="18"/>
  <c r="BF27" i="19"/>
  <c r="AK28" i="18" s="1"/>
  <c r="AU27" i="20"/>
  <c r="S27" i="19"/>
  <c r="AF27" i="19" s="1"/>
  <c r="F27" i="19" s="1"/>
  <c r="F27" i="22" s="1"/>
  <c r="P27" i="22" s="1"/>
  <c r="BU27" i="19" s="1"/>
  <c r="BD28" i="19"/>
  <c r="D28" i="18"/>
  <c r="BP28" i="19"/>
  <c r="AG29" i="18" s="1"/>
  <c r="C29" i="18" s="1"/>
  <c r="E28" i="18"/>
  <c r="BR28" i="19"/>
  <c r="Q30" i="18"/>
  <c r="AT118" i="20"/>
  <c r="AK118" i="20" s="1"/>
  <c r="CD118" i="20"/>
  <c r="O132" i="20"/>
  <c r="CI131" i="20"/>
  <c r="AS118" i="20"/>
  <c r="AJ118" i="20" s="1"/>
  <c r="CC118" i="20"/>
  <c r="AR118" i="20"/>
  <c r="AI118" i="20" s="1"/>
  <c r="CB118" i="20"/>
  <c r="AQ119" i="20"/>
  <c r="AH119" i="20" s="1"/>
  <c r="CA119" i="20"/>
  <c r="CE80" i="20"/>
  <c r="K81" i="20"/>
  <c r="L135" i="20"/>
  <c r="CF134" i="20"/>
  <c r="N136" i="20"/>
  <c r="CH135" i="20"/>
  <c r="BO29" i="19"/>
  <c r="AF30" i="18" s="1"/>
  <c r="AC28" i="19"/>
  <c r="C28" i="19" s="1"/>
  <c r="C28" i="22" s="1"/>
  <c r="AN135" i="20"/>
  <c r="AE135" i="20" s="1"/>
  <c r="BX135" i="20"/>
  <c r="BL27" i="19" l="1"/>
  <c r="M27" i="18"/>
  <c r="O27" i="18"/>
  <c r="BZ27" i="19"/>
  <c r="AR28" i="18" s="1"/>
  <c r="N27" i="18"/>
  <c r="AC28" i="18"/>
  <c r="AY28" i="20"/>
  <c r="V28" i="19"/>
  <c r="AI28" i="19" s="1"/>
  <c r="I28" i="19" s="1"/>
  <c r="I28" i="22" s="1"/>
  <c r="S28" i="22" s="1"/>
  <c r="BX28" i="19" s="1"/>
  <c r="BI28" i="19"/>
  <c r="Y29" i="18"/>
  <c r="L28" i="18"/>
  <c r="AZ28" i="20"/>
  <c r="W28" i="19"/>
  <c r="AJ28" i="19" s="1"/>
  <c r="J28" i="19" s="1"/>
  <c r="BJ28" i="19"/>
  <c r="AP29" i="18" s="1"/>
  <c r="Z29" i="18"/>
  <c r="S28" i="19"/>
  <c r="AF28" i="19" s="1"/>
  <c r="F28" i="19" s="1"/>
  <c r="F28" i="22" s="1"/>
  <c r="P28" i="22" s="1"/>
  <c r="BU28" i="19" s="1"/>
  <c r="AU28" i="20"/>
  <c r="BF28" i="19"/>
  <c r="AL28" i="18"/>
  <c r="G28" i="18"/>
  <c r="V29" i="18" s="1"/>
  <c r="AI29" i="18"/>
  <c r="T28" i="19"/>
  <c r="AG28" i="19" s="1"/>
  <c r="G28" i="19" s="1"/>
  <c r="G28" i="22" s="1"/>
  <c r="Q28" i="22" s="1"/>
  <c r="BV28" i="19" s="1"/>
  <c r="AN29" i="18" s="1"/>
  <c r="Q28" i="19"/>
  <c r="AD28" i="19" s="1"/>
  <c r="D28" i="19" s="1"/>
  <c r="D28" i="22" s="1"/>
  <c r="N28" i="22" s="1"/>
  <c r="BS28" i="19" s="1"/>
  <c r="S29" i="18"/>
  <c r="T29" i="18"/>
  <c r="BE28" i="19"/>
  <c r="U29" i="18"/>
  <c r="R28" i="19"/>
  <c r="AE28" i="19" s="1"/>
  <c r="E28" i="19" s="1"/>
  <c r="E28" i="22" s="1"/>
  <c r="O28" i="22" s="1"/>
  <c r="BT28" i="19" s="1"/>
  <c r="AK29" i="18" s="1"/>
  <c r="BB30" i="19"/>
  <c r="B30" i="18"/>
  <c r="O30" i="19" s="1"/>
  <c r="AB30" i="19" s="1"/>
  <c r="B30" i="19" s="1"/>
  <c r="B30" i="22" s="1"/>
  <c r="L30" i="22" s="1"/>
  <c r="Q119" i="20"/>
  <c r="CK118" i="20"/>
  <c r="AP132" i="20"/>
  <c r="AG132" i="20" s="1"/>
  <c r="BZ132" i="20"/>
  <c r="S119" i="20"/>
  <c r="CM118" i="20"/>
  <c r="BV81" i="20"/>
  <c r="AL81" i="20"/>
  <c r="P120" i="20"/>
  <c r="CJ119" i="20"/>
  <c r="R119" i="20"/>
  <c r="CL118" i="20"/>
  <c r="M28" i="22"/>
  <c r="BQ28" i="19"/>
  <c r="AH29" i="18" s="1"/>
  <c r="AM135" i="20"/>
  <c r="AD135" i="20" s="1"/>
  <c r="BW135" i="20"/>
  <c r="M136" i="20"/>
  <c r="CG135" i="20"/>
  <c r="R30" i="18"/>
  <c r="BC29" i="19"/>
  <c r="P29" i="19"/>
  <c r="AO136" i="20"/>
  <c r="AF136" i="20" s="1"/>
  <c r="BY136" i="20"/>
  <c r="AR29" i="18" l="1"/>
  <c r="BZ28" i="19"/>
  <c r="N28" i="18"/>
  <c r="AA27" i="19"/>
  <c r="AN27" i="19" s="1"/>
  <c r="N27" i="19" s="1"/>
  <c r="K27" i="22" s="1"/>
  <c r="U27" i="22" s="1"/>
  <c r="CA27" i="19" s="1"/>
  <c r="AS28" i="18" s="1"/>
  <c r="AE28" i="18"/>
  <c r="Z27" i="19"/>
  <c r="AM27" i="19" s="1"/>
  <c r="M27" i="19" s="1"/>
  <c r="BC27" i="20"/>
  <c r="BM27" i="19"/>
  <c r="BB27" i="20"/>
  <c r="Y27" i="19"/>
  <c r="AL27" i="19" s="1"/>
  <c r="L27" i="19" s="1"/>
  <c r="J27" i="22" s="1"/>
  <c r="T27" i="22" s="1"/>
  <c r="BY27" i="19" s="1"/>
  <c r="AQ28" i="18" s="1"/>
  <c r="AB28" i="18"/>
  <c r="AD28" i="18"/>
  <c r="BA28" i="20"/>
  <c r="BK28" i="19"/>
  <c r="X28" i="19"/>
  <c r="J29" i="18"/>
  <c r="Y30" i="18"/>
  <c r="BG28" i="19"/>
  <c r="AA29" i="18"/>
  <c r="AL29" i="18"/>
  <c r="AV28" i="20"/>
  <c r="H28" i="18"/>
  <c r="AJ29" i="18"/>
  <c r="F29" i="18" s="1"/>
  <c r="G29" i="18"/>
  <c r="BR29" i="19"/>
  <c r="E29" i="18"/>
  <c r="BD29" i="19"/>
  <c r="BP29" i="19"/>
  <c r="AG30" i="18" s="1"/>
  <c r="C30" i="18" s="1"/>
  <c r="D29" i="18"/>
  <c r="Q31" i="18"/>
  <c r="AR119" i="20"/>
  <c r="AI119" i="20" s="1"/>
  <c r="CB119" i="20"/>
  <c r="AS119" i="20"/>
  <c r="AJ119" i="20" s="1"/>
  <c r="CC119" i="20"/>
  <c r="AQ120" i="20"/>
  <c r="AH120" i="20" s="1"/>
  <c r="CA120" i="20"/>
  <c r="AC81" i="20"/>
  <c r="AT119" i="20"/>
  <c r="AK119" i="20" s="1"/>
  <c r="CD119" i="20"/>
  <c r="O133" i="20"/>
  <c r="CI132" i="20"/>
  <c r="AC29" i="19"/>
  <c r="C29" i="19" s="1"/>
  <c r="C29" i="22" s="1"/>
  <c r="AN136" i="20"/>
  <c r="AE136" i="20" s="1"/>
  <c r="BX136" i="20"/>
  <c r="N137" i="20"/>
  <c r="CH136" i="20"/>
  <c r="BO30" i="19"/>
  <c r="AF31" i="18" s="1"/>
  <c r="L136" i="20"/>
  <c r="CF135" i="20"/>
  <c r="P28" i="18" l="1"/>
  <c r="AT29" i="18"/>
  <c r="BN28" i="19"/>
  <c r="O28" i="18"/>
  <c r="AA28" i="19" s="1"/>
  <c r="AN28" i="19" s="1"/>
  <c r="N28" i="19" s="1"/>
  <c r="K28" i="22" s="1"/>
  <c r="U28" i="22" s="1"/>
  <c r="CA28" i="19" s="1"/>
  <c r="AS29" i="18" s="1"/>
  <c r="AD29" i="18"/>
  <c r="M28" i="18"/>
  <c r="BC28" i="20"/>
  <c r="Z28" i="19"/>
  <c r="AM28" i="19" s="1"/>
  <c r="M28" i="19" s="1"/>
  <c r="BM28" i="19"/>
  <c r="BL28" i="19"/>
  <c r="L29" i="18"/>
  <c r="AK28" i="19"/>
  <c r="K28" i="19" s="1"/>
  <c r="J30" i="18"/>
  <c r="AY29" i="20"/>
  <c r="V29" i="19"/>
  <c r="AI29" i="19" s="1"/>
  <c r="I29" i="19" s="1"/>
  <c r="I29" i="22" s="1"/>
  <c r="S29" i="22" s="1"/>
  <c r="BX29" i="19" s="1"/>
  <c r="BI29" i="19"/>
  <c r="AI30" i="18"/>
  <c r="U28" i="19"/>
  <c r="AH28" i="19" s="1"/>
  <c r="H28" i="19" s="1"/>
  <c r="H28" i="22" s="1"/>
  <c r="R28" i="22" s="1"/>
  <c r="BW28" i="19" s="1"/>
  <c r="AO29" i="18" s="1"/>
  <c r="AW28" i="20"/>
  <c r="W29" i="18"/>
  <c r="BH28" i="19"/>
  <c r="AM29" i="18" s="1"/>
  <c r="X29" i="18"/>
  <c r="AV29" i="20"/>
  <c r="BG29" i="19"/>
  <c r="T29" i="19"/>
  <c r="AG29" i="19" s="1"/>
  <c r="G29" i="19" s="1"/>
  <c r="G29" i="22" s="1"/>
  <c r="Q29" i="22" s="1"/>
  <c r="BV29" i="19" s="1"/>
  <c r="AN30" i="18" s="1"/>
  <c r="V30" i="18"/>
  <c r="AU29" i="20"/>
  <c r="S29" i="19"/>
  <c r="AF29" i="19" s="1"/>
  <c r="F29" i="19" s="1"/>
  <c r="F29" i="22" s="1"/>
  <c r="P29" i="22" s="1"/>
  <c r="BF29" i="19"/>
  <c r="R29" i="19"/>
  <c r="AE29" i="19" s="1"/>
  <c r="E29" i="19" s="1"/>
  <c r="E29" i="22" s="1"/>
  <c r="O29" i="22" s="1"/>
  <c r="BT29" i="19" s="1"/>
  <c r="U30" i="18"/>
  <c r="T30" i="18"/>
  <c r="BE29" i="19"/>
  <c r="S30" i="18"/>
  <c r="Q29" i="19"/>
  <c r="AD29" i="19" s="1"/>
  <c r="D29" i="19" s="1"/>
  <c r="D29" i="22" s="1"/>
  <c r="N29" i="22" s="1"/>
  <c r="BS29" i="19" s="1"/>
  <c r="BB31" i="19"/>
  <c r="B31" i="18"/>
  <c r="O31" i="19" s="1"/>
  <c r="AB31" i="19" s="1"/>
  <c r="B31" i="19" s="1"/>
  <c r="B31" i="22" s="1"/>
  <c r="L31" i="22" s="1"/>
  <c r="S120" i="20"/>
  <c r="CM119" i="20"/>
  <c r="P121" i="20"/>
  <c r="CJ120" i="20"/>
  <c r="Q120" i="20"/>
  <c r="CK119" i="20"/>
  <c r="AP133" i="20"/>
  <c r="AG133" i="20" s="1"/>
  <c r="BZ133" i="20"/>
  <c r="CE81" i="20"/>
  <c r="K82" i="20"/>
  <c r="R120" i="20"/>
  <c r="CL119" i="20"/>
  <c r="AO137" i="20"/>
  <c r="AF137" i="20" s="1"/>
  <c r="BY137" i="20"/>
  <c r="R31" i="18"/>
  <c r="BC30" i="19"/>
  <c r="P30" i="19"/>
  <c r="M29" i="22"/>
  <c r="BQ29" i="19"/>
  <c r="AH30" i="18" s="1"/>
  <c r="M137" i="20"/>
  <c r="CG136" i="20"/>
  <c r="AM136" i="20"/>
  <c r="AD136" i="20" s="1"/>
  <c r="BW136" i="20"/>
  <c r="BN29" i="19" l="1"/>
  <c r="O29" i="18"/>
  <c r="AA29" i="19" s="1"/>
  <c r="AN29" i="19" s="1"/>
  <c r="N29" i="19" s="1"/>
  <c r="K29" i="22" s="1"/>
  <c r="U29" i="22" s="1"/>
  <c r="CA29" i="19" s="1"/>
  <c r="AS30" i="18" s="1"/>
  <c r="Y28" i="19"/>
  <c r="AL28" i="19" s="1"/>
  <c r="L28" i="19" s="1"/>
  <c r="J28" i="22" s="1"/>
  <c r="T28" i="22" s="1"/>
  <c r="BY28" i="19" s="1"/>
  <c r="AQ29" i="18" s="1"/>
  <c r="BB28" i="20"/>
  <c r="AB29" i="18"/>
  <c r="AC29" i="18"/>
  <c r="AE29" i="18"/>
  <c r="AT30" i="18" s="1"/>
  <c r="K29" i="18"/>
  <c r="AK30" i="18"/>
  <c r="AY30" i="20"/>
  <c r="V30" i="19"/>
  <c r="AI30" i="19" s="1"/>
  <c r="I30" i="19" s="1"/>
  <c r="I30" i="22" s="1"/>
  <c r="S30" i="22" s="1"/>
  <c r="BI30" i="19"/>
  <c r="Y31" i="18"/>
  <c r="BA29" i="20"/>
  <c r="X29" i="19"/>
  <c r="AK29" i="19" s="1"/>
  <c r="K29" i="19" s="1"/>
  <c r="BK29" i="19"/>
  <c r="I29" i="18"/>
  <c r="AX29" i="20" s="1"/>
  <c r="H29" i="18"/>
  <c r="W30" i="18" s="1"/>
  <c r="BU29" i="19"/>
  <c r="AL30" i="18" s="1"/>
  <c r="G30" i="18"/>
  <c r="AJ30" i="18"/>
  <c r="F30" i="18" s="1"/>
  <c r="E30" i="18"/>
  <c r="BR30" i="19"/>
  <c r="BD30" i="19"/>
  <c r="AI31" i="18" s="1"/>
  <c r="D30" i="18"/>
  <c r="BP30" i="19"/>
  <c r="AG31" i="18" s="1"/>
  <c r="C31" i="18" s="1"/>
  <c r="Q32" i="18"/>
  <c r="AQ121" i="20"/>
  <c r="AH121" i="20" s="1"/>
  <c r="CA121" i="20"/>
  <c r="AS120" i="20"/>
  <c r="AJ120" i="20" s="1"/>
  <c r="CC120" i="20"/>
  <c r="O134" i="20"/>
  <c r="CI133" i="20"/>
  <c r="BV82" i="20"/>
  <c r="AL82" i="20"/>
  <c r="AR120" i="20"/>
  <c r="AI120" i="20" s="1"/>
  <c r="CB120" i="20"/>
  <c r="AT120" i="20"/>
  <c r="AK120" i="20" s="1"/>
  <c r="CD120" i="20"/>
  <c r="N138" i="20"/>
  <c r="CH137" i="20"/>
  <c r="L137" i="20"/>
  <c r="CF136" i="20"/>
  <c r="AC30" i="19"/>
  <c r="C30" i="19" s="1"/>
  <c r="C30" i="22" s="1"/>
  <c r="AN137" i="20"/>
  <c r="AE137" i="20" s="1"/>
  <c r="BX137" i="20"/>
  <c r="BO31" i="19"/>
  <c r="AF32" i="18" s="1"/>
  <c r="BN30" i="19" l="1"/>
  <c r="AR30" i="18"/>
  <c r="BZ29" i="19"/>
  <c r="N29" i="18"/>
  <c r="M29" i="18"/>
  <c r="P29" i="18"/>
  <c r="AE30" i="18" s="1"/>
  <c r="AT31" i="18" s="1"/>
  <c r="BL29" i="19"/>
  <c r="Z30" i="18"/>
  <c r="AZ29" i="20"/>
  <c r="W29" i="19"/>
  <c r="AJ29" i="19" s="1"/>
  <c r="J29" i="19" s="1"/>
  <c r="BJ29" i="19"/>
  <c r="AP30" i="18" s="1"/>
  <c r="AA30" i="18"/>
  <c r="H30" i="18"/>
  <c r="W31" i="18" s="1"/>
  <c r="U31" i="18"/>
  <c r="AW29" i="20"/>
  <c r="BH29" i="19"/>
  <c r="AM30" i="18" s="1"/>
  <c r="U29" i="19"/>
  <c r="AH29" i="19" s="1"/>
  <c r="H29" i="19" s="1"/>
  <c r="H29" i="22" s="1"/>
  <c r="R29" i="22" s="1"/>
  <c r="BW29" i="19" s="1"/>
  <c r="AO30" i="18" s="1"/>
  <c r="X30" i="18"/>
  <c r="AV30" i="20"/>
  <c r="T30" i="19"/>
  <c r="AG30" i="19" s="1"/>
  <c r="G30" i="19" s="1"/>
  <c r="G30" i="22" s="1"/>
  <c r="Q30" i="22" s="1"/>
  <c r="BV30" i="19" s="1"/>
  <c r="AN31" i="18" s="1"/>
  <c r="BG30" i="19"/>
  <c r="S31" i="18"/>
  <c r="Q30" i="19"/>
  <c r="AD30" i="19" s="1"/>
  <c r="D30" i="19" s="1"/>
  <c r="D30" i="22" s="1"/>
  <c r="N30" i="22" s="1"/>
  <c r="BS30" i="19" s="1"/>
  <c r="T31" i="18"/>
  <c r="S30" i="19"/>
  <c r="AF30" i="19" s="1"/>
  <c r="F30" i="19" s="1"/>
  <c r="F30" i="22" s="1"/>
  <c r="P30" i="22" s="1"/>
  <c r="BU30" i="19" s="1"/>
  <c r="AU30" i="20"/>
  <c r="BF30" i="19"/>
  <c r="AK31" i="18" s="1"/>
  <c r="V31" i="18"/>
  <c r="BE30" i="19"/>
  <c r="R30" i="19"/>
  <c r="AE30" i="19" s="1"/>
  <c r="E30" i="19" s="1"/>
  <c r="E30" i="22" s="1"/>
  <c r="O30" i="22" s="1"/>
  <c r="BT30" i="19" s="1"/>
  <c r="BB32" i="19"/>
  <c r="B32" i="18"/>
  <c r="O32" i="19" s="1"/>
  <c r="AB32" i="19" s="1"/>
  <c r="B32" i="19" s="1"/>
  <c r="B32" i="22" s="1"/>
  <c r="L32" i="22" s="1"/>
  <c r="AP134" i="20"/>
  <c r="AG134" i="20" s="1"/>
  <c r="BZ134" i="20"/>
  <c r="AC82" i="20"/>
  <c r="S121" i="20"/>
  <c r="CM120" i="20"/>
  <c r="P122" i="20"/>
  <c r="CJ121" i="20"/>
  <c r="R121" i="20"/>
  <c r="CL120" i="20"/>
  <c r="Q121" i="20"/>
  <c r="CK120" i="20"/>
  <c r="M30" i="22"/>
  <c r="BQ30" i="19"/>
  <c r="AH31" i="18" s="1"/>
  <c r="AM137" i="20"/>
  <c r="AD137" i="20" s="1"/>
  <c r="BW137" i="20"/>
  <c r="R32" i="18"/>
  <c r="BC31" i="19"/>
  <c r="P31" i="19"/>
  <c r="M138" i="20"/>
  <c r="CG137" i="20"/>
  <c r="AO138" i="20"/>
  <c r="AF138" i="20" s="1"/>
  <c r="BY138" i="20"/>
  <c r="AB30" i="18" l="1"/>
  <c r="Y29" i="19"/>
  <c r="AL29" i="19" s="1"/>
  <c r="L29" i="19" s="1"/>
  <c r="J29" i="22" s="1"/>
  <c r="T29" i="22" s="1"/>
  <c r="BY29" i="19" s="1"/>
  <c r="AQ30" i="18" s="1"/>
  <c r="BB29" i="20"/>
  <c r="BC29" i="20"/>
  <c r="Z29" i="19"/>
  <c r="AM29" i="19" s="1"/>
  <c r="M29" i="19" s="1"/>
  <c r="BM29" i="19"/>
  <c r="AD30" i="18"/>
  <c r="P30" i="18"/>
  <c r="AC30" i="18"/>
  <c r="L30" i="18"/>
  <c r="AA31" i="18" s="1"/>
  <c r="BX30" i="19"/>
  <c r="K30" i="18"/>
  <c r="Z31" i="18" s="1"/>
  <c r="AL31" i="18"/>
  <c r="J31" i="18"/>
  <c r="AJ31" i="18"/>
  <c r="F31" i="18" s="1"/>
  <c r="I30" i="18"/>
  <c r="AX30" i="20" s="1"/>
  <c r="H31" i="18"/>
  <c r="AW30" i="20"/>
  <c r="U30" i="19"/>
  <c r="AH30" i="19" s="1"/>
  <c r="H30" i="19" s="1"/>
  <c r="H30" i="22" s="1"/>
  <c r="R30" i="22" s="1"/>
  <c r="BW30" i="19" s="1"/>
  <c r="AO31" i="18" s="1"/>
  <c r="BH30" i="19"/>
  <c r="AM31" i="18" s="1"/>
  <c r="D31" i="18"/>
  <c r="BP31" i="19"/>
  <c r="AG32" i="18" s="1"/>
  <c r="C32" i="18" s="1"/>
  <c r="BD31" i="19"/>
  <c r="G31" i="18"/>
  <c r="E31" i="18"/>
  <c r="BR31" i="19"/>
  <c r="Q33" i="18"/>
  <c r="AR121" i="20"/>
  <c r="AI121" i="20" s="1"/>
  <c r="CB121" i="20"/>
  <c r="AQ122" i="20"/>
  <c r="AH122" i="20" s="1"/>
  <c r="CA122" i="20"/>
  <c r="O135" i="20"/>
  <c r="CI134" i="20"/>
  <c r="CE82" i="20"/>
  <c r="K83" i="20"/>
  <c r="AS121" i="20"/>
  <c r="AJ121" i="20" s="1"/>
  <c r="CC121" i="20"/>
  <c r="AT121" i="20"/>
  <c r="AK121" i="20" s="1"/>
  <c r="CD121" i="20"/>
  <c r="L138" i="20"/>
  <c r="CF137" i="20"/>
  <c r="N139" i="20"/>
  <c r="CH138" i="20"/>
  <c r="BO32" i="19"/>
  <c r="AF33" i="18" s="1"/>
  <c r="AN138" i="20"/>
  <c r="AE138" i="20" s="1"/>
  <c r="BX138" i="20"/>
  <c r="AC31" i="19"/>
  <c r="C31" i="19" s="1"/>
  <c r="C31" i="22" s="1"/>
  <c r="O30" i="18" l="1"/>
  <c r="AA30" i="19" s="1"/>
  <c r="AN30" i="19" s="1"/>
  <c r="N30" i="19" s="1"/>
  <c r="K30" i="22" s="1"/>
  <c r="U30" i="22" s="1"/>
  <c r="CA30" i="19" s="1"/>
  <c r="AS31" i="18" s="1"/>
  <c r="AE31" i="18"/>
  <c r="N30" i="18"/>
  <c r="BZ30" i="19"/>
  <c r="AR31" i="18" s="1"/>
  <c r="BL30" i="19"/>
  <c r="M30" i="18"/>
  <c r="K31" i="18"/>
  <c r="BA30" i="20"/>
  <c r="AB31" i="18"/>
  <c r="X30" i="19"/>
  <c r="AK30" i="19" s="1"/>
  <c r="K30" i="19" s="1"/>
  <c r="BK30" i="19"/>
  <c r="AZ30" i="20"/>
  <c r="W30" i="19"/>
  <c r="AJ30" i="19" s="1"/>
  <c r="J30" i="19" s="1"/>
  <c r="BJ30" i="19"/>
  <c r="AP31" i="18" s="1"/>
  <c r="AY31" i="20"/>
  <c r="V31" i="19"/>
  <c r="AI31" i="19" s="1"/>
  <c r="I31" i="19" s="1"/>
  <c r="I31" i="22" s="1"/>
  <c r="S31" i="22" s="1"/>
  <c r="BX31" i="19" s="1"/>
  <c r="BI31" i="19"/>
  <c r="AO32" i="18" s="1"/>
  <c r="Y32" i="18"/>
  <c r="Z32" i="18"/>
  <c r="S31" i="19"/>
  <c r="AF31" i="19" s="1"/>
  <c r="F31" i="19" s="1"/>
  <c r="F31" i="22" s="1"/>
  <c r="P31" i="22" s="1"/>
  <c r="BU31" i="19" s="1"/>
  <c r="BF31" i="19"/>
  <c r="V32" i="18"/>
  <c r="X31" i="18"/>
  <c r="AW31" i="20"/>
  <c r="BH31" i="19"/>
  <c r="U31" i="19"/>
  <c r="AH31" i="19" s="1"/>
  <c r="H31" i="19" s="1"/>
  <c r="H31" i="22" s="1"/>
  <c r="R31" i="22" s="1"/>
  <c r="BW31" i="19" s="1"/>
  <c r="AU31" i="20"/>
  <c r="AI32" i="18"/>
  <c r="BE31" i="19"/>
  <c r="R31" i="19"/>
  <c r="AE31" i="19" s="1"/>
  <c r="E31" i="19" s="1"/>
  <c r="E31" i="22" s="1"/>
  <c r="O31" i="22" s="1"/>
  <c r="BT31" i="19" s="1"/>
  <c r="AK32" i="18" s="1"/>
  <c r="U32" i="18"/>
  <c r="T32" i="18"/>
  <c r="BG31" i="19"/>
  <c r="T31" i="19"/>
  <c r="AG31" i="19" s="1"/>
  <c r="G31" i="19" s="1"/>
  <c r="G31" i="22" s="1"/>
  <c r="Q31" i="22" s="1"/>
  <c r="BV31" i="19" s="1"/>
  <c r="AN32" i="18" s="1"/>
  <c r="AV31" i="20"/>
  <c r="W32" i="18"/>
  <c r="S32" i="18"/>
  <c r="Q31" i="19"/>
  <c r="AD31" i="19" s="1"/>
  <c r="D31" i="19" s="1"/>
  <c r="D31" i="22" s="1"/>
  <c r="N31" i="22" s="1"/>
  <c r="BS31" i="19" s="1"/>
  <c r="BB33" i="19"/>
  <c r="B33" i="18"/>
  <c r="O33" i="19" s="1"/>
  <c r="AB33" i="19" s="1"/>
  <c r="B33" i="19" s="1"/>
  <c r="B33" i="22" s="1"/>
  <c r="L33" i="22" s="1"/>
  <c r="AP135" i="20"/>
  <c r="AG135" i="20" s="1"/>
  <c r="BZ135" i="20"/>
  <c r="R122" i="20"/>
  <c r="CL121" i="20"/>
  <c r="P123" i="20"/>
  <c r="CJ122" i="20"/>
  <c r="Q122" i="20"/>
  <c r="CK121" i="20"/>
  <c r="S122" i="20"/>
  <c r="CM121" i="20"/>
  <c r="AL83" i="20"/>
  <c r="BV83" i="20"/>
  <c r="AO139" i="20"/>
  <c r="AF139" i="20" s="1"/>
  <c r="BY139" i="20"/>
  <c r="AM138" i="20"/>
  <c r="AD138" i="20" s="1"/>
  <c r="BW138" i="20"/>
  <c r="M139" i="20"/>
  <c r="CG138" i="20"/>
  <c r="R33" i="18"/>
  <c r="BC32" i="19"/>
  <c r="P32" i="19"/>
  <c r="M31" i="22"/>
  <c r="BQ31" i="19"/>
  <c r="AH32" i="18" s="1"/>
  <c r="P31" i="18" l="1"/>
  <c r="AT32" i="18"/>
  <c r="BN31" i="19"/>
  <c r="BB30" i="20"/>
  <c r="Y30" i="19"/>
  <c r="AL30" i="19" s="1"/>
  <c r="L30" i="19" s="1"/>
  <c r="J30" i="22" s="1"/>
  <c r="T30" i="22" s="1"/>
  <c r="BY30" i="19" s="1"/>
  <c r="AQ31" i="18" s="1"/>
  <c r="BM30" i="19"/>
  <c r="AC31" i="18"/>
  <c r="BC30" i="20"/>
  <c r="Z30" i="19"/>
  <c r="AM30" i="19" s="1"/>
  <c r="M30" i="19" s="1"/>
  <c r="AD31" i="18"/>
  <c r="O31" i="18" s="1"/>
  <c r="AA31" i="19" s="1"/>
  <c r="AN31" i="19" s="1"/>
  <c r="N31" i="19" s="1"/>
  <c r="K31" i="22" s="1"/>
  <c r="U31" i="22" s="1"/>
  <c r="CA31" i="19" s="1"/>
  <c r="L31" i="18"/>
  <c r="K32" i="18"/>
  <c r="BA31" i="20"/>
  <c r="BK31" i="19"/>
  <c r="W31" i="19"/>
  <c r="AJ31" i="19" s="1"/>
  <c r="J31" i="19" s="1"/>
  <c r="BJ31" i="19"/>
  <c r="AP32" i="18" s="1"/>
  <c r="AZ31" i="20"/>
  <c r="AL32" i="18"/>
  <c r="H32" i="18" s="1"/>
  <c r="J32" i="18"/>
  <c r="Z33" i="18" s="1"/>
  <c r="AZ32" i="20"/>
  <c r="W32" i="19"/>
  <c r="AJ32" i="19" s="1"/>
  <c r="J32" i="19" s="1"/>
  <c r="BJ32" i="19"/>
  <c r="I31" i="18"/>
  <c r="AX31" i="20" s="1"/>
  <c r="AM32" i="18"/>
  <c r="G32" i="18"/>
  <c r="AV32" i="20" s="1"/>
  <c r="AJ32" i="18"/>
  <c r="E32" i="18"/>
  <c r="BR32" i="19"/>
  <c r="D32" i="18"/>
  <c r="Q32" i="19" s="1"/>
  <c r="AD32" i="19" s="1"/>
  <c r="D32" i="19" s="1"/>
  <c r="D32" i="22" s="1"/>
  <c r="N32" i="22" s="1"/>
  <c r="BS32" i="19" s="1"/>
  <c r="BP32" i="19"/>
  <c r="AG33" i="18" s="1"/>
  <c r="C33" i="18" s="1"/>
  <c r="BD32" i="19"/>
  <c r="BG32" i="19"/>
  <c r="T32" i="19"/>
  <c r="AG32" i="19" s="1"/>
  <c r="G32" i="19" s="1"/>
  <c r="G32" i="22" s="1"/>
  <c r="Q32" i="22" s="1"/>
  <c r="BV32" i="19" s="1"/>
  <c r="AN33" i="18" s="1"/>
  <c r="Q34" i="18"/>
  <c r="AR122" i="20"/>
  <c r="AI122" i="20" s="1"/>
  <c r="CB122" i="20"/>
  <c r="AS122" i="20"/>
  <c r="AJ122" i="20" s="1"/>
  <c r="CC122" i="20"/>
  <c r="AT122" i="20"/>
  <c r="AK122" i="20" s="1"/>
  <c r="CD122" i="20"/>
  <c r="AQ123" i="20"/>
  <c r="AH123" i="20" s="1"/>
  <c r="CA123" i="20"/>
  <c r="AC83" i="20"/>
  <c r="O136" i="20"/>
  <c r="CI135" i="20"/>
  <c r="BO33" i="19"/>
  <c r="AF34" i="18" s="1"/>
  <c r="AN139" i="20"/>
  <c r="AE139" i="20" s="1"/>
  <c r="BX139" i="20"/>
  <c r="N140" i="20"/>
  <c r="CH139" i="20"/>
  <c r="AC32" i="19"/>
  <c r="C32" i="19" s="1"/>
  <c r="C32" i="22" s="1"/>
  <c r="L139" i="20"/>
  <c r="CF138" i="20"/>
  <c r="AS32" i="18" l="1"/>
  <c r="AE32" i="18"/>
  <c r="AT33" i="18" s="1"/>
  <c r="BL31" i="19"/>
  <c r="N31" i="18"/>
  <c r="BZ31" i="19"/>
  <c r="AR32" i="18" s="1"/>
  <c r="M31" i="18"/>
  <c r="AA32" i="18"/>
  <c r="L32" i="18" s="1"/>
  <c r="X31" i="19"/>
  <c r="AK31" i="19" s="1"/>
  <c r="K31" i="19" s="1"/>
  <c r="BH32" i="19"/>
  <c r="U32" i="19"/>
  <c r="AH32" i="19" s="1"/>
  <c r="H32" i="19" s="1"/>
  <c r="H32" i="22" s="1"/>
  <c r="R32" i="22" s="1"/>
  <c r="BW32" i="19" s="1"/>
  <c r="AM33" i="18"/>
  <c r="X32" i="18"/>
  <c r="Y33" i="18"/>
  <c r="AY32" i="20"/>
  <c r="V32" i="19"/>
  <c r="AI32" i="19" s="1"/>
  <c r="I32" i="19" s="1"/>
  <c r="I32" i="22" s="1"/>
  <c r="S32" i="22" s="1"/>
  <c r="BX32" i="19" s="1"/>
  <c r="BI32" i="19"/>
  <c r="AO33" i="18" s="1"/>
  <c r="K33" i="18" s="1"/>
  <c r="I32" i="18"/>
  <c r="AX32" i="20" s="1"/>
  <c r="AW32" i="20"/>
  <c r="AI33" i="18"/>
  <c r="W33" i="18"/>
  <c r="F32" i="18"/>
  <c r="S33" i="18"/>
  <c r="R32" i="19"/>
  <c r="AE32" i="19" s="1"/>
  <c r="E32" i="19" s="1"/>
  <c r="E32" i="22" s="1"/>
  <c r="O32" i="22" s="1"/>
  <c r="BT32" i="19" s="1"/>
  <c r="BE32" i="19"/>
  <c r="AJ33" i="18" s="1"/>
  <c r="T33" i="18"/>
  <c r="BB34" i="19"/>
  <c r="B34" i="18"/>
  <c r="O34" i="19" s="1"/>
  <c r="AB34" i="19" s="1"/>
  <c r="B34" i="19" s="1"/>
  <c r="B34" i="22" s="1"/>
  <c r="L34" i="22" s="1"/>
  <c r="R123" i="20"/>
  <c r="CL122" i="20"/>
  <c r="AP136" i="20"/>
  <c r="AG136" i="20" s="1"/>
  <c r="BZ136" i="20"/>
  <c r="P124" i="20"/>
  <c r="CJ123" i="20"/>
  <c r="S123" i="20"/>
  <c r="CM122" i="20"/>
  <c r="K84" i="20"/>
  <c r="CE83" i="20"/>
  <c r="Q123" i="20"/>
  <c r="CK122" i="20"/>
  <c r="M32" i="22"/>
  <c r="BQ32" i="19"/>
  <c r="AH33" i="18" s="1"/>
  <c r="M140" i="20"/>
  <c r="CG139" i="20"/>
  <c r="R34" i="18"/>
  <c r="BC33" i="19"/>
  <c r="P33" i="19"/>
  <c r="AM139" i="20"/>
  <c r="AD139" i="20" s="1"/>
  <c r="BW139" i="20"/>
  <c r="AO140" i="20"/>
  <c r="AF140" i="20" s="1"/>
  <c r="BY140" i="20"/>
  <c r="P32" i="18" l="1"/>
  <c r="BN32" i="19"/>
  <c r="BM31" i="19"/>
  <c r="BC31" i="20"/>
  <c r="Z31" i="19"/>
  <c r="AM31" i="19" s="1"/>
  <c r="M31" i="19" s="1"/>
  <c r="Y31" i="19"/>
  <c r="AL31" i="19" s="1"/>
  <c r="L31" i="19" s="1"/>
  <c r="J31" i="22" s="1"/>
  <c r="T31" i="22" s="1"/>
  <c r="BY31" i="19" s="1"/>
  <c r="AQ32" i="18" s="1"/>
  <c r="BB31" i="20"/>
  <c r="AD32" i="18"/>
  <c r="AB32" i="18"/>
  <c r="AC32" i="18"/>
  <c r="BK32" i="19"/>
  <c r="X32" i="19"/>
  <c r="AK32" i="19" s="1"/>
  <c r="K32" i="19" s="1"/>
  <c r="BA32" i="20"/>
  <c r="AA33" i="18"/>
  <c r="AP33" i="18"/>
  <c r="AZ33" i="20"/>
  <c r="W33" i="19"/>
  <c r="AJ33" i="19" s="1"/>
  <c r="J33" i="19" s="1"/>
  <c r="BJ33" i="19"/>
  <c r="J33" i="18"/>
  <c r="Y34" i="18"/>
  <c r="X33" i="18"/>
  <c r="V33" i="18"/>
  <c r="BF32" i="19"/>
  <c r="AK33" i="18" s="1"/>
  <c r="U33" i="18"/>
  <c r="F33" i="18" s="1"/>
  <c r="S32" i="19"/>
  <c r="AF32" i="19" s="1"/>
  <c r="F32" i="19" s="1"/>
  <c r="F32" i="22" s="1"/>
  <c r="P32" i="22" s="1"/>
  <c r="BU32" i="19" s="1"/>
  <c r="AL33" i="18" s="1"/>
  <c r="AU32" i="20"/>
  <c r="E33" i="18"/>
  <c r="BR33" i="19"/>
  <c r="BD33" i="19"/>
  <c r="BP33" i="19"/>
  <c r="AG34" i="18" s="1"/>
  <c r="C34" i="18" s="1"/>
  <c r="D33" i="18"/>
  <c r="Q35" i="18"/>
  <c r="AL84" i="20"/>
  <c r="BV84" i="20"/>
  <c r="AT123" i="20"/>
  <c r="AK123" i="20" s="1"/>
  <c r="CD123" i="20"/>
  <c r="AQ124" i="20"/>
  <c r="AH124" i="20" s="1"/>
  <c r="CA124" i="20"/>
  <c r="O137" i="20"/>
  <c r="CI136" i="20"/>
  <c r="AS123" i="20"/>
  <c r="AJ123" i="20" s="1"/>
  <c r="CC123" i="20"/>
  <c r="AR123" i="20"/>
  <c r="AI123" i="20" s="1"/>
  <c r="CB123" i="20"/>
  <c r="L140" i="20"/>
  <c r="CF139" i="20"/>
  <c r="BO34" i="19"/>
  <c r="AF35" i="18" s="1"/>
  <c r="AC33" i="19"/>
  <c r="C33" i="19" s="1"/>
  <c r="C33" i="22" s="1"/>
  <c r="AN140" i="20"/>
  <c r="AE140" i="20" s="1"/>
  <c r="BX140" i="20"/>
  <c r="N141" i="20"/>
  <c r="CH140" i="20"/>
  <c r="BL32" i="19" l="1"/>
  <c r="M32" i="18"/>
  <c r="O32" i="18"/>
  <c r="N32" i="18"/>
  <c r="BZ32" i="19"/>
  <c r="AR33" i="18" s="1"/>
  <c r="L33" i="18"/>
  <c r="AY33" i="20"/>
  <c r="V33" i="19"/>
  <c r="AI33" i="19" s="1"/>
  <c r="I33" i="19" s="1"/>
  <c r="I33" i="22" s="1"/>
  <c r="S33" i="22" s="1"/>
  <c r="BX33" i="19" s="1"/>
  <c r="AP34" i="18" s="1"/>
  <c r="BI33" i="19"/>
  <c r="Z34" i="18"/>
  <c r="AI34" i="18"/>
  <c r="I33" i="18"/>
  <c r="AX33" i="20" s="1"/>
  <c r="H33" i="18"/>
  <c r="BF33" i="19"/>
  <c r="S33" i="19"/>
  <c r="AF33" i="19" s="1"/>
  <c r="F33" i="19" s="1"/>
  <c r="F33" i="22" s="1"/>
  <c r="P33" i="22" s="1"/>
  <c r="BU33" i="19" s="1"/>
  <c r="AU33" i="20"/>
  <c r="G33" i="18"/>
  <c r="S34" i="18"/>
  <c r="Q33" i="19"/>
  <c r="AD33" i="19" s="1"/>
  <c r="D33" i="19" s="1"/>
  <c r="D33" i="22" s="1"/>
  <c r="N33" i="22" s="1"/>
  <c r="BS33" i="19" s="1"/>
  <c r="T34" i="18"/>
  <c r="BE33" i="19"/>
  <c r="U34" i="18"/>
  <c r="R33" i="19"/>
  <c r="AE33" i="19" s="1"/>
  <c r="E33" i="19" s="1"/>
  <c r="E33" i="22" s="1"/>
  <c r="O33" i="22" s="1"/>
  <c r="BT33" i="19" s="1"/>
  <c r="BB35" i="19"/>
  <c r="B35" i="18"/>
  <c r="O35" i="19" s="1"/>
  <c r="AB35" i="19" s="1"/>
  <c r="B35" i="19" s="1"/>
  <c r="B35" i="22" s="1"/>
  <c r="L35" i="22" s="1"/>
  <c r="AP137" i="20"/>
  <c r="AG137" i="20" s="1"/>
  <c r="BZ137" i="20"/>
  <c r="S124" i="20"/>
  <c r="CM123" i="20"/>
  <c r="Q124" i="20"/>
  <c r="CK123" i="20"/>
  <c r="R124" i="20"/>
  <c r="CL123" i="20"/>
  <c r="P125" i="20"/>
  <c r="CJ124" i="20"/>
  <c r="AC84" i="20"/>
  <c r="M33" i="22"/>
  <c r="BQ33" i="19"/>
  <c r="AH34" i="18" s="1"/>
  <c r="AO141" i="20"/>
  <c r="AF141" i="20" s="1"/>
  <c r="BY141" i="20"/>
  <c r="M141" i="20"/>
  <c r="CG140" i="20"/>
  <c r="R35" i="18"/>
  <c r="BC34" i="19"/>
  <c r="P34" i="19"/>
  <c r="AM140" i="20"/>
  <c r="AD140" i="20" s="1"/>
  <c r="BW140" i="20"/>
  <c r="AA32" i="19" l="1"/>
  <c r="AN32" i="19" s="1"/>
  <c r="N32" i="19" s="1"/>
  <c r="K32" i="22" s="1"/>
  <c r="U32" i="22" s="1"/>
  <c r="CA32" i="19" s="1"/>
  <c r="AS33" i="18" s="1"/>
  <c r="AE33" i="18"/>
  <c r="AT34" i="18" s="1"/>
  <c r="AC33" i="18"/>
  <c r="BB32" i="20"/>
  <c r="Y32" i="19"/>
  <c r="AL32" i="19" s="1"/>
  <c r="L32" i="19" s="1"/>
  <c r="J32" i="22" s="1"/>
  <c r="T32" i="22" s="1"/>
  <c r="BY32" i="19" s="1"/>
  <c r="AQ33" i="18" s="1"/>
  <c r="AB33" i="18"/>
  <c r="BC32" i="20"/>
  <c r="Z32" i="19"/>
  <c r="AM32" i="19" s="1"/>
  <c r="M32" i="19" s="1"/>
  <c r="BM32" i="19"/>
  <c r="AD33" i="18"/>
  <c r="BK33" i="19"/>
  <c r="X33" i="19"/>
  <c r="AK33" i="19" s="1"/>
  <c r="K33" i="19" s="1"/>
  <c r="BA33" i="20"/>
  <c r="AA34" i="18"/>
  <c r="L34" i="18" s="1"/>
  <c r="BA34" i="20"/>
  <c r="BK34" i="19"/>
  <c r="X34" i="19"/>
  <c r="AK34" i="19" s="1"/>
  <c r="K34" i="19" s="1"/>
  <c r="AJ34" i="18"/>
  <c r="F34" i="18" s="1"/>
  <c r="AK34" i="18"/>
  <c r="X34" i="18"/>
  <c r="BH33" i="19"/>
  <c r="AM34" i="18" s="1"/>
  <c r="U33" i="19"/>
  <c r="AH33" i="19" s="1"/>
  <c r="H33" i="19" s="1"/>
  <c r="H33" i="22" s="1"/>
  <c r="R33" i="22" s="1"/>
  <c r="BW33" i="19" s="1"/>
  <c r="AO34" i="18" s="1"/>
  <c r="AW33" i="20"/>
  <c r="BG33" i="19"/>
  <c r="AL34" i="18" s="1"/>
  <c r="T33" i="19"/>
  <c r="AG33" i="19" s="1"/>
  <c r="G33" i="19" s="1"/>
  <c r="G33" i="22" s="1"/>
  <c r="Q33" i="22" s="1"/>
  <c r="BV33" i="19" s="1"/>
  <c r="AN34" i="18" s="1"/>
  <c r="AV33" i="20"/>
  <c r="W34" i="18"/>
  <c r="V34" i="18"/>
  <c r="BD34" i="19"/>
  <c r="D34" i="18"/>
  <c r="BP34" i="19"/>
  <c r="AG35" i="18" s="1"/>
  <c r="C35" i="18" s="1"/>
  <c r="E34" i="18"/>
  <c r="BR34" i="19"/>
  <c r="Q36" i="18"/>
  <c r="AR124" i="20"/>
  <c r="AI124" i="20" s="1"/>
  <c r="CB124" i="20"/>
  <c r="CE84" i="20"/>
  <c r="K85" i="20"/>
  <c r="AT124" i="20"/>
  <c r="AK124" i="20" s="1"/>
  <c r="CD124" i="20"/>
  <c r="AQ125" i="20"/>
  <c r="AH125" i="20" s="1"/>
  <c r="CA125" i="20"/>
  <c r="AS124" i="20"/>
  <c r="AJ124" i="20" s="1"/>
  <c r="CC124" i="20"/>
  <c r="O138" i="20"/>
  <c r="CI137" i="20"/>
  <c r="N142" i="20"/>
  <c r="CH141" i="20"/>
  <c r="AC34" i="19"/>
  <c r="C34" i="19" s="1"/>
  <c r="C34" i="22" s="1"/>
  <c r="AN141" i="20"/>
  <c r="AE141" i="20" s="1"/>
  <c r="BX141" i="20"/>
  <c r="BO35" i="19"/>
  <c r="AF36" i="18" s="1"/>
  <c r="L141" i="20"/>
  <c r="CF140" i="20"/>
  <c r="O33" i="18" l="1"/>
  <c r="BN33" i="19"/>
  <c r="N33" i="18"/>
  <c r="BZ33" i="19"/>
  <c r="AR34" i="18" s="1"/>
  <c r="AC34" i="18"/>
  <c r="AD34" i="18"/>
  <c r="AA33" i="19"/>
  <c r="AN33" i="19" s="1"/>
  <c r="N33" i="19" s="1"/>
  <c r="K33" i="22" s="1"/>
  <c r="U33" i="22" s="1"/>
  <c r="CA33" i="19" s="1"/>
  <c r="AS34" i="18" s="1"/>
  <c r="M33" i="18"/>
  <c r="P33" i="18"/>
  <c r="AE34" i="18" s="1"/>
  <c r="P34" i="18" s="1"/>
  <c r="BL33" i="19"/>
  <c r="K34" i="18"/>
  <c r="J34" i="18"/>
  <c r="AZ34" i="20"/>
  <c r="W34" i="19"/>
  <c r="AJ34" i="19" s="1"/>
  <c r="J34" i="19" s="1"/>
  <c r="BJ34" i="19"/>
  <c r="AA35" i="18"/>
  <c r="I34" i="18"/>
  <c r="AX34" i="20" s="1"/>
  <c r="AI35" i="18"/>
  <c r="G34" i="18"/>
  <c r="V35" i="18" s="1"/>
  <c r="H34" i="18"/>
  <c r="W35" i="18"/>
  <c r="BF34" i="19"/>
  <c r="S34" i="19"/>
  <c r="AF34" i="19" s="1"/>
  <c r="F34" i="19" s="1"/>
  <c r="F34" i="22" s="1"/>
  <c r="P34" i="22" s="1"/>
  <c r="BU34" i="19" s="1"/>
  <c r="AU34" i="20"/>
  <c r="Q34" i="19"/>
  <c r="AD34" i="19" s="1"/>
  <c r="D34" i="19" s="1"/>
  <c r="D34" i="22" s="1"/>
  <c r="N34" i="22" s="1"/>
  <c r="BS34" i="19" s="1"/>
  <c r="S35" i="18"/>
  <c r="U35" i="18"/>
  <c r="T35" i="18"/>
  <c r="R34" i="19"/>
  <c r="AE34" i="19" s="1"/>
  <c r="E34" i="19" s="1"/>
  <c r="E34" i="22" s="1"/>
  <c r="O34" i="22" s="1"/>
  <c r="BT34" i="19" s="1"/>
  <c r="BE34" i="19"/>
  <c r="BB36" i="19"/>
  <c r="B36" i="18"/>
  <c r="O36" i="19" s="1"/>
  <c r="AB36" i="19" s="1"/>
  <c r="B36" i="19" s="1"/>
  <c r="B36" i="22" s="1"/>
  <c r="L36" i="22" s="1"/>
  <c r="P126" i="20"/>
  <c r="CJ125" i="20"/>
  <c r="AL85" i="20"/>
  <c r="BV85" i="20"/>
  <c r="AP138" i="20"/>
  <c r="AG138" i="20" s="1"/>
  <c r="BZ138" i="20"/>
  <c r="R125" i="20"/>
  <c r="CL124" i="20"/>
  <c r="S125" i="20"/>
  <c r="CM124" i="20"/>
  <c r="Q125" i="20"/>
  <c r="CK124" i="20"/>
  <c r="M34" i="22"/>
  <c r="BQ34" i="19"/>
  <c r="AH35" i="18" s="1"/>
  <c r="AM141" i="20"/>
  <c r="AD141" i="20" s="1"/>
  <c r="BW141" i="20"/>
  <c r="R36" i="18"/>
  <c r="BC35" i="19"/>
  <c r="P35" i="19"/>
  <c r="M142" i="20"/>
  <c r="CG141" i="20"/>
  <c r="AO142" i="20"/>
  <c r="AF142" i="20" s="1"/>
  <c r="BY142" i="20"/>
  <c r="AT35" i="18" l="1"/>
  <c r="BN34" i="19"/>
  <c r="O34" i="18"/>
  <c r="AA34" i="19" s="1"/>
  <c r="AN34" i="19" s="1"/>
  <c r="N34" i="19" s="1"/>
  <c r="K34" i="22" s="1"/>
  <c r="U34" i="22" s="1"/>
  <c r="CA34" i="19" s="1"/>
  <c r="AS35" i="18" s="1"/>
  <c r="BZ34" i="19"/>
  <c r="AR35" i="18" s="1"/>
  <c r="N34" i="18"/>
  <c r="AD35" i="18" s="1"/>
  <c r="BB33" i="20"/>
  <c r="Y33" i="19"/>
  <c r="AL33" i="19" s="1"/>
  <c r="L33" i="19" s="1"/>
  <c r="J33" i="22" s="1"/>
  <c r="T33" i="22" s="1"/>
  <c r="BY33" i="19" s="1"/>
  <c r="AQ34" i="18" s="1"/>
  <c r="AB34" i="18"/>
  <c r="BC33" i="20"/>
  <c r="Z33" i="19"/>
  <c r="AM33" i="19" s="1"/>
  <c r="M33" i="19" s="1"/>
  <c r="BM33" i="19"/>
  <c r="AY34" i="20"/>
  <c r="BI34" i="19"/>
  <c r="V34" i="19"/>
  <c r="AI34" i="19" s="1"/>
  <c r="I34" i="19" s="1"/>
  <c r="I34" i="22" s="1"/>
  <c r="S34" i="22" s="1"/>
  <c r="BX34" i="19" s="1"/>
  <c r="AP35" i="18" s="1"/>
  <c r="Y35" i="18"/>
  <c r="Z35" i="18"/>
  <c r="AK35" i="18"/>
  <c r="G35" i="18" s="1"/>
  <c r="U34" i="19"/>
  <c r="AH34" i="19" s="1"/>
  <c r="H34" i="19" s="1"/>
  <c r="H34" i="22" s="1"/>
  <c r="R34" i="22" s="1"/>
  <c r="BW34" i="19" s="1"/>
  <c r="AW34" i="20"/>
  <c r="BH34" i="19"/>
  <c r="AM35" i="18" s="1"/>
  <c r="X35" i="18"/>
  <c r="AJ35" i="18"/>
  <c r="BG34" i="19"/>
  <c r="AL35" i="18" s="1"/>
  <c r="H35" i="18" s="1"/>
  <c r="T34" i="19"/>
  <c r="AG34" i="19" s="1"/>
  <c r="G34" i="19" s="1"/>
  <c r="G34" i="22" s="1"/>
  <c r="Q34" i="22" s="1"/>
  <c r="BV34" i="19" s="1"/>
  <c r="AN35" i="18" s="1"/>
  <c r="AV34" i="20"/>
  <c r="E35" i="18"/>
  <c r="BR35" i="19"/>
  <c r="AI36" i="18" s="1"/>
  <c r="BD35" i="19"/>
  <c r="D35" i="18"/>
  <c r="BP35" i="19"/>
  <c r="AG36" i="18" s="1"/>
  <c r="C36" i="18" s="1"/>
  <c r="Q37" i="18"/>
  <c r="O139" i="20"/>
  <c r="CI138" i="20"/>
  <c r="AC85" i="20"/>
  <c r="AS125" i="20"/>
  <c r="AJ125" i="20" s="1"/>
  <c r="CC125" i="20"/>
  <c r="AT125" i="20"/>
  <c r="AK125" i="20" s="1"/>
  <c r="CD125" i="20"/>
  <c r="AR125" i="20"/>
  <c r="AI125" i="20" s="1"/>
  <c r="CB125" i="20"/>
  <c r="AQ126" i="20"/>
  <c r="AH126" i="20" s="1"/>
  <c r="CA126" i="20"/>
  <c r="N143" i="20"/>
  <c r="CH142" i="20"/>
  <c r="AC35" i="19"/>
  <c r="C35" i="19" s="1"/>
  <c r="C35" i="22" s="1"/>
  <c r="AN142" i="20"/>
  <c r="AE142" i="20" s="1"/>
  <c r="BX142" i="20"/>
  <c r="BO36" i="19"/>
  <c r="AF37" i="18" s="1"/>
  <c r="L142" i="20"/>
  <c r="CF141" i="20"/>
  <c r="BN35" i="19" l="1"/>
  <c r="BL34" i="19"/>
  <c r="O35" i="18"/>
  <c r="AA35" i="19" s="1"/>
  <c r="AN35" i="19" s="1"/>
  <c r="N35" i="19" s="1"/>
  <c r="K35" i="22" s="1"/>
  <c r="U35" i="22" s="1"/>
  <c r="CA35" i="19" s="1"/>
  <c r="AS36" i="18" s="1"/>
  <c r="M34" i="18"/>
  <c r="AB35" i="18" s="1"/>
  <c r="BC34" i="20"/>
  <c r="Z34" i="19"/>
  <c r="AM34" i="19" s="1"/>
  <c r="M34" i="19" s="1"/>
  <c r="BM34" i="19"/>
  <c r="AE35" i="18"/>
  <c r="P35" i="18" s="1"/>
  <c r="AE36" i="18" s="1"/>
  <c r="L35" i="18"/>
  <c r="AO35" i="18"/>
  <c r="K35" i="18" s="1"/>
  <c r="Z36" i="18" s="1"/>
  <c r="J35" i="18"/>
  <c r="AW35" i="20"/>
  <c r="U35" i="19"/>
  <c r="AH35" i="19" s="1"/>
  <c r="H35" i="19" s="1"/>
  <c r="H35" i="22" s="1"/>
  <c r="R35" i="22" s="1"/>
  <c r="BW35" i="19" s="1"/>
  <c r="BH35" i="19"/>
  <c r="AM36" i="18" s="1"/>
  <c r="T35" i="19"/>
  <c r="AG35" i="19" s="1"/>
  <c r="G35" i="19" s="1"/>
  <c r="G35" i="22" s="1"/>
  <c r="Q35" i="22" s="1"/>
  <c r="BV35" i="19" s="1"/>
  <c r="AN36" i="18" s="1"/>
  <c r="W36" i="18"/>
  <c r="BG35" i="19"/>
  <c r="AV35" i="20"/>
  <c r="I35" i="18"/>
  <c r="AX35" i="20" s="1"/>
  <c r="F35" i="18"/>
  <c r="U36" i="18" s="1"/>
  <c r="S36" i="18"/>
  <c r="Q35" i="19"/>
  <c r="AD35" i="19" s="1"/>
  <c r="D35" i="19" s="1"/>
  <c r="D35" i="22" s="1"/>
  <c r="N35" i="22" s="1"/>
  <c r="BS35" i="19" s="1"/>
  <c r="R35" i="19"/>
  <c r="AE35" i="19" s="1"/>
  <c r="E35" i="19" s="1"/>
  <c r="E35" i="22" s="1"/>
  <c r="O35" i="22" s="1"/>
  <c r="BT35" i="19" s="1"/>
  <c r="T36" i="18"/>
  <c r="BE35" i="19"/>
  <c r="BB37" i="19"/>
  <c r="B37" i="18"/>
  <c r="O37" i="19" s="1"/>
  <c r="AB37" i="19" s="1"/>
  <c r="B37" i="19" s="1"/>
  <c r="B37" i="22" s="1"/>
  <c r="L37" i="22" s="1"/>
  <c r="P127" i="20"/>
  <c r="CJ126" i="20"/>
  <c r="S126" i="20"/>
  <c r="CM125" i="20"/>
  <c r="CE85" i="20"/>
  <c r="K86" i="20"/>
  <c r="Q126" i="20"/>
  <c r="CK125" i="20"/>
  <c r="AP139" i="20"/>
  <c r="AG139" i="20" s="1"/>
  <c r="BZ139" i="20"/>
  <c r="R126" i="20"/>
  <c r="CL125" i="20"/>
  <c r="M35" i="22"/>
  <c r="BQ35" i="19"/>
  <c r="AH36" i="18" s="1"/>
  <c r="M143" i="20"/>
  <c r="CG142" i="20"/>
  <c r="AM142" i="20"/>
  <c r="AD142" i="20" s="1"/>
  <c r="BW142" i="20"/>
  <c r="R37" i="18"/>
  <c r="BC36" i="19"/>
  <c r="P36" i="19"/>
  <c r="AO143" i="20"/>
  <c r="AF143" i="20" s="1"/>
  <c r="BY143" i="20"/>
  <c r="AT36" i="18" l="1"/>
  <c r="AT37" i="18" s="1"/>
  <c r="BN36" i="19"/>
  <c r="Y34" i="19"/>
  <c r="AL34" i="19" s="1"/>
  <c r="L34" i="19" s="1"/>
  <c r="J34" i="22" s="1"/>
  <c r="T34" i="22" s="1"/>
  <c r="BY34" i="19" s="1"/>
  <c r="AQ35" i="18" s="1"/>
  <c r="BB34" i="20"/>
  <c r="AC35" i="18"/>
  <c r="BA35" i="20"/>
  <c r="X35" i="19"/>
  <c r="AK35" i="19" s="1"/>
  <c r="K35" i="19" s="1"/>
  <c r="BK35" i="19"/>
  <c r="AY35" i="20"/>
  <c r="V35" i="19"/>
  <c r="AI35" i="19" s="1"/>
  <c r="I35" i="19" s="1"/>
  <c r="I35" i="22" s="1"/>
  <c r="S35" i="22" s="1"/>
  <c r="BX35" i="19" s="1"/>
  <c r="BI35" i="19"/>
  <c r="AO36" i="18" s="1"/>
  <c r="AZ35" i="20"/>
  <c r="W35" i="19"/>
  <c r="AJ35" i="19" s="1"/>
  <c r="J35" i="19" s="1"/>
  <c r="BJ35" i="19"/>
  <c r="AP36" i="18" s="1"/>
  <c r="AA36" i="18"/>
  <c r="Y36" i="18"/>
  <c r="J36" i="18" s="1"/>
  <c r="AJ36" i="18"/>
  <c r="F36" i="18" s="1"/>
  <c r="X36" i="18"/>
  <c r="AU35" i="20"/>
  <c r="BF35" i="19"/>
  <c r="AK36" i="18" s="1"/>
  <c r="V36" i="18"/>
  <c r="S35" i="19"/>
  <c r="AF35" i="19" s="1"/>
  <c r="F35" i="19" s="1"/>
  <c r="F35" i="22" s="1"/>
  <c r="P35" i="22" s="1"/>
  <c r="BU35" i="19" s="1"/>
  <c r="AL36" i="18" s="1"/>
  <c r="BD36" i="19"/>
  <c r="D36" i="18"/>
  <c r="BP36" i="19"/>
  <c r="AG37" i="18" s="1"/>
  <c r="C37" i="18" s="1"/>
  <c r="BR36" i="19"/>
  <c r="E36" i="18"/>
  <c r="Q38" i="18"/>
  <c r="O140" i="20"/>
  <c r="CI139" i="20"/>
  <c r="AL86" i="20"/>
  <c r="BV86" i="20"/>
  <c r="AS126" i="20"/>
  <c r="AJ126" i="20" s="1"/>
  <c r="CC126" i="20"/>
  <c r="AR126" i="20"/>
  <c r="AI126" i="20" s="1"/>
  <c r="CB126" i="20"/>
  <c r="AT126" i="20"/>
  <c r="AK126" i="20" s="1"/>
  <c r="CD126" i="20"/>
  <c r="AQ127" i="20"/>
  <c r="AH127" i="20" s="1"/>
  <c r="CA127" i="20"/>
  <c r="N144" i="20"/>
  <c r="CH143" i="20"/>
  <c r="BO37" i="19"/>
  <c r="AF38" i="18" s="1"/>
  <c r="AN143" i="20"/>
  <c r="AE143" i="20" s="1"/>
  <c r="BX143" i="20"/>
  <c r="AC36" i="19"/>
  <c r="C36" i="19" s="1"/>
  <c r="C36" i="22" s="1"/>
  <c r="L143" i="20"/>
  <c r="CF142" i="20"/>
  <c r="P36" i="18" l="1"/>
  <c r="BL35" i="19"/>
  <c r="BZ35" i="19"/>
  <c r="AR36" i="18" s="1"/>
  <c r="N35" i="18"/>
  <c r="M35" i="18"/>
  <c r="L36" i="18"/>
  <c r="K36" i="18"/>
  <c r="Z37" i="18" s="1"/>
  <c r="BA36" i="20"/>
  <c r="BK36" i="19"/>
  <c r="X36" i="19"/>
  <c r="AK36" i="19" s="1"/>
  <c r="K36" i="19" s="1"/>
  <c r="Y37" i="18"/>
  <c r="AY36" i="20"/>
  <c r="V36" i="19"/>
  <c r="AI36" i="19" s="1"/>
  <c r="I36" i="19" s="1"/>
  <c r="I36" i="22" s="1"/>
  <c r="S36" i="22" s="1"/>
  <c r="BX36" i="19" s="1"/>
  <c r="BI36" i="19"/>
  <c r="AZ36" i="20"/>
  <c r="W36" i="19"/>
  <c r="AJ36" i="19" s="1"/>
  <c r="J36" i="19" s="1"/>
  <c r="BJ36" i="19"/>
  <c r="AP37" i="18" s="1"/>
  <c r="AI37" i="18"/>
  <c r="H36" i="18"/>
  <c r="I36" i="18"/>
  <c r="AX36" i="20" s="1"/>
  <c r="G36" i="18"/>
  <c r="V37" i="18" s="1"/>
  <c r="BF36" i="19"/>
  <c r="S36" i="19"/>
  <c r="AF36" i="19" s="1"/>
  <c r="F36" i="19" s="1"/>
  <c r="F36" i="22" s="1"/>
  <c r="P36" i="22" s="1"/>
  <c r="BU36" i="19" s="1"/>
  <c r="AU36" i="20"/>
  <c r="Q36" i="19"/>
  <c r="AD36" i="19" s="1"/>
  <c r="D36" i="19" s="1"/>
  <c r="D36" i="22" s="1"/>
  <c r="N36" i="22" s="1"/>
  <c r="BS36" i="19" s="1"/>
  <c r="S37" i="18"/>
  <c r="T37" i="18"/>
  <c r="U37" i="18"/>
  <c r="BE36" i="19"/>
  <c r="AJ37" i="18" s="1"/>
  <c r="R36" i="19"/>
  <c r="AE36" i="19" s="1"/>
  <c r="E36" i="19" s="1"/>
  <c r="E36" i="22" s="1"/>
  <c r="O36" i="22" s="1"/>
  <c r="BT36" i="19" s="1"/>
  <c r="B38" i="18"/>
  <c r="O38" i="19" s="1"/>
  <c r="AB38" i="19" s="1"/>
  <c r="B38" i="19" s="1"/>
  <c r="B38" i="22" s="1"/>
  <c r="L38" i="22" s="1"/>
  <c r="BB38" i="19"/>
  <c r="S127" i="20"/>
  <c r="CM126" i="20"/>
  <c r="AC86" i="20"/>
  <c r="P128" i="20"/>
  <c r="CJ127" i="20"/>
  <c r="Q127" i="20"/>
  <c r="CK126" i="20"/>
  <c r="R127" i="20"/>
  <c r="CL126" i="20"/>
  <c r="AP140" i="20"/>
  <c r="AG140" i="20" s="1"/>
  <c r="BZ140" i="20"/>
  <c r="AM143" i="20"/>
  <c r="AD143" i="20" s="1"/>
  <c r="BW143" i="20"/>
  <c r="M36" i="22"/>
  <c r="BQ36" i="19"/>
  <c r="AH37" i="18" s="1"/>
  <c r="AO144" i="20"/>
  <c r="AF144" i="20" s="1"/>
  <c r="BY144" i="20"/>
  <c r="M144" i="20"/>
  <c r="CG143" i="20"/>
  <c r="R38" i="18"/>
  <c r="BC37" i="19"/>
  <c r="P37" i="19"/>
  <c r="Z35" i="19" l="1"/>
  <c r="AM35" i="19" s="1"/>
  <c r="M35" i="19" s="1"/>
  <c r="BM35" i="19"/>
  <c r="BC35" i="20"/>
  <c r="AD36" i="18"/>
  <c r="Y35" i="19"/>
  <c r="AL35" i="19" s="1"/>
  <c r="L35" i="19" s="1"/>
  <c r="J35" i="22" s="1"/>
  <c r="T35" i="22" s="1"/>
  <c r="BY35" i="19" s="1"/>
  <c r="AQ36" i="18" s="1"/>
  <c r="BB35" i="20"/>
  <c r="AB36" i="18"/>
  <c r="AC36" i="18"/>
  <c r="AA37" i="18"/>
  <c r="L37" i="18"/>
  <c r="AW36" i="20"/>
  <c r="U36" i="19"/>
  <c r="AH36" i="19" s="1"/>
  <c r="H36" i="19" s="1"/>
  <c r="H36" i="22" s="1"/>
  <c r="R36" i="22" s="1"/>
  <c r="BW36" i="19" s="1"/>
  <c r="AO37" i="18" s="1"/>
  <c r="BH36" i="19"/>
  <c r="AM37" i="18" s="1"/>
  <c r="AK37" i="18"/>
  <c r="G37" i="18" s="1"/>
  <c r="X37" i="18"/>
  <c r="F37" i="18"/>
  <c r="W37" i="18"/>
  <c r="AV36" i="20"/>
  <c r="BG36" i="19"/>
  <c r="AL37" i="18" s="1"/>
  <c r="T36" i="19"/>
  <c r="AG36" i="19" s="1"/>
  <c r="G36" i="19" s="1"/>
  <c r="G36" i="22" s="1"/>
  <c r="Q36" i="22" s="1"/>
  <c r="BV36" i="19" s="1"/>
  <c r="AN37" i="18" s="1"/>
  <c r="BR37" i="19"/>
  <c r="E37" i="18"/>
  <c r="BD37" i="19"/>
  <c r="AI38" i="18" s="1"/>
  <c r="D37" i="18"/>
  <c r="BP37" i="19"/>
  <c r="AG38" i="18" s="1"/>
  <c r="C38" i="18" s="1"/>
  <c r="Q39" i="18"/>
  <c r="CE86" i="20"/>
  <c r="K87" i="20"/>
  <c r="O141" i="20"/>
  <c r="CI140" i="20"/>
  <c r="AS127" i="20"/>
  <c r="AJ127" i="20" s="1"/>
  <c r="CC127" i="20"/>
  <c r="AR127" i="20"/>
  <c r="AI127" i="20" s="1"/>
  <c r="CB127" i="20"/>
  <c r="AQ128" i="20"/>
  <c r="AH128" i="20" s="1"/>
  <c r="CA128" i="20"/>
  <c r="AT127" i="20"/>
  <c r="AK127" i="20" s="1"/>
  <c r="CD127" i="20"/>
  <c r="AC37" i="19"/>
  <c r="C37" i="19" s="1"/>
  <c r="C37" i="22" s="1"/>
  <c r="BO38" i="19"/>
  <c r="AF39" i="18" s="1"/>
  <c r="AN144" i="20"/>
  <c r="AE144" i="20" s="1"/>
  <c r="BX144" i="20"/>
  <c r="N145" i="20"/>
  <c r="CH144" i="20"/>
  <c r="L144" i="20"/>
  <c r="CF143" i="20"/>
  <c r="AR37" i="18" l="1"/>
  <c r="BZ36" i="19"/>
  <c r="N36" i="18"/>
  <c r="O36" i="18"/>
  <c r="M36" i="18"/>
  <c r="AB37" i="18" s="1"/>
  <c r="BL36" i="19"/>
  <c r="K37" i="18"/>
  <c r="AA38" i="18" s="1"/>
  <c r="J37" i="18"/>
  <c r="V38" i="18"/>
  <c r="BA37" i="20"/>
  <c r="X37" i="19"/>
  <c r="AK37" i="19" s="1"/>
  <c r="K37" i="19" s="1"/>
  <c r="BK37" i="19"/>
  <c r="I37" i="18"/>
  <c r="AX37" i="20" s="1"/>
  <c r="AU37" i="20"/>
  <c r="BF37" i="19"/>
  <c r="S37" i="19"/>
  <c r="AF37" i="19" s="1"/>
  <c r="F37" i="19" s="1"/>
  <c r="F37" i="22" s="1"/>
  <c r="P37" i="22" s="1"/>
  <c r="BU37" i="19" s="1"/>
  <c r="H37" i="18"/>
  <c r="AV37" i="20"/>
  <c r="BG37" i="19"/>
  <c r="T37" i="19"/>
  <c r="AG37" i="19" s="1"/>
  <c r="G37" i="19" s="1"/>
  <c r="G37" i="22" s="1"/>
  <c r="Q37" i="22" s="1"/>
  <c r="BV37" i="19" s="1"/>
  <c r="AN38" i="18" s="1"/>
  <c r="T38" i="18"/>
  <c r="BE37" i="19"/>
  <c r="R37" i="19"/>
  <c r="AE37" i="19" s="1"/>
  <c r="E37" i="19" s="1"/>
  <c r="E37" i="22" s="1"/>
  <c r="O37" i="22" s="1"/>
  <c r="BT37" i="19" s="1"/>
  <c r="U38" i="18"/>
  <c r="S38" i="18"/>
  <c r="Q37" i="19"/>
  <c r="AD37" i="19" s="1"/>
  <c r="D37" i="19" s="1"/>
  <c r="D37" i="22" s="1"/>
  <c r="N37" i="22" s="1"/>
  <c r="BS37" i="19" s="1"/>
  <c r="BB39" i="19"/>
  <c r="B39" i="18"/>
  <c r="O39" i="19" s="1"/>
  <c r="AB39" i="19" s="1"/>
  <c r="B39" i="19" s="1"/>
  <c r="B39" i="22" s="1"/>
  <c r="L39" i="22" s="1"/>
  <c r="P129" i="20"/>
  <c r="CJ128" i="20"/>
  <c r="R128" i="20"/>
  <c r="CL127" i="20"/>
  <c r="Q128" i="20"/>
  <c r="CK127" i="20"/>
  <c r="AP141" i="20"/>
  <c r="AG141" i="20" s="1"/>
  <c r="BZ141" i="20"/>
  <c r="BV87" i="20"/>
  <c r="AL87" i="20"/>
  <c r="S128" i="20"/>
  <c r="CM127" i="20"/>
  <c r="M37" i="22"/>
  <c r="BQ37" i="19"/>
  <c r="AH38" i="18" s="1"/>
  <c r="M145" i="20"/>
  <c r="CG144" i="20"/>
  <c r="AO145" i="20"/>
  <c r="AF145" i="20" s="1"/>
  <c r="BY145" i="20"/>
  <c r="R39" i="18"/>
  <c r="BC38" i="19"/>
  <c r="P38" i="19"/>
  <c r="AM144" i="20"/>
  <c r="AD144" i="20" s="1"/>
  <c r="BW144" i="20"/>
  <c r="AA36" i="19" l="1"/>
  <c r="AN36" i="19" s="1"/>
  <c r="N36" i="19" s="1"/>
  <c r="K36" i="22" s="1"/>
  <c r="U36" i="22" s="1"/>
  <c r="CA36" i="19" s="1"/>
  <c r="AS37" i="18" s="1"/>
  <c r="AE37" i="18"/>
  <c r="Y36" i="19"/>
  <c r="AL36" i="19" s="1"/>
  <c r="L36" i="19" s="1"/>
  <c r="J36" i="22" s="1"/>
  <c r="T36" i="22" s="1"/>
  <c r="BY36" i="19" s="1"/>
  <c r="AQ37" i="18" s="1"/>
  <c r="BB36" i="20"/>
  <c r="AC37" i="18"/>
  <c r="Z36" i="19"/>
  <c r="AM36" i="19" s="1"/>
  <c r="M36" i="19" s="1"/>
  <c r="BC36" i="20"/>
  <c r="BM36" i="19"/>
  <c r="AD37" i="18"/>
  <c r="W37" i="19"/>
  <c r="AJ37" i="19" s="1"/>
  <c r="J37" i="19" s="1"/>
  <c r="BJ37" i="19"/>
  <c r="AP38" i="18" s="1"/>
  <c r="AZ37" i="20"/>
  <c r="AY37" i="20"/>
  <c r="V37" i="19"/>
  <c r="AI37" i="19" s="1"/>
  <c r="I37" i="19" s="1"/>
  <c r="I37" i="22" s="1"/>
  <c r="S37" i="22" s="1"/>
  <c r="BX37" i="19" s="1"/>
  <c r="BI37" i="19"/>
  <c r="Z38" i="18"/>
  <c r="Y38" i="18"/>
  <c r="AL38" i="18"/>
  <c r="AK38" i="18"/>
  <c r="U37" i="19"/>
  <c r="AH37" i="19" s="1"/>
  <c r="H37" i="19" s="1"/>
  <c r="H37" i="22" s="1"/>
  <c r="R37" i="22" s="1"/>
  <c r="BW37" i="19" s="1"/>
  <c r="AW37" i="20"/>
  <c r="BH37" i="19"/>
  <c r="AM38" i="18" s="1"/>
  <c r="X38" i="18"/>
  <c r="AJ38" i="18"/>
  <c r="W38" i="18"/>
  <c r="H38" i="18" s="1"/>
  <c r="BD38" i="19"/>
  <c r="BP38" i="19"/>
  <c r="AG39" i="18" s="1"/>
  <c r="D38" i="18"/>
  <c r="BR38" i="19"/>
  <c r="E38" i="18"/>
  <c r="Q40" i="18"/>
  <c r="O142" i="20"/>
  <c r="CI141" i="20"/>
  <c r="AR128" i="20"/>
  <c r="AI128" i="20" s="1"/>
  <c r="CB128" i="20"/>
  <c r="AS128" i="20"/>
  <c r="AJ128" i="20" s="1"/>
  <c r="CC128" i="20"/>
  <c r="AQ129" i="20"/>
  <c r="AH129" i="20" s="1"/>
  <c r="CA129" i="20"/>
  <c r="AT128" i="20"/>
  <c r="AK128" i="20" s="1"/>
  <c r="CD128" i="20"/>
  <c r="AC87" i="20"/>
  <c r="N146" i="20"/>
  <c r="CH145" i="20"/>
  <c r="AN145" i="20"/>
  <c r="AE145" i="20" s="1"/>
  <c r="BX145" i="20"/>
  <c r="C39" i="18"/>
  <c r="BO39" i="19"/>
  <c r="AF40" i="18" s="1"/>
  <c r="AC38" i="19"/>
  <c r="C38" i="19" s="1"/>
  <c r="C38" i="22" s="1"/>
  <c r="L145" i="20"/>
  <c r="CF144" i="20"/>
  <c r="P37" i="18" l="1"/>
  <c r="AT38" i="18"/>
  <c r="AT39" i="18" s="1"/>
  <c r="O37" i="18"/>
  <c r="BN37" i="19"/>
  <c r="AE38" i="18"/>
  <c r="AA37" i="19"/>
  <c r="AN37" i="19" s="1"/>
  <c r="N37" i="19" s="1"/>
  <c r="K37" i="22" s="1"/>
  <c r="U37" i="22" s="1"/>
  <c r="CA37" i="19" s="1"/>
  <c r="AS38" i="18" s="1"/>
  <c r="BZ37" i="19"/>
  <c r="AR38" i="18" s="1"/>
  <c r="N37" i="18"/>
  <c r="BL37" i="19"/>
  <c r="M37" i="18"/>
  <c r="L38" i="18"/>
  <c r="AO38" i="18"/>
  <c r="J38" i="18"/>
  <c r="Y39" i="18" s="1"/>
  <c r="K38" i="18"/>
  <c r="AI39" i="18"/>
  <c r="G38" i="18"/>
  <c r="W39" i="18" s="1"/>
  <c r="AW38" i="20"/>
  <c r="BH38" i="19"/>
  <c r="AM39" i="18" s="1"/>
  <c r="U38" i="19"/>
  <c r="AH38" i="19" s="1"/>
  <c r="H38" i="19" s="1"/>
  <c r="H38" i="22" s="1"/>
  <c r="R38" i="22" s="1"/>
  <c r="BW38" i="19" s="1"/>
  <c r="I38" i="18"/>
  <c r="AX38" i="20" s="1"/>
  <c r="F38" i="18"/>
  <c r="U39" i="18" s="1"/>
  <c r="T39" i="18"/>
  <c r="BE38" i="19"/>
  <c r="R38" i="19"/>
  <c r="AE38" i="19" s="1"/>
  <c r="E38" i="19" s="1"/>
  <c r="E38" i="22" s="1"/>
  <c r="O38" i="22" s="1"/>
  <c r="BT38" i="19" s="1"/>
  <c r="S39" i="18"/>
  <c r="Q38" i="19"/>
  <c r="AD38" i="19" s="1"/>
  <c r="D38" i="19" s="1"/>
  <c r="D38" i="22" s="1"/>
  <c r="N38" i="22" s="1"/>
  <c r="BS38" i="19" s="1"/>
  <c r="BB40" i="19"/>
  <c r="B40" i="18"/>
  <c r="O40" i="19" s="1"/>
  <c r="AB40" i="19" s="1"/>
  <c r="B40" i="19" s="1"/>
  <c r="B40" i="22" s="1"/>
  <c r="L40" i="22" s="1"/>
  <c r="Q129" i="20"/>
  <c r="CK128" i="20"/>
  <c r="R129" i="20"/>
  <c r="CL128" i="20"/>
  <c r="AP142" i="20"/>
  <c r="AG142" i="20" s="1"/>
  <c r="BZ142" i="20"/>
  <c r="K88" i="20"/>
  <c r="CE87" i="20"/>
  <c r="S129" i="20"/>
  <c r="CM128" i="20"/>
  <c r="P130" i="20"/>
  <c r="CJ129" i="20"/>
  <c r="R40" i="18"/>
  <c r="BC39" i="19"/>
  <c r="P39" i="19"/>
  <c r="AO146" i="20"/>
  <c r="AF146" i="20" s="1"/>
  <c r="BY146" i="20"/>
  <c r="M146" i="20"/>
  <c r="CG145" i="20"/>
  <c r="M38" i="22"/>
  <c r="BQ38" i="19"/>
  <c r="AH39" i="18" s="1"/>
  <c r="AM145" i="20"/>
  <c r="AD145" i="20" s="1"/>
  <c r="BW145" i="20"/>
  <c r="BN38" i="19" l="1"/>
  <c r="BB37" i="20"/>
  <c r="Y37" i="19"/>
  <c r="AL37" i="19" s="1"/>
  <c r="L37" i="19" s="1"/>
  <c r="J37" i="22" s="1"/>
  <c r="T37" i="22" s="1"/>
  <c r="BY37" i="19" s="1"/>
  <c r="AQ38" i="18" s="1"/>
  <c r="AB38" i="18"/>
  <c r="AD38" i="18"/>
  <c r="Z37" i="19"/>
  <c r="AM37" i="19" s="1"/>
  <c r="M37" i="19" s="1"/>
  <c r="BM37" i="19"/>
  <c r="BC37" i="20"/>
  <c r="AC38" i="18"/>
  <c r="P38" i="18"/>
  <c r="BK38" i="19"/>
  <c r="BA38" i="20"/>
  <c r="X38" i="19"/>
  <c r="AK38" i="19" s="1"/>
  <c r="K38" i="19" s="1"/>
  <c r="AZ38" i="20"/>
  <c r="BJ38" i="19"/>
  <c r="W38" i="19"/>
  <c r="AJ38" i="19" s="1"/>
  <c r="J38" i="19" s="1"/>
  <c r="AA39" i="18"/>
  <c r="AY38" i="20"/>
  <c r="V38" i="19"/>
  <c r="AI38" i="19" s="1"/>
  <c r="I38" i="19" s="1"/>
  <c r="I38" i="22" s="1"/>
  <c r="S38" i="22" s="1"/>
  <c r="BX38" i="19" s="1"/>
  <c r="BI38" i="19"/>
  <c r="AO39" i="18" s="1"/>
  <c r="Z39" i="18"/>
  <c r="AJ39" i="18"/>
  <c r="AV38" i="20"/>
  <c r="T38" i="19"/>
  <c r="AG38" i="19" s="1"/>
  <c r="G38" i="19" s="1"/>
  <c r="G38" i="22" s="1"/>
  <c r="Q38" i="22" s="1"/>
  <c r="BV38" i="19" s="1"/>
  <c r="AN39" i="18" s="1"/>
  <c r="BG38" i="19"/>
  <c r="F39" i="18"/>
  <c r="BF38" i="19"/>
  <c r="AK39" i="18" s="1"/>
  <c r="V39" i="18"/>
  <c r="S38" i="19"/>
  <c r="AF38" i="19" s="1"/>
  <c r="F38" i="19" s="1"/>
  <c r="F38" i="22" s="1"/>
  <c r="P38" i="22" s="1"/>
  <c r="BU38" i="19" s="1"/>
  <c r="AU38" i="20"/>
  <c r="X39" i="18"/>
  <c r="BD39" i="19"/>
  <c r="BP39" i="19"/>
  <c r="AG40" i="18" s="1"/>
  <c r="C40" i="18" s="1"/>
  <c r="D39" i="18"/>
  <c r="Q39" i="19" s="1"/>
  <c r="AD39" i="19" s="1"/>
  <c r="D39" i="19" s="1"/>
  <c r="D39" i="22" s="1"/>
  <c r="N39" i="22" s="1"/>
  <c r="BS39" i="19" s="1"/>
  <c r="S39" i="19"/>
  <c r="AF39" i="19" s="1"/>
  <c r="F39" i="19" s="1"/>
  <c r="F39" i="22" s="1"/>
  <c r="P39" i="22" s="1"/>
  <c r="BU39" i="19" s="1"/>
  <c r="AU39" i="20"/>
  <c r="BF39" i="19"/>
  <c r="E39" i="18"/>
  <c r="BR39" i="19"/>
  <c r="AI40" i="18" s="1"/>
  <c r="Q41" i="18"/>
  <c r="AQ130" i="20"/>
  <c r="AH130" i="20" s="1"/>
  <c r="CA130" i="20"/>
  <c r="O143" i="20"/>
  <c r="CI142" i="20"/>
  <c r="AR129" i="20"/>
  <c r="AI129" i="20" s="1"/>
  <c r="CB129" i="20"/>
  <c r="BV88" i="20"/>
  <c r="AL88" i="20"/>
  <c r="AT129" i="20"/>
  <c r="AK129" i="20" s="1"/>
  <c r="CD129" i="20"/>
  <c r="AS129" i="20"/>
  <c r="AJ129" i="20" s="1"/>
  <c r="CC129" i="20"/>
  <c r="AC39" i="19"/>
  <c r="C39" i="19" s="1"/>
  <c r="C39" i="22" s="1"/>
  <c r="AN146" i="20"/>
  <c r="AE146" i="20" s="1"/>
  <c r="BX146" i="20"/>
  <c r="N147" i="20"/>
  <c r="CH146" i="20"/>
  <c r="BO40" i="19"/>
  <c r="AF41" i="18" s="1"/>
  <c r="L146" i="20"/>
  <c r="CF145" i="20"/>
  <c r="AR39" i="18" l="1"/>
  <c r="BZ38" i="19"/>
  <c r="N38" i="18"/>
  <c r="O38" i="18"/>
  <c r="AD39" i="18" s="1"/>
  <c r="M38" i="18"/>
  <c r="BL38" i="19"/>
  <c r="AP39" i="18"/>
  <c r="K39" i="18"/>
  <c r="Z40" i="18" s="1"/>
  <c r="J39" i="18"/>
  <c r="AL39" i="18"/>
  <c r="G39" i="18"/>
  <c r="V40" i="18" s="1"/>
  <c r="T39" i="19"/>
  <c r="AG39" i="19" s="1"/>
  <c r="G39" i="19" s="1"/>
  <c r="G39" i="22" s="1"/>
  <c r="Q39" i="22" s="1"/>
  <c r="BV39" i="19" s="1"/>
  <c r="AN40" i="18" s="1"/>
  <c r="AV39" i="20"/>
  <c r="BG39" i="19"/>
  <c r="I39" i="18"/>
  <c r="AX39" i="20" s="1"/>
  <c r="BE39" i="19"/>
  <c r="AJ40" i="18" s="1"/>
  <c r="R39" i="19"/>
  <c r="AE39" i="19" s="1"/>
  <c r="E39" i="19" s="1"/>
  <c r="E39" i="22" s="1"/>
  <c r="O39" i="22" s="1"/>
  <c r="BT39" i="19" s="1"/>
  <c r="AK40" i="18" s="1"/>
  <c r="T40" i="18"/>
  <c r="U40" i="18"/>
  <c r="S40" i="18"/>
  <c r="BB41" i="19"/>
  <c r="B41" i="18"/>
  <c r="O41" i="19" s="1"/>
  <c r="AB41" i="19" s="1"/>
  <c r="B41" i="19" s="1"/>
  <c r="B41" i="22" s="1"/>
  <c r="L41" i="22" s="1"/>
  <c r="AP143" i="20"/>
  <c r="AG143" i="20" s="1"/>
  <c r="BZ143" i="20"/>
  <c r="S130" i="20"/>
  <c r="CM129" i="20"/>
  <c r="Q130" i="20"/>
  <c r="CK129" i="20"/>
  <c r="P131" i="20"/>
  <c r="CJ130" i="20"/>
  <c r="R130" i="20"/>
  <c r="CL129" i="20"/>
  <c r="AC88" i="20"/>
  <c r="M39" i="22"/>
  <c r="BQ39" i="19"/>
  <c r="AH40" i="18" s="1"/>
  <c r="AM146" i="20"/>
  <c r="AD146" i="20" s="1"/>
  <c r="BW146" i="20"/>
  <c r="AO147" i="20"/>
  <c r="AF147" i="20" s="1"/>
  <c r="BY147" i="20"/>
  <c r="R41" i="18"/>
  <c r="BC40" i="19"/>
  <c r="P40" i="19"/>
  <c r="M147" i="20"/>
  <c r="CG146" i="20"/>
  <c r="AA38" i="19" l="1"/>
  <c r="AN38" i="19" s="1"/>
  <c r="N38" i="19" s="1"/>
  <c r="K38" i="22" s="1"/>
  <c r="U38" i="22" s="1"/>
  <c r="CA38" i="19" s="1"/>
  <c r="AS39" i="18" s="1"/>
  <c r="AE39" i="18"/>
  <c r="AT40" i="18" s="1"/>
  <c r="AC39" i="18"/>
  <c r="BM38" i="19"/>
  <c r="BC38" i="20"/>
  <c r="Z38" i="19"/>
  <c r="AM38" i="19" s="1"/>
  <c r="M38" i="19" s="1"/>
  <c r="BB38" i="20"/>
  <c r="Y38" i="19"/>
  <c r="AL38" i="19" s="1"/>
  <c r="L38" i="19" s="1"/>
  <c r="J38" i="22" s="1"/>
  <c r="T38" i="22" s="1"/>
  <c r="BY38" i="19" s="1"/>
  <c r="AQ39" i="18" s="1"/>
  <c r="AB39" i="18"/>
  <c r="L39" i="18"/>
  <c r="AA40" i="18"/>
  <c r="AZ39" i="20"/>
  <c r="W39" i="19"/>
  <c r="BJ39" i="19"/>
  <c r="AP40" i="18" s="1"/>
  <c r="AY39" i="20"/>
  <c r="V39" i="19"/>
  <c r="AI39" i="19" s="1"/>
  <c r="I39" i="19" s="1"/>
  <c r="I39" i="22" s="1"/>
  <c r="S39" i="22" s="1"/>
  <c r="BX39" i="19" s="1"/>
  <c r="BI39" i="19"/>
  <c r="Y40" i="18"/>
  <c r="J40" i="18" s="1"/>
  <c r="AL40" i="18"/>
  <c r="H39" i="18"/>
  <c r="G40" i="18"/>
  <c r="V41" i="18" s="1"/>
  <c r="F40" i="18"/>
  <c r="S40" i="19" s="1"/>
  <c r="AF40" i="19" s="1"/>
  <c r="F40" i="19" s="1"/>
  <c r="F40" i="22" s="1"/>
  <c r="P40" i="22" s="1"/>
  <c r="BD40" i="19"/>
  <c r="E40" i="18"/>
  <c r="BR40" i="19"/>
  <c r="BP40" i="19"/>
  <c r="AG41" i="18" s="1"/>
  <c r="C41" i="18" s="1"/>
  <c r="D40" i="18"/>
  <c r="Q42" i="18"/>
  <c r="CE88" i="20"/>
  <c r="K89" i="20"/>
  <c r="AS130" i="20"/>
  <c r="AJ130" i="20" s="1"/>
  <c r="CC130" i="20"/>
  <c r="AQ131" i="20"/>
  <c r="AH131" i="20" s="1"/>
  <c r="CA131" i="20"/>
  <c r="AT130" i="20"/>
  <c r="AK130" i="20" s="1"/>
  <c r="CD130" i="20"/>
  <c r="O144" i="20"/>
  <c r="CI143" i="20"/>
  <c r="AR130" i="20"/>
  <c r="AI130" i="20" s="1"/>
  <c r="CB130" i="20"/>
  <c r="BO41" i="19"/>
  <c r="AF42" i="18" s="1"/>
  <c r="L147" i="20"/>
  <c r="CF146" i="20"/>
  <c r="AC40" i="19"/>
  <c r="C40" i="19" s="1"/>
  <c r="C40" i="22" s="1"/>
  <c r="N148" i="20"/>
  <c r="CH147" i="20"/>
  <c r="AN147" i="20"/>
  <c r="AE147" i="20" s="1"/>
  <c r="BX147" i="20"/>
  <c r="BN39" i="19" l="1"/>
  <c r="O39" i="18"/>
  <c r="AA39" i="19" s="1"/>
  <c r="AN39" i="19" s="1"/>
  <c r="N39" i="19" s="1"/>
  <c r="K39" i="22" s="1"/>
  <c r="U39" i="22" s="1"/>
  <c r="CA39" i="19" s="1"/>
  <c r="AS40" i="18" s="1"/>
  <c r="P39" i="18"/>
  <c r="AE40" i="18" s="1"/>
  <c r="P40" i="18" s="1"/>
  <c r="M39" i="18"/>
  <c r="BL39" i="19"/>
  <c r="BZ39" i="19"/>
  <c r="AR40" i="18" s="1"/>
  <c r="N39" i="18"/>
  <c r="AC40" i="18"/>
  <c r="X39" i="19"/>
  <c r="AK39" i="19" s="1"/>
  <c r="K39" i="19" s="1"/>
  <c r="BK39" i="19"/>
  <c r="BA39" i="20"/>
  <c r="AB40" i="18"/>
  <c r="L40" i="18"/>
  <c r="Y41" i="18"/>
  <c r="AY40" i="20"/>
  <c r="V40" i="19"/>
  <c r="AI40" i="19" s="1"/>
  <c r="I40" i="19" s="1"/>
  <c r="I40" i="22" s="1"/>
  <c r="S40" i="22" s="1"/>
  <c r="BX40" i="19" s="1"/>
  <c r="BI40" i="19"/>
  <c r="AJ39" i="19"/>
  <c r="J39" i="19" s="1"/>
  <c r="U41" i="18"/>
  <c r="U39" i="19"/>
  <c r="AH39" i="19" s="1"/>
  <c r="H39" i="19" s="1"/>
  <c r="H39" i="22" s="1"/>
  <c r="R39" i="22" s="1"/>
  <c r="BW39" i="19" s="1"/>
  <c r="AO40" i="18" s="1"/>
  <c r="BH39" i="19"/>
  <c r="AM40" i="18" s="1"/>
  <c r="AW39" i="20"/>
  <c r="X40" i="18"/>
  <c r="W40" i="18"/>
  <c r="H40" i="18" s="1"/>
  <c r="W41" i="18" s="1"/>
  <c r="T40" i="19"/>
  <c r="AG40" i="19" s="1"/>
  <c r="G40" i="19" s="1"/>
  <c r="G40" i="22" s="1"/>
  <c r="Q40" i="22" s="1"/>
  <c r="BV40" i="19" s="1"/>
  <c r="AN41" i="18" s="1"/>
  <c r="AV40" i="20"/>
  <c r="BG40" i="19"/>
  <c r="AI41" i="18"/>
  <c r="BF40" i="19"/>
  <c r="AU40" i="20"/>
  <c r="BE40" i="19"/>
  <c r="R40" i="19"/>
  <c r="AE40" i="19" s="1"/>
  <c r="E40" i="19" s="1"/>
  <c r="E40" i="22" s="1"/>
  <c r="O40" i="22" s="1"/>
  <c r="BT40" i="19" s="1"/>
  <c r="T41" i="18"/>
  <c r="Q40" i="19"/>
  <c r="AD40" i="19" s="1"/>
  <c r="D40" i="19" s="1"/>
  <c r="D40" i="22" s="1"/>
  <c r="N40" i="22" s="1"/>
  <c r="BS40" i="19" s="1"/>
  <c r="S41" i="18"/>
  <c r="BB42" i="19"/>
  <c r="B42" i="18"/>
  <c r="O42" i="19" s="1"/>
  <c r="AB42" i="19" s="1"/>
  <c r="B42" i="19" s="1"/>
  <c r="B42" i="22" s="1"/>
  <c r="L42" i="22" s="1"/>
  <c r="AP144" i="20"/>
  <c r="AG144" i="20" s="1"/>
  <c r="BZ144" i="20"/>
  <c r="R131" i="20"/>
  <c r="CL130" i="20"/>
  <c r="Q131" i="20"/>
  <c r="CK130" i="20"/>
  <c r="AL89" i="20"/>
  <c r="BV89" i="20"/>
  <c r="S131" i="20"/>
  <c r="CM130" i="20"/>
  <c r="P132" i="20"/>
  <c r="CJ131" i="20"/>
  <c r="M40" i="22"/>
  <c r="BQ40" i="19"/>
  <c r="AH41" i="18" s="1"/>
  <c r="AO148" i="20"/>
  <c r="AF148" i="20" s="1"/>
  <c r="BY148" i="20"/>
  <c r="M148" i="20"/>
  <c r="CG147" i="20"/>
  <c r="R42" i="18"/>
  <c r="BC41" i="19"/>
  <c r="P41" i="19"/>
  <c r="AM147" i="20"/>
  <c r="AD147" i="20" s="1"/>
  <c r="BW147" i="20"/>
  <c r="AT41" i="18" l="1"/>
  <c r="BN40" i="19"/>
  <c r="AR41" i="18"/>
  <c r="BZ40" i="19"/>
  <c r="N40" i="18"/>
  <c r="Z39" i="19"/>
  <c r="AM39" i="19" s="1"/>
  <c r="M39" i="19" s="1"/>
  <c r="BM39" i="19"/>
  <c r="BC39" i="20"/>
  <c r="AD40" i="18"/>
  <c r="Y39" i="19"/>
  <c r="AL39" i="19" s="1"/>
  <c r="L39" i="19" s="1"/>
  <c r="J39" i="22" s="1"/>
  <c r="T39" i="22" s="1"/>
  <c r="BY39" i="19" s="1"/>
  <c r="AQ40" i="18" s="1"/>
  <c r="BB39" i="20"/>
  <c r="K40" i="18"/>
  <c r="BA40" i="20"/>
  <c r="X40" i="19"/>
  <c r="AK40" i="19" s="1"/>
  <c r="K40" i="19" s="1"/>
  <c r="BK40" i="19"/>
  <c r="J41" i="18"/>
  <c r="AA41" i="18"/>
  <c r="I40" i="18"/>
  <c r="BH40" i="19"/>
  <c r="AM41" i="18" s="1"/>
  <c r="AW40" i="20"/>
  <c r="U40" i="19"/>
  <c r="AH40" i="19" s="1"/>
  <c r="H40" i="19" s="1"/>
  <c r="H40" i="22" s="1"/>
  <c r="R40" i="22" s="1"/>
  <c r="BW40" i="19" s="1"/>
  <c r="AO41" i="18" s="1"/>
  <c r="BU40" i="19"/>
  <c r="AL41" i="18" s="1"/>
  <c r="H41" i="18" s="1"/>
  <c r="U41" i="19" s="1"/>
  <c r="AH41" i="19" s="1"/>
  <c r="H41" i="19" s="1"/>
  <c r="H41" i="22" s="1"/>
  <c r="R41" i="22" s="1"/>
  <c r="AK41" i="18"/>
  <c r="AJ41" i="18"/>
  <c r="BP41" i="19"/>
  <c r="AG42" i="18" s="1"/>
  <c r="C42" i="18" s="1"/>
  <c r="D41" i="18"/>
  <c r="BR41" i="19"/>
  <c r="E41" i="18"/>
  <c r="BD41" i="19"/>
  <c r="AI42" i="18" s="1"/>
  <c r="Q43" i="18"/>
  <c r="AS131" i="20"/>
  <c r="AJ131" i="20" s="1"/>
  <c r="CC131" i="20"/>
  <c r="AC89" i="20"/>
  <c r="O145" i="20"/>
  <c r="CI144" i="20"/>
  <c r="AQ132" i="20"/>
  <c r="AH132" i="20" s="1"/>
  <c r="CA132" i="20"/>
  <c r="AT131" i="20"/>
  <c r="AK131" i="20" s="1"/>
  <c r="CD131" i="20"/>
  <c r="AR131" i="20"/>
  <c r="AI131" i="20" s="1"/>
  <c r="CB131" i="20"/>
  <c r="AC41" i="19"/>
  <c r="C41" i="19" s="1"/>
  <c r="C41" i="22" s="1"/>
  <c r="BO42" i="19"/>
  <c r="AF43" i="18" s="1"/>
  <c r="L148" i="20"/>
  <c r="CF147" i="20"/>
  <c r="AN148" i="20"/>
  <c r="AE148" i="20" s="1"/>
  <c r="BX148" i="20"/>
  <c r="N149" i="20"/>
  <c r="CH148" i="20"/>
  <c r="BL40" i="19" l="1"/>
  <c r="M40" i="18"/>
  <c r="O40" i="18"/>
  <c r="BM40" i="19"/>
  <c r="BC40" i="20"/>
  <c r="Z40" i="19"/>
  <c r="AM40" i="19" s="1"/>
  <c r="M40" i="19" s="1"/>
  <c r="AC41" i="18"/>
  <c r="AZ40" i="20"/>
  <c r="W40" i="19"/>
  <c r="AJ40" i="19" s="1"/>
  <c r="J40" i="19" s="1"/>
  <c r="BJ40" i="19"/>
  <c r="AP41" i="18" s="1"/>
  <c r="AP42" i="18" s="1"/>
  <c r="Z41" i="18"/>
  <c r="K41" i="18" s="1"/>
  <c r="Y42" i="18"/>
  <c r="AY41" i="20"/>
  <c r="V41" i="19"/>
  <c r="AI41" i="19" s="1"/>
  <c r="I41" i="19" s="1"/>
  <c r="I41" i="22" s="1"/>
  <c r="S41" i="22" s="1"/>
  <c r="BX41" i="19" s="1"/>
  <c r="BI41" i="19"/>
  <c r="Z42" i="18"/>
  <c r="AZ41" i="20"/>
  <c r="W41" i="19"/>
  <c r="AJ41" i="19" s="1"/>
  <c r="J41" i="19" s="1"/>
  <c r="BJ41" i="19"/>
  <c r="AX40" i="20"/>
  <c r="X41" i="18"/>
  <c r="I41" i="18" s="1"/>
  <c r="AX41" i="20" s="1"/>
  <c r="BH41" i="19"/>
  <c r="AM42" i="18" s="1"/>
  <c r="AW41" i="20"/>
  <c r="G41" i="18"/>
  <c r="X42" i="18"/>
  <c r="F41" i="18"/>
  <c r="U42" i="18" s="1"/>
  <c r="Q41" i="19"/>
  <c r="AD41" i="19" s="1"/>
  <c r="D41" i="19" s="1"/>
  <c r="D41" i="22" s="1"/>
  <c r="N41" i="22" s="1"/>
  <c r="BS41" i="19" s="1"/>
  <c r="S42" i="18"/>
  <c r="BE41" i="19"/>
  <c r="AJ42" i="18" s="1"/>
  <c r="R41" i="19"/>
  <c r="AE41" i="19" s="1"/>
  <c r="E41" i="19" s="1"/>
  <c r="E41" i="22" s="1"/>
  <c r="O41" i="22" s="1"/>
  <c r="BT41" i="19" s="1"/>
  <c r="T42" i="18"/>
  <c r="BB43" i="19"/>
  <c r="B43" i="18"/>
  <c r="O43" i="19" s="1"/>
  <c r="AB43" i="19" s="1"/>
  <c r="B43" i="19" s="1"/>
  <c r="B43" i="22" s="1"/>
  <c r="L43" i="22" s="1"/>
  <c r="CE89" i="20"/>
  <c r="K90" i="20"/>
  <c r="S132" i="20"/>
  <c r="CM131" i="20"/>
  <c r="P133" i="20"/>
  <c r="CJ132" i="20"/>
  <c r="R132" i="20"/>
  <c r="CL131" i="20"/>
  <c r="Q132" i="20"/>
  <c r="CK131" i="20"/>
  <c r="AP145" i="20"/>
  <c r="AG145" i="20" s="1"/>
  <c r="BZ145" i="20"/>
  <c r="AM148" i="20"/>
  <c r="AD148" i="20" s="1"/>
  <c r="BW148" i="20"/>
  <c r="R43" i="18"/>
  <c r="BC42" i="19"/>
  <c r="P42" i="19"/>
  <c r="M41" i="22"/>
  <c r="BQ41" i="19"/>
  <c r="AH42" i="18" s="1"/>
  <c r="M149" i="20"/>
  <c r="CG148" i="20"/>
  <c r="AO149" i="20"/>
  <c r="AF149" i="20" s="1"/>
  <c r="BY149" i="20"/>
  <c r="AA40" i="19" l="1"/>
  <c r="AN40" i="19" s="1"/>
  <c r="N40" i="19" s="1"/>
  <c r="K40" i="22" s="1"/>
  <c r="U40" i="22" s="1"/>
  <c r="CA40" i="19" s="1"/>
  <c r="AS41" i="18" s="1"/>
  <c r="AE41" i="18"/>
  <c r="AT42" i="18" s="1"/>
  <c r="Y40" i="19"/>
  <c r="AL40" i="19" s="1"/>
  <c r="L40" i="19" s="1"/>
  <c r="J40" i="22" s="1"/>
  <c r="T40" i="22" s="1"/>
  <c r="BY40" i="19" s="1"/>
  <c r="AQ41" i="18" s="1"/>
  <c r="BB40" i="20"/>
  <c r="AB41" i="18"/>
  <c r="BZ41" i="19"/>
  <c r="AR42" i="18" s="1"/>
  <c r="N41" i="18"/>
  <c r="AD41" i="18"/>
  <c r="L41" i="18"/>
  <c r="BW41" i="19"/>
  <c r="AO42" i="18"/>
  <c r="I42" i="18"/>
  <c r="AX42" i="20" s="1"/>
  <c r="AV41" i="20"/>
  <c r="BG41" i="19"/>
  <c r="T41" i="19"/>
  <c r="AG41" i="19" s="1"/>
  <c r="G41" i="19" s="1"/>
  <c r="G41" i="22" s="1"/>
  <c r="Q41" i="22" s="1"/>
  <c r="BV41" i="19" s="1"/>
  <c r="AN42" i="18" s="1"/>
  <c r="J42" i="18" s="1"/>
  <c r="W42" i="18"/>
  <c r="AU41" i="20"/>
  <c r="BF41" i="19"/>
  <c r="AK42" i="18" s="1"/>
  <c r="S41" i="19"/>
  <c r="AF41" i="19" s="1"/>
  <c r="F41" i="19" s="1"/>
  <c r="F41" i="22" s="1"/>
  <c r="P41" i="22" s="1"/>
  <c r="BU41" i="19" s="1"/>
  <c r="V42" i="18"/>
  <c r="F42" i="18"/>
  <c r="BD42" i="19"/>
  <c r="AI43" i="18" s="1"/>
  <c r="BR42" i="19"/>
  <c r="E42" i="18"/>
  <c r="BP42" i="19"/>
  <c r="AG43" i="18" s="1"/>
  <c r="C43" i="18" s="1"/>
  <c r="D42" i="18"/>
  <c r="Q44" i="18"/>
  <c r="AR132" i="20"/>
  <c r="AI132" i="20" s="1"/>
  <c r="CB132" i="20"/>
  <c r="AQ133" i="20"/>
  <c r="AH133" i="20" s="1"/>
  <c r="CA133" i="20"/>
  <c r="AT132" i="20"/>
  <c r="AK132" i="20" s="1"/>
  <c r="CD132" i="20"/>
  <c r="AL90" i="20"/>
  <c r="BV90" i="20"/>
  <c r="AS132" i="20"/>
  <c r="AJ132" i="20" s="1"/>
  <c r="CC132" i="20"/>
  <c r="O146" i="20"/>
  <c r="CI145" i="20"/>
  <c r="N150" i="20"/>
  <c r="CH149" i="20"/>
  <c r="BO43" i="19"/>
  <c r="AF44" i="18" s="1"/>
  <c r="AN149" i="20"/>
  <c r="AE149" i="20" s="1"/>
  <c r="BX149" i="20"/>
  <c r="AC42" i="19"/>
  <c r="C42" i="19" s="1"/>
  <c r="C42" i="22" s="1"/>
  <c r="L149" i="20"/>
  <c r="CF148" i="20"/>
  <c r="O41" i="18" l="1"/>
  <c r="AA41" i="19" s="1"/>
  <c r="AN41" i="19" s="1"/>
  <c r="N41" i="19" s="1"/>
  <c r="K41" i="22" s="1"/>
  <c r="U41" i="22" s="1"/>
  <c r="CA41" i="19" s="1"/>
  <c r="AS42" i="18" s="1"/>
  <c r="BN41" i="19"/>
  <c r="BL41" i="19"/>
  <c r="AD42" i="18"/>
  <c r="Z41" i="19"/>
  <c r="AM41" i="19" s="1"/>
  <c r="M41" i="19" s="1"/>
  <c r="BM41" i="19"/>
  <c r="BC41" i="20"/>
  <c r="P41" i="18"/>
  <c r="AE42" i="18" s="1"/>
  <c r="AT43" i="18" s="1"/>
  <c r="M41" i="18"/>
  <c r="X41" i="19"/>
  <c r="AK41" i="19" s="1"/>
  <c r="K41" i="19" s="1"/>
  <c r="BA41" i="20"/>
  <c r="BK41" i="19"/>
  <c r="AB42" i="18"/>
  <c r="AA42" i="18"/>
  <c r="K42" i="18"/>
  <c r="AY42" i="20"/>
  <c r="BI42" i="19"/>
  <c r="V42" i="19"/>
  <c r="AI42" i="19" s="1"/>
  <c r="I42" i="19" s="1"/>
  <c r="I42" i="22" s="1"/>
  <c r="S42" i="22" s="1"/>
  <c r="BX42" i="19" s="1"/>
  <c r="Z43" i="18"/>
  <c r="Y43" i="18"/>
  <c r="AL42" i="18"/>
  <c r="AU42" i="20"/>
  <c r="BF42" i="19"/>
  <c r="S42" i="19"/>
  <c r="AF42" i="19" s="1"/>
  <c r="F42" i="19" s="1"/>
  <c r="F42" i="22" s="1"/>
  <c r="P42" i="22" s="1"/>
  <c r="BU42" i="19" s="1"/>
  <c r="G42" i="18"/>
  <c r="V43" i="18" s="1"/>
  <c r="T43" i="18"/>
  <c r="BE42" i="19"/>
  <c r="U43" i="18"/>
  <c r="R42" i="19"/>
  <c r="AE42" i="19" s="1"/>
  <c r="E42" i="19" s="1"/>
  <c r="E42" i="22" s="1"/>
  <c r="O42" i="22" s="1"/>
  <c r="BT42" i="19" s="1"/>
  <c r="Q42" i="19"/>
  <c r="AD42" i="19" s="1"/>
  <c r="D42" i="19" s="1"/>
  <c r="D42" i="22" s="1"/>
  <c r="N42" i="22" s="1"/>
  <c r="BS42" i="19" s="1"/>
  <c r="S43" i="18"/>
  <c r="BB44" i="19"/>
  <c r="B44" i="18"/>
  <c r="O44" i="19" s="1"/>
  <c r="AB44" i="19" s="1"/>
  <c r="B44" i="19" s="1"/>
  <c r="B44" i="22" s="1"/>
  <c r="L44" i="22" s="1"/>
  <c r="AP146" i="20"/>
  <c r="AG146" i="20" s="1"/>
  <c r="BZ146" i="20"/>
  <c r="AC90" i="20"/>
  <c r="P134" i="20"/>
  <c r="CJ133" i="20"/>
  <c r="R133" i="20"/>
  <c r="CL132" i="20"/>
  <c r="S133" i="20"/>
  <c r="CM132" i="20"/>
  <c r="Q133" i="20"/>
  <c r="CK132" i="20"/>
  <c r="R44" i="18"/>
  <c r="BC43" i="19"/>
  <c r="P43" i="19"/>
  <c r="AM149" i="20"/>
  <c r="AD149" i="20" s="1"/>
  <c r="BW149" i="20"/>
  <c r="AO150" i="20"/>
  <c r="AF150" i="20" s="1"/>
  <c r="BY150" i="20"/>
  <c r="M150" i="20"/>
  <c r="CG149" i="20"/>
  <c r="M42" i="22"/>
  <c r="BQ42" i="19"/>
  <c r="AH43" i="18" s="1"/>
  <c r="BN42" i="19" l="1"/>
  <c r="O42" i="18"/>
  <c r="AA42" i="19" s="1"/>
  <c r="AN42" i="19" s="1"/>
  <c r="N42" i="19" s="1"/>
  <c r="K42" i="22" s="1"/>
  <c r="U42" i="22" s="1"/>
  <c r="CA42" i="19" s="1"/>
  <c r="AS43" i="18" s="1"/>
  <c r="P42" i="18"/>
  <c r="AE43" i="18" s="1"/>
  <c r="P43" i="18" s="1"/>
  <c r="Y41" i="19"/>
  <c r="AL41" i="19" s="1"/>
  <c r="L41" i="19" s="1"/>
  <c r="J41" i="22" s="1"/>
  <c r="T41" i="22" s="1"/>
  <c r="BY41" i="19" s="1"/>
  <c r="AQ42" i="18" s="1"/>
  <c r="AC42" i="18"/>
  <c r="BB41" i="20"/>
  <c r="AP43" i="18"/>
  <c r="L42" i="18"/>
  <c r="AZ42" i="20"/>
  <c r="AA43" i="18"/>
  <c r="W42" i="19"/>
  <c r="AJ42" i="19" s="1"/>
  <c r="J42" i="19" s="1"/>
  <c r="BJ42" i="19"/>
  <c r="AK43" i="18"/>
  <c r="G43" i="18" s="1"/>
  <c r="H42" i="18"/>
  <c r="AV42" i="20"/>
  <c r="T42" i="19"/>
  <c r="AG42" i="19" s="1"/>
  <c r="G42" i="19" s="1"/>
  <c r="G42" i="22" s="1"/>
  <c r="Q42" i="22" s="1"/>
  <c r="BV42" i="19" s="1"/>
  <c r="AN43" i="18" s="1"/>
  <c r="BG42" i="19"/>
  <c r="AL43" i="18" s="1"/>
  <c r="W43" i="18"/>
  <c r="AJ43" i="18"/>
  <c r="D43" i="18"/>
  <c r="BP43" i="19"/>
  <c r="AG44" i="18" s="1"/>
  <c r="BD43" i="19"/>
  <c r="E43" i="18"/>
  <c r="BR43" i="19"/>
  <c r="Q45" i="18"/>
  <c r="AQ134" i="20"/>
  <c r="AH134" i="20" s="1"/>
  <c r="CA134" i="20"/>
  <c r="CE90" i="20"/>
  <c r="K91" i="20"/>
  <c r="AR133" i="20"/>
  <c r="AI133" i="20" s="1"/>
  <c r="CB133" i="20"/>
  <c r="AT133" i="20"/>
  <c r="AK133" i="20" s="1"/>
  <c r="CD133" i="20"/>
  <c r="AS133" i="20"/>
  <c r="AJ133" i="20" s="1"/>
  <c r="CC133" i="20"/>
  <c r="O147" i="20"/>
  <c r="CI146" i="20"/>
  <c r="AN150" i="20"/>
  <c r="AE150" i="20" s="1"/>
  <c r="BX150" i="20"/>
  <c r="N151" i="20"/>
  <c r="CH150" i="20"/>
  <c r="L150" i="20"/>
  <c r="CF149" i="20"/>
  <c r="AC43" i="19"/>
  <c r="C43" i="19" s="1"/>
  <c r="C43" i="22" s="1"/>
  <c r="C44" i="18"/>
  <c r="BO44" i="19"/>
  <c r="AF45" i="18" s="1"/>
  <c r="AT44" i="18" l="1"/>
  <c r="BN43" i="19"/>
  <c r="BL42" i="19"/>
  <c r="M42" i="18"/>
  <c r="BZ42" i="19"/>
  <c r="AR43" i="18" s="1"/>
  <c r="N42" i="18"/>
  <c r="L43" i="18"/>
  <c r="BK42" i="19"/>
  <c r="X42" i="19"/>
  <c r="AK42" i="19" s="1"/>
  <c r="K42" i="19" s="1"/>
  <c r="BA42" i="20"/>
  <c r="BK43" i="19"/>
  <c r="BA43" i="20"/>
  <c r="X43" i="19"/>
  <c r="AK43" i="19" s="1"/>
  <c r="K43" i="19" s="1"/>
  <c r="J43" i="18"/>
  <c r="X43" i="18"/>
  <c r="AW42" i="20"/>
  <c r="BH42" i="19"/>
  <c r="AM43" i="18" s="1"/>
  <c r="U42" i="19"/>
  <c r="AH42" i="19" s="1"/>
  <c r="H42" i="19" s="1"/>
  <c r="H42" i="22" s="1"/>
  <c r="R42" i="22" s="1"/>
  <c r="BW42" i="19" s="1"/>
  <c r="AO43" i="18" s="1"/>
  <c r="AI44" i="18"/>
  <c r="T43" i="19"/>
  <c r="AG43" i="19" s="1"/>
  <c r="G43" i="19" s="1"/>
  <c r="G43" i="22" s="1"/>
  <c r="Q43" i="22" s="1"/>
  <c r="BV43" i="19" s="1"/>
  <c r="AN44" i="18" s="1"/>
  <c r="AV43" i="20"/>
  <c r="BG43" i="19"/>
  <c r="H43" i="18"/>
  <c r="W44" i="18" s="1"/>
  <c r="F43" i="18"/>
  <c r="T44" i="18"/>
  <c r="BE43" i="19"/>
  <c r="R43" i="19"/>
  <c r="AE43" i="19" s="1"/>
  <c r="E43" i="19" s="1"/>
  <c r="E43" i="22" s="1"/>
  <c r="O43" i="22" s="1"/>
  <c r="BT43" i="19" s="1"/>
  <c r="S44" i="18"/>
  <c r="Q43" i="19"/>
  <c r="AD43" i="19" s="1"/>
  <c r="D43" i="19" s="1"/>
  <c r="D43" i="22" s="1"/>
  <c r="N43" i="22" s="1"/>
  <c r="BS43" i="19" s="1"/>
  <c r="BB45" i="19"/>
  <c r="B45" i="18"/>
  <c r="O45" i="19" s="1"/>
  <c r="AB45" i="19" s="1"/>
  <c r="B45" i="19" s="1"/>
  <c r="B45" i="22" s="1"/>
  <c r="L45" i="22" s="1"/>
  <c r="AP147" i="20"/>
  <c r="AG147" i="20" s="1"/>
  <c r="BZ147" i="20"/>
  <c r="S134" i="20"/>
  <c r="CM133" i="20"/>
  <c r="P135" i="20"/>
  <c r="CJ134" i="20"/>
  <c r="R134" i="20"/>
  <c r="CL133" i="20"/>
  <c r="Q134" i="20"/>
  <c r="CK133" i="20"/>
  <c r="BV91" i="20"/>
  <c r="AL91" i="20"/>
  <c r="M43" i="22"/>
  <c r="BQ43" i="19"/>
  <c r="AH44" i="18" s="1"/>
  <c r="AM150" i="20"/>
  <c r="AD150" i="20" s="1"/>
  <c r="BW150" i="20"/>
  <c r="AO151" i="20"/>
  <c r="AF151" i="20" s="1"/>
  <c r="BY151" i="20"/>
  <c r="M151" i="20"/>
  <c r="CG150" i="20"/>
  <c r="R45" i="18"/>
  <c r="BC44" i="19"/>
  <c r="P44" i="19"/>
  <c r="Y42" i="19" l="1"/>
  <c r="AL42" i="19" s="1"/>
  <c r="L42" i="19" s="1"/>
  <c r="J42" i="22" s="1"/>
  <c r="T42" i="22" s="1"/>
  <c r="BY42" i="19" s="1"/>
  <c r="AQ43" i="18" s="1"/>
  <c r="BB42" i="20"/>
  <c r="AB43" i="18"/>
  <c r="AC43" i="18"/>
  <c r="AD43" i="18"/>
  <c r="BC42" i="20"/>
  <c r="Z42" i="19"/>
  <c r="AM42" i="19" s="1"/>
  <c r="M42" i="19" s="1"/>
  <c r="BM42" i="19"/>
  <c r="K43" i="18"/>
  <c r="Y44" i="18"/>
  <c r="AY43" i="20"/>
  <c r="V43" i="19"/>
  <c r="AI43" i="19" s="1"/>
  <c r="I43" i="19" s="1"/>
  <c r="I43" i="22" s="1"/>
  <c r="S43" i="22" s="1"/>
  <c r="BX43" i="19" s="1"/>
  <c r="BI43" i="19"/>
  <c r="AO44" i="18" s="1"/>
  <c r="Z44" i="18"/>
  <c r="I43" i="18"/>
  <c r="AX43" i="20" s="1"/>
  <c r="AJ44" i="18"/>
  <c r="S43" i="19"/>
  <c r="AF43" i="19" s="1"/>
  <c r="F43" i="19" s="1"/>
  <c r="F43" i="22" s="1"/>
  <c r="P43" i="22" s="1"/>
  <c r="BU43" i="19" s="1"/>
  <c r="AL44" i="18" s="1"/>
  <c r="AU43" i="20"/>
  <c r="BF43" i="19"/>
  <c r="AK44" i="18" s="1"/>
  <c r="V44" i="18"/>
  <c r="U44" i="18"/>
  <c r="F44" i="18" s="1"/>
  <c r="AW43" i="20"/>
  <c r="BH43" i="19"/>
  <c r="AM44" i="18" s="1"/>
  <c r="U43" i="19"/>
  <c r="AH43" i="19" s="1"/>
  <c r="H43" i="19" s="1"/>
  <c r="H43" i="22" s="1"/>
  <c r="R43" i="22" s="1"/>
  <c r="BW43" i="19" s="1"/>
  <c r="D44" i="18"/>
  <c r="Q44" i="19" s="1"/>
  <c r="AD44" i="19" s="1"/>
  <c r="D44" i="19" s="1"/>
  <c r="D44" i="22" s="1"/>
  <c r="N44" i="22" s="1"/>
  <c r="BP44" i="19"/>
  <c r="AG45" i="18" s="1"/>
  <c r="BD44" i="19"/>
  <c r="BR44" i="19"/>
  <c r="E44" i="18"/>
  <c r="Q46" i="18"/>
  <c r="AT134" i="20"/>
  <c r="AK134" i="20" s="1"/>
  <c r="CD134" i="20"/>
  <c r="AQ135" i="20"/>
  <c r="AH135" i="20" s="1"/>
  <c r="CA135" i="20"/>
  <c r="AC91" i="20"/>
  <c r="O148" i="20"/>
  <c r="CI147" i="20"/>
  <c r="AR134" i="20"/>
  <c r="AI134" i="20" s="1"/>
  <c r="CB134" i="20"/>
  <c r="AS134" i="20"/>
  <c r="AJ134" i="20" s="1"/>
  <c r="CC134" i="20"/>
  <c r="BO45" i="19"/>
  <c r="AF46" i="18" s="1"/>
  <c r="L151" i="20"/>
  <c r="CF150" i="20"/>
  <c r="AN151" i="20"/>
  <c r="AE151" i="20" s="1"/>
  <c r="BX151" i="20"/>
  <c r="AC44" i="19"/>
  <c r="C44" i="19" s="1"/>
  <c r="C44" i="22" s="1"/>
  <c r="N152" i="20"/>
  <c r="CH151" i="20"/>
  <c r="AR44" i="18" l="1"/>
  <c r="BL43" i="19"/>
  <c r="M43" i="18"/>
  <c r="O43" i="18"/>
  <c r="N43" i="18"/>
  <c r="AC44" i="18" s="1"/>
  <c r="BZ43" i="19"/>
  <c r="BJ43" i="19"/>
  <c r="AP44" i="18" s="1"/>
  <c r="AZ43" i="20"/>
  <c r="AA44" i="18"/>
  <c r="W43" i="19"/>
  <c r="AJ43" i="19" s="1"/>
  <c r="J43" i="19" s="1"/>
  <c r="K44" i="18"/>
  <c r="Z45" i="18" s="1"/>
  <c r="J44" i="18"/>
  <c r="Y45" i="18"/>
  <c r="X44" i="18"/>
  <c r="H44" i="18"/>
  <c r="AI45" i="18"/>
  <c r="G44" i="18"/>
  <c r="W45" i="18" s="1"/>
  <c r="BS44" i="19"/>
  <c r="I44" i="18"/>
  <c r="AX44" i="20" s="1"/>
  <c r="S44" i="19"/>
  <c r="AF44" i="19" s="1"/>
  <c r="F44" i="19" s="1"/>
  <c r="F44" i="22" s="1"/>
  <c r="P44" i="22" s="1"/>
  <c r="BU44" i="19" s="1"/>
  <c r="AU44" i="20"/>
  <c r="BF44" i="19"/>
  <c r="S45" i="18"/>
  <c r="BP45" i="19" s="1"/>
  <c r="AG46" i="18"/>
  <c r="BE44" i="19"/>
  <c r="AJ45" i="18" s="1"/>
  <c r="R44" i="19"/>
  <c r="AE44" i="19" s="1"/>
  <c r="E44" i="19" s="1"/>
  <c r="E44" i="22" s="1"/>
  <c r="O44" i="22" s="1"/>
  <c r="BT44" i="19" s="1"/>
  <c r="U45" i="18"/>
  <c r="C45" i="18"/>
  <c r="BC45" i="19" s="1"/>
  <c r="T45" i="18"/>
  <c r="BB46" i="19"/>
  <c r="B46" i="18"/>
  <c r="O46" i="19" s="1"/>
  <c r="AB46" i="19" s="1"/>
  <c r="B46" i="19" s="1"/>
  <c r="B46" i="22" s="1"/>
  <c r="L46" i="22" s="1"/>
  <c r="AP148" i="20"/>
  <c r="AG148" i="20" s="1"/>
  <c r="BZ148" i="20"/>
  <c r="K92" i="20"/>
  <c r="CE91" i="20"/>
  <c r="P136" i="20"/>
  <c r="CJ135" i="20"/>
  <c r="R135" i="20"/>
  <c r="CL134" i="20"/>
  <c r="S135" i="20"/>
  <c r="CM134" i="20"/>
  <c r="Q135" i="20"/>
  <c r="CK134" i="20"/>
  <c r="M44" i="22"/>
  <c r="BQ44" i="19"/>
  <c r="AH45" i="18" s="1"/>
  <c r="M152" i="20"/>
  <c r="CG151" i="20"/>
  <c r="AM151" i="20"/>
  <c r="AD151" i="20" s="1"/>
  <c r="BW151" i="20"/>
  <c r="AO152" i="20"/>
  <c r="AF152" i="20" s="1"/>
  <c r="BY152" i="20"/>
  <c r="AR45" i="18" l="1"/>
  <c r="BZ44" i="19"/>
  <c r="N44" i="18"/>
  <c r="AA43" i="19"/>
  <c r="AN43" i="19" s="1"/>
  <c r="N43" i="19" s="1"/>
  <c r="K43" i="22" s="1"/>
  <c r="U43" i="22" s="1"/>
  <c r="CA43" i="19" s="1"/>
  <c r="AS44" i="18" s="1"/>
  <c r="AE44" i="18"/>
  <c r="AT45" i="18" s="1"/>
  <c r="Y43" i="19"/>
  <c r="AL43" i="19" s="1"/>
  <c r="L43" i="19" s="1"/>
  <c r="J43" i="22" s="1"/>
  <c r="T43" i="22" s="1"/>
  <c r="BY43" i="19" s="1"/>
  <c r="AQ44" i="18" s="1"/>
  <c r="BB43" i="20"/>
  <c r="AB44" i="18"/>
  <c r="BC43" i="20"/>
  <c r="Z43" i="19"/>
  <c r="AM43" i="19" s="1"/>
  <c r="M43" i="19" s="1"/>
  <c r="BM43" i="19"/>
  <c r="AD44" i="18"/>
  <c r="L44" i="18"/>
  <c r="BA44" i="20"/>
  <c r="X44" i="19"/>
  <c r="AK44" i="19" s="1"/>
  <c r="K44" i="19" s="1"/>
  <c r="BK44" i="19"/>
  <c r="AY44" i="20"/>
  <c r="V44" i="19"/>
  <c r="AI44" i="19" s="1"/>
  <c r="I44" i="19" s="1"/>
  <c r="I44" i="22" s="1"/>
  <c r="S44" i="22" s="1"/>
  <c r="BX44" i="19" s="1"/>
  <c r="BI44" i="19"/>
  <c r="AK45" i="18"/>
  <c r="AZ44" i="20"/>
  <c r="W44" i="19"/>
  <c r="AJ44" i="19" s="1"/>
  <c r="J44" i="19" s="1"/>
  <c r="BJ44" i="19"/>
  <c r="AP45" i="18" s="1"/>
  <c r="AA45" i="18"/>
  <c r="R46" i="18"/>
  <c r="BG44" i="19"/>
  <c r="AL45" i="18" s="1"/>
  <c r="H45" i="18" s="1"/>
  <c r="AV44" i="20"/>
  <c r="T44" i="19"/>
  <c r="AG44" i="19" s="1"/>
  <c r="G44" i="19" s="1"/>
  <c r="G44" i="22" s="1"/>
  <c r="Q44" i="22" s="1"/>
  <c r="BV44" i="19" s="1"/>
  <c r="AN45" i="18" s="1"/>
  <c r="J45" i="18" s="1"/>
  <c r="V45" i="18"/>
  <c r="BH44" i="19"/>
  <c r="AM45" i="18" s="1"/>
  <c r="U44" i="19"/>
  <c r="AH44" i="19" s="1"/>
  <c r="H44" i="19" s="1"/>
  <c r="H44" i="22" s="1"/>
  <c r="R44" i="22" s="1"/>
  <c r="BW44" i="19" s="1"/>
  <c r="AW44" i="20"/>
  <c r="X45" i="18"/>
  <c r="F45" i="18"/>
  <c r="BD45" i="19"/>
  <c r="AI46" i="18" s="1"/>
  <c r="D45" i="18"/>
  <c r="P45" i="19"/>
  <c r="AC45" i="19" s="1"/>
  <c r="C45" i="19" s="1"/>
  <c r="C45" i="22" s="1"/>
  <c r="E45" i="18"/>
  <c r="BR45" i="19"/>
  <c r="Q47" i="18"/>
  <c r="AS135" i="20"/>
  <c r="AJ135" i="20" s="1"/>
  <c r="CC135" i="20"/>
  <c r="AQ136" i="20"/>
  <c r="AH136" i="20" s="1"/>
  <c r="CA136" i="20"/>
  <c r="O149" i="20"/>
  <c r="CI148" i="20"/>
  <c r="AR135" i="20"/>
  <c r="AI135" i="20" s="1"/>
  <c r="CB135" i="20"/>
  <c r="AT135" i="20"/>
  <c r="AK135" i="20" s="1"/>
  <c r="CD135" i="20"/>
  <c r="AL92" i="20"/>
  <c r="BV92" i="20"/>
  <c r="C46" i="18"/>
  <c r="BO46" i="19"/>
  <c r="AF47" i="18" s="1"/>
  <c r="L152" i="20"/>
  <c r="CF151" i="20"/>
  <c r="N153" i="20"/>
  <c r="CH152" i="20"/>
  <c r="AN152" i="20"/>
  <c r="AE152" i="20" s="1"/>
  <c r="BX152" i="20"/>
  <c r="BN44" i="19" l="1"/>
  <c r="O44" i="18"/>
  <c r="AA44" i="19" s="1"/>
  <c r="AN44" i="19" s="1"/>
  <c r="N44" i="19" s="1"/>
  <c r="K44" i="22" s="1"/>
  <c r="U44" i="22" s="1"/>
  <c r="CA44" i="19" s="1"/>
  <c r="AS45" i="18" s="1"/>
  <c r="P44" i="18"/>
  <c r="AE45" i="18" s="1"/>
  <c r="AT46" i="18" s="1"/>
  <c r="M44" i="18"/>
  <c r="BM44" i="19"/>
  <c r="BC44" i="20"/>
  <c r="Z44" i="19"/>
  <c r="AM44" i="19" s="1"/>
  <c r="M44" i="19" s="1"/>
  <c r="BL44" i="19"/>
  <c r="AO45" i="18"/>
  <c r="Y46" i="18"/>
  <c r="AY45" i="20"/>
  <c r="V45" i="19"/>
  <c r="AI45" i="19" s="1"/>
  <c r="I45" i="19" s="1"/>
  <c r="I45" i="22" s="1"/>
  <c r="S45" i="22" s="1"/>
  <c r="BX45" i="19" s="1"/>
  <c r="BI45" i="19"/>
  <c r="L45" i="18"/>
  <c r="G45" i="18"/>
  <c r="AV45" i="20" s="1"/>
  <c r="AW45" i="20"/>
  <c r="U45" i="19"/>
  <c r="AH45" i="19" s="1"/>
  <c r="H45" i="19" s="1"/>
  <c r="H45" i="22" s="1"/>
  <c r="R45" i="22" s="1"/>
  <c r="BW45" i="19" s="1"/>
  <c r="BH45" i="19"/>
  <c r="AM46" i="18" s="1"/>
  <c r="I45" i="18"/>
  <c r="AX45" i="20" s="1"/>
  <c r="BG45" i="19"/>
  <c r="BF45" i="19"/>
  <c r="S45" i="19"/>
  <c r="AF45" i="19" s="1"/>
  <c r="F45" i="19" s="1"/>
  <c r="F45" i="22" s="1"/>
  <c r="P45" i="22" s="1"/>
  <c r="BU45" i="19" s="1"/>
  <c r="AU45" i="20"/>
  <c r="S46" i="18"/>
  <c r="Q45" i="19"/>
  <c r="AD45" i="19" s="1"/>
  <c r="D45" i="19" s="1"/>
  <c r="D45" i="22" s="1"/>
  <c r="N45" i="22" s="1"/>
  <c r="BS45" i="19" s="1"/>
  <c r="R45" i="19"/>
  <c r="AE45" i="19" s="1"/>
  <c r="E45" i="19" s="1"/>
  <c r="E45" i="22" s="1"/>
  <c r="O45" i="22" s="1"/>
  <c r="BT45" i="19" s="1"/>
  <c r="U46" i="18"/>
  <c r="T46" i="18"/>
  <c r="BE45" i="19"/>
  <c r="AJ46" i="18" s="1"/>
  <c r="BB47" i="19"/>
  <c r="B47" i="18"/>
  <c r="O47" i="19" s="1"/>
  <c r="AB47" i="19" s="1"/>
  <c r="B47" i="19" s="1"/>
  <c r="B47" i="22" s="1"/>
  <c r="L47" i="22" s="1"/>
  <c r="AP149" i="20"/>
  <c r="AG149" i="20" s="1"/>
  <c r="BZ149" i="20"/>
  <c r="R136" i="20"/>
  <c r="CL135" i="20"/>
  <c r="AC92" i="20"/>
  <c r="S136" i="20"/>
  <c r="CM135" i="20"/>
  <c r="Q136" i="20"/>
  <c r="CK135" i="20"/>
  <c r="P137" i="20"/>
  <c r="CJ136" i="20"/>
  <c r="M45" i="22"/>
  <c r="BQ45" i="19"/>
  <c r="AH46" i="18" s="1"/>
  <c r="R47" i="18"/>
  <c r="BC46" i="19"/>
  <c r="P46" i="19"/>
  <c r="AM152" i="20"/>
  <c r="AD152" i="20" s="1"/>
  <c r="BW152" i="20"/>
  <c r="M153" i="20"/>
  <c r="CG152" i="20"/>
  <c r="AO153" i="20"/>
  <c r="AF153" i="20" s="1"/>
  <c r="BY153" i="20"/>
  <c r="BN45" i="19" l="1"/>
  <c r="P45" i="18"/>
  <c r="AD45" i="18"/>
  <c r="Y44" i="19"/>
  <c r="AL44" i="19" s="1"/>
  <c r="L44" i="19" s="1"/>
  <c r="J44" i="22" s="1"/>
  <c r="T44" i="22" s="1"/>
  <c r="BY44" i="19" s="1"/>
  <c r="AQ45" i="18" s="1"/>
  <c r="BB44" i="20"/>
  <c r="AC45" i="18"/>
  <c r="AB45" i="18"/>
  <c r="AO46" i="18"/>
  <c r="K45" i="18"/>
  <c r="V46" i="18"/>
  <c r="T45" i="19"/>
  <c r="AG45" i="19" s="1"/>
  <c r="G45" i="19" s="1"/>
  <c r="G45" i="22" s="1"/>
  <c r="Q45" i="22" s="1"/>
  <c r="BV45" i="19" s="1"/>
  <c r="AN46" i="18" s="1"/>
  <c r="W46" i="18"/>
  <c r="BA45" i="20"/>
  <c r="X45" i="19"/>
  <c r="AK45" i="19" s="1"/>
  <c r="K45" i="19" s="1"/>
  <c r="BK45" i="19"/>
  <c r="AL46" i="18"/>
  <c r="X46" i="18"/>
  <c r="AK46" i="18"/>
  <c r="F46" i="18"/>
  <c r="AU46" i="20" s="1"/>
  <c r="BD46" i="19"/>
  <c r="S46" i="19"/>
  <c r="E46" i="18"/>
  <c r="U47" i="18" s="1"/>
  <c r="BR46" i="19"/>
  <c r="BP46" i="19"/>
  <c r="AG47" i="18" s="1"/>
  <c r="C47" i="18" s="1"/>
  <c r="D46" i="18"/>
  <c r="Q48" i="18"/>
  <c r="AT136" i="20"/>
  <c r="AK136" i="20" s="1"/>
  <c r="CD136" i="20"/>
  <c r="AS136" i="20"/>
  <c r="AJ136" i="20" s="1"/>
  <c r="CC136" i="20"/>
  <c r="AQ137" i="20"/>
  <c r="AH137" i="20" s="1"/>
  <c r="CA137" i="20"/>
  <c r="AR136" i="20"/>
  <c r="AI136" i="20" s="1"/>
  <c r="CB136" i="20"/>
  <c r="CE92" i="20"/>
  <c r="K93" i="20"/>
  <c r="O150" i="20"/>
  <c r="CI149" i="20"/>
  <c r="AF46" i="19"/>
  <c r="F46" i="19" s="1"/>
  <c r="F46" i="22" s="1"/>
  <c r="P46" i="22" s="1"/>
  <c r="BU46" i="19" s="1"/>
  <c r="AN153" i="20"/>
  <c r="AE153" i="20" s="1"/>
  <c r="BX153" i="20"/>
  <c r="BO47" i="19"/>
  <c r="AF48" i="18" s="1"/>
  <c r="N154" i="20"/>
  <c r="CH153" i="20"/>
  <c r="L153" i="20"/>
  <c r="CF152" i="20"/>
  <c r="AC46" i="19"/>
  <c r="C46" i="19" s="1"/>
  <c r="C46" i="22" s="1"/>
  <c r="BL45" i="19" l="1"/>
  <c r="M45" i="18"/>
  <c r="O45" i="18"/>
  <c r="AA45" i="19" s="1"/>
  <c r="AN45" i="19" s="1"/>
  <c r="N45" i="19" s="1"/>
  <c r="K45" i="22" s="1"/>
  <c r="U45" i="22" s="1"/>
  <c r="CA45" i="19" s="1"/>
  <c r="AS46" i="18" s="1"/>
  <c r="BZ45" i="19"/>
  <c r="AR46" i="18" s="1"/>
  <c r="N45" i="18"/>
  <c r="AC46" i="18"/>
  <c r="AZ45" i="20"/>
  <c r="W45" i="19"/>
  <c r="AJ45" i="19" s="1"/>
  <c r="J45" i="19" s="1"/>
  <c r="BJ45" i="19"/>
  <c r="AP46" i="18" s="1"/>
  <c r="Z46" i="18"/>
  <c r="K46" i="18" s="1"/>
  <c r="BJ46" i="19" s="1"/>
  <c r="AA46" i="18"/>
  <c r="W46" i="19"/>
  <c r="AJ46" i="19" s="1"/>
  <c r="J46" i="19" s="1"/>
  <c r="J46" i="18"/>
  <c r="I46" i="18"/>
  <c r="AX46" i="20" s="1"/>
  <c r="H46" i="18"/>
  <c r="G46" i="18"/>
  <c r="V47" i="18" s="1"/>
  <c r="AI47" i="18"/>
  <c r="BF46" i="19"/>
  <c r="BE46" i="19"/>
  <c r="R46" i="19"/>
  <c r="AE46" i="19" s="1"/>
  <c r="E46" i="19" s="1"/>
  <c r="E46" i="22" s="1"/>
  <c r="O46" i="22" s="1"/>
  <c r="BT46" i="19" s="1"/>
  <c r="T47" i="18"/>
  <c r="S47" i="18"/>
  <c r="Q46" i="19"/>
  <c r="AD46" i="19" s="1"/>
  <c r="D46" i="19" s="1"/>
  <c r="D46" i="22" s="1"/>
  <c r="N46" i="22" s="1"/>
  <c r="BS46" i="19" s="1"/>
  <c r="BB48" i="19"/>
  <c r="B48" i="18"/>
  <c r="O48" i="19" s="1"/>
  <c r="AB48" i="19" s="1"/>
  <c r="B48" i="19" s="1"/>
  <c r="B48" i="22" s="1"/>
  <c r="L48" i="22" s="1"/>
  <c r="AL93" i="20"/>
  <c r="BV93" i="20"/>
  <c r="Q137" i="20"/>
  <c r="CK136" i="20"/>
  <c r="S137" i="20"/>
  <c r="CM136" i="20"/>
  <c r="AP150" i="20"/>
  <c r="AG150" i="20" s="1"/>
  <c r="BZ150" i="20"/>
  <c r="P138" i="20"/>
  <c r="CJ137" i="20"/>
  <c r="R137" i="20"/>
  <c r="CL136" i="20"/>
  <c r="M46" i="22"/>
  <c r="BQ46" i="19"/>
  <c r="AH47" i="18" s="1"/>
  <c r="AM153" i="20"/>
  <c r="AD153" i="20" s="1"/>
  <c r="BW153" i="20"/>
  <c r="BC47" i="19"/>
  <c r="P47" i="19"/>
  <c r="AO154" i="20"/>
  <c r="AF154" i="20" s="1"/>
  <c r="BY154" i="20"/>
  <c r="R48" i="18"/>
  <c r="M154" i="20"/>
  <c r="CG153" i="20"/>
  <c r="BN46" i="19" l="1"/>
  <c r="BM45" i="19"/>
  <c r="BC45" i="20"/>
  <c r="Z45" i="19"/>
  <c r="AM45" i="19" s="1"/>
  <c r="M45" i="19" s="1"/>
  <c r="Y45" i="19"/>
  <c r="AL45" i="19" s="1"/>
  <c r="L45" i="19" s="1"/>
  <c r="J45" i="22" s="1"/>
  <c r="T45" i="22" s="1"/>
  <c r="BY45" i="19" s="1"/>
  <c r="AQ46" i="18" s="1"/>
  <c r="BB45" i="20"/>
  <c r="AB46" i="18"/>
  <c r="AD46" i="18"/>
  <c r="BZ46" i="19"/>
  <c r="AR47" i="18" s="1"/>
  <c r="N46" i="18"/>
  <c r="AE46" i="18"/>
  <c r="AT47" i="18" s="1"/>
  <c r="L46" i="18"/>
  <c r="AZ46" i="20"/>
  <c r="Y47" i="18"/>
  <c r="AY46" i="20"/>
  <c r="BI46" i="19"/>
  <c r="AO47" i="18" s="1"/>
  <c r="V46" i="19"/>
  <c r="AI46" i="19" s="1"/>
  <c r="I46" i="19" s="1"/>
  <c r="I46" i="22" s="1"/>
  <c r="S46" i="22" s="1"/>
  <c r="BX46" i="19" s="1"/>
  <c r="AP47" i="18" s="1"/>
  <c r="Z47" i="18"/>
  <c r="AK47" i="18"/>
  <c r="G47" i="18" s="1"/>
  <c r="AW46" i="20"/>
  <c r="BH46" i="19"/>
  <c r="AM47" i="18" s="1"/>
  <c r="U46" i="19"/>
  <c r="AH46" i="19" s="1"/>
  <c r="H46" i="19" s="1"/>
  <c r="H46" i="22" s="1"/>
  <c r="R46" i="22" s="1"/>
  <c r="BW46" i="19" s="1"/>
  <c r="X47" i="18"/>
  <c r="W47" i="18"/>
  <c r="BG46" i="19"/>
  <c r="AL47" i="18" s="1"/>
  <c r="T46" i="19"/>
  <c r="AG46" i="19" s="1"/>
  <c r="G46" i="19" s="1"/>
  <c r="G46" i="22" s="1"/>
  <c r="Q46" i="22" s="1"/>
  <c r="BV46" i="19" s="1"/>
  <c r="AN47" i="18" s="1"/>
  <c r="AV46" i="20"/>
  <c r="AJ47" i="18"/>
  <c r="BD47" i="19"/>
  <c r="E47" i="18"/>
  <c r="BR47" i="19"/>
  <c r="BP47" i="19"/>
  <c r="AG48" i="18" s="1"/>
  <c r="C48" i="18" s="1"/>
  <c r="D47" i="18"/>
  <c r="Q49" i="18"/>
  <c r="AS137" i="20"/>
  <c r="AJ137" i="20" s="1"/>
  <c r="CC137" i="20"/>
  <c r="AQ138" i="20"/>
  <c r="AH138" i="20" s="1"/>
  <c r="CA138" i="20"/>
  <c r="O151" i="20"/>
  <c r="CI150" i="20"/>
  <c r="AT137" i="20"/>
  <c r="AK137" i="20" s="1"/>
  <c r="CD137" i="20"/>
  <c r="AR137" i="20"/>
  <c r="AI137" i="20" s="1"/>
  <c r="CB137" i="20"/>
  <c r="AC93" i="20"/>
  <c r="AC47" i="19"/>
  <c r="C47" i="19" s="1"/>
  <c r="C47" i="22" s="1"/>
  <c r="N155" i="20"/>
  <c r="CH154" i="20"/>
  <c r="AN154" i="20"/>
  <c r="AE154" i="20" s="1"/>
  <c r="BX154" i="20"/>
  <c r="BO48" i="19"/>
  <c r="AF49" i="18" s="1"/>
  <c r="L154" i="20"/>
  <c r="CF153" i="20"/>
  <c r="BL46" i="19" l="1"/>
  <c r="O46" i="18"/>
  <c r="AA46" i="19" s="1"/>
  <c r="AN46" i="19" s="1"/>
  <c r="N46" i="19" s="1"/>
  <c r="K46" i="22" s="1"/>
  <c r="U46" i="22" s="1"/>
  <c r="CA46" i="19" s="1"/>
  <c r="AS47" i="18" s="1"/>
  <c r="AD47" i="18"/>
  <c r="P46" i="18"/>
  <c r="AE47" i="18" s="1"/>
  <c r="P47" i="18" s="1"/>
  <c r="M46" i="18"/>
  <c r="AC47" i="18" s="1"/>
  <c r="Z46" i="19"/>
  <c r="AM46" i="19" s="1"/>
  <c r="M46" i="19" s="1"/>
  <c r="BM46" i="19"/>
  <c r="BC46" i="20"/>
  <c r="X46" i="19"/>
  <c r="AK46" i="19" s="1"/>
  <c r="K46" i="19" s="1"/>
  <c r="AA47" i="18"/>
  <c r="L47" i="18" s="1"/>
  <c r="X47" i="19" s="1"/>
  <c r="AK47" i="19" s="1"/>
  <c r="K47" i="19" s="1"/>
  <c r="BA46" i="20"/>
  <c r="BK46" i="19"/>
  <c r="K47" i="18"/>
  <c r="J47" i="18"/>
  <c r="Y48" i="18"/>
  <c r="BA47" i="20"/>
  <c r="AV47" i="20"/>
  <c r="BG47" i="19"/>
  <c r="T47" i="19"/>
  <c r="AG47" i="19" s="1"/>
  <c r="G47" i="19" s="1"/>
  <c r="G47" i="22" s="1"/>
  <c r="Q47" i="22" s="1"/>
  <c r="BV47" i="19" s="1"/>
  <c r="AN48" i="18" s="1"/>
  <c r="I47" i="18"/>
  <c r="AX47" i="20" s="1"/>
  <c r="AI48" i="18"/>
  <c r="H47" i="18"/>
  <c r="W48" i="18" s="1"/>
  <c r="F47" i="18"/>
  <c r="U48" i="18" s="1"/>
  <c r="T48" i="18"/>
  <c r="BE47" i="19"/>
  <c r="R47" i="19"/>
  <c r="AE47" i="19" s="1"/>
  <c r="E47" i="19" s="1"/>
  <c r="E47" i="22" s="1"/>
  <c r="O47" i="22" s="1"/>
  <c r="BT47" i="19" s="1"/>
  <c r="Q47" i="19"/>
  <c r="AD47" i="19" s="1"/>
  <c r="D47" i="19" s="1"/>
  <c r="D47" i="22" s="1"/>
  <c r="N47" i="22" s="1"/>
  <c r="BS47" i="19" s="1"/>
  <c r="S48" i="18"/>
  <c r="BB49" i="19"/>
  <c r="B49" i="18"/>
  <c r="O49" i="19" s="1"/>
  <c r="AB49" i="19" s="1"/>
  <c r="B49" i="19" s="1"/>
  <c r="B49" i="22" s="1"/>
  <c r="L49" i="22" s="1"/>
  <c r="S138" i="20"/>
  <c r="CM137" i="20"/>
  <c r="P139" i="20"/>
  <c r="CJ138" i="20"/>
  <c r="CE93" i="20"/>
  <c r="K94" i="20"/>
  <c r="Q138" i="20"/>
  <c r="CK137" i="20"/>
  <c r="AP151" i="20"/>
  <c r="AG151" i="20" s="1"/>
  <c r="BZ151" i="20"/>
  <c r="R138" i="20"/>
  <c r="CL137" i="20"/>
  <c r="M47" i="22"/>
  <c r="BQ47" i="19"/>
  <c r="AH48" i="18" s="1"/>
  <c r="M155" i="20"/>
  <c r="CG154" i="20"/>
  <c r="R49" i="18"/>
  <c r="BC48" i="19"/>
  <c r="P48" i="19"/>
  <c r="AO155" i="20"/>
  <c r="AF155" i="20" s="1"/>
  <c r="BY155" i="20"/>
  <c r="AM154" i="20"/>
  <c r="AD154" i="20" s="1"/>
  <c r="BW154" i="20"/>
  <c r="AT48" i="18" l="1"/>
  <c r="BN47" i="19"/>
  <c r="O47" i="18"/>
  <c r="AA47" i="19" s="1"/>
  <c r="AN47" i="19" s="1"/>
  <c r="N47" i="19" s="1"/>
  <c r="K47" i="22" s="1"/>
  <c r="U47" i="22" s="1"/>
  <c r="CA47" i="19" s="1"/>
  <c r="AS48" i="18" s="1"/>
  <c r="AE48" i="18"/>
  <c r="P48" i="18" s="1"/>
  <c r="BZ47" i="19"/>
  <c r="AR48" i="18" s="1"/>
  <c r="N47" i="18"/>
  <c r="AB47" i="18"/>
  <c r="BB46" i="20"/>
  <c r="Y46" i="19"/>
  <c r="AL46" i="19" s="1"/>
  <c r="L46" i="19" s="1"/>
  <c r="J46" i="22" s="1"/>
  <c r="T46" i="22" s="1"/>
  <c r="BY46" i="19" s="1"/>
  <c r="AQ47" i="18" s="1"/>
  <c r="BK47" i="19"/>
  <c r="AY47" i="20"/>
  <c r="V47" i="19"/>
  <c r="AI47" i="19" s="1"/>
  <c r="I47" i="19" s="1"/>
  <c r="I47" i="22" s="1"/>
  <c r="S47" i="22" s="1"/>
  <c r="BX47" i="19" s="1"/>
  <c r="BI47" i="19"/>
  <c r="Z48" i="18"/>
  <c r="J48" i="18"/>
  <c r="AZ47" i="20"/>
  <c r="W47" i="19"/>
  <c r="AJ47" i="19" s="1"/>
  <c r="J47" i="19" s="1"/>
  <c r="BJ47" i="19"/>
  <c r="AP48" i="18" s="1"/>
  <c r="AA48" i="18"/>
  <c r="AJ48" i="18"/>
  <c r="F48" i="18" s="1"/>
  <c r="BH47" i="19"/>
  <c r="AM48" i="18" s="1"/>
  <c r="U47" i="19"/>
  <c r="AH47" i="19" s="1"/>
  <c r="H47" i="19" s="1"/>
  <c r="H47" i="22" s="1"/>
  <c r="R47" i="22" s="1"/>
  <c r="BW47" i="19" s="1"/>
  <c r="X48" i="18"/>
  <c r="AW47" i="20"/>
  <c r="AU47" i="20"/>
  <c r="S47" i="19"/>
  <c r="AF47" i="19" s="1"/>
  <c r="F47" i="19" s="1"/>
  <c r="F47" i="22" s="1"/>
  <c r="P47" i="22" s="1"/>
  <c r="BU47" i="19" s="1"/>
  <c r="AL48" i="18" s="1"/>
  <c r="V48" i="18"/>
  <c r="BF47" i="19"/>
  <c r="AK48" i="18" s="1"/>
  <c r="BD48" i="19"/>
  <c r="BP48" i="19"/>
  <c r="AG49" i="18" s="1"/>
  <c r="C49" i="18" s="1"/>
  <c r="D48" i="18"/>
  <c r="E48" i="18"/>
  <c r="BR48" i="19"/>
  <c r="Q50" i="18"/>
  <c r="AL94" i="20"/>
  <c r="BV94" i="20"/>
  <c r="O152" i="20"/>
  <c r="CI151" i="20"/>
  <c r="AR138" i="20"/>
  <c r="AI138" i="20" s="1"/>
  <c r="CB138" i="20"/>
  <c r="AT138" i="20"/>
  <c r="AK138" i="20" s="1"/>
  <c r="CD138" i="20"/>
  <c r="AS138" i="20"/>
  <c r="AJ138" i="20" s="1"/>
  <c r="CC138" i="20"/>
  <c r="AQ139" i="20"/>
  <c r="AH139" i="20" s="1"/>
  <c r="CA139" i="20"/>
  <c r="L155" i="20"/>
  <c r="CF154" i="20"/>
  <c r="BO49" i="19"/>
  <c r="AF50" i="18" s="1"/>
  <c r="AN155" i="20"/>
  <c r="AE155" i="20" s="1"/>
  <c r="BX155" i="20"/>
  <c r="N156" i="20"/>
  <c r="CH155" i="20"/>
  <c r="AC48" i="19"/>
  <c r="C48" i="19" s="1"/>
  <c r="C48" i="22" s="1"/>
  <c r="AT49" i="18" l="1"/>
  <c r="BN48" i="19"/>
  <c r="BL47" i="19"/>
  <c r="M47" i="18"/>
  <c r="BM47" i="19"/>
  <c r="Z47" i="19"/>
  <c r="AM47" i="19" s="1"/>
  <c r="M47" i="19" s="1"/>
  <c r="BC47" i="20"/>
  <c r="AD48" i="18"/>
  <c r="O48" i="18" s="1"/>
  <c r="AC48" i="18"/>
  <c r="N48" i="18" s="1"/>
  <c r="AO48" i="18"/>
  <c r="K48" i="18" s="1"/>
  <c r="L48" i="18"/>
  <c r="AY48" i="20"/>
  <c r="V48" i="19"/>
  <c r="AI48" i="19" s="1"/>
  <c r="I48" i="19" s="1"/>
  <c r="I48" i="22" s="1"/>
  <c r="S48" i="22" s="1"/>
  <c r="BX48" i="19" s="1"/>
  <c r="BI48" i="19"/>
  <c r="Y49" i="18"/>
  <c r="H48" i="18"/>
  <c r="I48" i="18"/>
  <c r="AX48" i="20" s="1"/>
  <c r="X49" i="18"/>
  <c r="AI49" i="18"/>
  <c r="AU48" i="20"/>
  <c r="BF48" i="19"/>
  <c r="S48" i="19"/>
  <c r="AF48" i="19" s="1"/>
  <c r="F48" i="19" s="1"/>
  <c r="F48" i="22" s="1"/>
  <c r="P48" i="22" s="1"/>
  <c r="BU48" i="19" s="1"/>
  <c r="G48" i="18"/>
  <c r="V49" i="18" s="1"/>
  <c r="S49" i="18"/>
  <c r="Q48" i="19"/>
  <c r="AD48" i="19" s="1"/>
  <c r="D48" i="19" s="1"/>
  <c r="D48" i="22" s="1"/>
  <c r="N48" i="22" s="1"/>
  <c r="BS48" i="19" s="1"/>
  <c r="U49" i="18"/>
  <c r="T49" i="18"/>
  <c r="BE48" i="19"/>
  <c r="R48" i="19"/>
  <c r="AE48" i="19" s="1"/>
  <c r="E48" i="19" s="1"/>
  <c r="E48" i="22" s="1"/>
  <c r="O48" i="22" s="1"/>
  <c r="BT48" i="19" s="1"/>
  <c r="BB50" i="19"/>
  <c r="B50" i="18"/>
  <c r="O50" i="19" s="1"/>
  <c r="AB50" i="19" s="1"/>
  <c r="B50" i="19" s="1"/>
  <c r="B50" i="22" s="1"/>
  <c r="L50" i="22" s="1"/>
  <c r="S139" i="20"/>
  <c r="CM138" i="20"/>
  <c r="Q139" i="20"/>
  <c r="CK138" i="20"/>
  <c r="R139" i="20"/>
  <c r="CL138" i="20"/>
  <c r="AC94" i="20"/>
  <c r="P140" i="20"/>
  <c r="CJ139" i="20"/>
  <c r="AP152" i="20"/>
  <c r="AG152" i="20" s="1"/>
  <c r="BZ152" i="20"/>
  <c r="M48" i="22"/>
  <c r="BQ48" i="19"/>
  <c r="AH49" i="18" s="1"/>
  <c r="R50" i="18"/>
  <c r="BC49" i="19"/>
  <c r="P49" i="19"/>
  <c r="AO156" i="20"/>
  <c r="AF156" i="20" s="1"/>
  <c r="BY156" i="20"/>
  <c r="M156" i="20"/>
  <c r="CG155" i="20"/>
  <c r="AM155" i="20"/>
  <c r="AD155" i="20" s="1"/>
  <c r="BW155" i="20"/>
  <c r="BZ48" i="19" l="1"/>
  <c r="AR49" i="18"/>
  <c r="AA48" i="19"/>
  <c r="AN48" i="19" s="1"/>
  <c r="N48" i="19" s="1"/>
  <c r="K48" i="22" s="1"/>
  <c r="U48" i="22" s="1"/>
  <c r="CA48" i="19" s="1"/>
  <c r="AS49" i="18" s="1"/>
  <c r="AE49" i="18"/>
  <c r="P49" i="18" s="1"/>
  <c r="Y47" i="19"/>
  <c r="AL47" i="19" s="1"/>
  <c r="L47" i="19" s="1"/>
  <c r="J47" i="22" s="1"/>
  <c r="T47" i="22" s="1"/>
  <c r="BY47" i="19" s="1"/>
  <c r="AQ48" i="18" s="1"/>
  <c r="BB47" i="20"/>
  <c r="AB48" i="18"/>
  <c r="BM48" i="19"/>
  <c r="AD49" i="18"/>
  <c r="BC48" i="20"/>
  <c r="Z48" i="19"/>
  <c r="AM48" i="19" s="1"/>
  <c r="M48" i="19" s="1"/>
  <c r="AA49" i="18"/>
  <c r="L49" i="18" s="1"/>
  <c r="Z49" i="18"/>
  <c r="AZ48" i="20"/>
  <c r="W48" i="19"/>
  <c r="AJ48" i="19" s="1"/>
  <c r="J48" i="19" s="1"/>
  <c r="BJ48" i="19"/>
  <c r="AP49" i="18" s="1"/>
  <c r="BA48" i="20"/>
  <c r="X48" i="19"/>
  <c r="AK48" i="19" s="1"/>
  <c r="K48" i="19" s="1"/>
  <c r="BK48" i="19"/>
  <c r="AK49" i="18"/>
  <c r="G49" i="18" s="1"/>
  <c r="U48" i="19"/>
  <c r="AH48" i="19" s="1"/>
  <c r="H48" i="19" s="1"/>
  <c r="H48" i="22" s="1"/>
  <c r="R48" i="22" s="1"/>
  <c r="BW48" i="19" s="1"/>
  <c r="AO49" i="18" s="1"/>
  <c r="BH48" i="19"/>
  <c r="AM49" i="18" s="1"/>
  <c r="AW48" i="20"/>
  <c r="AJ49" i="18"/>
  <c r="AV48" i="20"/>
  <c r="BG48" i="19"/>
  <c r="AL49" i="18" s="1"/>
  <c r="T48" i="19"/>
  <c r="AG48" i="19" s="1"/>
  <c r="G48" i="19" s="1"/>
  <c r="G48" i="22" s="1"/>
  <c r="Q48" i="22" s="1"/>
  <c r="BV48" i="19" s="1"/>
  <c r="AN49" i="18" s="1"/>
  <c r="J49" i="18" s="1"/>
  <c r="W49" i="18"/>
  <c r="E49" i="18"/>
  <c r="BR49" i="19"/>
  <c r="BD49" i="19"/>
  <c r="D49" i="18"/>
  <c r="BP49" i="19"/>
  <c r="AG50" i="18" s="1"/>
  <c r="C50" i="18" s="1"/>
  <c r="Q51" i="18"/>
  <c r="AT139" i="20"/>
  <c r="AK139" i="20" s="1"/>
  <c r="CD139" i="20"/>
  <c r="O153" i="20"/>
  <c r="CI152" i="20"/>
  <c r="AQ140" i="20"/>
  <c r="AH140" i="20" s="1"/>
  <c r="CA140" i="20"/>
  <c r="AR139" i="20"/>
  <c r="AI139" i="20" s="1"/>
  <c r="CB139" i="20"/>
  <c r="CE94" i="20"/>
  <c r="K95" i="20"/>
  <c r="AS139" i="20"/>
  <c r="AJ139" i="20" s="1"/>
  <c r="CC139" i="20"/>
  <c r="AN156" i="20"/>
  <c r="AE156" i="20" s="1"/>
  <c r="BX156" i="20"/>
  <c r="BO50" i="19"/>
  <c r="AF51" i="18" s="1"/>
  <c r="L156" i="20"/>
  <c r="CF155" i="20"/>
  <c r="N157" i="20"/>
  <c r="CH156" i="20"/>
  <c r="AC49" i="19"/>
  <c r="C49" i="19" s="1"/>
  <c r="C49" i="22" s="1"/>
  <c r="AT50" i="18" l="1"/>
  <c r="BN49" i="19"/>
  <c r="BL48" i="19"/>
  <c r="M48" i="18"/>
  <c r="AB49" i="18" s="1"/>
  <c r="O49" i="18"/>
  <c r="K49" i="18"/>
  <c r="AA50" i="18" s="1"/>
  <c r="T49" i="19"/>
  <c r="AG49" i="19" s="1"/>
  <c r="G49" i="19" s="1"/>
  <c r="G49" i="22" s="1"/>
  <c r="Q49" i="22" s="1"/>
  <c r="BV49" i="19" s="1"/>
  <c r="AV49" i="20"/>
  <c r="AY49" i="20"/>
  <c r="V49" i="19"/>
  <c r="AI49" i="19" s="1"/>
  <c r="I49" i="19" s="1"/>
  <c r="I49" i="22" s="1"/>
  <c r="S49" i="22" s="1"/>
  <c r="BX49" i="19" s="1"/>
  <c r="BI49" i="19"/>
  <c r="Y50" i="18"/>
  <c r="AZ49" i="20"/>
  <c r="BJ49" i="19"/>
  <c r="AP50" i="18" s="1"/>
  <c r="AN50" i="18"/>
  <c r="BA49" i="20"/>
  <c r="X49" i="19"/>
  <c r="AK49" i="19" s="1"/>
  <c r="K49" i="19" s="1"/>
  <c r="BK49" i="19"/>
  <c r="I49" i="18"/>
  <c r="AX49" i="20" s="1"/>
  <c r="BG49" i="19"/>
  <c r="AI50" i="18"/>
  <c r="H49" i="18"/>
  <c r="W50" i="18" s="1"/>
  <c r="F49" i="18"/>
  <c r="Q49" i="19"/>
  <c r="AD49" i="19" s="1"/>
  <c r="D49" i="19" s="1"/>
  <c r="D49" i="22" s="1"/>
  <c r="N49" i="22" s="1"/>
  <c r="BS49" i="19" s="1"/>
  <c r="S50" i="18"/>
  <c r="BE49" i="19"/>
  <c r="R49" i="19"/>
  <c r="AE49" i="19" s="1"/>
  <c r="E49" i="19" s="1"/>
  <c r="E49" i="22" s="1"/>
  <c r="O49" i="22" s="1"/>
  <c r="BT49" i="19" s="1"/>
  <c r="T50" i="18"/>
  <c r="BB51" i="19"/>
  <c r="B51" i="18"/>
  <c r="O51" i="19" s="1"/>
  <c r="AB51" i="19" s="1"/>
  <c r="B51" i="19" s="1"/>
  <c r="B51" i="22" s="1"/>
  <c r="L51" i="22" s="1"/>
  <c r="AP153" i="20"/>
  <c r="AG153" i="20" s="1"/>
  <c r="BZ153" i="20"/>
  <c r="R140" i="20"/>
  <c r="CL139" i="20"/>
  <c r="AL95" i="20"/>
  <c r="BV95" i="20"/>
  <c r="Q140" i="20"/>
  <c r="CK139" i="20"/>
  <c r="P141" i="20"/>
  <c r="CJ140" i="20"/>
  <c r="S140" i="20"/>
  <c r="CM139" i="20"/>
  <c r="AM156" i="20"/>
  <c r="AD156" i="20" s="1"/>
  <c r="BW156" i="20"/>
  <c r="R51" i="18"/>
  <c r="BC50" i="19"/>
  <c r="P50" i="19"/>
  <c r="M157" i="20"/>
  <c r="CG156" i="20"/>
  <c r="M49" i="22"/>
  <c r="BQ49" i="19"/>
  <c r="AH50" i="18" s="1"/>
  <c r="AO157" i="20"/>
  <c r="AF157" i="20" s="1"/>
  <c r="BY157" i="20"/>
  <c r="Y48" i="19" l="1"/>
  <c r="AL48" i="19" s="1"/>
  <c r="L48" i="19" s="1"/>
  <c r="J48" i="22" s="1"/>
  <c r="T48" i="22" s="1"/>
  <c r="BY48" i="19" s="1"/>
  <c r="AQ49" i="18" s="1"/>
  <c r="BB48" i="20"/>
  <c r="AC49" i="18"/>
  <c r="L50" i="18"/>
  <c r="AA49" i="19"/>
  <c r="AN49" i="19" s="1"/>
  <c r="N49" i="19" s="1"/>
  <c r="K49" i="22" s="1"/>
  <c r="U49" i="22" s="1"/>
  <c r="CA49" i="19" s="1"/>
  <c r="AS50" i="18" s="1"/>
  <c r="AE50" i="18"/>
  <c r="P50" i="18" s="1"/>
  <c r="X50" i="19"/>
  <c r="AK50" i="19" s="1"/>
  <c r="K50" i="19" s="1"/>
  <c r="BA50" i="20"/>
  <c r="BK50" i="19"/>
  <c r="W49" i="19"/>
  <c r="AJ49" i="19" s="1"/>
  <c r="J49" i="19" s="1"/>
  <c r="Z50" i="18"/>
  <c r="J50" i="18"/>
  <c r="AJ50" i="18"/>
  <c r="S49" i="19"/>
  <c r="AF49" i="19" s="1"/>
  <c r="F49" i="19" s="1"/>
  <c r="F49" i="22" s="1"/>
  <c r="P49" i="22" s="1"/>
  <c r="BU49" i="19" s="1"/>
  <c r="AL50" i="18" s="1"/>
  <c r="AU49" i="20"/>
  <c r="BF49" i="19"/>
  <c r="AK50" i="18" s="1"/>
  <c r="V50" i="18"/>
  <c r="U50" i="18"/>
  <c r="F50" i="18" s="1"/>
  <c r="U49" i="19"/>
  <c r="AH49" i="19" s="1"/>
  <c r="H49" i="19" s="1"/>
  <c r="H49" i="22" s="1"/>
  <c r="R49" i="22" s="1"/>
  <c r="BW49" i="19" s="1"/>
  <c r="AO50" i="18" s="1"/>
  <c r="X50" i="18"/>
  <c r="AW49" i="20"/>
  <c r="BH49" i="19"/>
  <c r="AM50" i="18" s="1"/>
  <c r="BD50" i="19"/>
  <c r="BP50" i="19"/>
  <c r="AG51" i="18" s="1"/>
  <c r="C51" i="18" s="1"/>
  <c r="D50" i="18"/>
  <c r="BR50" i="19"/>
  <c r="E50" i="18"/>
  <c r="Q52" i="18"/>
  <c r="AT140" i="20"/>
  <c r="AK140" i="20" s="1"/>
  <c r="CD140" i="20"/>
  <c r="AR140" i="20"/>
  <c r="AI140" i="20" s="1"/>
  <c r="CB140" i="20"/>
  <c r="AS140" i="20"/>
  <c r="AJ140" i="20" s="1"/>
  <c r="CC140" i="20"/>
  <c r="O154" i="20"/>
  <c r="CI153" i="20"/>
  <c r="AQ141" i="20"/>
  <c r="AH141" i="20" s="1"/>
  <c r="CA141" i="20"/>
  <c r="AC95" i="20"/>
  <c r="N158" i="20"/>
  <c r="CH157" i="20"/>
  <c r="AN157" i="20"/>
  <c r="AE157" i="20" s="1"/>
  <c r="BX157" i="20"/>
  <c r="BO51" i="19"/>
  <c r="AF52" i="18" s="1"/>
  <c r="AC50" i="19"/>
  <c r="C50" i="19" s="1"/>
  <c r="C50" i="22" s="1"/>
  <c r="L157" i="20"/>
  <c r="CF156" i="20"/>
  <c r="AT51" i="18" l="1"/>
  <c r="BN50" i="19"/>
  <c r="BZ49" i="19"/>
  <c r="AR50" i="18" s="1"/>
  <c r="N49" i="18"/>
  <c r="BL49" i="19"/>
  <c r="M49" i="18"/>
  <c r="K50" i="18"/>
  <c r="BJ50" i="19" s="1"/>
  <c r="AP51" i="18" s="1"/>
  <c r="AY50" i="20"/>
  <c r="V50" i="19"/>
  <c r="AI50" i="19" s="1"/>
  <c r="I50" i="19" s="1"/>
  <c r="I50" i="22" s="1"/>
  <c r="S50" i="22" s="1"/>
  <c r="BX50" i="19" s="1"/>
  <c r="BI50" i="19"/>
  <c r="AO51" i="18" s="1"/>
  <c r="AZ50" i="20"/>
  <c r="W50" i="19"/>
  <c r="AJ50" i="19" s="1"/>
  <c r="J50" i="19" s="1"/>
  <c r="AA51" i="18"/>
  <c r="Z51" i="18"/>
  <c r="Y51" i="18"/>
  <c r="AI51" i="18"/>
  <c r="H50" i="18"/>
  <c r="G50" i="18"/>
  <c r="BG50" i="19" s="1"/>
  <c r="S50" i="19"/>
  <c r="AF50" i="19" s="1"/>
  <c r="F50" i="19" s="1"/>
  <c r="F50" i="22" s="1"/>
  <c r="P50" i="22" s="1"/>
  <c r="BU50" i="19" s="1"/>
  <c r="BF50" i="19"/>
  <c r="AU50" i="20"/>
  <c r="AV50" i="20"/>
  <c r="I50" i="18"/>
  <c r="AX50" i="20" s="1"/>
  <c r="BH50" i="19"/>
  <c r="AM51" i="18" s="1"/>
  <c r="AW50" i="20"/>
  <c r="U50" i="19"/>
  <c r="AH50" i="19" s="1"/>
  <c r="H50" i="19" s="1"/>
  <c r="H50" i="22" s="1"/>
  <c r="R50" i="22" s="1"/>
  <c r="BW50" i="19" s="1"/>
  <c r="T51" i="18"/>
  <c r="BE50" i="19"/>
  <c r="R50" i="19"/>
  <c r="AE50" i="19" s="1"/>
  <c r="E50" i="19" s="1"/>
  <c r="E50" i="22" s="1"/>
  <c r="O50" i="22" s="1"/>
  <c r="BT50" i="19" s="1"/>
  <c r="U51" i="18"/>
  <c r="S51" i="18"/>
  <c r="Q50" i="19"/>
  <c r="AD50" i="19" s="1"/>
  <c r="D50" i="19" s="1"/>
  <c r="D50" i="22" s="1"/>
  <c r="N50" i="22" s="1"/>
  <c r="BS50" i="19" s="1"/>
  <c r="BB52" i="19"/>
  <c r="B52" i="18"/>
  <c r="O52" i="19" s="1"/>
  <c r="AB52" i="19" s="1"/>
  <c r="B52" i="19" s="1"/>
  <c r="B52" i="22" s="1"/>
  <c r="L52" i="22" s="1"/>
  <c r="Q141" i="20"/>
  <c r="CK140" i="20"/>
  <c r="K96" i="20"/>
  <c r="CE95" i="20"/>
  <c r="P142" i="20"/>
  <c r="CJ141" i="20"/>
  <c r="AP154" i="20"/>
  <c r="AG154" i="20" s="1"/>
  <c r="BZ154" i="20"/>
  <c r="R141" i="20"/>
  <c r="CL140" i="20"/>
  <c r="S141" i="20"/>
  <c r="CM140" i="20"/>
  <c r="M158" i="20"/>
  <c r="CG157" i="20"/>
  <c r="AO158" i="20"/>
  <c r="AF158" i="20" s="1"/>
  <c r="BY158" i="20"/>
  <c r="AM157" i="20"/>
  <c r="AD157" i="20" s="1"/>
  <c r="BW157" i="20"/>
  <c r="R52" i="18"/>
  <c r="BC51" i="19"/>
  <c r="P51" i="19"/>
  <c r="M50" i="22"/>
  <c r="BQ50" i="19"/>
  <c r="AH51" i="18" s="1"/>
  <c r="Y49" i="19" l="1"/>
  <c r="AL49" i="19" s="1"/>
  <c r="L49" i="19" s="1"/>
  <c r="J49" i="22" s="1"/>
  <c r="T49" i="22" s="1"/>
  <c r="BY49" i="19" s="1"/>
  <c r="AQ50" i="18" s="1"/>
  <c r="AB50" i="18"/>
  <c r="BB49" i="20"/>
  <c r="AC50" i="18"/>
  <c r="BM49" i="19"/>
  <c r="BC49" i="20"/>
  <c r="Z49" i="19"/>
  <c r="AM49" i="19" s="1"/>
  <c r="M49" i="19" s="1"/>
  <c r="AD50" i="18"/>
  <c r="K51" i="18"/>
  <c r="L51" i="18"/>
  <c r="AA52" i="18" s="1"/>
  <c r="AL51" i="18"/>
  <c r="X51" i="18"/>
  <c r="I51" i="18" s="1"/>
  <c r="AX51" i="20" s="1"/>
  <c r="AK51" i="18"/>
  <c r="T50" i="19"/>
  <c r="AG50" i="19" s="1"/>
  <c r="G50" i="19" s="1"/>
  <c r="G50" i="22" s="1"/>
  <c r="Q50" i="22" s="1"/>
  <c r="BV50" i="19" s="1"/>
  <c r="AN51" i="18" s="1"/>
  <c r="V51" i="18"/>
  <c r="W51" i="18"/>
  <c r="H51" i="18" s="1"/>
  <c r="X52" i="18" s="1"/>
  <c r="AJ51" i="18"/>
  <c r="F51" i="18" s="1"/>
  <c r="BD51" i="19"/>
  <c r="BP51" i="19"/>
  <c r="AG52" i="18" s="1"/>
  <c r="C52" i="18" s="1"/>
  <c r="D51" i="18"/>
  <c r="Q51" i="19" s="1"/>
  <c r="AD51" i="19" s="1"/>
  <c r="D51" i="19" s="1"/>
  <c r="D51" i="22" s="1"/>
  <c r="N51" i="22" s="1"/>
  <c r="BS51" i="19" s="1"/>
  <c r="E51" i="18"/>
  <c r="BR51" i="19"/>
  <c r="Q53" i="18"/>
  <c r="O155" i="20"/>
  <c r="CI154" i="20"/>
  <c r="AQ142" i="20"/>
  <c r="AH142" i="20" s="1"/>
  <c r="CA142" i="20"/>
  <c r="AR141" i="20"/>
  <c r="AI141" i="20" s="1"/>
  <c r="CB141" i="20"/>
  <c r="AT141" i="20"/>
  <c r="AK141" i="20" s="1"/>
  <c r="CD141" i="20"/>
  <c r="AS141" i="20"/>
  <c r="AJ141" i="20" s="1"/>
  <c r="CC141" i="20"/>
  <c r="AL96" i="20"/>
  <c r="BV96" i="20"/>
  <c r="L158" i="20"/>
  <c r="CF157" i="20"/>
  <c r="AN158" i="20"/>
  <c r="AE158" i="20" s="1"/>
  <c r="BX158" i="20"/>
  <c r="AC51" i="19"/>
  <c r="C51" i="19" s="1"/>
  <c r="C51" i="22" s="1"/>
  <c r="N159" i="20"/>
  <c r="CH158" i="20"/>
  <c r="BO52" i="19"/>
  <c r="AF53" i="18" s="1"/>
  <c r="O50" i="18" l="1"/>
  <c r="AA50" i="19"/>
  <c r="AN50" i="19" s="1"/>
  <c r="N50" i="19" s="1"/>
  <c r="K50" i="22" s="1"/>
  <c r="U50" i="22" s="1"/>
  <c r="CA50" i="19" s="1"/>
  <c r="AS51" i="18" s="1"/>
  <c r="AE51" i="18"/>
  <c r="N50" i="18"/>
  <c r="AD51" i="18" s="1"/>
  <c r="BZ50" i="19"/>
  <c r="AR51" i="18" s="1"/>
  <c r="M50" i="18"/>
  <c r="BL50" i="19"/>
  <c r="BA51" i="20"/>
  <c r="X51" i="19"/>
  <c r="BK51" i="19"/>
  <c r="J51" i="18"/>
  <c r="AZ51" i="20"/>
  <c r="W51" i="19"/>
  <c r="AJ51" i="19" s="1"/>
  <c r="J51" i="19" s="1"/>
  <c r="BJ51" i="19"/>
  <c r="AM52" i="18"/>
  <c r="G51" i="18"/>
  <c r="AW51" i="20"/>
  <c r="BH51" i="19"/>
  <c r="U51" i="19"/>
  <c r="AH51" i="19" s="1"/>
  <c r="H51" i="19" s="1"/>
  <c r="H51" i="22" s="1"/>
  <c r="R51" i="22" s="1"/>
  <c r="BW51" i="19" s="1"/>
  <c r="AI52" i="18"/>
  <c r="V52" i="18"/>
  <c r="S51" i="19"/>
  <c r="AF51" i="19" s="1"/>
  <c r="F51" i="19" s="1"/>
  <c r="F51" i="22" s="1"/>
  <c r="P51" i="22" s="1"/>
  <c r="BU51" i="19" s="1"/>
  <c r="AU51" i="20"/>
  <c r="BF51" i="19"/>
  <c r="S52" i="18"/>
  <c r="R51" i="19"/>
  <c r="AE51" i="19" s="1"/>
  <c r="E51" i="19" s="1"/>
  <c r="E51" i="22" s="1"/>
  <c r="O51" i="22" s="1"/>
  <c r="BT51" i="19" s="1"/>
  <c r="BE51" i="19"/>
  <c r="AJ52" i="18" s="1"/>
  <c r="U52" i="18"/>
  <c r="T52" i="18"/>
  <c r="BB53" i="19"/>
  <c r="B53" i="18"/>
  <c r="O53" i="19" s="1"/>
  <c r="AB53" i="19" s="1"/>
  <c r="B53" i="19" s="1"/>
  <c r="B53" i="22" s="1"/>
  <c r="L53" i="22" s="1"/>
  <c r="AP155" i="20"/>
  <c r="AG155" i="20" s="1"/>
  <c r="BZ155" i="20"/>
  <c r="AC96" i="20"/>
  <c r="R142" i="20"/>
  <c r="CL141" i="20"/>
  <c r="Q142" i="20"/>
  <c r="CK141" i="20"/>
  <c r="P143" i="20"/>
  <c r="CJ142" i="20"/>
  <c r="S142" i="20"/>
  <c r="CM141" i="20"/>
  <c r="M51" i="22"/>
  <c r="BQ51" i="19"/>
  <c r="AH52" i="18" s="1"/>
  <c r="AM158" i="20"/>
  <c r="AD158" i="20" s="1"/>
  <c r="BW158" i="20"/>
  <c r="R53" i="18"/>
  <c r="BC52" i="19"/>
  <c r="P52" i="19"/>
  <c r="AO159" i="20"/>
  <c r="AF159" i="20" s="1"/>
  <c r="BY159" i="20"/>
  <c r="M159" i="20"/>
  <c r="CG158" i="20"/>
  <c r="P51" i="18" l="1"/>
  <c r="AT52" i="18"/>
  <c r="AT53" i="18" s="1"/>
  <c r="BN51" i="19"/>
  <c r="O51" i="18"/>
  <c r="BM50" i="19"/>
  <c r="BC50" i="20"/>
  <c r="AC51" i="18"/>
  <c r="Z50" i="19"/>
  <c r="AM50" i="19" s="1"/>
  <c r="M50" i="19" s="1"/>
  <c r="AB51" i="18"/>
  <c r="BB50" i="20"/>
  <c r="Y50" i="19"/>
  <c r="AL50" i="19" s="1"/>
  <c r="L50" i="19" s="1"/>
  <c r="J50" i="22" s="1"/>
  <c r="T50" i="22" s="1"/>
  <c r="BY50" i="19" s="1"/>
  <c r="AQ51" i="18" s="1"/>
  <c r="AA51" i="19"/>
  <c r="AN51" i="19" s="1"/>
  <c r="N51" i="19" s="1"/>
  <c r="K51" i="22" s="1"/>
  <c r="U51" i="22" s="1"/>
  <c r="CA51" i="19" s="1"/>
  <c r="AS52" i="18" s="1"/>
  <c r="AE52" i="18"/>
  <c r="AK52" i="18"/>
  <c r="AY51" i="20"/>
  <c r="V51" i="19"/>
  <c r="AI51" i="19" s="1"/>
  <c r="I51" i="19" s="1"/>
  <c r="I51" i="22" s="1"/>
  <c r="S51" i="22" s="1"/>
  <c r="BX51" i="19" s="1"/>
  <c r="AP52" i="18" s="1"/>
  <c r="BI51" i="19"/>
  <c r="AO52" i="18" s="1"/>
  <c r="Z52" i="18"/>
  <c r="Y52" i="18"/>
  <c r="AK51" i="19"/>
  <c r="K51" i="19" s="1"/>
  <c r="I52" i="18"/>
  <c r="AX52" i="20" s="1"/>
  <c r="T51" i="19"/>
  <c r="AG51" i="19" s="1"/>
  <c r="G51" i="19" s="1"/>
  <c r="G51" i="22" s="1"/>
  <c r="Q51" i="22" s="1"/>
  <c r="BV51" i="19" s="1"/>
  <c r="AN52" i="18" s="1"/>
  <c r="AV51" i="20"/>
  <c r="BG51" i="19"/>
  <c r="AL52" i="18" s="1"/>
  <c r="W52" i="18"/>
  <c r="G52" i="18"/>
  <c r="F52" i="18"/>
  <c r="BR52" i="19"/>
  <c r="AI53" i="18" s="1"/>
  <c r="E52" i="18"/>
  <c r="BD52" i="19"/>
  <c r="AU52" i="20"/>
  <c r="S52" i="19"/>
  <c r="AF52" i="19" s="1"/>
  <c r="F52" i="19" s="1"/>
  <c r="F52" i="22" s="1"/>
  <c r="P52" i="22" s="1"/>
  <c r="D52" i="18"/>
  <c r="BP52" i="19"/>
  <c r="AG53" i="18" s="1"/>
  <c r="C53" i="18" s="1"/>
  <c r="Q54" i="18"/>
  <c r="AT142" i="20"/>
  <c r="AK142" i="20" s="1"/>
  <c r="CD142" i="20"/>
  <c r="O156" i="20"/>
  <c r="CI155" i="20"/>
  <c r="CE96" i="20"/>
  <c r="K97" i="20"/>
  <c r="AQ143" i="20"/>
  <c r="AH143" i="20" s="1"/>
  <c r="CA143" i="20"/>
  <c r="AR142" i="20"/>
  <c r="AI142" i="20" s="1"/>
  <c r="CB142" i="20"/>
  <c r="AS142" i="20"/>
  <c r="AJ142" i="20" s="1"/>
  <c r="CC142" i="20"/>
  <c r="AC52" i="19"/>
  <c r="C52" i="19" s="1"/>
  <c r="C52" i="22" s="1"/>
  <c r="L159" i="20"/>
  <c r="CF158" i="20"/>
  <c r="BO53" i="19"/>
  <c r="AF54" i="18" s="1"/>
  <c r="AN159" i="20"/>
  <c r="AE159" i="20" s="1"/>
  <c r="BX159" i="20"/>
  <c r="N160" i="20"/>
  <c r="CH159" i="20"/>
  <c r="P52" i="18" l="1"/>
  <c r="BN52" i="19"/>
  <c r="BL51" i="19"/>
  <c r="N51" i="18"/>
  <c r="BZ51" i="19"/>
  <c r="AR52" i="18" s="1"/>
  <c r="AC52" i="18"/>
  <c r="M51" i="18"/>
  <c r="L52" i="18"/>
  <c r="J52" i="18"/>
  <c r="Y53" i="18"/>
  <c r="K52" i="18"/>
  <c r="Z53" i="18" s="1"/>
  <c r="H52" i="18"/>
  <c r="BU52" i="19"/>
  <c r="U52" i="19"/>
  <c r="AH52" i="19" s="1"/>
  <c r="H52" i="19" s="1"/>
  <c r="H52" i="22" s="1"/>
  <c r="R52" i="22" s="1"/>
  <c r="BW52" i="19" s="1"/>
  <c r="BH52" i="19"/>
  <c r="AM53" i="18" s="1"/>
  <c r="AW52" i="20"/>
  <c r="X53" i="18"/>
  <c r="V53" i="18"/>
  <c r="AV52" i="20"/>
  <c r="BG52" i="19"/>
  <c r="W53" i="18"/>
  <c r="T52" i="19"/>
  <c r="AG52" i="19" s="1"/>
  <c r="G52" i="19" s="1"/>
  <c r="G52" i="22" s="1"/>
  <c r="Q52" i="22" s="1"/>
  <c r="BV52" i="19" s="1"/>
  <c r="AN53" i="18" s="1"/>
  <c r="BF52" i="19"/>
  <c r="S53" i="18"/>
  <c r="Q52" i="19"/>
  <c r="AD52" i="19" s="1"/>
  <c r="D52" i="19" s="1"/>
  <c r="D52" i="22" s="1"/>
  <c r="N52" i="22" s="1"/>
  <c r="BS52" i="19" s="1"/>
  <c r="U53" i="18"/>
  <c r="T53" i="18"/>
  <c r="BE52" i="19"/>
  <c r="R52" i="19"/>
  <c r="AE52" i="19" s="1"/>
  <c r="E52" i="19" s="1"/>
  <c r="E52" i="22" s="1"/>
  <c r="O52" i="22" s="1"/>
  <c r="BT52" i="19" s="1"/>
  <c r="BB54" i="19"/>
  <c r="B54" i="18"/>
  <c r="O54" i="19" s="1"/>
  <c r="AB54" i="19" s="1"/>
  <c r="B54" i="19" s="1"/>
  <c r="B54" i="22" s="1"/>
  <c r="L54" i="22" s="1"/>
  <c r="Q143" i="20"/>
  <c r="CK142" i="20"/>
  <c r="AP156" i="20"/>
  <c r="AG156" i="20" s="1"/>
  <c r="BZ156" i="20"/>
  <c r="S143" i="20"/>
  <c r="CM142" i="20"/>
  <c r="AL97" i="20"/>
  <c r="BV97" i="20"/>
  <c r="R143" i="20"/>
  <c r="CL142" i="20"/>
  <c r="P144" i="20"/>
  <c r="CJ143" i="20"/>
  <c r="M52" i="22"/>
  <c r="BQ52" i="19"/>
  <c r="AH53" i="18" s="1"/>
  <c r="M160" i="20"/>
  <c r="CG159" i="20"/>
  <c r="AO160" i="20"/>
  <c r="AF160" i="20" s="1"/>
  <c r="BY160" i="20"/>
  <c r="AM159" i="20"/>
  <c r="AD159" i="20" s="1"/>
  <c r="BW159" i="20"/>
  <c r="R54" i="18"/>
  <c r="BC53" i="19"/>
  <c r="P53" i="19"/>
  <c r="Z51" i="19" l="1"/>
  <c r="AM51" i="19" s="1"/>
  <c r="M51" i="19" s="1"/>
  <c r="BM51" i="19"/>
  <c r="BC51" i="20"/>
  <c r="AD52" i="18"/>
  <c r="AB52" i="18"/>
  <c r="BB51" i="20"/>
  <c r="Y51" i="19"/>
  <c r="AL51" i="19" s="1"/>
  <c r="L51" i="19" s="1"/>
  <c r="J51" i="22" s="1"/>
  <c r="T51" i="22" s="1"/>
  <c r="BY51" i="19" s="1"/>
  <c r="AQ52" i="18" s="1"/>
  <c r="N52" i="18"/>
  <c r="BZ52" i="19"/>
  <c r="AR53" i="18" s="1"/>
  <c r="BA52" i="20"/>
  <c r="BK52" i="19"/>
  <c r="X52" i="19"/>
  <c r="AK52" i="19" s="1"/>
  <c r="K52" i="19" s="1"/>
  <c r="J53" i="18"/>
  <c r="AL53" i="18"/>
  <c r="AY52" i="20"/>
  <c r="BI52" i="19"/>
  <c r="AO53" i="18" s="1"/>
  <c r="V52" i="19"/>
  <c r="AI52" i="19" s="1"/>
  <c r="I52" i="19" s="1"/>
  <c r="I52" i="22" s="1"/>
  <c r="S52" i="22" s="1"/>
  <c r="BX52" i="19" s="1"/>
  <c r="AZ52" i="20"/>
  <c r="W52" i="19"/>
  <c r="AJ52" i="19" s="1"/>
  <c r="J52" i="19" s="1"/>
  <c r="BJ52" i="19"/>
  <c r="AP53" i="18" s="1"/>
  <c r="AA53" i="18"/>
  <c r="I53" i="18"/>
  <c r="AX53" i="20" s="1"/>
  <c r="H53" i="18"/>
  <c r="AJ53" i="18"/>
  <c r="F53" i="18" s="1"/>
  <c r="BF53" i="19" s="1"/>
  <c r="AK53" i="18"/>
  <c r="G53" i="18" s="1"/>
  <c r="BR53" i="19"/>
  <c r="E53" i="18"/>
  <c r="BD53" i="19"/>
  <c r="BP53" i="19"/>
  <c r="AG54" i="18" s="1"/>
  <c r="C54" i="18" s="1"/>
  <c r="D53" i="18"/>
  <c r="Q55" i="18"/>
  <c r="AS143" i="20"/>
  <c r="AJ143" i="20" s="1"/>
  <c r="CC143" i="20"/>
  <c r="AC97" i="20"/>
  <c r="AQ144" i="20"/>
  <c r="AH144" i="20" s="1"/>
  <c r="CA144" i="20"/>
  <c r="AT143" i="20"/>
  <c r="AK143" i="20" s="1"/>
  <c r="CD143" i="20"/>
  <c r="O157" i="20"/>
  <c r="CI156" i="20"/>
  <c r="AR143" i="20"/>
  <c r="AI143" i="20" s="1"/>
  <c r="CB143" i="20"/>
  <c r="N161" i="20"/>
  <c r="CH160" i="20"/>
  <c r="AC53" i="19"/>
  <c r="C53" i="19" s="1"/>
  <c r="C53" i="22" s="1"/>
  <c r="BO54" i="19"/>
  <c r="AF55" i="18" s="1"/>
  <c r="L160" i="20"/>
  <c r="CF159" i="20"/>
  <c r="AN160" i="20"/>
  <c r="AE160" i="20" s="1"/>
  <c r="BX160" i="20"/>
  <c r="O52" i="18" l="1"/>
  <c r="BL52" i="19"/>
  <c r="M52" i="18"/>
  <c r="AC53" i="18" s="1"/>
  <c r="BC52" i="20"/>
  <c r="Z52" i="19"/>
  <c r="AM52" i="19" s="1"/>
  <c r="M52" i="19" s="1"/>
  <c r="BM52" i="19"/>
  <c r="AD53" i="18"/>
  <c r="K53" i="18"/>
  <c r="AY53" i="20"/>
  <c r="V53" i="19"/>
  <c r="AI53" i="19" s="1"/>
  <c r="I53" i="19" s="1"/>
  <c r="I53" i="22" s="1"/>
  <c r="S53" i="22" s="1"/>
  <c r="BX53" i="19" s="1"/>
  <c r="BI53" i="19"/>
  <c r="AO54" i="18" s="1"/>
  <c r="Z54" i="18"/>
  <c r="AZ53" i="20"/>
  <c r="W53" i="19"/>
  <c r="AJ53" i="19" s="1"/>
  <c r="J53" i="19" s="1"/>
  <c r="BJ53" i="19"/>
  <c r="AP54" i="18" s="1"/>
  <c r="X54" i="18"/>
  <c r="L53" i="18"/>
  <c r="AA54" i="18" s="1"/>
  <c r="Y54" i="18"/>
  <c r="T54" i="18"/>
  <c r="BH53" i="19"/>
  <c r="AM54" i="18" s="1"/>
  <c r="AW53" i="20"/>
  <c r="U53" i="19"/>
  <c r="AH53" i="19" s="1"/>
  <c r="H53" i="19" s="1"/>
  <c r="H53" i="22" s="1"/>
  <c r="R53" i="22" s="1"/>
  <c r="BW53" i="19" s="1"/>
  <c r="T53" i="19"/>
  <c r="AG53" i="19" s="1"/>
  <c r="G53" i="19" s="1"/>
  <c r="G53" i="22" s="1"/>
  <c r="Q53" i="22" s="1"/>
  <c r="BV53" i="19" s="1"/>
  <c r="AN54" i="18" s="1"/>
  <c r="AV53" i="20"/>
  <c r="BG53" i="19"/>
  <c r="W54" i="18"/>
  <c r="AI54" i="18"/>
  <c r="E54" i="18" s="1"/>
  <c r="V54" i="18"/>
  <c r="S53" i="19"/>
  <c r="AF53" i="19" s="1"/>
  <c r="F53" i="19" s="1"/>
  <c r="F53" i="22" s="1"/>
  <c r="P53" i="22" s="1"/>
  <c r="BU53" i="19" s="1"/>
  <c r="AU53" i="20"/>
  <c r="BR54" i="19"/>
  <c r="BE53" i="19"/>
  <c r="R53" i="19"/>
  <c r="AE53" i="19" s="1"/>
  <c r="E53" i="19" s="1"/>
  <c r="E53" i="22" s="1"/>
  <c r="O53" i="22" s="1"/>
  <c r="BT53" i="19" s="1"/>
  <c r="AK54" i="18" s="1"/>
  <c r="U54" i="18"/>
  <c r="S54" i="18"/>
  <c r="Q53" i="19"/>
  <c r="AD53" i="19" s="1"/>
  <c r="D53" i="19" s="1"/>
  <c r="D53" i="22" s="1"/>
  <c r="N53" i="22" s="1"/>
  <c r="BS53" i="19" s="1"/>
  <c r="BB55" i="19"/>
  <c r="B55" i="18"/>
  <c r="O55" i="19" s="1"/>
  <c r="AB55" i="19" s="1"/>
  <c r="B55" i="19" s="1"/>
  <c r="B55" i="22" s="1"/>
  <c r="L55" i="22" s="1"/>
  <c r="CE97" i="20"/>
  <c r="K98" i="20"/>
  <c r="S144" i="20"/>
  <c r="CM143" i="20"/>
  <c r="R144" i="20"/>
  <c r="CL143" i="20"/>
  <c r="AP157" i="20"/>
  <c r="AG157" i="20" s="1"/>
  <c r="BZ157" i="20"/>
  <c r="Q144" i="20"/>
  <c r="CK143" i="20"/>
  <c r="P145" i="20"/>
  <c r="CJ144" i="20"/>
  <c r="M53" i="22"/>
  <c r="BQ53" i="19"/>
  <c r="AH54" i="18" s="1"/>
  <c r="AO161" i="20"/>
  <c r="AF161" i="20" s="1"/>
  <c r="BY161" i="20"/>
  <c r="AM160" i="20"/>
  <c r="AD160" i="20" s="1"/>
  <c r="BW160" i="20"/>
  <c r="R55" i="18"/>
  <c r="BC54" i="19"/>
  <c r="P54" i="19"/>
  <c r="M161" i="20"/>
  <c r="CG160" i="20"/>
  <c r="AE53" i="18" l="1"/>
  <c r="AA52" i="19"/>
  <c r="AN52" i="19" s="1"/>
  <c r="N52" i="19" s="1"/>
  <c r="K52" i="22" s="1"/>
  <c r="U52" i="22" s="1"/>
  <c r="CA52" i="19" s="1"/>
  <c r="AS53" i="18" s="1"/>
  <c r="BZ53" i="19"/>
  <c r="AR54" i="18" s="1"/>
  <c r="N53" i="18"/>
  <c r="Y52" i="19"/>
  <c r="AL52" i="19" s="1"/>
  <c r="L52" i="19" s="1"/>
  <c r="J52" i="22" s="1"/>
  <c r="T52" i="22" s="1"/>
  <c r="BY52" i="19" s="1"/>
  <c r="AQ53" i="18" s="1"/>
  <c r="BB52" i="20"/>
  <c r="AB53" i="18"/>
  <c r="L54" i="18"/>
  <c r="BA53" i="20"/>
  <c r="X53" i="19"/>
  <c r="AK53" i="19" s="1"/>
  <c r="K53" i="19" s="1"/>
  <c r="BK53" i="19"/>
  <c r="J54" i="18"/>
  <c r="Y55" i="18"/>
  <c r="K54" i="18"/>
  <c r="AA55" i="18" s="1"/>
  <c r="Z55" i="18"/>
  <c r="I54" i="18"/>
  <c r="AX54" i="20" s="1"/>
  <c r="AL54" i="18"/>
  <c r="R54" i="19"/>
  <c r="AE54" i="19" s="1"/>
  <c r="E54" i="19" s="1"/>
  <c r="E54" i="22" s="1"/>
  <c r="O54" i="22" s="1"/>
  <c r="BT54" i="19" s="1"/>
  <c r="BE54" i="19"/>
  <c r="G54" i="18"/>
  <c r="BG54" i="19" s="1"/>
  <c r="AJ54" i="18"/>
  <c r="AV54" i="20"/>
  <c r="D54" i="18"/>
  <c r="BP54" i="19"/>
  <c r="AG55" i="18" s="1"/>
  <c r="C55" i="18" s="1"/>
  <c r="BD54" i="19"/>
  <c r="AI55" i="18" s="1"/>
  <c r="Q56" i="18"/>
  <c r="AR144" i="20"/>
  <c r="AI144" i="20" s="1"/>
  <c r="CB144" i="20"/>
  <c r="AT144" i="20"/>
  <c r="AK144" i="20" s="1"/>
  <c r="CD144" i="20"/>
  <c r="AL98" i="20"/>
  <c r="BV98" i="20"/>
  <c r="AQ145" i="20"/>
  <c r="AH145" i="20" s="1"/>
  <c r="CA145" i="20"/>
  <c r="O158" i="20"/>
  <c r="CI157" i="20"/>
  <c r="AS144" i="20"/>
  <c r="AJ144" i="20" s="1"/>
  <c r="CC144" i="20"/>
  <c r="L161" i="20"/>
  <c r="CF160" i="20"/>
  <c r="AC54" i="19"/>
  <c r="C54" i="19" s="1"/>
  <c r="C54" i="22" s="1"/>
  <c r="N162" i="20"/>
  <c r="CH161" i="20"/>
  <c r="AN161" i="20"/>
  <c r="AE161" i="20" s="1"/>
  <c r="BX161" i="20"/>
  <c r="BO55" i="19"/>
  <c r="AF56" i="18" s="1"/>
  <c r="P53" i="18" l="1"/>
  <c r="AT54" i="18"/>
  <c r="BN53" i="19"/>
  <c r="O53" i="18"/>
  <c r="BL53" i="19"/>
  <c r="M53" i="18"/>
  <c r="Z53" i="19"/>
  <c r="AM53" i="19" s="1"/>
  <c r="M53" i="19" s="1"/>
  <c r="BM53" i="19"/>
  <c r="BC53" i="20"/>
  <c r="AB54" i="18"/>
  <c r="BA54" i="20"/>
  <c r="BK54" i="19"/>
  <c r="X54" i="19"/>
  <c r="AK54" i="19" s="1"/>
  <c r="K54" i="19" s="1"/>
  <c r="AY54" i="20"/>
  <c r="BI54" i="19"/>
  <c r="V54" i="19"/>
  <c r="AI54" i="19" s="1"/>
  <c r="I54" i="19" s="1"/>
  <c r="I54" i="22" s="1"/>
  <c r="S54" i="22" s="1"/>
  <c r="BX54" i="19" s="1"/>
  <c r="T54" i="19"/>
  <c r="AG54" i="19" s="1"/>
  <c r="G54" i="19" s="1"/>
  <c r="G54" i="22" s="1"/>
  <c r="Q54" i="22" s="1"/>
  <c r="BV54" i="19" s="1"/>
  <c r="AN55" i="18" s="1"/>
  <c r="AZ54" i="20"/>
  <c r="W54" i="19"/>
  <c r="AJ54" i="19" s="1"/>
  <c r="J54" i="19" s="1"/>
  <c r="BJ54" i="19"/>
  <c r="AP55" i="18" s="1"/>
  <c r="L55" i="18" s="1"/>
  <c r="H54" i="18"/>
  <c r="F54" i="18"/>
  <c r="Q54" i="19"/>
  <c r="AD54" i="19" s="1"/>
  <c r="D54" i="19" s="1"/>
  <c r="D54" i="22" s="1"/>
  <c r="N54" i="22" s="1"/>
  <c r="BS54" i="19" s="1"/>
  <c r="AJ55" i="18" s="1"/>
  <c r="T55" i="18"/>
  <c r="S55" i="18"/>
  <c r="BB56" i="19"/>
  <c r="B56" i="18"/>
  <c r="O56" i="19" s="1"/>
  <c r="AB56" i="19" s="1"/>
  <c r="B56" i="19" s="1"/>
  <c r="B56" i="22" s="1"/>
  <c r="L56" i="22" s="1"/>
  <c r="AC98" i="20"/>
  <c r="AP158" i="20"/>
  <c r="AG158" i="20" s="1"/>
  <c r="BZ158" i="20"/>
  <c r="Q145" i="20"/>
  <c r="CK144" i="20"/>
  <c r="S145" i="20"/>
  <c r="CM144" i="20"/>
  <c r="R145" i="20"/>
  <c r="CL144" i="20"/>
  <c r="P146" i="20"/>
  <c r="CJ145" i="20"/>
  <c r="M54" i="22"/>
  <c r="BQ54" i="19"/>
  <c r="AH55" i="18" s="1"/>
  <c r="M162" i="20"/>
  <c r="CG161" i="20"/>
  <c r="R56" i="18"/>
  <c r="BC55" i="19"/>
  <c r="P55" i="19"/>
  <c r="AO162" i="20"/>
  <c r="AF162" i="20" s="1"/>
  <c r="BY162" i="20"/>
  <c r="AM161" i="20"/>
  <c r="AD161" i="20" s="1"/>
  <c r="BW161" i="20"/>
  <c r="AA53" i="19" l="1"/>
  <c r="AN53" i="19" s="1"/>
  <c r="N53" i="19" s="1"/>
  <c r="K53" i="22" s="1"/>
  <c r="U53" i="22" s="1"/>
  <c r="CA53" i="19" s="1"/>
  <c r="AS54" i="18" s="1"/>
  <c r="AD54" i="18"/>
  <c r="AE54" i="18"/>
  <c r="AT55" i="18" s="1"/>
  <c r="BB53" i="20"/>
  <c r="Y53" i="19"/>
  <c r="AL53" i="19" s="1"/>
  <c r="L53" i="19" s="1"/>
  <c r="J53" i="22" s="1"/>
  <c r="T53" i="22" s="1"/>
  <c r="BY53" i="19" s="1"/>
  <c r="AQ54" i="18" s="1"/>
  <c r="AC54" i="18"/>
  <c r="BA55" i="20"/>
  <c r="X55" i="19"/>
  <c r="AK55" i="19" s="1"/>
  <c r="K55" i="19" s="1"/>
  <c r="BK55" i="19"/>
  <c r="J55" i="18"/>
  <c r="U54" i="19"/>
  <c r="AH54" i="19" s="1"/>
  <c r="H54" i="19" s="1"/>
  <c r="H54" i="22" s="1"/>
  <c r="R54" i="22" s="1"/>
  <c r="BW54" i="19" s="1"/>
  <c r="AO55" i="18" s="1"/>
  <c r="BH54" i="19"/>
  <c r="AM55" i="18" s="1"/>
  <c r="AW54" i="20"/>
  <c r="X55" i="18"/>
  <c r="W55" i="18"/>
  <c r="BF54" i="19"/>
  <c r="AK55" i="18" s="1"/>
  <c r="S54" i="19"/>
  <c r="AF54" i="19" s="1"/>
  <c r="F54" i="19" s="1"/>
  <c r="F54" i="22" s="1"/>
  <c r="P54" i="22" s="1"/>
  <c r="BU54" i="19" s="1"/>
  <c r="AL55" i="18" s="1"/>
  <c r="V55" i="18"/>
  <c r="AU54" i="20"/>
  <c r="U55" i="18"/>
  <c r="F55" i="18" s="1"/>
  <c r="D55" i="18"/>
  <c r="BP55" i="19"/>
  <c r="AG56" i="18" s="1"/>
  <c r="C56" i="18" s="1"/>
  <c r="BR55" i="19"/>
  <c r="E55" i="18"/>
  <c r="BD55" i="19"/>
  <c r="Q57" i="18"/>
  <c r="AR145" i="20"/>
  <c r="AI145" i="20" s="1"/>
  <c r="CB145" i="20"/>
  <c r="O159" i="20"/>
  <c r="CI158" i="20"/>
  <c r="AT145" i="20"/>
  <c r="AK145" i="20" s="1"/>
  <c r="CD145" i="20"/>
  <c r="CE98" i="20"/>
  <c r="K99" i="20"/>
  <c r="AQ146" i="20"/>
  <c r="AH146" i="20" s="1"/>
  <c r="CA146" i="20"/>
  <c r="AS145" i="20"/>
  <c r="AJ145" i="20" s="1"/>
  <c r="CC145" i="20"/>
  <c r="BO56" i="19"/>
  <c r="AF57" i="18" s="1"/>
  <c r="AN162" i="20"/>
  <c r="AE162" i="20" s="1"/>
  <c r="BX162" i="20"/>
  <c r="L162" i="20"/>
  <c r="CF161" i="20"/>
  <c r="N163" i="20"/>
  <c r="CH162" i="20"/>
  <c r="AC55" i="19"/>
  <c r="C55" i="19" s="1"/>
  <c r="C55" i="22" s="1"/>
  <c r="P54" i="18" l="1"/>
  <c r="O54" i="18"/>
  <c r="AA54" i="19" s="1"/>
  <c r="AN54" i="19" s="1"/>
  <c r="N54" i="19" s="1"/>
  <c r="K54" i="22" s="1"/>
  <c r="U54" i="22" s="1"/>
  <c r="CA54" i="19" s="1"/>
  <c r="AS55" i="18" s="1"/>
  <c r="BN54" i="19"/>
  <c r="AR55" i="18"/>
  <c r="BZ54" i="19"/>
  <c r="N54" i="18"/>
  <c r="BL54" i="19"/>
  <c r="M54" i="18"/>
  <c r="K55" i="18"/>
  <c r="AY55" i="20"/>
  <c r="V55" i="19"/>
  <c r="AI55" i="19" s="1"/>
  <c r="I55" i="19" s="1"/>
  <c r="I55" i="22" s="1"/>
  <c r="S55" i="22" s="1"/>
  <c r="BX55" i="19" s="1"/>
  <c r="BI55" i="19"/>
  <c r="Y56" i="18"/>
  <c r="Z56" i="18"/>
  <c r="I55" i="18"/>
  <c r="AX55" i="20" s="1"/>
  <c r="H55" i="18"/>
  <c r="AI56" i="18"/>
  <c r="G55" i="18"/>
  <c r="V56" i="18" s="1"/>
  <c r="AU55" i="20"/>
  <c r="S55" i="19"/>
  <c r="AF55" i="19" s="1"/>
  <c r="F55" i="19" s="1"/>
  <c r="F55" i="22" s="1"/>
  <c r="P55" i="22" s="1"/>
  <c r="BU55" i="19" s="1"/>
  <c r="BF55" i="19"/>
  <c r="T56" i="18"/>
  <c r="U56" i="18"/>
  <c r="BE55" i="19"/>
  <c r="R55" i="19"/>
  <c r="AE55" i="19" s="1"/>
  <c r="E55" i="19" s="1"/>
  <c r="E55" i="22" s="1"/>
  <c r="O55" i="22" s="1"/>
  <c r="BT55" i="19" s="1"/>
  <c r="Q55" i="19"/>
  <c r="AD55" i="19" s="1"/>
  <c r="D55" i="19" s="1"/>
  <c r="D55" i="22" s="1"/>
  <c r="N55" i="22" s="1"/>
  <c r="BS55" i="19" s="1"/>
  <c r="S56" i="18"/>
  <c r="BB57" i="19"/>
  <c r="B57" i="18"/>
  <c r="O57" i="19" s="1"/>
  <c r="AB57" i="19" s="1"/>
  <c r="B57" i="19" s="1"/>
  <c r="B57" i="22" s="1"/>
  <c r="L57" i="22" s="1"/>
  <c r="S146" i="20"/>
  <c r="CM145" i="20"/>
  <c r="Q146" i="20"/>
  <c r="CK145" i="20"/>
  <c r="P147" i="20"/>
  <c r="CJ146" i="20"/>
  <c r="AL99" i="20"/>
  <c r="BV99" i="20"/>
  <c r="AP159" i="20"/>
  <c r="AG159" i="20" s="1"/>
  <c r="BZ159" i="20"/>
  <c r="R146" i="20"/>
  <c r="CL145" i="20"/>
  <c r="M55" i="22"/>
  <c r="BQ55" i="19"/>
  <c r="AH56" i="18" s="1"/>
  <c r="AM162" i="20"/>
  <c r="AD162" i="20" s="1"/>
  <c r="BW162" i="20"/>
  <c r="AO163" i="20"/>
  <c r="AF163" i="20" s="1"/>
  <c r="BY163" i="20"/>
  <c r="M163" i="20"/>
  <c r="CG162" i="20"/>
  <c r="R57" i="18"/>
  <c r="BC56" i="19"/>
  <c r="P56" i="19"/>
  <c r="BN55" i="19" l="1"/>
  <c r="AE55" i="18"/>
  <c r="Z54" i="19"/>
  <c r="AM54" i="19" s="1"/>
  <c r="M54" i="19" s="1"/>
  <c r="BM54" i="19"/>
  <c r="AD55" i="18"/>
  <c r="BC54" i="20"/>
  <c r="AB55" i="18"/>
  <c r="BB54" i="20"/>
  <c r="Y54" i="19"/>
  <c r="AL54" i="19" s="1"/>
  <c r="L54" i="19" s="1"/>
  <c r="J54" i="22" s="1"/>
  <c r="T54" i="22" s="1"/>
  <c r="BY54" i="19" s="1"/>
  <c r="AQ55" i="18" s="1"/>
  <c r="AC55" i="18"/>
  <c r="AZ55" i="20"/>
  <c r="W55" i="19"/>
  <c r="BJ55" i="19"/>
  <c r="AP56" i="18" s="1"/>
  <c r="AA56" i="18"/>
  <c r="AJ56" i="18"/>
  <c r="F56" i="18" s="1"/>
  <c r="X56" i="18"/>
  <c r="AK56" i="18"/>
  <c r="G56" i="18" s="1"/>
  <c r="BH55" i="19"/>
  <c r="AM56" i="18" s="1"/>
  <c r="U55" i="19"/>
  <c r="AH55" i="19" s="1"/>
  <c r="H55" i="19" s="1"/>
  <c r="H55" i="22" s="1"/>
  <c r="R55" i="22" s="1"/>
  <c r="BW55" i="19" s="1"/>
  <c r="AO56" i="18" s="1"/>
  <c r="AW55" i="20"/>
  <c r="W56" i="18"/>
  <c r="AV55" i="20"/>
  <c r="BG55" i="19"/>
  <c r="AL56" i="18" s="1"/>
  <c r="T55" i="19"/>
  <c r="AG55" i="19" s="1"/>
  <c r="G55" i="19" s="1"/>
  <c r="G55" i="22" s="1"/>
  <c r="Q55" i="22" s="1"/>
  <c r="BV55" i="19" s="1"/>
  <c r="AN56" i="18" s="1"/>
  <c r="BP56" i="19"/>
  <c r="AG57" i="18" s="1"/>
  <c r="C57" i="18" s="1"/>
  <c r="D56" i="18"/>
  <c r="BD56" i="19"/>
  <c r="E56" i="18"/>
  <c r="BR56" i="19"/>
  <c r="Q58" i="18"/>
  <c r="O160" i="20"/>
  <c r="CI159" i="20"/>
  <c r="AC99" i="20"/>
  <c r="AS146" i="20"/>
  <c r="AJ146" i="20" s="1"/>
  <c r="CC146" i="20"/>
  <c r="AT146" i="20"/>
  <c r="AK146" i="20" s="1"/>
  <c r="CD146" i="20"/>
  <c r="AQ147" i="20"/>
  <c r="AH147" i="20" s="1"/>
  <c r="CA147" i="20"/>
  <c r="AR146" i="20"/>
  <c r="AI146" i="20" s="1"/>
  <c r="CB146" i="20"/>
  <c r="BO57" i="19"/>
  <c r="AF58" i="18" s="1"/>
  <c r="AN163" i="20"/>
  <c r="AE163" i="20" s="1"/>
  <c r="BX163" i="20"/>
  <c r="L163" i="20"/>
  <c r="CF162" i="20"/>
  <c r="AC56" i="19"/>
  <c r="C56" i="19" s="1"/>
  <c r="C56" i="22" s="1"/>
  <c r="N164" i="20"/>
  <c r="CH163" i="20"/>
  <c r="P55" i="18" l="1"/>
  <c r="AT56" i="18"/>
  <c r="AR56" i="18"/>
  <c r="BZ55" i="19"/>
  <c r="N55" i="18"/>
  <c r="BL55" i="19"/>
  <c r="O55" i="18"/>
  <c r="AD56" i="18"/>
  <c r="M55" i="18"/>
  <c r="L56" i="18"/>
  <c r="K56" i="18"/>
  <c r="W56" i="19" s="1"/>
  <c r="AJ56" i="19" s="1"/>
  <c r="J56" i="19" s="1"/>
  <c r="X56" i="19"/>
  <c r="AK56" i="19" s="1"/>
  <c r="K56" i="19" s="1"/>
  <c r="AJ55" i="19"/>
  <c r="J55" i="19" s="1"/>
  <c r="T56" i="19"/>
  <c r="AG56" i="19" s="1"/>
  <c r="G56" i="19" s="1"/>
  <c r="G56" i="22" s="1"/>
  <c r="Q56" i="22" s="1"/>
  <c r="BV56" i="19" s="1"/>
  <c r="AN57" i="18" s="1"/>
  <c r="BG56" i="19"/>
  <c r="BF56" i="19"/>
  <c r="AU56" i="20"/>
  <c r="J56" i="18"/>
  <c r="AZ56" i="20"/>
  <c r="BJ56" i="19"/>
  <c r="AA57" i="18"/>
  <c r="AV56" i="20"/>
  <c r="I56" i="18"/>
  <c r="AX56" i="20" s="1"/>
  <c r="V57" i="18"/>
  <c r="S56" i="19"/>
  <c r="AF56" i="19" s="1"/>
  <c r="F56" i="19" s="1"/>
  <c r="F56" i="22" s="1"/>
  <c r="P56" i="22" s="1"/>
  <c r="BU56" i="19" s="1"/>
  <c r="AL57" i="18" s="1"/>
  <c r="AI57" i="18"/>
  <c r="H56" i="18"/>
  <c r="W57" i="18" s="1"/>
  <c r="S57" i="18"/>
  <c r="Q56" i="19"/>
  <c r="AD56" i="19" s="1"/>
  <c r="D56" i="19" s="1"/>
  <c r="D56" i="22" s="1"/>
  <c r="N56" i="22" s="1"/>
  <c r="BS56" i="19" s="1"/>
  <c r="U57" i="18"/>
  <c r="BE56" i="19"/>
  <c r="R56" i="19"/>
  <c r="AE56" i="19" s="1"/>
  <c r="E56" i="19" s="1"/>
  <c r="E56" i="22" s="1"/>
  <c r="O56" i="22" s="1"/>
  <c r="BT56" i="19" s="1"/>
  <c r="AK57" i="18" s="1"/>
  <c r="T57" i="18"/>
  <c r="BB58" i="19"/>
  <c r="B58" i="18"/>
  <c r="O58" i="19" s="1"/>
  <c r="AB58" i="19" s="1"/>
  <c r="B58" i="19" s="1"/>
  <c r="B58" i="22" s="1"/>
  <c r="L58" i="22" s="1"/>
  <c r="R147" i="20"/>
  <c r="CL146" i="20"/>
  <c r="Q147" i="20"/>
  <c r="CK146" i="20"/>
  <c r="S147" i="20"/>
  <c r="CM146" i="20"/>
  <c r="P148" i="20"/>
  <c r="CJ147" i="20"/>
  <c r="K100" i="20"/>
  <c r="CE99" i="20"/>
  <c r="AP160" i="20"/>
  <c r="AG160" i="20" s="1"/>
  <c r="BZ160" i="20"/>
  <c r="M56" i="22"/>
  <c r="BQ56" i="19"/>
  <c r="AH57" i="18" s="1"/>
  <c r="AO164" i="20"/>
  <c r="AF164" i="20" s="1"/>
  <c r="BY164" i="20"/>
  <c r="AM163" i="20"/>
  <c r="AD163" i="20" s="1"/>
  <c r="BW163" i="20"/>
  <c r="M164" i="20"/>
  <c r="CG163" i="20"/>
  <c r="R58" i="18"/>
  <c r="BC57" i="19"/>
  <c r="P57" i="19"/>
  <c r="AB56" i="18" l="1"/>
  <c r="Y55" i="19"/>
  <c r="AL55" i="19" s="1"/>
  <c r="L55" i="19" s="1"/>
  <c r="J55" i="22" s="1"/>
  <c r="T55" i="22" s="1"/>
  <c r="BY55" i="19" s="1"/>
  <c r="AQ56" i="18" s="1"/>
  <c r="BB55" i="20"/>
  <c r="AC56" i="18"/>
  <c r="BC55" i="20"/>
  <c r="Z55" i="19"/>
  <c r="AM55" i="19" s="1"/>
  <c r="M55" i="19" s="1"/>
  <c r="BM55" i="19"/>
  <c r="AA55" i="19"/>
  <c r="AN55" i="19" s="1"/>
  <c r="N55" i="19" s="1"/>
  <c r="K55" i="22" s="1"/>
  <c r="U55" i="22" s="1"/>
  <c r="CA55" i="19" s="1"/>
  <c r="AS56" i="18" s="1"/>
  <c r="O56" i="18" s="1"/>
  <c r="AA56" i="19" s="1"/>
  <c r="AN56" i="19" s="1"/>
  <c r="N56" i="19" s="1"/>
  <c r="K56" i="22" s="1"/>
  <c r="U56" i="22" s="1"/>
  <c r="CA56" i="19" s="1"/>
  <c r="AE56" i="18"/>
  <c r="AT57" i="18" s="1"/>
  <c r="BA56" i="20"/>
  <c r="BK56" i="19"/>
  <c r="AY56" i="20"/>
  <c r="V56" i="19"/>
  <c r="AI56" i="19" s="1"/>
  <c r="I56" i="19" s="1"/>
  <c r="I56" i="22" s="1"/>
  <c r="S56" i="22" s="1"/>
  <c r="BX56" i="19" s="1"/>
  <c r="AP57" i="18" s="1"/>
  <c r="BI56" i="19"/>
  <c r="Z57" i="18"/>
  <c r="Y57" i="18"/>
  <c r="G57" i="18"/>
  <c r="H57" i="18"/>
  <c r="AJ57" i="18"/>
  <c r="AW56" i="20"/>
  <c r="BH56" i="19"/>
  <c r="AM57" i="18" s="1"/>
  <c r="U56" i="19"/>
  <c r="AH56" i="19" s="1"/>
  <c r="H56" i="19" s="1"/>
  <c r="H56" i="22" s="1"/>
  <c r="R56" i="22" s="1"/>
  <c r="BW56" i="19" s="1"/>
  <c r="X57" i="18"/>
  <c r="BD57" i="19"/>
  <c r="E57" i="18"/>
  <c r="BR57" i="19"/>
  <c r="BP57" i="19"/>
  <c r="AG58" i="18" s="1"/>
  <c r="C58" i="18" s="1"/>
  <c r="D57" i="18"/>
  <c r="Q59" i="18"/>
  <c r="AQ148" i="20"/>
  <c r="AH148" i="20" s="1"/>
  <c r="CA148" i="20"/>
  <c r="AT147" i="20"/>
  <c r="AK147" i="20" s="1"/>
  <c r="CD147" i="20"/>
  <c r="AR147" i="20"/>
  <c r="AI147" i="20" s="1"/>
  <c r="CB147" i="20"/>
  <c r="AS147" i="20"/>
  <c r="AJ147" i="20" s="1"/>
  <c r="CC147" i="20"/>
  <c r="O161" i="20"/>
  <c r="CI160" i="20"/>
  <c r="BV100" i="20"/>
  <c r="AL100" i="20"/>
  <c r="BO58" i="19"/>
  <c r="AF59" i="18" s="1"/>
  <c r="L164" i="20"/>
  <c r="CF163" i="20"/>
  <c r="N165" i="20"/>
  <c r="CH164" i="20"/>
  <c r="AC57" i="19"/>
  <c r="C57" i="19" s="1"/>
  <c r="C57" i="22" s="1"/>
  <c r="AN164" i="20"/>
  <c r="AE164" i="20" s="1"/>
  <c r="BX164" i="20"/>
  <c r="AS57" i="18" l="1"/>
  <c r="BN56" i="19"/>
  <c r="P56" i="18"/>
  <c r="AE57" i="18" s="1"/>
  <c r="P57" i="18" s="1"/>
  <c r="BL56" i="19"/>
  <c r="BZ56" i="19"/>
  <c r="AR57" i="18" s="1"/>
  <c r="N56" i="18"/>
  <c r="AD57" i="18" s="1"/>
  <c r="AC57" i="18"/>
  <c r="M56" i="18"/>
  <c r="L57" i="18"/>
  <c r="AO57" i="18"/>
  <c r="K57" i="18" s="1"/>
  <c r="Z58" i="18" s="1"/>
  <c r="BA57" i="20"/>
  <c r="X57" i="19"/>
  <c r="AK57" i="19" s="1"/>
  <c r="K57" i="19" s="1"/>
  <c r="BK57" i="19"/>
  <c r="AI58" i="18"/>
  <c r="J57" i="18"/>
  <c r="Y58" i="18"/>
  <c r="AN58" i="18"/>
  <c r="W58" i="18"/>
  <c r="T57" i="19"/>
  <c r="AG57" i="19" s="1"/>
  <c r="G57" i="19" s="1"/>
  <c r="G57" i="22" s="1"/>
  <c r="Q57" i="22" s="1"/>
  <c r="BV57" i="19" s="1"/>
  <c r="AV57" i="20"/>
  <c r="BG57" i="19"/>
  <c r="I57" i="18"/>
  <c r="AX57" i="20" s="1"/>
  <c r="F57" i="18"/>
  <c r="BF57" i="19" s="1"/>
  <c r="AW57" i="20"/>
  <c r="BH57" i="19"/>
  <c r="AM58" i="18" s="1"/>
  <c r="U57" i="19"/>
  <c r="AH57" i="19" s="1"/>
  <c r="H57" i="19" s="1"/>
  <c r="H57" i="22" s="1"/>
  <c r="R57" i="22" s="1"/>
  <c r="BW57" i="19" s="1"/>
  <c r="S58" i="18"/>
  <c r="Q57" i="19"/>
  <c r="AD57" i="19" s="1"/>
  <c r="D57" i="19" s="1"/>
  <c r="D57" i="22" s="1"/>
  <c r="N57" i="22" s="1"/>
  <c r="BS57" i="19" s="1"/>
  <c r="T58" i="18"/>
  <c r="BE57" i="19"/>
  <c r="R57" i="19"/>
  <c r="AE57" i="19" s="1"/>
  <c r="E57" i="19" s="1"/>
  <c r="E57" i="22" s="1"/>
  <c r="O57" i="22" s="1"/>
  <c r="BT57" i="19" s="1"/>
  <c r="AU57" i="20"/>
  <c r="S57" i="19"/>
  <c r="AF57" i="19" s="1"/>
  <c r="F57" i="19" s="1"/>
  <c r="F57" i="22" s="1"/>
  <c r="P57" i="22" s="1"/>
  <c r="BU57" i="19" s="1"/>
  <c r="U58" i="18"/>
  <c r="BB59" i="19"/>
  <c r="B59" i="18"/>
  <c r="O59" i="19" s="1"/>
  <c r="AB59" i="19" s="1"/>
  <c r="B59" i="19" s="1"/>
  <c r="B59" i="22" s="1"/>
  <c r="L59" i="22" s="1"/>
  <c r="AC100" i="20"/>
  <c r="Q148" i="20"/>
  <c r="CK147" i="20"/>
  <c r="P149" i="20"/>
  <c r="CJ148" i="20"/>
  <c r="AP161" i="20"/>
  <c r="AG161" i="20" s="1"/>
  <c r="BZ161" i="20"/>
  <c r="R148" i="20"/>
  <c r="CL147" i="20"/>
  <c r="S148" i="20"/>
  <c r="CM147" i="20"/>
  <c r="M57" i="22"/>
  <c r="BQ57" i="19"/>
  <c r="AH58" i="18" s="1"/>
  <c r="AO165" i="20"/>
  <c r="AF165" i="20" s="1"/>
  <c r="BY165" i="20"/>
  <c r="M165" i="20"/>
  <c r="CG164" i="20"/>
  <c r="R59" i="18"/>
  <c r="BC58" i="19"/>
  <c r="P58" i="19"/>
  <c r="AM164" i="20"/>
  <c r="AD164" i="20" s="1"/>
  <c r="BW164" i="20"/>
  <c r="AT58" i="18" l="1"/>
  <c r="BN57" i="19"/>
  <c r="O57" i="18"/>
  <c r="AA57" i="19" s="1"/>
  <c r="AN57" i="19" s="1"/>
  <c r="N57" i="19" s="1"/>
  <c r="K57" i="22" s="1"/>
  <c r="U57" i="22" s="1"/>
  <c r="CA57" i="19" s="1"/>
  <c r="AS58" i="18" s="1"/>
  <c r="BZ57" i="19"/>
  <c r="AR58" i="18" s="1"/>
  <c r="N57" i="18"/>
  <c r="Z56" i="19"/>
  <c r="AM56" i="19" s="1"/>
  <c r="M56" i="19" s="1"/>
  <c r="BM56" i="19"/>
  <c r="BC56" i="20"/>
  <c r="Y56" i="19"/>
  <c r="AL56" i="19" s="1"/>
  <c r="L56" i="19" s="1"/>
  <c r="J56" i="22" s="1"/>
  <c r="T56" i="22" s="1"/>
  <c r="BY56" i="19" s="1"/>
  <c r="AQ57" i="18" s="1"/>
  <c r="BB56" i="20"/>
  <c r="AB57" i="18"/>
  <c r="J58" i="18"/>
  <c r="Y59" i="18"/>
  <c r="AY57" i="20"/>
  <c r="V57" i="19"/>
  <c r="AI57" i="19" s="1"/>
  <c r="I57" i="19" s="1"/>
  <c r="I57" i="22" s="1"/>
  <c r="S57" i="22" s="1"/>
  <c r="BX57" i="19" s="1"/>
  <c r="BI57" i="19"/>
  <c r="AO58" i="18" s="1"/>
  <c r="AZ57" i="20"/>
  <c r="W57" i="19"/>
  <c r="AJ57" i="19" s="1"/>
  <c r="J57" i="19" s="1"/>
  <c r="BJ57" i="19"/>
  <c r="AP58" i="18" s="1"/>
  <c r="AA58" i="18"/>
  <c r="V58" i="18"/>
  <c r="AL58" i="18"/>
  <c r="H58" i="18" s="1"/>
  <c r="AK58" i="18"/>
  <c r="G58" i="18" s="1"/>
  <c r="AJ58" i="18"/>
  <c r="F58" i="18" s="1"/>
  <c r="X58" i="18"/>
  <c r="I58" i="18" s="1"/>
  <c r="AX58" i="20" s="1"/>
  <c r="BR58" i="19"/>
  <c r="E58" i="18"/>
  <c r="BD58" i="19"/>
  <c r="D58" i="18"/>
  <c r="BP58" i="19"/>
  <c r="AG59" i="18" s="1"/>
  <c r="C59" i="18" s="1"/>
  <c r="Q60" i="18"/>
  <c r="O162" i="20"/>
  <c r="CI161" i="20"/>
  <c r="AQ149" i="20"/>
  <c r="AH149" i="20" s="1"/>
  <c r="CA149" i="20"/>
  <c r="AR148" i="20"/>
  <c r="AI148" i="20" s="1"/>
  <c r="CB148" i="20"/>
  <c r="AT148" i="20"/>
  <c r="AK148" i="20" s="1"/>
  <c r="CD148" i="20"/>
  <c r="AS148" i="20"/>
  <c r="AJ148" i="20" s="1"/>
  <c r="CC148" i="20"/>
  <c r="CE100" i="20"/>
  <c r="K101" i="20"/>
  <c r="BO59" i="19"/>
  <c r="AF60" i="18" s="1"/>
  <c r="N166" i="20"/>
  <c r="CH165" i="20"/>
  <c r="L165" i="20"/>
  <c r="CF164" i="20"/>
  <c r="AC58" i="19"/>
  <c r="C58" i="19" s="1"/>
  <c r="C58" i="22" s="1"/>
  <c r="AN165" i="20"/>
  <c r="AE165" i="20" s="1"/>
  <c r="BX165" i="20"/>
  <c r="BN58" i="19" l="1"/>
  <c r="AD58" i="18"/>
  <c r="O58" i="18" s="1"/>
  <c r="AA58" i="19" s="1"/>
  <c r="AN58" i="19" s="1"/>
  <c r="N58" i="19" s="1"/>
  <c r="K58" i="22" s="1"/>
  <c r="U58" i="22" s="1"/>
  <c r="CA58" i="19" s="1"/>
  <c r="M57" i="18"/>
  <c r="AB58" i="18" s="1"/>
  <c r="BL57" i="19"/>
  <c r="Z57" i="19"/>
  <c r="AM57" i="19" s="1"/>
  <c r="M57" i="19" s="1"/>
  <c r="BM57" i="19"/>
  <c r="BC57" i="20"/>
  <c r="AE58" i="18"/>
  <c r="AT59" i="18" s="1"/>
  <c r="K58" i="18"/>
  <c r="L58" i="18"/>
  <c r="AA59" i="18"/>
  <c r="J59" i="18"/>
  <c r="AY58" i="20"/>
  <c r="BI58" i="19"/>
  <c r="AO59" i="18" s="1"/>
  <c r="V58" i="19"/>
  <c r="AI58" i="19" s="1"/>
  <c r="I58" i="19" s="1"/>
  <c r="I58" i="22" s="1"/>
  <c r="S58" i="22" s="1"/>
  <c r="BX58" i="19" s="1"/>
  <c r="Z59" i="18"/>
  <c r="BF58" i="19"/>
  <c r="AU58" i="20"/>
  <c r="AW58" i="20"/>
  <c r="BH58" i="19"/>
  <c r="AM59" i="18" s="1"/>
  <c r="U58" i="19"/>
  <c r="AH58" i="19" s="1"/>
  <c r="H58" i="19" s="1"/>
  <c r="H58" i="22" s="1"/>
  <c r="R58" i="22" s="1"/>
  <c r="BW58" i="19" s="1"/>
  <c r="V59" i="18"/>
  <c r="S58" i="19"/>
  <c r="AF58" i="19" s="1"/>
  <c r="F58" i="19" s="1"/>
  <c r="F58" i="22" s="1"/>
  <c r="P58" i="22" s="1"/>
  <c r="BU58" i="19" s="1"/>
  <c r="AI59" i="18"/>
  <c r="X59" i="18"/>
  <c r="U59" i="18"/>
  <c r="BE58" i="19"/>
  <c r="R58" i="19"/>
  <c r="AE58" i="19" s="1"/>
  <c r="E58" i="19" s="1"/>
  <c r="E58" i="22" s="1"/>
  <c r="O58" i="22" s="1"/>
  <c r="BT58" i="19" s="1"/>
  <c r="AK59" i="18" s="1"/>
  <c r="S59" i="18"/>
  <c r="Q58" i="19"/>
  <c r="AD58" i="19" s="1"/>
  <c r="D58" i="19" s="1"/>
  <c r="D58" i="22" s="1"/>
  <c r="N58" i="22" s="1"/>
  <c r="BS58" i="19" s="1"/>
  <c r="T59" i="18"/>
  <c r="BG58" i="19"/>
  <c r="T58" i="19"/>
  <c r="AG58" i="19" s="1"/>
  <c r="G58" i="19" s="1"/>
  <c r="G58" i="22" s="1"/>
  <c r="Q58" i="22" s="1"/>
  <c r="BV58" i="19" s="1"/>
  <c r="AN59" i="18" s="1"/>
  <c r="AV58" i="20"/>
  <c r="W59" i="18"/>
  <c r="BB60" i="19"/>
  <c r="B60" i="18"/>
  <c r="O60" i="19" s="1"/>
  <c r="AB60" i="19" s="1"/>
  <c r="B60" i="19" s="1"/>
  <c r="B60" i="22" s="1"/>
  <c r="L60" i="22" s="1"/>
  <c r="R149" i="20"/>
  <c r="CL148" i="20"/>
  <c r="Q149" i="20"/>
  <c r="CK148" i="20"/>
  <c r="S149" i="20"/>
  <c r="CM148" i="20"/>
  <c r="P150" i="20"/>
  <c r="CJ149" i="20"/>
  <c r="AP162" i="20"/>
  <c r="AG162" i="20" s="1"/>
  <c r="BZ162" i="20"/>
  <c r="AL101" i="20"/>
  <c r="BV101" i="20"/>
  <c r="M58" i="22"/>
  <c r="BQ58" i="19"/>
  <c r="AH59" i="18" s="1"/>
  <c r="M166" i="20"/>
  <c r="CG165" i="20"/>
  <c r="AM165" i="20"/>
  <c r="AD165" i="20" s="1"/>
  <c r="BW165" i="20"/>
  <c r="R60" i="18"/>
  <c r="BC59" i="19"/>
  <c r="P59" i="19"/>
  <c r="AO166" i="20"/>
  <c r="AF166" i="20" s="1"/>
  <c r="BY166" i="20"/>
  <c r="AS59" i="18" l="1"/>
  <c r="P58" i="18"/>
  <c r="AE59" i="18" s="1"/>
  <c r="AT60" i="18" s="1"/>
  <c r="BB57" i="20"/>
  <c r="Y57" i="19"/>
  <c r="AL57" i="19" s="1"/>
  <c r="L57" i="19" s="1"/>
  <c r="J57" i="22" s="1"/>
  <c r="T57" i="22" s="1"/>
  <c r="BY57" i="19" s="1"/>
  <c r="AQ58" i="18" s="1"/>
  <c r="AC58" i="18"/>
  <c r="BJ58" i="19"/>
  <c r="AP59" i="18" s="1"/>
  <c r="L59" i="18" s="1"/>
  <c r="AZ58" i="20"/>
  <c r="W58" i="19"/>
  <c r="AJ58" i="19" s="1"/>
  <c r="J58" i="19" s="1"/>
  <c r="AY59" i="20"/>
  <c r="V59" i="19"/>
  <c r="AI59" i="19" s="1"/>
  <c r="I59" i="19" s="1"/>
  <c r="I59" i="22" s="1"/>
  <c r="S59" i="22" s="1"/>
  <c r="BX59" i="19" s="1"/>
  <c r="BI59" i="19"/>
  <c r="AO60" i="18" s="1"/>
  <c r="AL59" i="18"/>
  <c r="K59" i="18"/>
  <c r="Y60" i="18"/>
  <c r="BA58" i="20"/>
  <c r="X58" i="19"/>
  <c r="AK58" i="19" s="1"/>
  <c r="K58" i="19" s="1"/>
  <c r="BK58" i="19"/>
  <c r="I59" i="18"/>
  <c r="AX59" i="20" s="1"/>
  <c r="H59" i="18"/>
  <c r="U59" i="19" s="1"/>
  <c r="AH59" i="19" s="1"/>
  <c r="H59" i="19" s="1"/>
  <c r="H59" i="22" s="1"/>
  <c r="R59" i="22" s="1"/>
  <c r="BW59" i="19" s="1"/>
  <c r="G59" i="18"/>
  <c r="AJ59" i="18"/>
  <c r="F59" i="18" s="1"/>
  <c r="BP59" i="19"/>
  <c r="AG60" i="18" s="1"/>
  <c r="C60" i="18" s="1"/>
  <c r="D59" i="18"/>
  <c r="E59" i="18"/>
  <c r="BR59" i="19"/>
  <c r="BD59" i="19"/>
  <c r="W60" i="18"/>
  <c r="AW59" i="20"/>
  <c r="Q61" i="18"/>
  <c r="O163" i="20"/>
  <c r="CI162" i="20"/>
  <c r="AC101" i="20"/>
  <c r="AQ150" i="20"/>
  <c r="AH150" i="20" s="1"/>
  <c r="CA150" i="20"/>
  <c r="AT149" i="20"/>
  <c r="AK149" i="20" s="1"/>
  <c r="CD149" i="20"/>
  <c r="AR149" i="20"/>
  <c r="AI149" i="20" s="1"/>
  <c r="CB149" i="20"/>
  <c r="AS149" i="20"/>
  <c r="AJ149" i="20" s="1"/>
  <c r="CC149" i="20"/>
  <c r="BO60" i="19"/>
  <c r="AF61" i="18" s="1"/>
  <c r="AN166" i="20"/>
  <c r="AE166" i="20" s="1"/>
  <c r="BX166" i="20"/>
  <c r="N167" i="20"/>
  <c r="CH166" i="20"/>
  <c r="AC59" i="19"/>
  <c r="C59" i="19" s="1"/>
  <c r="C59" i="22" s="1"/>
  <c r="L166" i="20"/>
  <c r="CF165" i="20"/>
  <c r="BN59" i="19" l="1"/>
  <c r="P59" i="18"/>
  <c r="BZ58" i="19"/>
  <c r="AR59" i="18" s="1"/>
  <c r="N58" i="18"/>
  <c r="BL58" i="19"/>
  <c r="M58" i="18"/>
  <c r="BH59" i="19"/>
  <c r="AM60" i="18" s="1"/>
  <c r="AZ59" i="20"/>
  <c r="W59" i="19"/>
  <c r="AJ59" i="19" s="1"/>
  <c r="J59" i="19" s="1"/>
  <c r="BJ59" i="19"/>
  <c r="AP60" i="18" s="1"/>
  <c r="X60" i="18"/>
  <c r="I60" i="18" s="1"/>
  <c r="AX60" i="20" s="1"/>
  <c r="J60" i="18"/>
  <c r="AA60" i="18"/>
  <c r="Z60" i="18"/>
  <c r="BA59" i="20"/>
  <c r="X59" i="19"/>
  <c r="AK59" i="19" s="1"/>
  <c r="K59" i="19" s="1"/>
  <c r="BK59" i="19"/>
  <c r="AI60" i="18"/>
  <c r="AV59" i="20"/>
  <c r="BG59" i="19"/>
  <c r="T59" i="19"/>
  <c r="AG59" i="19" s="1"/>
  <c r="G59" i="19" s="1"/>
  <c r="G59" i="22" s="1"/>
  <c r="Q59" i="22" s="1"/>
  <c r="BV59" i="19" s="1"/>
  <c r="AN60" i="18" s="1"/>
  <c r="BF59" i="19"/>
  <c r="S59" i="19"/>
  <c r="AF59" i="19" s="1"/>
  <c r="F59" i="19" s="1"/>
  <c r="F59" i="22" s="1"/>
  <c r="P59" i="22" s="1"/>
  <c r="BU59" i="19" s="1"/>
  <c r="V60" i="18"/>
  <c r="AU59" i="20"/>
  <c r="U60" i="18"/>
  <c r="T60" i="18"/>
  <c r="BE59" i="19"/>
  <c r="R59" i="19"/>
  <c r="AE59" i="19" s="1"/>
  <c r="E59" i="19" s="1"/>
  <c r="E59" i="22" s="1"/>
  <c r="O59" i="22" s="1"/>
  <c r="BT59" i="19" s="1"/>
  <c r="Q59" i="19"/>
  <c r="AD59" i="19" s="1"/>
  <c r="D59" i="19" s="1"/>
  <c r="D59" i="22" s="1"/>
  <c r="N59" i="22" s="1"/>
  <c r="BS59" i="19" s="1"/>
  <c r="S60" i="18"/>
  <c r="BB61" i="19"/>
  <c r="B61" i="18"/>
  <c r="O61" i="19" s="1"/>
  <c r="AB61" i="19" s="1"/>
  <c r="B61" i="19" s="1"/>
  <c r="B61" i="22" s="1"/>
  <c r="L61" i="22" s="1"/>
  <c r="R150" i="20"/>
  <c r="CL149" i="20"/>
  <c r="AP163" i="20"/>
  <c r="AG163" i="20" s="1"/>
  <c r="BZ163" i="20"/>
  <c r="S150" i="20"/>
  <c r="CM149" i="20"/>
  <c r="Q150" i="20"/>
  <c r="CK149" i="20"/>
  <c r="CE101" i="20"/>
  <c r="K102" i="20"/>
  <c r="P151" i="20"/>
  <c r="CJ150" i="20"/>
  <c r="AM166" i="20"/>
  <c r="AD166" i="20" s="1"/>
  <c r="BW166" i="20"/>
  <c r="AO167" i="20"/>
  <c r="AF167" i="20" s="1"/>
  <c r="BY167" i="20"/>
  <c r="M167" i="20"/>
  <c r="CG166" i="20"/>
  <c r="M59" i="22"/>
  <c r="BQ59" i="19"/>
  <c r="AH60" i="18" s="1"/>
  <c r="R61" i="18"/>
  <c r="BC60" i="19"/>
  <c r="P60" i="19"/>
  <c r="Y58" i="19" l="1"/>
  <c r="AL58" i="19" s="1"/>
  <c r="L58" i="19" s="1"/>
  <c r="J58" i="22" s="1"/>
  <c r="T58" i="22" s="1"/>
  <c r="BY58" i="19" s="1"/>
  <c r="AQ59" i="18" s="1"/>
  <c r="BB58" i="20"/>
  <c r="AB59" i="18"/>
  <c r="BM58" i="19"/>
  <c r="Z58" i="19"/>
  <c r="AM58" i="19" s="1"/>
  <c r="M58" i="19" s="1"/>
  <c r="BC58" i="20"/>
  <c r="AD59" i="18"/>
  <c r="AC59" i="18"/>
  <c r="AY60" i="20"/>
  <c r="V60" i="19"/>
  <c r="AI60" i="19" s="1"/>
  <c r="I60" i="19" s="1"/>
  <c r="I60" i="22" s="1"/>
  <c r="S60" i="22" s="1"/>
  <c r="BX60" i="19" s="1"/>
  <c r="BI60" i="19"/>
  <c r="K60" i="18"/>
  <c r="L60" i="18"/>
  <c r="Y61" i="18"/>
  <c r="AK60" i="18"/>
  <c r="G60" i="18" s="1"/>
  <c r="AL60" i="18"/>
  <c r="AJ60" i="18"/>
  <c r="F60" i="18" s="1"/>
  <c r="BD60" i="19"/>
  <c r="BP60" i="19"/>
  <c r="AG61" i="18" s="1"/>
  <c r="C61" i="18" s="1"/>
  <c r="D60" i="18"/>
  <c r="E60" i="18"/>
  <c r="BR60" i="19"/>
  <c r="Q62" i="18"/>
  <c r="AQ151" i="20"/>
  <c r="AH151" i="20" s="1"/>
  <c r="CA151" i="20"/>
  <c r="O164" i="20"/>
  <c r="CI163" i="20"/>
  <c r="AS150" i="20"/>
  <c r="AJ150" i="20" s="1"/>
  <c r="CC150" i="20"/>
  <c r="BV102" i="20"/>
  <c r="AL102" i="20"/>
  <c r="AR150" i="20"/>
  <c r="AI150" i="20" s="1"/>
  <c r="CB150" i="20"/>
  <c r="AT150" i="20"/>
  <c r="AK150" i="20" s="1"/>
  <c r="CD150" i="20"/>
  <c r="AC60" i="19"/>
  <c r="C60" i="19" s="1"/>
  <c r="C60" i="22" s="1"/>
  <c r="AN167" i="20"/>
  <c r="AE167" i="20" s="1"/>
  <c r="BX167" i="20"/>
  <c r="BO61" i="19"/>
  <c r="AF62" i="18" s="1"/>
  <c r="N168" i="20"/>
  <c r="CH167" i="20"/>
  <c r="L167" i="20"/>
  <c r="CF166" i="20"/>
  <c r="AR60" i="18" l="1"/>
  <c r="O59" i="18"/>
  <c r="M59" i="18"/>
  <c r="BL59" i="19"/>
  <c r="BZ59" i="19"/>
  <c r="N59" i="18"/>
  <c r="BA60" i="20"/>
  <c r="X60" i="19"/>
  <c r="AK60" i="19" s="1"/>
  <c r="K60" i="19" s="1"/>
  <c r="BK60" i="19"/>
  <c r="AZ60" i="20"/>
  <c r="W60" i="19"/>
  <c r="AJ60" i="19" s="1"/>
  <c r="J60" i="19" s="1"/>
  <c r="BJ60" i="19"/>
  <c r="AP61" i="18" s="1"/>
  <c r="J61" i="18"/>
  <c r="AA61" i="18"/>
  <c r="Z61" i="18"/>
  <c r="S60" i="19"/>
  <c r="AF60" i="19" s="1"/>
  <c r="F60" i="19" s="1"/>
  <c r="F60" i="22" s="1"/>
  <c r="P60" i="22" s="1"/>
  <c r="BU60" i="19" s="1"/>
  <c r="AU60" i="20"/>
  <c r="AI61" i="18"/>
  <c r="H60" i="18"/>
  <c r="W61" i="18" s="1"/>
  <c r="BF60" i="19"/>
  <c r="AV60" i="20"/>
  <c r="T60" i="19"/>
  <c r="AG60" i="19" s="1"/>
  <c r="G60" i="19" s="1"/>
  <c r="G60" i="22" s="1"/>
  <c r="Q60" i="22" s="1"/>
  <c r="BV60" i="19" s="1"/>
  <c r="AN61" i="18" s="1"/>
  <c r="BG60" i="19"/>
  <c r="AL61" i="18" s="1"/>
  <c r="V61" i="18"/>
  <c r="R60" i="19"/>
  <c r="AE60" i="19" s="1"/>
  <c r="E60" i="19" s="1"/>
  <c r="E60" i="22" s="1"/>
  <c r="O60" i="22" s="1"/>
  <c r="BT60" i="19" s="1"/>
  <c r="U61" i="18"/>
  <c r="T61" i="18"/>
  <c r="BE60" i="19"/>
  <c r="Q60" i="19"/>
  <c r="AD60" i="19" s="1"/>
  <c r="D60" i="19" s="1"/>
  <c r="D60" i="22" s="1"/>
  <c r="N60" i="22" s="1"/>
  <c r="BS60" i="19" s="1"/>
  <c r="S61" i="18"/>
  <c r="BB62" i="19"/>
  <c r="B62" i="18"/>
  <c r="O62" i="19" s="1"/>
  <c r="AB62" i="19" s="1"/>
  <c r="B62" i="19" s="1"/>
  <c r="B62" i="22" s="1"/>
  <c r="L62" i="22" s="1"/>
  <c r="AC102" i="20"/>
  <c r="S151" i="20"/>
  <c r="CM150" i="20"/>
  <c r="AP164" i="20"/>
  <c r="AG164" i="20" s="1"/>
  <c r="BZ164" i="20"/>
  <c r="P152" i="20"/>
  <c r="CJ151" i="20"/>
  <c r="Q151" i="20"/>
  <c r="CK150" i="20"/>
  <c r="R151" i="20"/>
  <c r="CL150" i="20"/>
  <c r="M168" i="20"/>
  <c r="CG167" i="20"/>
  <c r="R62" i="18"/>
  <c r="BC61" i="19"/>
  <c r="P61" i="19"/>
  <c r="AM167" i="20"/>
  <c r="AD167" i="20" s="1"/>
  <c r="BW167" i="20"/>
  <c r="M60" i="22"/>
  <c r="BQ60" i="19"/>
  <c r="AH61" i="18" s="1"/>
  <c r="AO168" i="20"/>
  <c r="AF168" i="20" s="1"/>
  <c r="BY168" i="20"/>
  <c r="AD60" i="18" l="1"/>
  <c r="BC59" i="20"/>
  <c r="Z59" i="19"/>
  <c r="AM59" i="19" s="1"/>
  <c r="M59" i="19" s="1"/>
  <c r="BM59" i="19"/>
  <c r="AC60" i="18"/>
  <c r="AB60" i="18"/>
  <c r="Y59" i="19"/>
  <c r="AL59" i="19" s="1"/>
  <c r="L59" i="19" s="1"/>
  <c r="J59" i="22" s="1"/>
  <c r="T59" i="22" s="1"/>
  <c r="BY59" i="19" s="1"/>
  <c r="AQ60" i="18" s="1"/>
  <c r="BB59" i="20"/>
  <c r="AA59" i="19"/>
  <c r="AN59" i="19" s="1"/>
  <c r="N59" i="19" s="1"/>
  <c r="K59" i="22" s="1"/>
  <c r="U59" i="22" s="1"/>
  <c r="CA59" i="19" s="1"/>
  <c r="AS60" i="18" s="1"/>
  <c r="AE60" i="18"/>
  <c r="AT61" i="18" s="1"/>
  <c r="AY61" i="20"/>
  <c r="V61" i="19"/>
  <c r="AI61" i="19" s="1"/>
  <c r="I61" i="19" s="1"/>
  <c r="I61" i="22" s="1"/>
  <c r="S61" i="22" s="1"/>
  <c r="BX61" i="19" s="1"/>
  <c r="BI61" i="19"/>
  <c r="L61" i="18"/>
  <c r="Y62" i="18"/>
  <c r="H61" i="18"/>
  <c r="X61" i="18"/>
  <c r="BH60" i="19"/>
  <c r="AM61" i="18" s="1"/>
  <c r="AW60" i="20"/>
  <c r="U60" i="19"/>
  <c r="AH60" i="19" s="1"/>
  <c r="H60" i="19" s="1"/>
  <c r="H60" i="22" s="1"/>
  <c r="R60" i="22" s="1"/>
  <c r="BW60" i="19" s="1"/>
  <c r="AO61" i="18" s="1"/>
  <c r="K61" i="18" s="1"/>
  <c r="Z62" i="18" s="1"/>
  <c r="AK61" i="18"/>
  <c r="AJ61" i="18"/>
  <c r="F61" i="18" s="1"/>
  <c r="BD61" i="19"/>
  <c r="D61" i="18"/>
  <c r="BP61" i="19"/>
  <c r="AG62" i="18" s="1"/>
  <c r="C62" i="18" s="1"/>
  <c r="E61" i="18"/>
  <c r="BR61" i="19"/>
  <c r="Q63" i="18"/>
  <c r="AS151" i="20"/>
  <c r="AJ151" i="20" s="1"/>
  <c r="CC151" i="20"/>
  <c r="AQ152" i="20"/>
  <c r="AH152" i="20" s="1"/>
  <c r="CA152" i="20"/>
  <c r="CE102" i="20"/>
  <c r="K103" i="20"/>
  <c r="AT151" i="20"/>
  <c r="AK151" i="20" s="1"/>
  <c r="CD151" i="20"/>
  <c r="AR151" i="20"/>
  <c r="AI151" i="20" s="1"/>
  <c r="CB151" i="20"/>
  <c r="O165" i="20"/>
  <c r="CI164" i="20"/>
  <c r="N169" i="20"/>
  <c r="CH168" i="20"/>
  <c r="BO62" i="19"/>
  <c r="AF63" i="18" s="1"/>
  <c r="L168" i="20"/>
  <c r="CF167" i="20"/>
  <c r="AC61" i="19"/>
  <c r="C61" i="19" s="1"/>
  <c r="C61" i="22" s="1"/>
  <c r="AN168" i="20"/>
  <c r="AE168" i="20" s="1"/>
  <c r="BX168" i="20"/>
  <c r="BN60" i="19" l="1"/>
  <c r="O60" i="18"/>
  <c r="AA60" i="19" s="1"/>
  <c r="AN60" i="19" s="1"/>
  <c r="N60" i="19" s="1"/>
  <c r="K60" i="22" s="1"/>
  <c r="U60" i="22" s="1"/>
  <c r="CA60" i="19" s="1"/>
  <c r="AS61" i="18" s="1"/>
  <c r="BZ60" i="19"/>
  <c r="AR61" i="18" s="1"/>
  <c r="N60" i="18"/>
  <c r="BL60" i="19"/>
  <c r="P60" i="18"/>
  <c r="AE61" i="18" s="1"/>
  <c r="P61" i="18" s="1"/>
  <c r="M60" i="18"/>
  <c r="AA62" i="18"/>
  <c r="BA61" i="20"/>
  <c r="X61" i="19"/>
  <c r="AK61" i="19" s="1"/>
  <c r="K61" i="19" s="1"/>
  <c r="BK61" i="19"/>
  <c r="AZ61" i="20"/>
  <c r="W61" i="19"/>
  <c r="AJ61" i="19" s="1"/>
  <c r="J61" i="19" s="1"/>
  <c r="BJ61" i="19"/>
  <c r="AP62" i="18" s="1"/>
  <c r="I61" i="18"/>
  <c r="AX61" i="20" s="1"/>
  <c r="AW61" i="20"/>
  <c r="BH61" i="19"/>
  <c r="AM62" i="18" s="1"/>
  <c r="U61" i="19"/>
  <c r="AH61" i="19" s="1"/>
  <c r="H61" i="19" s="1"/>
  <c r="H61" i="22" s="1"/>
  <c r="R61" i="22" s="1"/>
  <c r="BW61" i="19" s="1"/>
  <c r="AO62" i="18" s="1"/>
  <c r="AI62" i="18"/>
  <c r="U62" i="18"/>
  <c r="G61" i="18"/>
  <c r="V62" i="18" s="1"/>
  <c r="R61" i="19"/>
  <c r="AE61" i="19" s="1"/>
  <c r="E61" i="19" s="1"/>
  <c r="E61" i="22" s="1"/>
  <c r="O61" i="22" s="1"/>
  <c r="BT61" i="19" s="1"/>
  <c r="BE61" i="19"/>
  <c r="Q61" i="19"/>
  <c r="AD61" i="19" s="1"/>
  <c r="D61" i="19" s="1"/>
  <c r="D61" i="22" s="1"/>
  <c r="N61" i="22" s="1"/>
  <c r="BS61" i="19" s="1"/>
  <c r="S62" i="18"/>
  <c r="T62" i="18"/>
  <c r="AU61" i="20"/>
  <c r="BF61" i="19"/>
  <c r="S61" i="19"/>
  <c r="AF61" i="19" s="1"/>
  <c r="F61" i="19" s="1"/>
  <c r="F61" i="22" s="1"/>
  <c r="P61" i="22" s="1"/>
  <c r="BU61" i="19" s="1"/>
  <c r="BB63" i="19"/>
  <c r="B63" i="18"/>
  <c r="O63" i="19" s="1"/>
  <c r="AB63" i="19" s="1"/>
  <c r="B63" i="19" s="1"/>
  <c r="B63" i="22" s="1"/>
  <c r="L63" i="22" s="1"/>
  <c r="S152" i="20"/>
  <c r="CM151" i="20"/>
  <c r="Q152" i="20"/>
  <c r="CK151" i="20"/>
  <c r="R152" i="20"/>
  <c r="CL151" i="20"/>
  <c r="BV103" i="20"/>
  <c r="AL103" i="20"/>
  <c r="AP165" i="20"/>
  <c r="AG165" i="20" s="1"/>
  <c r="BZ165" i="20"/>
  <c r="P153" i="20"/>
  <c r="CJ152" i="20"/>
  <c r="M169" i="20"/>
  <c r="CG168" i="20"/>
  <c r="AM168" i="20"/>
  <c r="AD168" i="20" s="1"/>
  <c r="BW168" i="20"/>
  <c r="AO169" i="20"/>
  <c r="AF169" i="20" s="1"/>
  <c r="BY169" i="20"/>
  <c r="R63" i="18"/>
  <c r="BC62" i="19"/>
  <c r="P62" i="19"/>
  <c r="M61" i="22"/>
  <c r="BQ61" i="19"/>
  <c r="AH62" i="18" s="1"/>
  <c r="AT62" i="18" l="1"/>
  <c r="BN61" i="19"/>
  <c r="BB60" i="20"/>
  <c r="Y60" i="19"/>
  <c r="AL60" i="19" s="1"/>
  <c r="L60" i="19" s="1"/>
  <c r="J60" i="22" s="1"/>
  <c r="T60" i="22" s="1"/>
  <c r="BY60" i="19" s="1"/>
  <c r="AQ61" i="18" s="1"/>
  <c r="AD61" i="18"/>
  <c r="O61" i="18" s="1"/>
  <c r="AA61" i="19" s="1"/>
  <c r="AN61" i="19" s="1"/>
  <c r="N61" i="19" s="1"/>
  <c r="K61" i="22" s="1"/>
  <c r="U61" i="22" s="1"/>
  <c r="CA61" i="19" s="1"/>
  <c r="BC60" i="20"/>
  <c r="Z60" i="19"/>
  <c r="AM60" i="19" s="1"/>
  <c r="M60" i="19" s="1"/>
  <c r="BM60" i="19"/>
  <c r="AB61" i="18"/>
  <c r="AC61" i="18"/>
  <c r="L62" i="18"/>
  <c r="K62" i="18"/>
  <c r="BA62" i="20"/>
  <c r="X62" i="19"/>
  <c r="AK62" i="19" s="1"/>
  <c r="K62" i="19" s="1"/>
  <c r="BK62" i="19"/>
  <c r="AK62" i="18"/>
  <c r="G62" i="18" s="1"/>
  <c r="X62" i="18"/>
  <c r="I62" i="18" s="1"/>
  <c r="AX62" i="20" s="1"/>
  <c r="W62" i="18"/>
  <c r="AV61" i="20"/>
  <c r="BG61" i="19"/>
  <c r="AL62" i="18" s="1"/>
  <c r="T61" i="19"/>
  <c r="AG61" i="19" s="1"/>
  <c r="G61" i="19" s="1"/>
  <c r="G61" i="22" s="1"/>
  <c r="Q61" i="22" s="1"/>
  <c r="BV61" i="19" s="1"/>
  <c r="AN62" i="18" s="1"/>
  <c r="AJ62" i="18"/>
  <c r="F62" i="18" s="1"/>
  <c r="V63" i="18" s="1"/>
  <c r="BR62" i="19"/>
  <c r="E62" i="18"/>
  <c r="D62" i="18"/>
  <c r="S63" i="18" s="1"/>
  <c r="BP63" i="19" s="1"/>
  <c r="BP62" i="19"/>
  <c r="AG63" i="18" s="1"/>
  <c r="C63" i="18" s="1"/>
  <c r="BD62" i="19"/>
  <c r="AI63" i="18" s="1"/>
  <c r="Q64" i="18"/>
  <c r="O166" i="20"/>
  <c r="CI165" i="20"/>
  <c r="AS152" i="20"/>
  <c r="AJ152" i="20" s="1"/>
  <c r="CC152" i="20"/>
  <c r="AR152" i="20"/>
  <c r="AI152" i="20" s="1"/>
  <c r="CB152" i="20"/>
  <c r="AQ153" i="20"/>
  <c r="AH153" i="20" s="1"/>
  <c r="CA153" i="20"/>
  <c r="AC103" i="20"/>
  <c r="AT152" i="20"/>
  <c r="AK152" i="20" s="1"/>
  <c r="CD152" i="20"/>
  <c r="L169" i="20"/>
  <c r="CF168" i="20"/>
  <c r="AC62" i="19"/>
  <c r="C62" i="19" s="1"/>
  <c r="C62" i="22" s="1"/>
  <c r="BO63" i="19"/>
  <c r="AF64" i="18" s="1"/>
  <c r="N170" i="20"/>
  <c r="CH169" i="20"/>
  <c r="AN169" i="20"/>
  <c r="AE169" i="20" s="1"/>
  <c r="BX169" i="20"/>
  <c r="AS62" i="18" l="1"/>
  <c r="AR62" i="18"/>
  <c r="AE62" i="18"/>
  <c r="AT63" i="18" s="1"/>
  <c r="BZ61" i="19"/>
  <c r="N61" i="18"/>
  <c r="AC62" i="18" s="1"/>
  <c r="M61" i="18"/>
  <c r="BL61" i="19"/>
  <c r="AZ62" i="20"/>
  <c r="W62" i="19"/>
  <c r="AJ62" i="19" s="1"/>
  <c r="J62" i="19" s="1"/>
  <c r="AA63" i="18"/>
  <c r="BJ62" i="19"/>
  <c r="AN63" i="18"/>
  <c r="J62" i="18"/>
  <c r="T62" i="19"/>
  <c r="AG62" i="19" s="1"/>
  <c r="G62" i="19" s="1"/>
  <c r="G62" i="22" s="1"/>
  <c r="Q62" i="22" s="1"/>
  <c r="BV62" i="19" s="1"/>
  <c r="AV62" i="20"/>
  <c r="BG62" i="19"/>
  <c r="H62" i="18"/>
  <c r="W63" i="18" s="1"/>
  <c r="U62" i="19"/>
  <c r="AH62" i="19" s="1"/>
  <c r="H62" i="19" s="1"/>
  <c r="H62" i="22" s="1"/>
  <c r="R62" i="22" s="1"/>
  <c r="BW62" i="19" s="1"/>
  <c r="BF62" i="19"/>
  <c r="AU62" i="20"/>
  <c r="S62" i="19"/>
  <c r="AF62" i="19" s="1"/>
  <c r="F62" i="19" s="1"/>
  <c r="F62" i="22" s="1"/>
  <c r="P62" i="22" s="1"/>
  <c r="BU62" i="19" s="1"/>
  <c r="AG64" i="18"/>
  <c r="T63" i="18"/>
  <c r="Q62" i="19"/>
  <c r="AD62" i="19" s="1"/>
  <c r="D62" i="19" s="1"/>
  <c r="D62" i="22" s="1"/>
  <c r="N62" i="22" s="1"/>
  <c r="BS62" i="19" s="1"/>
  <c r="U63" i="18"/>
  <c r="BE62" i="19"/>
  <c r="R62" i="19"/>
  <c r="AE62" i="19" s="1"/>
  <c r="E62" i="19" s="1"/>
  <c r="E62" i="22" s="1"/>
  <c r="O62" i="22" s="1"/>
  <c r="BT62" i="19" s="1"/>
  <c r="BB64" i="19"/>
  <c r="B64" i="18"/>
  <c r="O64" i="19" s="1"/>
  <c r="AB64" i="19" s="1"/>
  <c r="B64" i="19" s="1"/>
  <c r="B64" i="22" s="1"/>
  <c r="L64" i="22" s="1"/>
  <c r="P154" i="20"/>
  <c r="CJ153" i="20"/>
  <c r="K104" i="20"/>
  <c r="CE103" i="20"/>
  <c r="S153" i="20"/>
  <c r="CM152" i="20"/>
  <c r="AP166" i="20"/>
  <c r="AG166" i="20" s="1"/>
  <c r="BZ166" i="20"/>
  <c r="Q153" i="20"/>
  <c r="CK152" i="20"/>
  <c r="R153" i="20"/>
  <c r="CL152" i="20"/>
  <c r="M62" i="22"/>
  <c r="BQ62" i="19"/>
  <c r="AH63" i="18" s="1"/>
  <c r="M170" i="20"/>
  <c r="CG169" i="20"/>
  <c r="AM169" i="20"/>
  <c r="AD169" i="20" s="1"/>
  <c r="BW169" i="20"/>
  <c r="AO170" i="20"/>
  <c r="AF170" i="20" s="1"/>
  <c r="BY170" i="20"/>
  <c r="R64" i="18"/>
  <c r="BC63" i="19"/>
  <c r="P63" i="19"/>
  <c r="P62" i="18" l="1"/>
  <c r="BN62" i="19"/>
  <c r="AB62" i="18"/>
  <c r="BB61" i="20"/>
  <c r="Y61" i="19"/>
  <c r="AL61" i="19" s="1"/>
  <c r="L61" i="19" s="1"/>
  <c r="J61" i="22" s="1"/>
  <c r="T61" i="22" s="1"/>
  <c r="BY61" i="19" s="1"/>
  <c r="AQ62" i="18" s="1"/>
  <c r="BC61" i="20"/>
  <c r="AD62" i="18"/>
  <c r="Z61" i="19"/>
  <c r="AM61" i="19" s="1"/>
  <c r="M61" i="19" s="1"/>
  <c r="BM61" i="19"/>
  <c r="N62" i="18"/>
  <c r="BZ62" i="19"/>
  <c r="AR63" i="18" s="1"/>
  <c r="AL63" i="18"/>
  <c r="AY62" i="20"/>
  <c r="V62" i="19"/>
  <c r="AI62" i="19" s="1"/>
  <c r="I62" i="19" s="1"/>
  <c r="I62" i="22" s="1"/>
  <c r="S62" i="22" s="1"/>
  <c r="BX62" i="19" s="1"/>
  <c r="AP63" i="18" s="1"/>
  <c r="BI62" i="19"/>
  <c r="AO63" i="18" s="1"/>
  <c r="Y63" i="18"/>
  <c r="Z63" i="18"/>
  <c r="H63" i="18"/>
  <c r="BH63" i="19" s="1"/>
  <c r="BH62" i="19"/>
  <c r="AM63" i="18" s="1"/>
  <c r="AW62" i="20"/>
  <c r="X63" i="18"/>
  <c r="AK63" i="18"/>
  <c r="AJ63" i="18"/>
  <c r="F63" i="18" s="1"/>
  <c r="U63" i="19"/>
  <c r="AH63" i="19" s="1"/>
  <c r="H63" i="19" s="1"/>
  <c r="H63" i="22" s="1"/>
  <c r="R63" i="22" s="1"/>
  <c r="AW63" i="20"/>
  <c r="E63" i="18"/>
  <c r="BR63" i="19"/>
  <c r="BD63" i="19"/>
  <c r="AI64" i="18" s="1"/>
  <c r="D63" i="18"/>
  <c r="Q65" i="18"/>
  <c r="AS153" i="20"/>
  <c r="AJ153" i="20" s="1"/>
  <c r="CC153" i="20"/>
  <c r="BV104" i="20"/>
  <c r="AL104" i="20"/>
  <c r="O167" i="20"/>
  <c r="CI166" i="20"/>
  <c r="AR153" i="20"/>
  <c r="AI153" i="20" s="1"/>
  <c r="CB153" i="20"/>
  <c r="AT153" i="20"/>
  <c r="AK153" i="20" s="1"/>
  <c r="CD153" i="20"/>
  <c r="AQ154" i="20"/>
  <c r="AH154" i="20" s="1"/>
  <c r="CA154" i="20"/>
  <c r="AN170" i="20"/>
  <c r="AE170" i="20" s="1"/>
  <c r="BX170" i="20"/>
  <c r="C64" i="18"/>
  <c r="BO64" i="19"/>
  <c r="AF65" i="18" s="1"/>
  <c r="N171" i="20"/>
  <c r="CH170" i="20"/>
  <c r="AC63" i="19"/>
  <c r="C63" i="19" s="1"/>
  <c r="C63" i="22" s="1"/>
  <c r="L170" i="20"/>
  <c r="CF169" i="20"/>
  <c r="BL62" i="19" l="1"/>
  <c r="Z62" i="19"/>
  <c r="AM62" i="19" s="1"/>
  <c r="M62" i="19" s="1"/>
  <c r="BM62" i="19"/>
  <c r="BC62" i="20"/>
  <c r="O62" i="18"/>
  <c r="M62" i="18"/>
  <c r="AB63" i="18" s="1"/>
  <c r="L63" i="18"/>
  <c r="K63" i="18"/>
  <c r="BW63" i="19"/>
  <c r="AZ63" i="20"/>
  <c r="W63" i="19"/>
  <c r="BJ63" i="19"/>
  <c r="AA64" i="18"/>
  <c r="J63" i="18"/>
  <c r="Y64" i="18" s="1"/>
  <c r="AM64" i="18"/>
  <c r="I63" i="18"/>
  <c r="AX63" i="20" s="1"/>
  <c r="G63" i="18"/>
  <c r="V64" i="18" s="1"/>
  <c r="S64" i="18"/>
  <c r="Q63" i="19"/>
  <c r="AD63" i="19" s="1"/>
  <c r="D63" i="19" s="1"/>
  <c r="D63" i="22" s="1"/>
  <c r="N63" i="22" s="1"/>
  <c r="BS63" i="19" s="1"/>
  <c r="BE63" i="19"/>
  <c r="R63" i="19"/>
  <c r="AE63" i="19" s="1"/>
  <c r="E63" i="19" s="1"/>
  <c r="E63" i="22" s="1"/>
  <c r="O63" i="22" s="1"/>
  <c r="BT63" i="19" s="1"/>
  <c r="T64" i="18"/>
  <c r="U64" i="18"/>
  <c r="BF63" i="19"/>
  <c r="S63" i="19"/>
  <c r="AF63" i="19" s="1"/>
  <c r="F63" i="19" s="1"/>
  <c r="F63" i="22" s="1"/>
  <c r="P63" i="22" s="1"/>
  <c r="BU63" i="19" s="1"/>
  <c r="AU63" i="20"/>
  <c r="BB65" i="19"/>
  <c r="B65" i="18"/>
  <c r="O65" i="19" s="1"/>
  <c r="AB65" i="19" s="1"/>
  <c r="B65" i="19" s="1"/>
  <c r="B65" i="22" s="1"/>
  <c r="L65" i="22" s="1"/>
  <c r="Q154" i="20"/>
  <c r="CK153" i="20"/>
  <c r="S154" i="20"/>
  <c r="CM153" i="20"/>
  <c r="AC104" i="20"/>
  <c r="AP167" i="20"/>
  <c r="AG167" i="20" s="1"/>
  <c r="BZ167" i="20"/>
  <c r="P155" i="20"/>
  <c r="CJ154" i="20"/>
  <c r="R154" i="20"/>
  <c r="CL153" i="20"/>
  <c r="M63" i="22"/>
  <c r="BQ63" i="19"/>
  <c r="AH64" i="18" s="1"/>
  <c r="R65" i="18"/>
  <c r="BC64" i="19"/>
  <c r="P64" i="19"/>
  <c r="AM170" i="20"/>
  <c r="AD170" i="20" s="1"/>
  <c r="BW170" i="20"/>
  <c r="M171" i="20"/>
  <c r="CG170" i="20"/>
  <c r="AO171" i="20"/>
  <c r="AF171" i="20" s="1"/>
  <c r="BY171" i="20"/>
  <c r="AA62" i="19" l="1"/>
  <c r="AN62" i="19" s="1"/>
  <c r="N62" i="19" s="1"/>
  <c r="K62" i="22" s="1"/>
  <c r="U62" i="22" s="1"/>
  <c r="CA62" i="19" s="1"/>
  <c r="AS63" i="18" s="1"/>
  <c r="AE63" i="18"/>
  <c r="AD63" i="18"/>
  <c r="BB62" i="20"/>
  <c r="Y62" i="19"/>
  <c r="AL62" i="19" s="1"/>
  <c r="L62" i="19" s="1"/>
  <c r="J62" i="22" s="1"/>
  <c r="T62" i="22" s="1"/>
  <c r="BY62" i="19" s="1"/>
  <c r="AQ63" i="18" s="1"/>
  <c r="AC63" i="18"/>
  <c r="BK63" i="19"/>
  <c r="X63" i="19"/>
  <c r="AK63" i="19" s="1"/>
  <c r="K63" i="19" s="1"/>
  <c r="BA63" i="20"/>
  <c r="AK64" i="18"/>
  <c r="X64" i="18"/>
  <c r="I64" i="18" s="1"/>
  <c r="AX64" i="20" s="1"/>
  <c r="AJ63" i="19"/>
  <c r="J63" i="19"/>
  <c r="AY63" i="20"/>
  <c r="V63" i="19"/>
  <c r="AI63" i="19" s="1"/>
  <c r="I63" i="19" s="1"/>
  <c r="I63" i="22" s="1"/>
  <c r="S63" i="22" s="1"/>
  <c r="BX63" i="19" s="1"/>
  <c r="AP64" i="18" s="1"/>
  <c r="BI63" i="19"/>
  <c r="AO64" i="18" s="1"/>
  <c r="Z64" i="18"/>
  <c r="AJ64" i="18"/>
  <c r="G64" i="18"/>
  <c r="AV64" i="20" s="1"/>
  <c r="AV63" i="20"/>
  <c r="BG63" i="19"/>
  <c r="AL64" i="18" s="1"/>
  <c r="T63" i="19"/>
  <c r="AG63" i="19" s="1"/>
  <c r="G63" i="19" s="1"/>
  <c r="G63" i="22" s="1"/>
  <c r="Q63" i="22" s="1"/>
  <c r="BV63" i="19" s="1"/>
  <c r="AN64" i="18" s="1"/>
  <c r="W64" i="18"/>
  <c r="BD64" i="19"/>
  <c r="BR64" i="19"/>
  <c r="E64" i="18"/>
  <c r="D64" i="18"/>
  <c r="BP64" i="19"/>
  <c r="AG65" i="18" s="1"/>
  <c r="BG64" i="19"/>
  <c r="F64" i="18"/>
  <c r="Q66" i="18"/>
  <c r="CE104" i="20"/>
  <c r="K105" i="20"/>
  <c r="AS154" i="20"/>
  <c r="AJ154" i="20" s="1"/>
  <c r="CC154" i="20"/>
  <c r="AQ155" i="20"/>
  <c r="AH155" i="20" s="1"/>
  <c r="CA155" i="20"/>
  <c r="O168" i="20"/>
  <c r="CI167" i="20"/>
  <c r="AT154" i="20"/>
  <c r="AK154" i="20" s="1"/>
  <c r="CD154" i="20"/>
  <c r="AR154" i="20"/>
  <c r="AI154" i="20" s="1"/>
  <c r="CB154" i="20"/>
  <c r="AN171" i="20"/>
  <c r="AE171" i="20" s="1"/>
  <c r="BX171" i="20"/>
  <c r="AC64" i="19"/>
  <c r="C64" i="19" s="1"/>
  <c r="C64" i="22" s="1"/>
  <c r="N172" i="20"/>
  <c r="CH171" i="20"/>
  <c r="L171" i="20"/>
  <c r="CF170" i="20"/>
  <c r="BO65" i="19"/>
  <c r="AF66" i="18" s="1"/>
  <c r="C65" i="18"/>
  <c r="P63" i="18" l="1"/>
  <c r="AT64" i="18"/>
  <c r="O63" i="18"/>
  <c r="AA63" i="19" s="1"/>
  <c r="AN63" i="19" s="1"/>
  <c r="N63" i="19" s="1"/>
  <c r="K63" i="22" s="1"/>
  <c r="U63" i="22" s="1"/>
  <c r="CA63" i="19" s="1"/>
  <c r="AS64" i="18" s="1"/>
  <c r="AE64" i="18"/>
  <c r="P64" i="18" s="1"/>
  <c r="BN63" i="19"/>
  <c r="BZ63" i="19"/>
  <c r="AR64" i="18" s="1"/>
  <c r="N63" i="18"/>
  <c r="BL63" i="19"/>
  <c r="M63" i="18"/>
  <c r="L64" i="18"/>
  <c r="K64" i="18"/>
  <c r="BA64" i="20"/>
  <c r="X64" i="19"/>
  <c r="AK64" i="19" s="1"/>
  <c r="K64" i="19" s="1"/>
  <c r="BK64" i="19"/>
  <c r="T64" i="19"/>
  <c r="AG64" i="19" s="1"/>
  <c r="G64" i="19" s="1"/>
  <c r="G64" i="22" s="1"/>
  <c r="Q64" i="22" s="1"/>
  <c r="BV64" i="19" s="1"/>
  <c r="AN65" i="18" s="1"/>
  <c r="J64" i="18"/>
  <c r="Z65" i="18" s="1"/>
  <c r="AZ64" i="20"/>
  <c r="W64" i="19"/>
  <c r="AJ64" i="19" s="1"/>
  <c r="J64" i="19" s="1"/>
  <c r="BJ64" i="19"/>
  <c r="U65" i="18"/>
  <c r="AA65" i="18"/>
  <c r="H64" i="18"/>
  <c r="W65" i="18" s="1"/>
  <c r="AI65" i="18"/>
  <c r="AW64" i="20"/>
  <c r="V65" i="18"/>
  <c r="AU64" i="20"/>
  <c r="BF64" i="19"/>
  <c r="S64" i="19"/>
  <c r="AF64" i="19" s="1"/>
  <c r="F64" i="19" s="1"/>
  <c r="F64" i="22" s="1"/>
  <c r="P64" i="22" s="1"/>
  <c r="BU64" i="19" s="1"/>
  <c r="AL65" i="18" s="1"/>
  <c r="R64" i="19"/>
  <c r="AE64" i="19" s="1"/>
  <c r="E64" i="19" s="1"/>
  <c r="E64" i="22" s="1"/>
  <c r="O64" i="22" s="1"/>
  <c r="BT64" i="19" s="1"/>
  <c r="T65" i="18"/>
  <c r="BE64" i="19"/>
  <c r="Q64" i="19"/>
  <c r="AD64" i="19" s="1"/>
  <c r="D64" i="19" s="1"/>
  <c r="D64" i="22" s="1"/>
  <c r="N64" i="22" s="1"/>
  <c r="BS64" i="19" s="1"/>
  <c r="S65" i="18"/>
  <c r="BB66" i="19"/>
  <c r="B66" i="18"/>
  <c r="O66" i="19" s="1"/>
  <c r="AB66" i="19" s="1"/>
  <c r="B66" i="19" s="1"/>
  <c r="B66" i="22" s="1"/>
  <c r="L66" i="22" s="1"/>
  <c r="S155" i="20"/>
  <c r="CM154" i="20"/>
  <c r="AP168" i="20"/>
  <c r="AG168" i="20" s="1"/>
  <c r="BZ168" i="20"/>
  <c r="R155" i="20"/>
  <c r="CL154" i="20"/>
  <c r="AL105" i="20"/>
  <c r="BV105" i="20"/>
  <c r="Q155" i="20"/>
  <c r="CK154" i="20"/>
  <c r="P156" i="20"/>
  <c r="CJ155" i="20"/>
  <c r="M64" i="22"/>
  <c r="BQ64" i="19"/>
  <c r="AH65" i="18" s="1"/>
  <c r="AO172" i="20"/>
  <c r="AF172" i="20" s="1"/>
  <c r="BY172" i="20"/>
  <c r="AM171" i="20"/>
  <c r="AD171" i="20" s="1"/>
  <c r="BW171" i="20"/>
  <c r="M172" i="20"/>
  <c r="CG171" i="20"/>
  <c r="R66" i="18"/>
  <c r="BC65" i="19"/>
  <c r="P65" i="19"/>
  <c r="AT65" i="18" l="1"/>
  <c r="BN64" i="19"/>
  <c r="BB63" i="20"/>
  <c r="Y63" i="19"/>
  <c r="AL63" i="19" s="1"/>
  <c r="L63" i="19" s="1"/>
  <c r="J63" i="22" s="1"/>
  <c r="T63" i="22" s="1"/>
  <c r="BY63" i="19" s="1"/>
  <c r="AQ64" i="18" s="1"/>
  <c r="AB64" i="18"/>
  <c r="AC64" i="18"/>
  <c r="AD64" i="18"/>
  <c r="Z63" i="19"/>
  <c r="AM63" i="19" s="1"/>
  <c r="M63" i="19" s="1"/>
  <c r="BM63" i="19"/>
  <c r="BC63" i="20"/>
  <c r="AK65" i="18"/>
  <c r="X65" i="18"/>
  <c r="AY64" i="20"/>
  <c r="V64" i="19"/>
  <c r="AI64" i="19" s="1"/>
  <c r="I64" i="19" s="1"/>
  <c r="I64" i="22" s="1"/>
  <c r="S64" i="22" s="1"/>
  <c r="BX64" i="19" s="1"/>
  <c r="AP65" i="18" s="1"/>
  <c r="BI64" i="19"/>
  <c r="Y65" i="18"/>
  <c r="BH64" i="19"/>
  <c r="AM65" i="18" s="1"/>
  <c r="I65" i="18" s="1"/>
  <c r="AX65" i="20" s="1"/>
  <c r="U64" i="19"/>
  <c r="AH64" i="19" s="1"/>
  <c r="H64" i="19" s="1"/>
  <c r="H64" i="22" s="1"/>
  <c r="R64" i="22" s="1"/>
  <c r="BW64" i="19" s="1"/>
  <c r="H65" i="18"/>
  <c r="AJ65" i="18"/>
  <c r="BD65" i="19"/>
  <c r="BP65" i="19"/>
  <c r="AG66" i="18" s="1"/>
  <c r="D65" i="18"/>
  <c r="Q65" i="19" s="1"/>
  <c r="AD65" i="19" s="1"/>
  <c r="D65" i="19" s="1"/>
  <c r="D65" i="22" s="1"/>
  <c r="N65" i="22" s="1"/>
  <c r="BS65" i="19" s="1"/>
  <c r="BR65" i="19"/>
  <c r="E65" i="18"/>
  <c r="S66" i="18"/>
  <c r="U65" i="19"/>
  <c r="AH65" i="19" s="1"/>
  <c r="H65" i="19" s="1"/>
  <c r="H65" i="22" s="1"/>
  <c r="R65" i="22" s="1"/>
  <c r="BW65" i="19" s="1"/>
  <c r="AW65" i="20"/>
  <c r="BH65" i="19"/>
  <c r="G65" i="18"/>
  <c r="Q67" i="18"/>
  <c r="AC105" i="20"/>
  <c r="O169" i="20"/>
  <c r="CI168" i="20"/>
  <c r="AQ156" i="20"/>
  <c r="AH156" i="20" s="1"/>
  <c r="CA156" i="20"/>
  <c r="AR155" i="20"/>
  <c r="AI155" i="20" s="1"/>
  <c r="CB155" i="20"/>
  <c r="AS155" i="20"/>
  <c r="AJ155" i="20" s="1"/>
  <c r="CC155" i="20"/>
  <c r="AT155" i="20"/>
  <c r="AK155" i="20" s="1"/>
  <c r="CD155" i="20"/>
  <c r="AN172" i="20"/>
  <c r="AE172" i="20" s="1"/>
  <c r="BX172" i="20"/>
  <c r="L172" i="20"/>
  <c r="CF171" i="20"/>
  <c r="AC65" i="19"/>
  <c r="C65" i="19" s="1"/>
  <c r="C65" i="22" s="1"/>
  <c r="C66" i="18"/>
  <c r="BO66" i="19"/>
  <c r="AF67" i="18" s="1"/>
  <c r="N173" i="20"/>
  <c r="CH172" i="20"/>
  <c r="AR65" i="18" l="1"/>
  <c r="N64" i="18"/>
  <c r="AC65" i="18" s="1"/>
  <c r="BZ64" i="19"/>
  <c r="M64" i="18"/>
  <c r="BL64" i="19"/>
  <c r="O64" i="18"/>
  <c r="L65" i="18"/>
  <c r="AO65" i="18"/>
  <c r="BA65" i="20"/>
  <c r="X65" i="19"/>
  <c r="AK65" i="19" s="1"/>
  <c r="K65" i="19" s="1"/>
  <c r="BK65" i="19"/>
  <c r="J65" i="18"/>
  <c r="Y66" i="18"/>
  <c r="X66" i="18"/>
  <c r="AM66" i="18"/>
  <c r="AI66" i="18"/>
  <c r="F65" i="18"/>
  <c r="BG65" i="19"/>
  <c r="T65" i="19"/>
  <c r="AG65" i="19" s="1"/>
  <c r="G65" i="19" s="1"/>
  <c r="G65" i="22" s="1"/>
  <c r="Q65" i="22" s="1"/>
  <c r="BV65" i="19" s="1"/>
  <c r="AN66" i="18" s="1"/>
  <c r="AV65" i="20"/>
  <c r="W66" i="18"/>
  <c r="BP66" i="19"/>
  <c r="AG67" i="18" s="1"/>
  <c r="BE65" i="19"/>
  <c r="AJ66" i="18" s="1"/>
  <c r="R65" i="19"/>
  <c r="AE65" i="19" s="1"/>
  <c r="E65" i="19" s="1"/>
  <c r="E65" i="22" s="1"/>
  <c r="O65" i="22" s="1"/>
  <c r="BT65" i="19" s="1"/>
  <c r="T66" i="18"/>
  <c r="U66" i="18"/>
  <c r="BB67" i="19"/>
  <c r="B67" i="18"/>
  <c r="O67" i="19" s="1"/>
  <c r="AB67" i="19" s="1"/>
  <c r="B67" i="19" s="1"/>
  <c r="B67" i="22" s="1"/>
  <c r="L67" i="22" s="1"/>
  <c r="S156" i="20"/>
  <c r="CM155" i="20"/>
  <c r="R156" i="20"/>
  <c r="CL155" i="20"/>
  <c r="P157" i="20"/>
  <c r="CJ156" i="20"/>
  <c r="AP169" i="20"/>
  <c r="AG169" i="20" s="1"/>
  <c r="BZ169" i="20"/>
  <c r="Q156" i="20"/>
  <c r="CK155" i="20"/>
  <c r="CE105" i="20"/>
  <c r="K106" i="20"/>
  <c r="M65" i="22"/>
  <c r="BQ65" i="19"/>
  <c r="AH66" i="18" s="1"/>
  <c r="AM172" i="20"/>
  <c r="AD172" i="20" s="1"/>
  <c r="BW172" i="20"/>
  <c r="AO173" i="20"/>
  <c r="AF173" i="20" s="1"/>
  <c r="BY173" i="20"/>
  <c r="R67" i="18"/>
  <c r="BC66" i="19"/>
  <c r="P66" i="19"/>
  <c r="M173" i="20"/>
  <c r="CG172" i="20"/>
  <c r="BZ65" i="19" l="1"/>
  <c r="AR66" i="18" s="1"/>
  <c r="N65" i="18"/>
  <c r="AA64" i="19"/>
  <c r="AN64" i="19" s="1"/>
  <c r="N64" i="19" s="1"/>
  <c r="K64" i="22" s="1"/>
  <c r="U64" i="22" s="1"/>
  <c r="CA64" i="19" s="1"/>
  <c r="AS65" i="18" s="1"/>
  <c r="AE65" i="18"/>
  <c r="AT66" i="18" s="1"/>
  <c r="BB64" i="20"/>
  <c r="Y64" i="19"/>
  <c r="AL64" i="19" s="1"/>
  <c r="L64" i="19" s="1"/>
  <c r="J64" i="22" s="1"/>
  <c r="T64" i="22" s="1"/>
  <c r="BY64" i="19" s="1"/>
  <c r="AQ65" i="18" s="1"/>
  <c r="AD65" i="18"/>
  <c r="AB65" i="18"/>
  <c r="BC64" i="20"/>
  <c r="BM64" i="19"/>
  <c r="Z64" i="19"/>
  <c r="AM64" i="19" s="1"/>
  <c r="M64" i="19" s="1"/>
  <c r="K65" i="18"/>
  <c r="J66" i="18"/>
  <c r="Y67" i="18" s="1"/>
  <c r="AY65" i="20"/>
  <c r="BI65" i="19"/>
  <c r="AO66" i="18" s="1"/>
  <c r="V65" i="19"/>
  <c r="AI65" i="19" s="1"/>
  <c r="I65" i="19" s="1"/>
  <c r="I65" i="22" s="1"/>
  <c r="S65" i="22" s="1"/>
  <c r="BX65" i="19" s="1"/>
  <c r="Z66" i="18"/>
  <c r="I66" i="18"/>
  <c r="AX66" i="20" s="1"/>
  <c r="BF65" i="19"/>
  <c r="AK66" i="18" s="1"/>
  <c r="AU65" i="20"/>
  <c r="S65" i="19"/>
  <c r="AF65" i="19" s="1"/>
  <c r="F65" i="19" s="1"/>
  <c r="F65" i="22" s="1"/>
  <c r="P65" i="22" s="1"/>
  <c r="BU65" i="19" s="1"/>
  <c r="AL66" i="18" s="1"/>
  <c r="V66" i="18"/>
  <c r="F66" i="18"/>
  <c r="BD66" i="19"/>
  <c r="E66" i="18"/>
  <c r="BR66" i="19"/>
  <c r="D66" i="18"/>
  <c r="Q68" i="18"/>
  <c r="BV106" i="20"/>
  <c r="AL106" i="20"/>
  <c r="AR156" i="20"/>
  <c r="AI156" i="20" s="1"/>
  <c r="CB156" i="20"/>
  <c r="O170" i="20"/>
  <c r="CI169" i="20"/>
  <c r="AQ157" i="20"/>
  <c r="AH157" i="20" s="1"/>
  <c r="CA157" i="20"/>
  <c r="AS156" i="20"/>
  <c r="AJ156" i="20" s="1"/>
  <c r="CC156" i="20"/>
  <c r="AT156" i="20"/>
  <c r="AK156" i="20" s="1"/>
  <c r="CD156" i="20"/>
  <c r="AC66" i="19"/>
  <c r="C66" i="19" s="1"/>
  <c r="C66" i="22" s="1"/>
  <c r="N174" i="20"/>
  <c r="CH173" i="20"/>
  <c r="L173" i="20"/>
  <c r="CF172" i="20"/>
  <c r="AN173" i="20"/>
  <c r="AE173" i="20" s="1"/>
  <c r="BX173" i="20"/>
  <c r="C67" i="18"/>
  <c r="BO67" i="19"/>
  <c r="AF68" i="18" s="1"/>
  <c r="BN65" i="19" l="1"/>
  <c r="O65" i="18"/>
  <c r="AA65" i="19" s="1"/>
  <c r="AN65" i="19" s="1"/>
  <c r="N65" i="19" s="1"/>
  <c r="K65" i="22" s="1"/>
  <c r="U65" i="22" s="1"/>
  <c r="CA65" i="19" s="1"/>
  <c r="AS66" i="18" s="1"/>
  <c r="BL65" i="19"/>
  <c r="BM65" i="19"/>
  <c r="BC65" i="20"/>
  <c r="Z65" i="19"/>
  <c r="AM65" i="19" s="1"/>
  <c r="M65" i="19" s="1"/>
  <c r="M65" i="18"/>
  <c r="AB66" i="18"/>
  <c r="P65" i="18"/>
  <c r="AE66" i="18"/>
  <c r="AT67" i="18" s="1"/>
  <c r="BJ65" i="19"/>
  <c r="AP66" i="18" s="1"/>
  <c r="AZ65" i="20"/>
  <c r="W65" i="19"/>
  <c r="AJ65" i="19" s="1"/>
  <c r="J65" i="19" s="1"/>
  <c r="AA66" i="18"/>
  <c r="L66" i="18" s="1"/>
  <c r="K66" i="18"/>
  <c r="Z67" i="18" s="1"/>
  <c r="AY66" i="20"/>
  <c r="V66" i="19"/>
  <c r="AI66" i="19" s="1"/>
  <c r="I66" i="19" s="1"/>
  <c r="I66" i="22" s="1"/>
  <c r="S66" i="22" s="1"/>
  <c r="BI66" i="19"/>
  <c r="AO67" i="18" s="1"/>
  <c r="H66" i="18"/>
  <c r="G66" i="18"/>
  <c r="V67" i="18" s="1"/>
  <c r="AI67" i="18"/>
  <c r="AU66" i="20"/>
  <c r="S66" i="19"/>
  <c r="AF66" i="19" s="1"/>
  <c r="F66" i="19" s="1"/>
  <c r="F66" i="22" s="1"/>
  <c r="P66" i="22" s="1"/>
  <c r="BU66" i="19" s="1"/>
  <c r="BF66" i="19"/>
  <c r="AV66" i="20"/>
  <c r="T67" i="18"/>
  <c r="BE66" i="19"/>
  <c r="R66" i="19"/>
  <c r="AE66" i="19" s="1"/>
  <c r="E66" i="19" s="1"/>
  <c r="E66" i="22" s="1"/>
  <c r="O66" i="22" s="1"/>
  <c r="BT66" i="19" s="1"/>
  <c r="BH66" i="19"/>
  <c r="AM67" i="18" s="1"/>
  <c r="U66" i="19"/>
  <c r="AH66" i="19" s="1"/>
  <c r="H66" i="19" s="1"/>
  <c r="H66" i="22" s="1"/>
  <c r="R66" i="22" s="1"/>
  <c r="BW66" i="19" s="1"/>
  <c r="AW66" i="20"/>
  <c r="X67" i="18"/>
  <c r="U67" i="18"/>
  <c r="Q66" i="19"/>
  <c r="AD66" i="19" s="1"/>
  <c r="D66" i="19" s="1"/>
  <c r="D66" i="22" s="1"/>
  <c r="N66" i="22" s="1"/>
  <c r="BS66" i="19" s="1"/>
  <c r="S67" i="18"/>
  <c r="BB68" i="19"/>
  <c r="B68" i="18"/>
  <c r="O68" i="19" s="1"/>
  <c r="AB68" i="19" s="1"/>
  <c r="B68" i="19" s="1"/>
  <c r="B68" i="22" s="1"/>
  <c r="L68" i="22" s="1"/>
  <c r="AP170" i="20"/>
  <c r="AG170" i="20" s="1"/>
  <c r="BZ170" i="20"/>
  <c r="S157" i="20"/>
  <c r="CM156" i="20"/>
  <c r="R157" i="20"/>
  <c r="CL156" i="20"/>
  <c r="P158" i="20"/>
  <c r="CJ157" i="20"/>
  <c r="Q157" i="20"/>
  <c r="CK156" i="20"/>
  <c r="AC106" i="20"/>
  <c r="M174" i="20"/>
  <c r="CG173" i="20"/>
  <c r="AM173" i="20"/>
  <c r="AD173" i="20" s="1"/>
  <c r="BW173" i="20"/>
  <c r="M66" i="22"/>
  <c r="BQ66" i="19"/>
  <c r="AH67" i="18" s="1"/>
  <c r="R68" i="18"/>
  <c r="BC67" i="19"/>
  <c r="P67" i="19"/>
  <c r="AO174" i="20"/>
  <c r="AF174" i="20" s="1"/>
  <c r="BY174" i="20"/>
  <c r="BN66" i="19" l="1"/>
  <c r="P66" i="18"/>
  <c r="AD66" i="18"/>
  <c r="Y65" i="19"/>
  <c r="AL65" i="19" s="1"/>
  <c r="L65" i="19" s="1"/>
  <c r="J65" i="22" s="1"/>
  <c r="T65" i="22" s="1"/>
  <c r="BY65" i="19" s="1"/>
  <c r="AQ66" i="18" s="1"/>
  <c r="M66" i="18" s="1"/>
  <c r="BB65" i="20"/>
  <c r="AC66" i="18"/>
  <c r="BX66" i="19"/>
  <c r="BA66" i="20"/>
  <c r="X66" i="19"/>
  <c r="AK66" i="19" s="1"/>
  <c r="K66" i="19" s="1"/>
  <c r="BK66" i="19"/>
  <c r="BG66" i="19"/>
  <c r="W67" i="18"/>
  <c r="T66" i="19"/>
  <c r="AG66" i="19" s="1"/>
  <c r="G66" i="19" s="1"/>
  <c r="G66" i="22" s="1"/>
  <c r="Q66" i="22" s="1"/>
  <c r="BV66" i="19" s="1"/>
  <c r="AN67" i="18" s="1"/>
  <c r="K67" i="18"/>
  <c r="AZ66" i="20"/>
  <c r="W66" i="19"/>
  <c r="AJ66" i="19" s="1"/>
  <c r="J66" i="19" s="1"/>
  <c r="BJ66" i="19"/>
  <c r="AP67" i="18" s="1"/>
  <c r="AA67" i="18"/>
  <c r="AL67" i="18"/>
  <c r="H67" i="18" s="1"/>
  <c r="AK67" i="18"/>
  <c r="G67" i="18" s="1"/>
  <c r="W68" i="18" s="1"/>
  <c r="AJ67" i="18"/>
  <c r="BP67" i="19"/>
  <c r="AG68" i="18" s="1"/>
  <c r="C68" i="18" s="1"/>
  <c r="D67" i="18"/>
  <c r="BD67" i="19"/>
  <c r="I67" i="18"/>
  <c r="AX67" i="20" s="1"/>
  <c r="BR67" i="19"/>
  <c r="E67" i="18"/>
  <c r="Q69" i="18"/>
  <c r="AT157" i="20"/>
  <c r="AK157" i="20" s="1"/>
  <c r="CD157" i="20"/>
  <c r="CE106" i="20"/>
  <c r="K107" i="20"/>
  <c r="AR157" i="20"/>
  <c r="AI157" i="20" s="1"/>
  <c r="CB157" i="20"/>
  <c r="AQ158" i="20"/>
  <c r="AH158" i="20" s="1"/>
  <c r="CA158" i="20"/>
  <c r="AS157" i="20"/>
  <c r="AJ157" i="20" s="1"/>
  <c r="CC157" i="20"/>
  <c r="O171" i="20"/>
  <c r="CI170" i="20"/>
  <c r="N175" i="20"/>
  <c r="CH174" i="20"/>
  <c r="AC67" i="19"/>
  <c r="C67" i="19" s="1"/>
  <c r="C67" i="22" s="1"/>
  <c r="BO68" i="19"/>
  <c r="AF69" i="18" s="1"/>
  <c r="L174" i="20"/>
  <c r="CF173" i="20"/>
  <c r="AN174" i="20"/>
  <c r="AE174" i="20" s="1"/>
  <c r="BX174" i="20"/>
  <c r="BB66" i="20" l="1"/>
  <c r="Y66" i="19"/>
  <c r="AL66" i="19" s="1"/>
  <c r="L66" i="19" s="1"/>
  <c r="J66" i="22" s="1"/>
  <c r="T66" i="22" s="1"/>
  <c r="BY66" i="19" s="1"/>
  <c r="AB67" i="18"/>
  <c r="BZ66" i="19"/>
  <c r="AR67" i="18" s="1"/>
  <c r="N66" i="18"/>
  <c r="AC67" i="18" s="1"/>
  <c r="O66" i="18"/>
  <c r="AA66" i="19" s="1"/>
  <c r="AN66" i="19" s="1"/>
  <c r="N66" i="19" s="1"/>
  <c r="K66" i="22" s="1"/>
  <c r="U66" i="22" s="1"/>
  <c r="CA66" i="19" s="1"/>
  <c r="AS67" i="18" s="1"/>
  <c r="AQ67" i="18"/>
  <c r="BL66" i="19"/>
  <c r="L67" i="18"/>
  <c r="AA68" i="18" s="1"/>
  <c r="AZ67" i="20"/>
  <c r="W67" i="19"/>
  <c r="AJ67" i="19" s="1"/>
  <c r="J67" i="19" s="1"/>
  <c r="BJ67" i="19"/>
  <c r="AN68" i="18"/>
  <c r="J67" i="18"/>
  <c r="T67" i="19"/>
  <c r="AG67" i="19" s="1"/>
  <c r="G67" i="19" s="1"/>
  <c r="G67" i="22" s="1"/>
  <c r="Q67" i="22" s="1"/>
  <c r="BV67" i="19" s="1"/>
  <c r="AV67" i="20"/>
  <c r="AW67" i="20"/>
  <c r="U67" i="19"/>
  <c r="AH67" i="19" s="1"/>
  <c r="H67" i="19" s="1"/>
  <c r="H67" i="22" s="1"/>
  <c r="R67" i="22" s="1"/>
  <c r="BW67" i="19" s="1"/>
  <c r="BH67" i="19"/>
  <c r="AM68" i="18" s="1"/>
  <c r="BG67" i="19"/>
  <c r="AI68" i="18"/>
  <c r="F67" i="18"/>
  <c r="U68" i="18" s="1"/>
  <c r="BE67" i="19"/>
  <c r="R67" i="19"/>
  <c r="AE67" i="19" s="1"/>
  <c r="E67" i="19" s="1"/>
  <c r="E67" i="22" s="1"/>
  <c r="O67" i="22" s="1"/>
  <c r="BT67" i="19" s="1"/>
  <c r="T68" i="18"/>
  <c r="X68" i="18"/>
  <c r="S68" i="18"/>
  <c r="Q67" i="19"/>
  <c r="AD67" i="19" s="1"/>
  <c r="D67" i="19" s="1"/>
  <c r="D67" i="22" s="1"/>
  <c r="N67" i="22" s="1"/>
  <c r="BS67" i="19" s="1"/>
  <c r="BB69" i="19"/>
  <c r="B69" i="18"/>
  <c r="O69" i="19" s="1"/>
  <c r="AB69" i="19" s="1"/>
  <c r="B69" i="19" s="1"/>
  <c r="B69" i="22" s="1"/>
  <c r="L69" i="22" s="1"/>
  <c r="AP171" i="20"/>
  <c r="AG171" i="20" s="1"/>
  <c r="BZ171" i="20"/>
  <c r="R158" i="20"/>
  <c r="CL157" i="20"/>
  <c r="Q158" i="20"/>
  <c r="CK157" i="20"/>
  <c r="AL107" i="20"/>
  <c r="BV107" i="20"/>
  <c r="P159" i="20"/>
  <c r="CJ158" i="20"/>
  <c r="S158" i="20"/>
  <c r="CM157" i="20"/>
  <c r="M67" i="22"/>
  <c r="BQ67" i="19"/>
  <c r="AH68" i="18" s="1"/>
  <c r="AO175" i="20"/>
  <c r="AF175" i="20" s="1"/>
  <c r="BY175" i="20"/>
  <c r="R69" i="18"/>
  <c r="BC68" i="19"/>
  <c r="P68" i="19"/>
  <c r="M175" i="20"/>
  <c r="CG174" i="20"/>
  <c r="AM174" i="20"/>
  <c r="AD174" i="20" s="1"/>
  <c r="BW174" i="20"/>
  <c r="BN67" i="19" l="1"/>
  <c r="BZ67" i="19"/>
  <c r="AR68" i="18" s="1"/>
  <c r="N67" i="18"/>
  <c r="AE67" i="18"/>
  <c r="AT68" i="18" s="1"/>
  <c r="M67" i="18"/>
  <c r="AC68" i="18" s="1"/>
  <c r="BL67" i="19"/>
  <c r="BC66" i="20"/>
  <c r="Z66" i="19"/>
  <c r="AM66" i="19" s="1"/>
  <c r="M66" i="19" s="1"/>
  <c r="BM66" i="19"/>
  <c r="AD67" i="18"/>
  <c r="O67" i="18" s="1"/>
  <c r="AA67" i="19" s="1"/>
  <c r="AN67" i="19" s="1"/>
  <c r="N67" i="19" s="1"/>
  <c r="K67" i="22" s="1"/>
  <c r="U67" i="22" s="1"/>
  <c r="CA67" i="19" s="1"/>
  <c r="BA67" i="20"/>
  <c r="X67" i="19"/>
  <c r="AK67" i="19" s="1"/>
  <c r="K67" i="19" s="1"/>
  <c r="BK67" i="19"/>
  <c r="AB68" i="18"/>
  <c r="Y68" i="18"/>
  <c r="AY67" i="20"/>
  <c r="V67" i="19"/>
  <c r="AI67" i="19" s="1"/>
  <c r="I67" i="19" s="1"/>
  <c r="I67" i="22" s="1"/>
  <c r="S67" i="22" s="1"/>
  <c r="BX67" i="19" s="1"/>
  <c r="AP68" i="18" s="1"/>
  <c r="BI67" i="19"/>
  <c r="AO68" i="18" s="1"/>
  <c r="Z68" i="18"/>
  <c r="AJ68" i="18"/>
  <c r="F68" i="18" s="1"/>
  <c r="BF67" i="19"/>
  <c r="AK68" i="18" s="1"/>
  <c r="V68" i="18"/>
  <c r="AU67" i="20"/>
  <c r="S67" i="19"/>
  <c r="AF67" i="19" s="1"/>
  <c r="F67" i="19" s="1"/>
  <c r="F67" i="22" s="1"/>
  <c r="P67" i="22" s="1"/>
  <c r="BU67" i="19" s="1"/>
  <c r="AL68" i="18" s="1"/>
  <c r="Q70" i="18"/>
  <c r="E68" i="18"/>
  <c r="BR68" i="19"/>
  <c r="BP68" i="19"/>
  <c r="AG69" i="18" s="1"/>
  <c r="C69" i="18" s="1"/>
  <c r="D68" i="18"/>
  <c r="BD68" i="19"/>
  <c r="I68" i="18"/>
  <c r="AX68" i="20" s="1"/>
  <c r="AC107" i="20"/>
  <c r="AR158" i="20"/>
  <c r="AI158" i="20" s="1"/>
  <c r="CB158" i="20"/>
  <c r="AS158" i="20"/>
  <c r="AJ158" i="20" s="1"/>
  <c r="CC158" i="20"/>
  <c r="AT158" i="20"/>
  <c r="AK158" i="20" s="1"/>
  <c r="CD158" i="20"/>
  <c r="AQ159" i="20"/>
  <c r="AH159" i="20" s="1"/>
  <c r="CA159" i="20"/>
  <c r="O172" i="20"/>
  <c r="CI171" i="20"/>
  <c r="AC68" i="19"/>
  <c r="C68" i="19" s="1"/>
  <c r="C68" i="22" s="1"/>
  <c r="N176" i="20"/>
  <c r="CH175" i="20"/>
  <c r="AN175" i="20"/>
  <c r="AE175" i="20" s="1"/>
  <c r="BX175" i="20"/>
  <c r="L175" i="20"/>
  <c r="CF174" i="20"/>
  <c r="BO69" i="19"/>
  <c r="AF70" i="18" s="1"/>
  <c r="AS68" i="18" l="1"/>
  <c r="N68" i="18"/>
  <c r="BZ68" i="19"/>
  <c r="AR69" i="18" s="1"/>
  <c r="P67" i="18"/>
  <c r="AE68" i="18" s="1"/>
  <c r="AT69" i="18" s="1"/>
  <c r="AD68" i="18"/>
  <c r="BM67" i="19"/>
  <c r="BC67" i="20"/>
  <c r="Z67" i="19"/>
  <c r="AM67" i="19" s="1"/>
  <c r="M67" i="19" s="1"/>
  <c r="Y67" i="19"/>
  <c r="AL67" i="19" s="1"/>
  <c r="L67" i="19" s="1"/>
  <c r="J67" i="22" s="1"/>
  <c r="T67" i="22" s="1"/>
  <c r="BY67" i="19" s="1"/>
  <c r="AQ68" i="18" s="1"/>
  <c r="BB67" i="20"/>
  <c r="L68" i="18"/>
  <c r="K68" i="18"/>
  <c r="Z69" i="18" s="1"/>
  <c r="J68" i="18"/>
  <c r="Y69" i="18"/>
  <c r="H68" i="18"/>
  <c r="BF68" i="19"/>
  <c r="AU68" i="20"/>
  <c r="S68" i="19"/>
  <c r="AF68" i="19" s="1"/>
  <c r="F68" i="19" s="1"/>
  <c r="F68" i="22" s="1"/>
  <c r="P68" i="22" s="1"/>
  <c r="BU68" i="19" s="1"/>
  <c r="AI69" i="18"/>
  <c r="G68" i="18"/>
  <c r="AV68" i="20" s="1"/>
  <c r="W69" i="18"/>
  <c r="BG68" i="19"/>
  <c r="AL69" i="18" s="1"/>
  <c r="T68" i="19"/>
  <c r="AG68" i="19" s="1"/>
  <c r="G68" i="19" s="1"/>
  <c r="G68" i="22" s="1"/>
  <c r="Q68" i="22" s="1"/>
  <c r="BV68" i="19" s="1"/>
  <c r="AN69" i="18" s="1"/>
  <c r="V69" i="18"/>
  <c r="T69" i="18"/>
  <c r="BR69" i="19" s="1"/>
  <c r="X69" i="18"/>
  <c r="S69" i="18"/>
  <c r="Q68" i="19"/>
  <c r="AD68" i="19" s="1"/>
  <c r="D68" i="19" s="1"/>
  <c r="D68" i="22" s="1"/>
  <c r="N68" i="22" s="1"/>
  <c r="BS68" i="19" s="1"/>
  <c r="R68" i="19"/>
  <c r="AE68" i="19" s="1"/>
  <c r="E68" i="19" s="1"/>
  <c r="E68" i="22" s="1"/>
  <c r="O68" i="22" s="1"/>
  <c r="BT68" i="19" s="1"/>
  <c r="AK69" i="18" s="1"/>
  <c r="U69" i="18"/>
  <c r="BE68" i="19"/>
  <c r="BB70" i="19"/>
  <c r="B70" i="18"/>
  <c r="P160" i="20"/>
  <c r="CJ159" i="20"/>
  <c r="R159" i="20"/>
  <c r="CL158" i="20"/>
  <c r="K108" i="20"/>
  <c r="CE107" i="20"/>
  <c r="AP172" i="20"/>
  <c r="AG172" i="20" s="1"/>
  <c r="BZ172" i="20"/>
  <c r="S159" i="20"/>
  <c r="CM158" i="20"/>
  <c r="Q159" i="20"/>
  <c r="CK158" i="20"/>
  <c r="M68" i="22"/>
  <c r="BQ68" i="19"/>
  <c r="AH69" i="18" s="1"/>
  <c r="R70" i="18"/>
  <c r="BC69" i="19"/>
  <c r="P69" i="19"/>
  <c r="AM175" i="20"/>
  <c r="AD175" i="20" s="1"/>
  <c r="BW175" i="20"/>
  <c r="M176" i="20"/>
  <c r="CG175" i="20"/>
  <c r="AO176" i="20"/>
  <c r="AF176" i="20" s="1"/>
  <c r="BY176" i="20"/>
  <c r="BN68" i="19" l="1"/>
  <c r="BL68" i="19"/>
  <c r="M68" i="18"/>
  <c r="P68" i="18"/>
  <c r="AE69" i="18" s="1"/>
  <c r="AT70" i="18" s="1"/>
  <c r="O68" i="18"/>
  <c r="AA68" i="19" s="1"/>
  <c r="AN68" i="19" s="1"/>
  <c r="N68" i="19" s="1"/>
  <c r="K68" i="22" s="1"/>
  <c r="U68" i="22" s="1"/>
  <c r="CA68" i="19" s="1"/>
  <c r="AS69" i="18" s="1"/>
  <c r="BC68" i="20"/>
  <c r="Z68" i="19"/>
  <c r="AM68" i="19" s="1"/>
  <c r="M68" i="19" s="1"/>
  <c r="BM68" i="19"/>
  <c r="BK68" i="19"/>
  <c r="AQ69" i="18" s="1"/>
  <c r="BA68" i="20"/>
  <c r="X68" i="19"/>
  <c r="AK68" i="19" s="1"/>
  <c r="K68" i="19" s="1"/>
  <c r="E69" i="18"/>
  <c r="BB68" i="20"/>
  <c r="Y68" i="19"/>
  <c r="AL68" i="19" s="1"/>
  <c r="L68" i="19" s="1"/>
  <c r="J68" i="22" s="1"/>
  <c r="T68" i="22" s="1"/>
  <c r="BY68" i="19" s="1"/>
  <c r="AC69" i="18"/>
  <c r="J69" i="18"/>
  <c r="Y70" i="18"/>
  <c r="AB69" i="18"/>
  <c r="AY68" i="20"/>
  <c r="V68" i="19"/>
  <c r="AI68" i="19" s="1"/>
  <c r="I68" i="19" s="1"/>
  <c r="I68" i="22" s="1"/>
  <c r="S68" i="22" s="1"/>
  <c r="BX68" i="19" s="1"/>
  <c r="BI68" i="19"/>
  <c r="AO69" i="18" s="1"/>
  <c r="AZ68" i="20"/>
  <c r="W68" i="19"/>
  <c r="AJ68" i="19" s="1"/>
  <c r="J68" i="19" s="1"/>
  <c r="BJ68" i="19"/>
  <c r="AP69" i="18" s="1"/>
  <c r="AA69" i="18"/>
  <c r="AW68" i="20"/>
  <c r="U68" i="19"/>
  <c r="AH68" i="19" s="1"/>
  <c r="H68" i="19" s="1"/>
  <c r="H68" i="22" s="1"/>
  <c r="R68" i="22" s="1"/>
  <c r="BW68" i="19" s="1"/>
  <c r="BH68" i="19"/>
  <c r="AM69" i="18" s="1"/>
  <c r="AM70" i="18" s="1"/>
  <c r="H69" i="18"/>
  <c r="G69" i="18"/>
  <c r="BG69" i="19" s="1"/>
  <c r="AJ69" i="18"/>
  <c r="F69" i="18" s="1"/>
  <c r="AU69" i="20" s="1"/>
  <c r="BH69" i="19"/>
  <c r="U69" i="19"/>
  <c r="AH69" i="19" s="1"/>
  <c r="H69" i="19" s="1"/>
  <c r="H69" i="22" s="1"/>
  <c r="R69" i="22" s="1"/>
  <c r="BW69" i="19" s="1"/>
  <c r="AW69" i="20"/>
  <c r="W70" i="18"/>
  <c r="AV69" i="20"/>
  <c r="T69" i="19"/>
  <c r="AG69" i="19" s="1"/>
  <c r="G69" i="19" s="1"/>
  <c r="G69" i="22" s="1"/>
  <c r="Q69" i="22" s="1"/>
  <c r="BV69" i="19" s="1"/>
  <c r="AN70" i="18" s="1"/>
  <c r="I69" i="18"/>
  <c r="AX69" i="20" s="1"/>
  <c r="R69" i="19"/>
  <c r="AE69" i="19" s="1"/>
  <c r="E69" i="19" s="1"/>
  <c r="E69" i="22" s="1"/>
  <c r="O69" i="22" s="1"/>
  <c r="BT69" i="19" s="1"/>
  <c r="BE69" i="19"/>
  <c r="BD69" i="19"/>
  <c r="AI70" i="18" s="1"/>
  <c r="D69" i="18"/>
  <c r="BP69" i="19"/>
  <c r="AG70" i="18" s="1"/>
  <c r="C70" i="18" s="1"/>
  <c r="O70" i="19"/>
  <c r="AB70" i="19" s="1"/>
  <c r="B70" i="19" s="1"/>
  <c r="B70" i="22" s="1"/>
  <c r="L70" i="22" s="1"/>
  <c r="BO70" i="19" s="1"/>
  <c r="AF71" i="18" s="1"/>
  <c r="Q71" i="18"/>
  <c r="O173" i="20"/>
  <c r="CI172" i="20"/>
  <c r="AR159" i="20"/>
  <c r="AI159" i="20" s="1"/>
  <c r="CB159" i="20"/>
  <c r="AT159" i="20"/>
  <c r="AK159" i="20" s="1"/>
  <c r="CD159" i="20"/>
  <c r="BV108" i="20"/>
  <c r="AL108" i="20"/>
  <c r="AS159" i="20"/>
  <c r="AJ159" i="20" s="1"/>
  <c r="CC159" i="20"/>
  <c r="AQ160" i="20"/>
  <c r="AH160" i="20" s="1"/>
  <c r="CA160" i="20"/>
  <c r="AN176" i="20"/>
  <c r="AE176" i="20" s="1"/>
  <c r="BX176" i="20"/>
  <c r="AC69" i="19"/>
  <c r="C69" i="19" s="1"/>
  <c r="C69" i="22" s="1"/>
  <c r="N177" i="20"/>
  <c r="CH176" i="20"/>
  <c r="L176" i="20"/>
  <c r="CF175" i="20"/>
  <c r="BN69" i="19" l="1"/>
  <c r="AD69" i="18"/>
  <c r="O69" i="18" s="1"/>
  <c r="AA69" i="19" s="1"/>
  <c r="AN69" i="19" s="1"/>
  <c r="N69" i="19" s="1"/>
  <c r="K69" i="22" s="1"/>
  <c r="U69" i="22" s="1"/>
  <c r="CA69" i="19" s="1"/>
  <c r="P69" i="18"/>
  <c r="BL69" i="19"/>
  <c r="L69" i="18"/>
  <c r="K69" i="18"/>
  <c r="Z70" i="18" s="1"/>
  <c r="M69" i="18"/>
  <c r="AY69" i="20"/>
  <c r="V69" i="19"/>
  <c r="AI69" i="19" s="1"/>
  <c r="I69" i="19" s="1"/>
  <c r="I69" i="22" s="1"/>
  <c r="S69" i="22" s="1"/>
  <c r="BX69" i="19" s="1"/>
  <c r="BI69" i="19"/>
  <c r="AO70" i="18" s="1"/>
  <c r="AA70" i="18"/>
  <c r="BA69" i="20"/>
  <c r="X69" i="19"/>
  <c r="AK69" i="19" s="1"/>
  <c r="K69" i="19" s="1"/>
  <c r="BK69" i="19"/>
  <c r="J70" i="18"/>
  <c r="Y71" i="18"/>
  <c r="AZ69" i="20"/>
  <c r="W69" i="19"/>
  <c r="AJ69" i="19" s="1"/>
  <c r="J69" i="19" s="1"/>
  <c r="BJ69" i="19"/>
  <c r="AP70" i="18" s="1"/>
  <c r="BZ69" i="19"/>
  <c r="AR70" i="18" s="1"/>
  <c r="N69" i="18"/>
  <c r="X70" i="18"/>
  <c r="U70" i="18"/>
  <c r="S69" i="19"/>
  <c r="AF69" i="19" s="1"/>
  <c r="F69" i="19" s="1"/>
  <c r="F69" i="22" s="1"/>
  <c r="P69" i="22" s="1"/>
  <c r="BU69" i="19" s="1"/>
  <c r="AL70" i="18" s="1"/>
  <c r="V70" i="18"/>
  <c r="BF69" i="19"/>
  <c r="AK70" i="18" s="1"/>
  <c r="T70" i="18"/>
  <c r="S70" i="18"/>
  <c r="Q69" i="19"/>
  <c r="AD69" i="19" s="1"/>
  <c r="D69" i="19" s="1"/>
  <c r="D69" i="22" s="1"/>
  <c r="N69" i="22" s="1"/>
  <c r="BS69" i="19" s="1"/>
  <c r="AJ70" i="18" s="1"/>
  <c r="B71" i="18"/>
  <c r="O71" i="19" s="1"/>
  <c r="AB71" i="19" s="1"/>
  <c r="B71" i="19" s="1"/>
  <c r="B71" i="22" s="1"/>
  <c r="L71" i="22" s="1"/>
  <c r="BB71" i="19"/>
  <c r="R160" i="20"/>
  <c r="CL159" i="20"/>
  <c r="S160" i="20"/>
  <c r="CM159" i="20"/>
  <c r="Q160" i="20"/>
  <c r="CK159" i="20"/>
  <c r="P161" i="20"/>
  <c r="CJ160" i="20"/>
  <c r="AC108" i="20"/>
  <c r="AP173" i="20"/>
  <c r="AG173" i="20" s="1"/>
  <c r="BZ173" i="20"/>
  <c r="M69" i="22"/>
  <c r="BQ69" i="19"/>
  <c r="AH70" i="18" s="1"/>
  <c r="R71" i="18"/>
  <c r="BC70" i="19"/>
  <c r="P70" i="19"/>
  <c r="AM176" i="20"/>
  <c r="AD176" i="20" s="1"/>
  <c r="BW176" i="20"/>
  <c r="AO177" i="20"/>
  <c r="AF177" i="20" s="1"/>
  <c r="BY177" i="20"/>
  <c r="M177" i="20"/>
  <c r="CG176" i="20"/>
  <c r="AE70" i="18" l="1"/>
  <c r="AS70" i="18"/>
  <c r="AC70" i="18"/>
  <c r="BZ70" i="19" s="1"/>
  <c r="K70" i="18"/>
  <c r="Z71" i="18" s="1"/>
  <c r="BC69" i="20"/>
  <c r="Z69" i="19"/>
  <c r="AM69" i="19" s="1"/>
  <c r="M69" i="19" s="1"/>
  <c r="BM69" i="19"/>
  <c r="AD70" i="18"/>
  <c r="AZ70" i="20"/>
  <c r="W70" i="19"/>
  <c r="AJ70" i="19" s="1"/>
  <c r="J70" i="19" s="1"/>
  <c r="BJ70" i="19"/>
  <c r="AP71" i="18" s="1"/>
  <c r="N70" i="18"/>
  <c r="Y69" i="19"/>
  <c r="AL69" i="19" s="1"/>
  <c r="L69" i="19" s="1"/>
  <c r="J69" i="22" s="1"/>
  <c r="T69" i="22" s="1"/>
  <c r="BY69" i="19" s="1"/>
  <c r="AQ70" i="18" s="1"/>
  <c r="BB69" i="20"/>
  <c r="AY70" i="20"/>
  <c r="V70" i="19"/>
  <c r="AI70" i="19" s="1"/>
  <c r="I70" i="19" s="1"/>
  <c r="I70" i="22" s="1"/>
  <c r="S70" i="22" s="1"/>
  <c r="BX70" i="19" s="1"/>
  <c r="BI70" i="19"/>
  <c r="L70" i="18"/>
  <c r="AA71" i="18" s="1"/>
  <c r="AB70" i="18"/>
  <c r="H70" i="18"/>
  <c r="G70" i="18"/>
  <c r="AV70" i="20" s="1"/>
  <c r="I70" i="18"/>
  <c r="AX70" i="20" s="1"/>
  <c r="F70" i="18"/>
  <c r="D70" i="18"/>
  <c r="BP70" i="19"/>
  <c r="AG71" i="18" s="1"/>
  <c r="C71" i="18" s="1"/>
  <c r="BD70" i="19"/>
  <c r="Q72" i="18"/>
  <c r="BR70" i="19"/>
  <c r="E70" i="18"/>
  <c r="AQ161" i="20"/>
  <c r="AH161" i="20" s="1"/>
  <c r="CA161" i="20"/>
  <c r="AR160" i="20"/>
  <c r="AI160" i="20" s="1"/>
  <c r="CB160" i="20"/>
  <c r="O174" i="20"/>
  <c r="CI173" i="20"/>
  <c r="CE108" i="20"/>
  <c r="K109" i="20"/>
  <c r="AT160" i="20"/>
  <c r="AK160" i="20" s="1"/>
  <c r="CD160" i="20"/>
  <c r="AS160" i="20"/>
  <c r="AJ160" i="20" s="1"/>
  <c r="CC160" i="20"/>
  <c r="N178" i="20"/>
  <c r="CH177" i="20"/>
  <c r="L177" i="20"/>
  <c r="CF176" i="20"/>
  <c r="AC70" i="19"/>
  <c r="C70" i="19" s="1"/>
  <c r="C70" i="22" s="1"/>
  <c r="AN177" i="20"/>
  <c r="AE177" i="20" s="1"/>
  <c r="BX177" i="20"/>
  <c r="BO71" i="19"/>
  <c r="AF72" i="18" s="1"/>
  <c r="P70" i="18" l="1"/>
  <c r="AT71" i="18"/>
  <c r="BN70" i="19"/>
  <c r="AR71" i="18"/>
  <c r="BL70" i="19"/>
  <c r="L71" i="18"/>
  <c r="BA70" i="20"/>
  <c r="X70" i="19"/>
  <c r="AK70" i="19" s="1"/>
  <c r="K70" i="19" s="1"/>
  <c r="BK70" i="19"/>
  <c r="O70" i="18"/>
  <c r="AD71" i="18" s="1"/>
  <c r="BC70" i="20"/>
  <c r="Z70" i="19"/>
  <c r="AM70" i="19" s="1"/>
  <c r="M70" i="19" s="1"/>
  <c r="BM70" i="19"/>
  <c r="M70" i="18"/>
  <c r="AC71" i="18" s="1"/>
  <c r="X71" i="18"/>
  <c r="W71" i="18"/>
  <c r="BG70" i="19"/>
  <c r="T70" i="19"/>
  <c r="AG70" i="19" s="1"/>
  <c r="G70" i="19" s="1"/>
  <c r="G70" i="22" s="1"/>
  <c r="Q70" i="22" s="1"/>
  <c r="BV70" i="19" s="1"/>
  <c r="AN71" i="18" s="1"/>
  <c r="AI71" i="18"/>
  <c r="BH70" i="19"/>
  <c r="AM71" i="18" s="1"/>
  <c r="AW70" i="20"/>
  <c r="U70" i="19"/>
  <c r="AH70" i="19" s="1"/>
  <c r="H70" i="19" s="1"/>
  <c r="H70" i="22" s="1"/>
  <c r="R70" i="22" s="1"/>
  <c r="BW70" i="19" s="1"/>
  <c r="AO71" i="18" s="1"/>
  <c r="BF70" i="19"/>
  <c r="S70" i="19"/>
  <c r="AF70" i="19" s="1"/>
  <c r="F70" i="19" s="1"/>
  <c r="F70" i="22" s="1"/>
  <c r="P70" i="22" s="1"/>
  <c r="BU70" i="19" s="1"/>
  <c r="AU70" i="20"/>
  <c r="V71" i="18"/>
  <c r="BE70" i="19"/>
  <c r="R70" i="19"/>
  <c r="AE70" i="19" s="1"/>
  <c r="E70" i="19" s="1"/>
  <c r="E70" i="22" s="1"/>
  <c r="O70" i="22" s="1"/>
  <c r="BT70" i="19" s="1"/>
  <c r="U71" i="18"/>
  <c r="T71" i="18"/>
  <c r="Q70" i="19"/>
  <c r="AD70" i="19" s="1"/>
  <c r="D70" i="19" s="1"/>
  <c r="D70" i="22" s="1"/>
  <c r="N70" i="22" s="1"/>
  <c r="BS70" i="19" s="1"/>
  <c r="S71" i="18"/>
  <c r="BB72" i="19"/>
  <c r="B72" i="18"/>
  <c r="R161" i="20"/>
  <c r="CL160" i="20"/>
  <c r="Q161" i="20"/>
  <c r="CK160" i="20"/>
  <c r="S161" i="20"/>
  <c r="CM160" i="20"/>
  <c r="AP174" i="20"/>
  <c r="AG174" i="20" s="1"/>
  <c r="BZ174" i="20"/>
  <c r="BV109" i="20"/>
  <c r="AL109" i="20"/>
  <c r="P162" i="20"/>
  <c r="CJ161" i="20"/>
  <c r="M70" i="22"/>
  <c r="BQ70" i="19"/>
  <c r="AH71" i="18" s="1"/>
  <c r="R72" i="18"/>
  <c r="BC71" i="19"/>
  <c r="P71" i="19"/>
  <c r="M178" i="20"/>
  <c r="CG177" i="20"/>
  <c r="AM177" i="20"/>
  <c r="AD177" i="20" s="1"/>
  <c r="BW177" i="20"/>
  <c r="AO178" i="20"/>
  <c r="AF178" i="20" s="1"/>
  <c r="BY178" i="20"/>
  <c r="AB71" i="18" l="1"/>
  <c r="K71" i="18"/>
  <c r="J71" i="18"/>
  <c r="Y70" i="19"/>
  <c r="AL70" i="19" s="1"/>
  <c r="L70" i="19" s="1"/>
  <c r="J70" i="22" s="1"/>
  <c r="T70" i="22" s="1"/>
  <c r="BY70" i="19" s="1"/>
  <c r="AQ71" i="18" s="1"/>
  <c r="BB70" i="20"/>
  <c r="AA70" i="19"/>
  <c r="AN70" i="19" s="1"/>
  <c r="N70" i="19" s="1"/>
  <c r="K70" i="22" s="1"/>
  <c r="U70" i="22" s="1"/>
  <c r="CA70" i="19" s="1"/>
  <c r="AS71" i="18" s="1"/>
  <c r="AE71" i="18"/>
  <c r="P71" i="18" s="1"/>
  <c r="BZ71" i="19"/>
  <c r="AR72" i="18" s="1"/>
  <c r="N71" i="18"/>
  <c r="BA71" i="20"/>
  <c r="X71" i="19"/>
  <c r="AK71" i="19" s="1"/>
  <c r="K71" i="19" s="1"/>
  <c r="BK71" i="19"/>
  <c r="I71" i="18"/>
  <c r="AX71" i="20" s="1"/>
  <c r="AL71" i="18"/>
  <c r="H71" i="18" s="1"/>
  <c r="AK71" i="18"/>
  <c r="AJ71" i="18"/>
  <c r="BR71" i="19"/>
  <c r="E71" i="18"/>
  <c r="BD71" i="19"/>
  <c r="AI72" i="18" s="1"/>
  <c r="BP71" i="19"/>
  <c r="AG72" i="18" s="1"/>
  <c r="C72" i="18" s="1"/>
  <c r="D71" i="18"/>
  <c r="O72" i="19"/>
  <c r="AB72" i="19" s="1"/>
  <c r="B72" i="19" s="1"/>
  <c r="B72" i="22" s="1"/>
  <c r="L72" i="22" s="1"/>
  <c r="BO72" i="19" s="1"/>
  <c r="AF73" i="18" s="1"/>
  <c r="Q73" i="18"/>
  <c r="AC109" i="20"/>
  <c r="O175" i="20"/>
  <c r="CI174" i="20"/>
  <c r="AQ162" i="20"/>
  <c r="AH162" i="20" s="1"/>
  <c r="CA162" i="20"/>
  <c r="AT161" i="20"/>
  <c r="AK161" i="20" s="1"/>
  <c r="CD161" i="20"/>
  <c r="AR161" i="20"/>
  <c r="AI161" i="20" s="1"/>
  <c r="CB161" i="20"/>
  <c r="AS161" i="20"/>
  <c r="AJ161" i="20" s="1"/>
  <c r="CC161" i="20"/>
  <c r="L178" i="20"/>
  <c r="CF177" i="20"/>
  <c r="AN178" i="20"/>
  <c r="AE178" i="20" s="1"/>
  <c r="BX178" i="20"/>
  <c r="AC71" i="19"/>
  <c r="C71" i="19" s="1"/>
  <c r="C71" i="22" s="1"/>
  <c r="N179" i="20"/>
  <c r="CH178" i="20"/>
  <c r="AT72" i="18" l="1"/>
  <c r="BN71" i="19"/>
  <c r="O71" i="18"/>
  <c r="AA71" i="19" s="1"/>
  <c r="AN71" i="19" s="1"/>
  <c r="N71" i="19" s="1"/>
  <c r="K71" i="22" s="1"/>
  <c r="U71" i="22" s="1"/>
  <c r="CA71" i="19" s="1"/>
  <c r="AS72" i="18" s="1"/>
  <c r="BL71" i="19"/>
  <c r="M71" i="18"/>
  <c r="BJ71" i="19"/>
  <c r="AZ71" i="20"/>
  <c r="AA72" i="18"/>
  <c r="W71" i="19"/>
  <c r="AJ71" i="19" s="1"/>
  <c r="J71" i="19" s="1"/>
  <c r="AY71" i="20"/>
  <c r="V71" i="19"/>
  <c r="AI71" i="19" s="1"/>
  <c r="I71" i="19" s="1"/>
  <c r="I71" i="22" s="1"/>
  <c r="S71" i="22" s="1"/>
  <c r="BX71" i="19" s="1"/>
  <c r="BI71" i="19"/>
  <c r="AO72" i="18" s="1"/>
  <c r="Z72" i="18"/>
  <c r="K72" i="18" s="1"/>
  <c r="Y72" i="18"/>
  <c r="BC71" i="20"/>
  <c r="Z71" i="19"/>
  <c r="AM71" i="19" s="1"/>
  <c r="M71" i="19" s="1"/>
  <c r="BM71" i="19"/>
  <c r="AC72" i="18"/>
  <c r="AW71" i="20"/>
  <c r="BH71" i="19"/>
  <c r="AM72" i="18" s="1"/>
  <c r="U71" i="19"/>
  <c r="AH71" i="19" s="1"/>
  <c r="H71" i="19" s="1"/>
  <c r="H71" i="22" s="1"/>
  <c r="R71" i="22" s="1"/>
  <c r="BW71" i="19" s="1"/>
  <c r="X72" i="18"/>
  <c r="G71" i="18"/>
  <c r="F71" i="18"/>
  <c r="U72" i="18" s="1"/>
  <c r="T72" i="18"/>
  <c r="S72" i="18"/>
  <c r="Q71" i="19"/>
  <c r="AD71" i="19" s="1"/>
  <c r="D71" i="19" s="1"/>
  <c r="D71" i="22" s="1"/>
  <c r="N71" i="22" s="1"/>
  <c r="BS71" i="19" s="1"/>
  <c r="AU71" i="20"/>
  <c r="R71" i="19"/>
  <c r="AE71" i="19" s="1"/>
  <c r="E71" i="19" s="1"/>
  <c r="E71" i="22" s="1"/>
  <c r="O71" i="22" s="1"/>
  <c r="BT71" i="19" s="1"/>
  <c r="BE71" i="19"/>
  <c r="AJ72" i="18" s="1"/>
  <c r="BB73" i="19"/>
  <c r="B73" i="18"/>
  <c r="O73" i="19" s="1"/>
  <c r="AB73" i="19" s="1"/>
  <c r="B73" i="19" s="1"/>
  <c r="B73" i="22" s="1"/>
  <c r="L73" i="22" s="1"/>
  <c r="R162" i="20"/>
  <c r="CL161" i="20"/>
  <c r="S162" i="20"/>
  <c r="CM161" i="20"/>
  <c r="CE109" i="20"/>
  <c r="K110" i="20"/>
  <c r="Q162" i="20"/>
  <c r="CK161" i="20"/>
  <c r="P163" i="20"/>
  <c r="CJ162" i="20"/>
  <c r="AP175" i="20"/>
  <c r="AG175" i="20" s="1"/>
  <c r="BZ175" i="20"/>
  <c r="AO179" i="20"/>
  <c r="AF179" i="20" s="1"/>
  <c r="BY179" i="20"/>
  <c r="AM178" i="20"/>
  <c r="AD178" i="20" s="1"/>
  <c r="BW178" i="20"/>
  <c r="M71" i="22"/>
  <c r="BQ71" i="19"/>
  <c r="AH72" i="18" s="1"/>
  <c r="R73" i="18"/>
  <c r="BC72" i="19"/>
  <c r="P72" i="19"/>
  <c r="M179" i="20"/>
  <c r="CG178" i="20"/>
  <c r="BN72" i="19" l="1"/>
  <c r="AE72" i="18"/>
  <c r="P72" i="18" s="1"/>
  <c r="AD72" i="18"/>
  <c r="AB72" i="18"/>
  <c r="Y71" i="19"/>
  <c r="AL71" i="19" s="1"/>
  <c r="L71" i="19" s="1"/>
  <c r="J71" i="22" s="1"/>
  <c r="T71" i="22" s="1"/>
  <c r="BY71" i="19" s="1"/>
  <c r="AQ72" i="18" s="1"/>
  <c r="BB71" i="20"/>
  <c r="AP72" i="18"/>
  <c r="AZ72" i="20"/>
  <c r="BJ72" i="19"/>
  <c r="W72" i="19"/>
  <c r="AJ72" i="19" s="1"/>
  <c r="J72" i="19" s="1"/>
  <c r="BZ72" i="19"/>
  <c r="AR73" i="18" s="1"/>
  <c r="N72" i="18"/>
  <c r="I72" i="18"/>
  <c r="AX72" i="20" s="1"/>
  <c r="BF71" i="19"/>
  <c r="AK72" i="18" s="1"/>
  <c r="S71" i="19"/>
  <c r="AF71" i="19" s="1"/>
  <c r="F71" i="19" s="1"/>
  <c r="F71" i="22" s="1"/>
  <c r="P71" i="22" s="1"/>
  <c r="BU71" i="19" s="1"/>
  <c r="W72" i="18"/>
  <c r="AV71" i="20"/>
  <c r="BG71" i="19"/>
  <c r="AL72" i="18" s="1"/>
  <c r="T71" i="19"/>
  <c r="AG71" i="19" s="1"/>
  <c r="G71" i="19" s="1"/>
  <c r="G71" i="22" s="1"/>
  <c r="Q71" i="22" s="1"/>
  <c r="BV71" i="19" s="1"/>
  <c r="AN72" i="18" s="1"/>
  <c r="V72" i="18"/>
  <c r="F72" i="18"/>
  <c r="E72" i="18"/>
  <c r="BR72" i="19"/>
  <c r="BD72" i="19"/>
  <c r="D72" i="18"/>
  <c r="BP72" i="19"/>
  <c r="AG73" i="18" s="1"/>
  <c r="C73" i="18" s="1"/>
  <c r="S72" i="19"/>
  <c r="AF72" i="19" s="1"/>
  <c r="F72" i="19" s="1"/>
  <c r="F72" i="22" s="1"/>
  <c r="P72" i="22" s="1"/>
  <c r="AU72" i="20"/>
  <c r="BF72" i="19"/>
  <c r="Q74" i="18"/>
  <c r="O176" i="20"/>
  <c r="CI175" i="20"/>
  <c r="AQ163" i="20"/>
  <c r="AH163" i="20" s="1"/>
  <c r="CA163" i="20"/>
  <c r="AR162" i="20"/>
  <c r="AI162" i="20" s="1"/>
  <c r="CB162" i="20"/>
  <c r="AL110" i="20"/>
  <c r="BV110" i="20"/>
  <c r="AT162" i="20"/>
  <c r="AK162" i="20" s="1"/>
  <c r="CD162" i="20"/>
  <c r="AS162" i="20"/>
  <c r="AJ162" i="20" s="1"/>
  <c r="CC162" i="20"/>
  <c r="L179" i="20"/>
  <c r="CF178" i="20"/>
  <c r="N180" i="20"/>
  <c r="CH179" i="20"/>
  <c r="AN179" i="20"/>
  <c r="AE179" i="20" s="1"/>
  <c r="BX179" i="20"/>
  <c r="BO73" i="19"/>
  <c r="AF74" i="18" s="1"/>
  <c r="AC72" i="19"/>
  <c r="C72" i="19" s="1"/>
  <c r="C72" i="22" s="1"/>
  <c r="AT73" i="18" l="1"/>
  <c r="AT74" i="18" s="1"/>
  <c r="O72" i="18"/>
  <c r="AA72" i="19" s="1"/>
  <c r="AN72" i="19" s="1"/>
  <c r="N72" i="19" s="1"/>
  <c r="K72" i="22" s="1"/>
  <c r="U72" i="22" s="1"/>
  <c r="CA72" i="19" s="1"/>
  <c r="AS73" i="18" s="1"/>
  <c r="BL72" i="19"/>
  <c r="M72" i="18"/>
  <c r="L72" i="18"/>
  <c r="AE73" i="18"/>
  <c r="BU72" i="19"/>
  <c r="J72" i="18"/>
  <c r="AD73" i="18"/>
  <c r="AC73" i="18"/>
  <c r="BC72" i="20"/>
  <c r="Z72" i="19"/>
  <c r="AM72" i="19" s="1"/>
  <c r="M72" i="19" s="1"/>
  <c r="BM72" i="19"/>
  <c r="G72" i="18"/>
  <c r="BG72" i="19" s="1"/>
  <c r="AL73" i="18" s="1"/>
  <c r="H72" i="18"/>
  <c r="AW72" i="20" s="1"/>
  <c r="AI73" i="18"/>
  <c r="Q72" i="19"/>
  <c r="AD72" i="19" s="1"/>
  <c r="D72" i="19" s="1"/>
  <c r="D72" i="22" s="1"/>
  <c r="N72" i="22" s="1"/>
  <c r="BS72" i="19" s="1"/>
  <c r="S73" i="18"/>
  <c r="T73" i="18"/>
  <c r="BE72" i="19"/>
  <c r="R72" i="19"/>
  <c r="AE72" i="19" s="1"/>
  <c r="E72" i="19" s="1"/>
  <c r="E72" i="22" s="1"/>
  <c r="O72" i="22" s="1"/>
  <c r="BT72" i="19" s="1"/>
  <c r="AK73" i="18" s="1"/>
  <c r="U73" i="18"/>
  <c r="BB74" i="19"/>
  <c r="B74" i="18"/>
  <c r="O74" i="19" s="1"/>
  <c r="AB74" i="19" s="1"/>
  <c r="B74" i="19" s="1"/>
  <c r="B74" i="22" s="1"/>
  <c r="L74" i="22" s="1"/>
  <c r="P164" i="20"/>
  <c r="CJ163" i="20"/>
  <c r="R163" i="20"/>
  <c r="CL162" i="20"/>
  <c r="S163" i="20"/>
  <c r="CM162" i="20"/>
  <c r="AC110" i="20"/>
  <c r="Q163" i="20"/>
  <c r="CK162" i="20"/>
  <c r="AP176" i="20"/>
  <c r="AG176" i="20" s="1"/>
  <c r="BZ176" i="20"/>
  <c r="M72" i="22"/>
  <c r="BQ72" i="19"/>
  <c r="AH73" i="18" s="1"/>
  <c r="AO180" i="20"/>
  <c r="AF180" i="20" s="1"/>
  <c r="BY180" i="20"/>
  <c r="AM179" i="20"/>
  <c r="AD179" i="20" s="1"/>
  <c r="BW179" i="20"/>
  <c r="M180" i="20"/>
  <c r="CG179" i="20"/>
  <c r="R74" i="18"/>
  <c r="BC73" i="19"/>
  <c r="P73" i="19"/>
  <c r="P73" i="18" l="1"/>
  <c r="BN73" i="19"/>
  <c r="Y72" i="19"/>
  <c r="AL72" i="19" s="1"/>
  <c r="L72" i="19" s="1"/>
  <c r="J72" i="22" s="1"/>
  <c r="T72" i="22" s="1"/>
  <c r="BY72" i="19" s="1"/>
  <c r="BB72" i="20"/>
  <c r="AB73" i="18"/>
  <c r="BA72" i="20"/>
  <c r="AA73" i="18"/>
  <c r="BK72" i="19"/>
  <c r="X72" i="19"/>
  <c r="AK72" i="19" s="1"/>
  <c r="K72" i="19" s="1"/>
  <c r="U72" i="19"/>
  <c r="AH72" i="19" s="1"/>
  <c r="H72" i="19" s="1"/>
  <c r="H72" i="22" s="1"/>
  <c r="R72" i="22" s="1"/>
  <c r="BW72" i="19" s="1"/>
  <c r="O73" i="18"/>
  <c r="X73" i="18"/>
  <c r="BZ73" i="19"/>
  <c r="AR74" i="18" s="1"/>
  <c r="N73" i="18"/>
  <c r="AY72" i="20"/>
  <c r="V72" i="19"/>
  <c r="AI72" i="19" s="1"/>
  <c r="I72" i="19" s="1"/>
  <c r="I72" i="22" s="1"/>
  <c r="S72" i="22" s="1"/>
  <c r="BX72" i="19" s="1"/>
  <c r="AP73" i="18" s="1"/>
  <c r="BI72" i="19"/>
  <c r="AO73" i="18" s="1"/>
  <c r="Y73" i="18"/>
  <c r="Z73" i="18"/>
  <c r="AJ73" i="18"/>
  <c r="W73" i="18"/>
  <c r="T72" i="19"/>
  <c r="AG72" i="19" s="1"/>
  <c r="G72" i="19" s="1"/>
  <c r="G72" i="22" s="1"/>
  <c r="Q72" i="22" s="1"/>
  <c r="BV72" i="19" s="1"/>
  <c r="AN73" i="18" s="1"/>
  <c r="AV72" i="20"/>
  <c r="V73" i="18"/>
  <c r="H73" i="18"/>
  <c r="BH72" i="19"/>
  <c r="AM73" i="18" s="1"/>
  <c r="G73" i="18"/>
  <c r="V74" i="18" s="1"/>
  <c r="F73" i="18"/>
  <c r="BF73" i="19" s="1"/>
  <c r="D73" i="18"/>
  <c r="BP73" i="19"/>
  <c r="AG74" i="18" s="1"/>
  <c r="C74" i="18" s="1"/>
  <c r="BD73" i="19"/>
  <c r="AU73" i="20"/>
  <c r="S73" i="19"/>
  <c r="AF73" i="19" s="1"/>
  <c r="F73" i="19" s="1"/>
  <c r="F73" i="22" s="1"/>
  <c r="P73" i="22" s="1"/>
  <c r="BU73" i="19" s="1"/>
  <c r="BR73" i="19"/>
  <c r="AI74" i="18" s="1"/>
  <c r="E73" i="18"/>
  <c r="Q75" i="18"/>
  <c r="O177" i="20"/>
  <c r="CI176" i="20"/>
  <c r="AR163" i="20"/>
  <c r="AI163" i="20" s="1"/>
  <c r="CB163" i="20"/>
  <c r="CE110" i="20"/>
  <c r="K111" i="20"/>
  <c r="AT163" i="20"/>
  <c r="AK163" i="20" s="1"/>
  <c r="CD163" i="20"/>
  <c r="AS163" i="20"/>
  <c r="AJ163" i="20" s="1"/>
  <c r="CC163" i="20"/>
  <c r="AQ164" i="20"/>
  <c r="AH164" i="20" s="1"/>
  <c r="CA164" i="20"/>
  <c r="L180" i="20"/>
  <c r="CF179" i="20"/>
  <c r="AN180" i="20"/>
  <c r="AE180" i="20" s="1"/>
  <c r="BX180" i="20"/>
  <c r="N181" i="20"/>
  <c r="CH180" i="20"/>
  <c r="AC73" i="19"/>
  <c r="C73" i="19" s="1"/>
  <c r="C73" i="22" s="1"/>
  <c r="BO74" i="19"/>
  <c r="AF75" i="18" s="1"/>
  <c r="AQ73" i="18" l="1"/>
  <c r="L73" i="18"/>
  <c r="K73" i="18"/>
  <c r="AD74" i="18"/>
  <c r="AA73" i="19"/>
  <c r="AN73" i="19" s="1"/>
  <c r="N73" i="19" s="1"/>
  <c r="K73" i="22" s="1"/>
  <c r="U73" i="22" s="1"/>
  <c r="CA73" i="19" s="1"/>
  <c r="AS74" i="18" s="1"/>
  <c r="AE74" i="18"/>
  <c r="AT75" i="18" s="1"/>
  <c r="BC73" i="20"/>
  <c r="Z73" i="19"/>
  <c r="AM73" i="19" s="1"/>
  <c r="M73" i="19" s="1"/>
  <c r="BM73" i="19"/>
  <c r="Z74" i="18"/>
  <c r="AZ73" i="20"/>
  <c r="W73" i="19"/>
  <c r="AJ73" i="19" s="1"/>
  <c r="J73" i="19" s="1"/>
  <c r="BJ73" i="19"/>
  <c r="J73" i="18"/>
  <c r="Y74" i="18"/>
  <c r="AA74" i="18"/>
  <c r="I73" i="18"/>
  <c r="AX73" i="20" s="1"/>
  <c r="AW73" i="20"/>
  <c r="BH73" i="19"/>
  <c r="AM74" i="18" s="1"/>
  <c r="X74" i="18"/>
  <c r="U73" i="19"/>
  <c r="AH73" i="19" s="1"/>
  <c r="H73" i="19" s="1"/>
  <c r="H73" i="22" s="1"/>
  <c r="R73" i="22" s="1"/>
  <c r="BW73" i="19" s="1"/>
  <c r="AV73" i="20"/>
  <c r="T73" i="19"/>
  <c r="AG73" i="19" s="1"/>
  <c r="G73" i="19" s="1"/>
  <c r="G73" i="22" s="1"/>
  <c r="Q73" i="22" s="1"/>
  <c r="BV73" i="19" s="1"/>
  <c r="AN74" i="18" s="1"/>
  <c r="W74" i="18"/>
  <c r="BG73" i="19"/>
  <c r="AL74" i="18" s="1"/>
  <c r="U74" i="18"/>
  <c r="BE73" i="19"/>
  <c r="R73" i="19"/>
  <c r="AE73" i="19" s="1"/>
  <c r="E73" i="19" s="1"/>
  <c r="E73" i="22" s="1"/>
  <c r="O73" i="22" s="1"/>
  <c r="BT73" i="19" s="1"/>
  <c r="AK74" i="18" s="1"/>
  <c r="T74" i="18"/>
  <c r="S74" i="18"/>
  <c r="Q73" i="19"/>
  <c r="AD73" i="19" s="1"/>
  <c r="D73" i="19" s="1"/>
  <c r="D73" i="22" s="1"/>
  <c r="N73" i="22" s="1"/>
  <c r="BS73" i="19" s="1"/>
  <c r="BB75" i="19"/>
  <c r="B75" i="18"/>
  <c r="O75" i="19" s="1"/>
  <c r="AB75" i="19" s="1"/>
  <c r="B75" i="19" s="1"/>
  <c r="B75" i="22" s="1"/>
  <c r="L75" i="22" s="1"/>
  <c r="AL111" i="20"/>
  <c r="BV111" i="20"/>
  <c r="R164" i="20"/>
  <c r="CL163" i="20"/>
  <c r="Q164" i="20"/>
  <c r="CK163" i="20"/>
  <c r="P165" i="20"/>
  <c r="CJ164" i="20"/>
  <c r="S164" i="20"/>
  <c r="CM163" i="20"/>
  <c r="AP177" i="20"/>
  <c r="AG177" i="20" s="1"/>
  <c r="BZ177" i="20"/>
  <c r="M181" i="20"/>
  <c r="CG180" i="20"/>
  <c r="R75" i="18"/>
  <c r="BC74" i="19"/>
  <c r="P74" i="19"/>
  <c r="M73" i="22"/>
  <c r="BQ73" i="19"/>
  <c r="AH74" i="18" s="1"/>
  <c r="AM180" i="20"/>
  <c r="AD180" i="20" s="1"/>
  <c r="BW180" i="20"/>
  <c r="AO181" i="20"/>
  <c r="AF181" i="20" s="1"/>
  <c r="BY181" i="20"/>
  <c r="BN74" i="19" l="1"/>
  <c r="O74" i="18"/>
  <c r="AA74" i="19" s="1"/>
  <c r="AN74" i="19" s="1"/>
  <c r="N74" i="19" s="1"/>
  <c r="K74" i="22" s="1"/>
  <c r="U74" i="22" s="1"/>
  <c r="CA74" i="19" s="1"/>
  <c r="AS75" i="18" s="1"/>
  <c r="BL73" i="19"/>
  <c r="M73" i="18"/>
  <c r="BA73" i="20"/>
  <c r="X73" i="19"/>
  <c r="AK73" i="19" s="1"/>
  <c r="K73" i="19" s="1"/>
  <c r="BK73" i="19"/>
  <c r="J74" i="18"/>
  <c r="Y75" i="18" s="1"/>
  <c r="AY73" i="20"/>
  <c r="V73" i="19"/>
  <c r="AI73" i="19" s="1"/>
  <c r="I73" i="19" s="1"/>
  <c r="I73" i="22" s="1"/>
  <c r="S73" i="22" s="1"/>
  <c r="BX73" i="19" s="1"/>
  <c r="AP74" i="18" s="1"/>
  <c r="BI73" i="19"/>
  <c r="AO74" i="18" s="1"/>
  <c r="P74" i="18"/>
  <c r="AE75" i="18" s="1"/>
  <c r="AT76" i="18" s="1"/>
  <c r="I74" i="18"/>
  <c r="AX74" i="20" s="1"/>
  <c r="G74" i="18"/>
  <c r="H74" i="18"/>
  <c r="W75" i="18" s="1"/>
  <c r="AJ74" i="18"/>
  <c r="F74" i="18" s="1"/>
  <c r="E74" i="18"/>
  <c r="BR74" i="19"/>
  <c r="BD74" i="19"/>
  <c r="BP74" i="19"/>
  <c r="AG75" i="18" s="1"/>
  <c r="C75" i="18" s="1"/>
  <c r="D74" i="18"/>
  <c r="Q76" i="18"/>
  <c r="AT164" i="20"/>
  <c r="AK164" i="20" s="1"/>
  <c r="CD164" i="20"/>
  <c r="AQ165" i="20"/>
  <c r="AH165" i="20" s="1"/>
  <c r="CA165" i="20"/>
  <c r="AR164" i="20"/>
  <c r="AI164" i="20" s="1"/>
  <c r="CB164" i="20"/>
  <c r="AS164" i="20"/>
  <c r="AJ164" i="20" s="1"/>
  <c r="CC164" i="20"/>
  <c r="O178" i="20"/>
  <c r="CI177" i="20"/>
  <c r="AC111" i="20"/>
  <c r="AN181" i="20"/>
  <c r="AE181" i="20" s="1"/>
  <c r="BX181" i="20"/>
  <c r="L181" i="20"/>
  <c r="CF180" i="20"/>
  <c r="AC74" i="19"/>
  <c r="C74" i="19" s="1"/>
  <c r="C74" i="22" s="1"/>
  <c r="BO75" i="19"/>
  <c r="AF76" i="18" s="1"/>
  <c r="N182" i="20"/>
  <c r="CH181" i="20"/>
  <c r="BN75" i="19" l="1"/>
  <c r="BB73" i="20"/>
  <c r="Y73" i="19"/>
  <c r="AL73" i="19" s="1"/>
  <c r="L73" i="19" s="1"/>
  <c r="J73" i="22" s="1"/>
  <c r="T73" i="22" s="1"/>
  <c r="BY73" i="19" s="1"/>
  <c r="AQ74" i="18" s="1"/>
  <c r="AC74" i="18"/>
  <c r="AB74" i="18"/>
  <c r="L74" i="18"/>
  <c r="K74" i="18"/>
  <c r="P75" i="18"/>
  <c r="AY74" i="20"/>
  <c r="V74" i="19"/>
  <c r="AI74" i="19" s="1"/>
  <c r="I74" i="19" s="1"/>
  <c r="I74" i="22" s="1"/>
  <c r="S74" i="22" s="1"/>
  <c r="BX74" i="19" s="1"/>
  <c r="BI74" i="19"/>
  <c r="AO75" i="18" s="1"/>
  <c r="AI75" i="18"/>
  <c r="BH74" i="19"/>
  <c r="AM75" i="18" s="1"/>
  <c r="U74" i="19"/>
  <c r="AH74" i="19" s="1"/>
  <c r="H74" i="19" s="1"/>
  <c r="H74" i="22" s="1"/>
  <c r="R74" i="22" s="1"/>
  <c r="BW74" i="19" s="1"/>
  <c r="AW74" i="20"/>
  <c r="X75" i="18"/>
  <c r="BG74" i="19"/>
  <c r="T74" i="19"/>
  <c r="AG74" i="19" s="1"/>
  <c r="G74" i="19" s="1"/>
  <c r="G74" i="22" s="1"/>
  <c r="Q74" i="22" s="1"/>
  <c r="BV74" i="19" s="1"/>
  <c r="AN75" i="18" s="1"/>
  <c r="J75" i="18" s="1"/>
  <c r="AV74" i="20"/>
  <c r="BF74" i="19"/>
  <c r="V75" i="18"/>
  <c r="S74" i="19"/>
  <c r="AF74" i="19" s="1"/>
  <c r="F74" i="19" s="1"/>
  <c r="F74" i="22" s="1"/>
  <c r="P74" i="22" s="1"/>
  <c r="BU74" i="19" s="1"/>
  <c r="AU74" i="20"/>
  <c r="Q74" i="19"/>
  <c r="AD74" i="19" s="1"/>
  <c r="D74" i="19" s="1"/>
  <c r="D74" i="22" s="1"/>
  <c r="N74" i="22" s="1"/>
  <c r="BS74" i="19" s="1"/>
  <c r="S75" i="18"/>
  <c r="U75" i="18"/>
  <c r="R74" i="19"/>
  <c r="AE74" i="19" s="1"/>
  <c r="E74" i="19" s="1"/>
  <c r="E74" i="22" s="1"/>
  <c r="O74" i="22" s="1"/>
  <c r="BT74" i="19" s="1"/>
  <c r="BE74" i="19"/>
  <c r="T75" i="18"/>
  <c r="BB76" i="19"/>
  <c r="B76" i="18"/>
  <c r="O76" i="19" s="1"/>
  <c r="AB76" i="19" s="1"/>
  <c r="B76" i="19" s="1"/>
  <c r="B76" i="22" s="1"/>
  <c r="L76" i="22" s="1"/>
  <c r="K112" i="20"/>
  <c r="CE111" i="20"/>
  <c r="R165" i="20"/>
  <c r="CL164" i="20"/>
  <c r="P166" i="20"/>
  <c r="CJ165" i="20"/>
  <c r="AP178" i="20"/>
  <c r="AG178" i="20" s="1"/>
  <c r="BZ178" i="20"/>
  <c r="Q165" i="20"/>
  <c r="CK164" i="20"/>
  <c r="S165" i="20"/>
  <c r="CM164" i="20"/>
  <c r="M74" i="22"/>
  <c r="BQ74" i="19"/>
  <c r="AH75" i="18" s="1"/>
  <c r="BY182" i="20"/>
  <c r="AO182" i="20"/>
  <c r="AF182" i="20" s="1"/>
  <c r="M182" i="20"/>
  <c r="CG181" i="20"/>
  <c r="AM181" i="20"/>
  <c r="AD181" i="20" s="1"/>
  <c r="BW181" i="20"/>
  <c r="R76" i="18"/>
  <c r="BC75" i="19"/>
  <c r="P75" i="19"/>
  <c r="BL74" i="19" l="1"/>
  <c r="BZ74" i="19"/>
  <c r="AR75" i="18" s="1"/>
  <c r="N74" i="18"/>
  <c r="M74" i="18"/>
  <c r="BK74" i="19"/>
  <c r="X74" i="19"/>
  <c r="AK74" i="19" s="1"/>
  <c r="K74" i="19" s="1"/>
  <c r="BA74" i="20"/>
  <c r="W74" i="19"/>
  <c r="AJ74" i="19" s="1"/>
  <c r="J74" i="19" s="1"/>
  <c r="AZ74" i="20"/>
  <c r="BJ74" i="19"/>
  <c r="AP75" i="18" s="1"/>
  <c r="AA75" i="18"/>
  <c r="Z75" i="18"/>
  <c r="K75" i="18" s="1"/>
  <c r="AY75" i="20"/>
  <c r="V75" i="19"/>
  <c r="AI75" i="19" s="1"/>
  <c r="I75" i="19" s="1"/>
  <c r="I75" i="22" s="1"/>
  <c r="S75" i="22" s="1"/>
  <c r="BX75" i="19" s="1"/>
  <c r="BI75" i="19"/>
  <c r="Y76" i="18"/>
  <c r="Z76" i="18"/>
  <c r="AL75" i="18"/>
  <c r="AK75" i="18"/>
  <c r="G75" i="18" s="1"/>
  <c r="BG75" i="19" s="1"/>
  <c r="I75" i="18"/>
  <c r="AX75" i="20" s="1"/>
  <c r="AJ75" i="18"/>
  <c r="F75" i="18" s="1"/>
  <c r="BP75" i="19"/>
  <c r="AG76" i="18" s="1"/>
  <c r="C76" i="18" s="1"/>
  <c r="D75" i="18"/>
  <c r="BD75" i="19"/>
  <c r="E75" i="18"/>
  <c r="BR75" i="19"/>
  <c r="Q77" i="18"/>
  <c r="CH182" i="20"/>
  <c r="O179" i="20"/>
  <c r="CI178" i="20"/>
  <c r="AQ166" i="20"/>
  <c r="AH166" i="20" s="1"/>
  <c r="CA166" i="20"/>
  <c r="AS165" i="20"/>
  <c r="AJ165" i="20" s="1"/>
  <c r="CC165" i="20"/>
  <c r="AT165" i="20"/>
  <c r="AK165" i="20" s="1"/>
  <c r="CD165" i="20"/>
  <c r="AR165" i="20"/>
  <c r="AI165" i="20" s="1"/>
  <c r="CB165" i="20"/>
  <c r="AL112" i="20"/>
  <c r="BV112" i="20"/>
  <c r="L182" i="20"/>
  <c r="CF181" i="20"/>
  <c r="AC75" i="19"/>
  <c r="C75" i="19" s="1"/>
  <c r="C75" i="22" s="1"/>
  <c r="BO76" i="19"/>
  <c r="AF77" i="18" s="1"/>
  <c r="BX182" i="20"/>
  <c r="AN182" i="20"/>
  <c r="AE182" i="20" s="1"/>
  <c r="AC75" i="18" l="1"/>
  <c r="AD75" i="18"/>
  <c r="BC74" i="20"/>
  <c r="Z74" i="19"/>
  <c r="AM74" i="19" s="1"/>
  <c r="M74" i="19" s="1"/>
  <c r="BM74" i="19"/>
  <c r="BB74" i="20"/>
  <c r="Y74" i="19"/>
  <c r="AL74" i="19" s="1"/>
  <c r="L74" i="19" s="1"/>
  <c r="J74" i="22" s="1"/>
  <c r="T74" i="22" s="1"/>
  <c r="BY74" i="19" s="1"/>
  <c r="AQ75" i="18" s="1"/>
  <c r="AB75" i="18"/>
  <c r="BJ75" i="19"/>
  <c r="AP76" i="18" s="1"/>
  <c r="AZ75" i="20"/>
  <c r="W75" i="19"/>
  <c r="AJ75" i="19" s="1"/>
  <c r="J75" i="19" s="1"/>
  <c r="L75" i="18"/>
  <c r="AA76" i="18" s="1"/>
  <c r="J76" i="18"/>
  <c r="H75" i="18"/>
  <c r="S75" i="19"/>
  <c r="AF75" i="19" s="1"/>
  <c r="F75" i="19" s="1"/>
  <c r="F75" i="22" s="1"/>
  <c r="P75" i="22" s="1"/>
  <c r="BU75" i="19" s="1"/>
  <c r="AL76" i="18" s="1"/>
  <c r="BF75" i="19"/>
  <c r="X76" i="18"/>
  <c r="W76" i="18"/>
  <c r="T75" i="19"/>
  <c r="AG75" i="19" s="1"/>
  <c r="G75" i="19" s="1"/>
  <c r="G75" i="22" s="1"/>
  <c r="Q75" i="22" s="1"/>
  <c r="BV75" i="19" s="1"/>
  <c r="AN76" i="18" s="1"/>
  <c r="AV75" i="20"/>
  <c r="V76" i="18"/>
  <c r="AI76" i="18"/>
  <c r="AU75" i="20"/>
  <c r="Q75" i="19"/>
  <c r="AD75" i="19" s="1"/>
  <c r="D75" i="19" s="1"/>
  <c r="D75" i="22" s="1"/>
  <c r="N75" i="22" s="1"/>
  <c r="BS75" i="19" s="1"/>
  <c r="S76" i="18"/>
  <c r="R75" i="19"/>
  <c r="AE75" i="19" s="1"/>
  <c r="E75" i="19" s="1"/>
  <c r="E75" i="22" s="1"/>
  <c r="O75" i="22" s="1"/>
  <c r="BT75" i="19" s="1"/>
  <c r="U76" i="18"/>
  <c r="BE75" i="19"/>
  <c r="AJ76" i="18" s="1"/>
  <c r="T76" i="18"/>
  <c r="BB77" i="19"/>
  <c r="B77" i="18"/>
  <c r="O77" i="19" s="1"/>
  <c r="AB77" i="19" s="1"/>
  <c r="B77" i="19" s="1"/>
  <c r="B77" i="22" s="1"/>
  <c r="L77" i="22" s="1"/>
  <c r="R166" i="20"/>
  <c r="CL165" i="20"/>
  <c r="AP179" i="20"/>
  <c r="AG179" i="20" s="1"/>
  <c r="BZ179" i="20"/>
  <c r="AC112" i="20"/>
  <c r="Q166" i="20"/>
  <c r="CK165" i="20"/>
  <c r="P167" i="20"/>
  <c r="CJ166" i="20"/>
  <c r="S166" i="20"/>
  <c r="CM165" i="20"/>
  <c r="CG182" i="20"/>
  <c r="M75" i="22"/>
  <c r="BQ75" i="19"/>
  <c r="AH76" i="18" s="1"/>
  <c r="R77" i="18"/>
  <c r="BC76" i="19"/>
  <c r="P76" i="19"/>
  <c r="BW182" i="20"/>
  <c r="AM182" i="20"/>
  <c r="AD182" i="20" s="1"/>
  <c r="O75" i="18" l="1"/>
  <c r="BL75" i="19"/>
  <c r="BZ75" i="19"/>
  <c r="AR76" i="18" s="1"/>
  <c r="N75" i="18"/>
  <c r="AD76" i="18" s="1"/>
  <c r="M75" i="18"/>
  <c r="L76" i="18"/>
  <c r="BK76" i="19" s="1"/>
  <c r="X76" i="19"/>
  <c r="AK76" i="19" s="1"/>
  <c r="K76" i="19" s="1"/>
  <c r="BA76" i="20"/>
  <c r="AB76" i="18"/>
  <c r="BA75" i="20"/>
  <c r="BK75" i="19"/>
  <c r="X75" i="19"/>
  <c r="AK75" i="19" s="1"/>
  <c r="K75" i="19" s="1"/>
  <c r="Y77" i="18"/>
  <c r="AY76" i="20"/>
  <c r="V76" i="19"/>
  <c r="AI76" i="19" s="1"/>
  <c r="I76" i="19" s="1"/>
  <c r="I76" i="22" s="1"/>
  <c r="S76" i="22" s="1"/>
  <c r="BX76" i="19" s="1"/>
  <c r="BI76" i="19"/>
  <c r="H76" i="18"/>
  <c r="U76" i="19" s="1"/>
  <c r="AH76" i="19" s="1"/>
  <c r="H76" i="19" s="1"/>
  <c r="H76" i="22" s="1"/>
  <c r="R76" i="22" s="1"/>
  <c r="BW76" i="19" s="1"/>
  <c r="U75" i="19"/>
  <c r="AH75" i="19" s="1"/>
  <c r="H75" i="19" s="1"/>
  <c r="H75" i="22" s="1"/>
  <c r="R75" i="22" s="1"/>
  <c r="BW75" i="19" s="1"/>
  <c r="AO76" i="18" s="1"/>
  <c r="AW75" i="20"/>
  <c r="BH75" i="19"/>
  <c r="AM76" i="18" s="1"/>
  <c r="AW76" i="20"/>
  <c r="BH76" i="19"/>
  <c r="I76" i="18"/>
  <c r="AX76" i="20" s="1"/>
  <c r="AK76" i="18"/>
  <c r="F76" i="18"/>
  <c r="BF76" i="19" s="1"/>
  <c r="E76" i="18"/>
  <c r="BR76" i="19"/>
  <c r="D76" i="18"/>
  <c r="BP76" i="19"/>
  <c r="AG77" i="18" s="1"/>
  <c r="C77" i="18" s="1"/>
  <c r="BD76" i="19"/>
  <c r="Q78" i="18"/>
  <c r="CF182" i="20"/>
  <c r="CE112" i="20"/>
  <c r="K113" i="20"/>
  <c r="AT166" i="20"/>
  <c r="AK166" i="20" s="1"/>
  <c r="CD166" i="20"/>
  <c r="AQ167" i="20"/>
  <c r="AH167" i="20" s="1"/>
  <c r="CA167" i="20"/>
  <c r="AR166" i="20"/>
  <c r="AI166" i="20" s="1"/>
  <c r="CB166" i="20"/>
  <c r="O180" i="20"/>
  <c r="CI179" i="20"/>
  <c r="AS166" i="20"/>
  <c r="AJ166" i="20" s="1"/>
  <c r="CC166" i="20"/>
  <c r="BO77" i="19"/>
  <c r="AF78" i="18" s="1"/>
  <c r="AC76" i="19"/>
  <c r="C76" i="19" s="1"/>
  <c r="C76" i="22" s="1"/>
  <c r="AE76" i="18" l="1"/>
  <c r="AA75" i="19"/>
  <c r="AN75" i="19" s="1"/>
  <c r="N75" i="19" s="1"/>
  <c r="K75" i="22" s="1"/>
  <c r="U75" i="22" s="1"/>
  <c r="CA75" i="19" s="1"/>
  <c r="AS76" i="18" s="1"/>
  <c r="O76" i="18" s="1"/>
  <c r="AA76" i="19" s="1"/>
  <c r="AN76" i="19" s="1"/>
  <c r="N76" i="19" s="1"/>
  <c r="K76" i="22" s="1"/>
  <c r="U76" i="22" s="1"/>
  <c r="CA76" i="19" s="1"/>
  <c r="AC76" i="18"/>
  <c r="BB75" i="20"/>
  <c r="Y75" i="19"/>
  <c r="AL75" i="19" s="1"/>
  <c r="L75" i="19" s="1"/>
  <c r="J75" i="22" s="1"/>
  <c r="T75" i="22" s="1"/>
  <c r="BY75" i="19" s="1"/>
  <c r="AQ76" i="18" s="1"/>
  <c r="Z75" i="19"/>
  <c r="AM75" i="19" s="1"/>
  <c r="M75" i="19" s="1"/>
  <c r="BM75" i="19"/>
  <c r="BC75" i="20"/>
  <c r="AO77" i="18"/>
  <c r="K76" i="18"/>
  <c r="AM77" i="18"/>
  <c r="AI77" i="18"/>
  <c r="X77" i="18"/>
  <c r="G76" i="18"/>
  <c r="V77" i="18" s="1"/>
  <c r="S76" i="19"/>
  <c r="AF76" i="19" s="1"/>
  <c r="F76" i="19" s="1"/>
  <c r="F76" i="22" s="1"/>
  <c r="P76" i="22" s="1"/>
  <c r="BU76" i="19" s="1"/>
  <c r="AU76" i="20"/>
  <c r="S77" i="18"/>
  <c r="Q76" i="19"/>
  <c r="AD76" i="19" s="1"/>
  <c r="D76" i="19" s="1"/>
  <c r="D76" i="22" s="1"/>
  <c r="N76" i="22" s="1"/>
  <c r="BS76" i="19" s="1"/>
  <c r="BE76" i="19"/>
  <c r="R76" i="19"/>
  <c r="AE76" i="19" s="1"/>
  <c r="E76" i="19" s="1"/>
  <c r="E76" i="22" s="1"/>
  <c r="O76" i="22" s="1"/>
  <c r="BT76" i="19" s="1"/>
  <c r="AK77" i="18" s="1"/>
  <c r="T77" i="18"/>
  <c r="U77" i="18"/>
  <c r="BB78" i="19"/>
  <c r="B78" i="18"/>
  <c r="O78" i="19" s="1"/>
  <c r="AB78" i="19" s="1"/>
  <c r="B78" i="19" s="1"/>
  <c r="B78" i="22" s="1"/>
  <c r="L78" i="22" s="1"/>
  <c r="AP180" i="20"/>
  <c r="AG180" i="20" s="1"/>
  <c r="BZ180" i="20"/>
  <c r="P168" i="20"/>
  <c r="CJ167" i="20"/>
  <c r="AL113" i="20"/>
  <c r="BV113" i="20"/>
  <c r="R167" i="20"/>
  <c r="CL166" i="20"/>
  <c r="Q167" i="20"/>
  <c r="CK166" i="20"/>
  <c r="S167" i="20"/>
  <c r="CM166" i="20"/>
  <c r="M76" i="22"/>
  <c r="BQ76" i="19"/>
  <c r="AH77" i="18" s="1"/>
  <c r="R78" i="18"/>
  <c r="BC77" i="19"/>
  <c r="P77" i="19"/>
  <c r="P76" i="18" l="1"/>
  <c r="AT77" i="18"/>
  <c r="AT78" i="18" s="1"/>
  <c r="AS77" i="18"/>
  <c r="BN76" i="19"/>
  <c r="AE77" i="18"/>
  <c r="BL76" i="19"/>
  <c r="M76" i="18"/>
  <c r="BZ76" i="19"/>
  <c r="AR77" i="18" s="1"/>
  <c r="N76" i="18"/>
  <c r="AD77" i="18" s="1"/>
  <c r="AA77" i="18"/>
  <c r="AZ76" i="20"/>
  <c r="Z77" i="18"/>
  <c r="K77" i="18" s="1"/>
  <c r="BJ76" i="19"/>
  <c r="AP77" i="18" s="1"/>
  <c r="W76" i="19"/>
  <c r="AJ76" i="19" s="1"/>
  <c r="J76" i="19" s="1"/>
  <c r="G77" i="18"/>
  <c r="T76" i="19"/>
  <c r="AG76" i="19" s="1"/>
  <c r="G76" i="19" s="1"/>
  <c r="G76" i="22" s="1"/>
  <c r="Q76" i="22" s="1"/>
  <c r="BV76" i="19" s="1"/>
  <c r="AN77" i="18" s="1"/>
  <c r="AV76" i="20"/>
  <c r="BG76" i="19"/>
  <c r="AL77" i="18" s="1"/>
  <c r="W77" i="18"/>
  <c r="AJ77" i="18"/>
  <c r="F77" i="18" s="1"/>
  <c r="I77" i="18"/>
  <c r="AX77" i="20" s="1"/>
  <c r="BD77" i="19"/>
  <c r="E77" i="18"/>
  <c r="BR77" i="19"/>
  <c r="D77" i="18"/>
  <c r="BP77" i="19"/>
  <c r="AG78" i="18" s="1"/>
  <c r="C78" i="18" s="1"/>
  <c r="Q79" i="18"/>
  <c r="AT167" i="20"/>
  <c r="AK167" i="20" s="1"/>
  <c r="CD167" i="20"/>
  <c r="AR167" i="20"/>
  <c r="AI167" i="20" s="1"/>
  <c r="CB167" i="20"/>
  <c r="AS167" i="20"/>
  <c r="AJ167" i="20" s="1"/>
  <c r="CC167" i="20"/>
  <c r="AC113" i="20"/>
  <c r="AQ168" i="20"/>
  <c r="AH168" i="20" s="1"/>
  <c r="CA168" i="20"/>
  <c r="O181" i="20"/>
  <c r="CI180" i="20"/>
  <c r="AC77" i="19"/>
  <c r="C77" i="19" s="1"/>
  <c r="C77" i="22" s="1"/>
  <c r="BO78" i="19"/>
  <c r="AF79" i="18" s="1"/>
  <c r="P77" i="18" l="1"/>
  <c r="AE78" i="18" s="1"/>
  <c r="O77" i="18"/>
  <c r="BN77" i="19"/>
  <c r="AA77" i="19"/>
  <c r="AN77" i="19" s="1"/>
  <c r="N77" i="19" s="1"/>
  <c r="K77" i="22" s="1"/>
  <c r="U77" i="22" s="1"/>
  <c r="CA77" i="19" s="1"/>
  <c r="AS78" i="18" s="1"/>
  <c r="Y76" i="19"/>
  <c r="AL76" i="19" s="1"/>
  <c r="L76" i="19" s="1"/>
  <c r="J76" i="22" s="1"/>
  <c r="T76" i="22" s="1"/>
  <c r="BY76" i="19" s="1"/>
  <c r="AQ77" i="18" s="1"/>
  <c r="BB76" i="20"/>
  <c r="AB77" i="18"/>
  <c r="Z76" i="19"/>
  <c r="AM76" i="19" s="1"/>
  <c r="M76" i="19" s="1"/>
  <c r="BM76" i="19"/>
  <c r="BC76" i="20"/>
  <c r="AC77" i="18"/>
  <c r="L77" i="18"/>
  <c r="AZ77" i="20"/>
  <c r="BJ77" i="19"/>
  <c r="W77" i="19"/>
  <c r="AJ77" i="19" s="1"/>
  <c r="J77" i="19" s="1"/>
  <c r="J77" i="18"/>
  <c r="BF77" i="19"/>
  <c r="S77" i="19"/>
  <c r="AF77" i="19" s="1"/>
  <c r="F77" i="19" s="1"/>
  <c r="F77" i="22" s="1"/>
  <c r="P77" i="22" s="1"/>
  <c r="BU77" i="19" s="1"/>
  <c r="AI78" i="18"/>
  <c r="H77" i="18"/>
  <c r="AV77" i="20"/>
  <c r="BG77" i="19"/>
  <c r="AL78" i="18" s="1"/>
  <c r="T77" i="19"/>
  <c r="AG77" i="19" s="1"/>
  <c r="G77" i="19" s="1"/>
  <c r="G77" i="22" s="1"/>
  <c r="Q77" i="22" s="1"/>
  <c r="BV77" i="19" s="1"/>
  <c r="AN78" i="18" s="1"/>
  <c r="V78" i="18"/>
  <c r="AU77" i="20"/>
  <c r="T78" i="18"/>
  <c r="BE77" i="19"/>
  <c r="U78" i="18"/>
  <c r="R77" i="19"/>
  <c r="AE77" i="19" s="1"/>
  <c r="E77" i="19" s="1"/>
  <c r="E77" i="22" s="1"/>
  <c r="O77" i="22" s="1"/>
  <c r="BT77" i="19" s="1"/>
  <c r="Q77" i="19"/>
  <c r="AD77" i="19" s="1"/>
  <c r="D77" i="19" s="1"/>
  <c r="D77" i="22" s="1"/>
  <c r="N77" i="22" s="1"/>
  <c r="BS77" i="19" s="1"/>
  <c r="S78" i="18"/>
  <c r="BB79" i="19"/>
  <c r="B79" i="18"/>
  <c r="O79" i="19" s="1"/>
  <c r="AB79" i="19" s="1"/>
  <c r="B79" i="19" s="1"/>
  <c r="B79" i="22" s="1"/>
  <c r="L79" i="22" s="1"/>
  <c r="CE113" i="20"/>
  <c r="K114" i="20"/>
  <c r="Q168" i="20"/>
  <c r="CK167" i="20"/>
  <c r="AP181" i="20"/>
  <c r="AG181" i="20" s="1"/>
  <c r="BZ181" i="20"/>
  <c r="P169" i="20"/>
  <c r="CJ168" i="20"/>
  <c r="R168" i="20"/>
  <c r="CL167" i="20"/>
  <c r="S168" i="20"/>
  <c r="CM167" i="20"/>
  <c r="M77" i="22"/>
  <c r="BQ77" i="19"/>
  <c r="AH78" i="18" s="1"/>
  <c r="R79" i="18"/>
  <c r="P78" i="19"/>
  <c r="BC78" i="19"/>
  <c r="P78" i="18" l="1"/>
  <c r="AT79" i="18"/>
  <c r="BN78" i="19"/>
  <c r="BL77" i="19"/>
  <c r="BZ77" i="19"/>
  <c r="AR78" i="18" s="1"/>
  <c r="N77" i="18"/>
  <c r="M77" i="18"/>
  <c r="AB78" i="18" s="1"/>
  <c r="BA77" i="20"/>
  <c r="AA78" i="18"/>
  <c r="X77" i="19"/>
  <c r="AK77" i="19" s="1"/>
  <c r="K77" i="19" s="1"/>
  <c r="BK77" i="19"/>
  <c r="AY77" i="20"/>
  <c r="V77" i="19"/>
  <c r="AI77" i="19" s="1"/>
  <c r="I77" i="19" s="1"/>
  <c r="I77" i="22" s="1"/>
  <c r="S77" i="22" s="1"/>
  <c r="BX77" i="19" s="1"/>
  <c r="AP78" i="18" s="1"/>
  <c r="BI77" i="19"/>
  <c r="Z78" i="18"/>
  <c r="Y78" i="18"/>
  <c r="AW77" i="20"/>
  <c r="BH77" i="19"/>
  <c r="AM78" i="18" s="1"/>
  <c r="U77" i="19"/>
  <c r="AH77" i="19" s="1"/>
  <c r="H77" i="19" s="1"/>
  <c r="H77" i="22" s="1"/>
  <c r="R77" i="22" s="1"/>
  <c r="BW77" i="19" s="1"/>
  <c r="X78" i="18"/>
  <c r="W78" i="18"/>
  <c r="AK78" i="18"/>
  <c r="G78" i="18" s="1"/>
  <c r="T78" i="19" s="1"/>
  <c r="AG78" i="19" s="1"/>
  <c r="G78" i="19" s="1"/>
  <c r="G78" i="22" s="1"/>
  <c r="Q78" i="22" s="1"/>
  <c r="BV78" i="19" s="1"/>
  <c r="AJ78" i="18"/>
  <c r="F78" i="18" s="1"/>
  <c r="D78" i="18"/>
  <c r="BP78" i="19"/>
  <c r="AG79" i="18" s="1"/>
  <c r="C79" i="18" s="1"/>
  <c r="BD78" i="19"/>
  <c r="E78" i="18"/>
  <c r="BR78" i="19"/>
  <c r="Q80" i="18"/>
  <c r="O182" i="20"/>
  <c r="CI181" i="20"/>
  <c r="AR168" i="20"/>
  <c r="AI168" i="20" s="1"/>
  <c r="CB168" i="20"/>
  <c r="AL114" i="20"/>
  <c r="BV114" i="20"/>
  <c r="AT168" i="20"/>
  <c r="AK168" i="20" s="1"/>
  <c r="CD168" i="20"/>
  <c r="AS168" i="20"/>
  <c r="AJ168" i="20" s="1"/>
  <c r="CC168" i="20"/>
  <c r="AQ169" i="20"/>
  <c r="AH169" i="20" s="1"/>
  <c r="CA169" i="20"/>
  <c r="AC78" i="19"/>
  <c r="C78" i="19" s="1"/>
  <c r="C78" i="22" s="1"/>
  <c r="BO79" i="19"/>
  <c r="AF80" i="18" s="1"/>
  <c r="Z77" i="19" l="1"/>
  <c r="AM77" i="19" s="1"/>
  <c r="M77" i="19" s="1"/>
  <c r="AD78" i="18"/>
  <c r="BM77" i="19"/>
  <c r="BC77" i="20"/>
  <c r="AC78" i="18"/>
  <c r="Y77" i="19"/>
  <c r="AL77" i="19" s="1"/>
  <c r="L77" i="19" s="1"/>
  <c r="J77" i="22" s="1"/>
  <c r="T77" i="22" s="1"/>
  <c r="BY77" i="19" s="1"/>
  <c r="AQ78" i="18" s="1"/>
  <c r="BB77" i="20"/>
  <c r="L78" i="18"/>
  <c r="AO78" i="18"/>
  <c r="J78" i="18"/>
  <c r="Y79" i="18" s="1"/>
  <c r="AN79" i="18"/>
  <c r="BG78" i="19"/>
  <c r="AI79" i="18"/>
  <c r="AV78" i="20"/>
  <c r="H78" i="18"/>
  <c r="W79" i="18" s="1"/>
  <c r="I78" i="18"/>
  <c r="AX78" i="20" s="1"/>
  <c r="S78" i="19"/>
  <c r="AF78" i="19" s="1"/>
  <c r="F78" i="19" s="1"/>
  <c r="F78" i="22" s="1"/>
  <c r="P78" i="22" s="1"/>
  <c r="BU78" i="19" s="1"/>
  <c r="V79" i="18"/>
  <c r="AU78" i="20"/>
  <c r="BF78" i="19"/>
  <c r="U79" i="18"/>
  <c r="T79" i="18"/>
  <c r="BE78" i="19"/>
  <c r="R78" i="19"/>
  <c r="AE78" i="19" s="1"/>
  <c r="E78" i="19" s="1"/>
  <c r="E78" i="22" s="1"/>
  <c r="O78" i="22" s="1"/>
  <c r="BT78" i="19" s="1"/>
  <c r="S79" i="18"/>
  <c r="Q78" i="19"/>
  <c r="AD78" i="19" s="1"/>
  <c r="D78" i="19" s="1"/>
  <c r="D78" i="22" s="1"/>
  <c r="N78" i="22" s="1"/>
  <c r="BS78" i="19" s="1"/>
  <c r="AJ79" i="18" s="1"/>
  <c r="BB80" i="19"/>
  <c r="B80" i="18"/>
  <c r="O80" i="19" s="1"/>
  <c r="AB80" i="19" s="1"/>
  <c r="B80" i="19" s="1"/>
  <c r="B80" i="22" s="1"/>
  <c r="L80" i="22" s="1"/>
  <c r="BZ182" i="20"/>
  <c r="AP182" i="20"/>
  <c r="AG182" i="20" s="1"/>
  <c r="P170" i="20"/>
  <c r="CJ169" i="20"/>
  <c r="R169" i="20"/>
  <c r="CL168" i="20"/>
  <c r="S169" i="20"/>
  <c r="CM168" i="20"/>
  <c r="AC114" i="20"/>
  <c r="Q169" i="20"/>
  <c r="CK168" i="20"/>
  <c r="R80" i="18"/>
  <c r="BC79" i="19"/>
  <c r="P79" i="19"/>
  <c r="M78" i="22"/>
  <c r="BQ78" i="19"/>
  <c r="AH79" i="18" s="1"/>
  <c r="O78" i="18" l="1"/>
  <c r="BL78" i="19"/>
  <c r="M78" i="18"/>
  <c r="N78" i="18"/>
  <c r="BZ78" i="19"/>
  <c r="AR79" i="18" s="1"/>
  <c r="BA78" i="20"/>
  <c r="AB79" i="18"/>
  <c r="X78" i="19"/>
  <c r="AK78" i="19" s="1"/>
  <c r="K78" i="19" s="1"/>
  <c r="BK78" i="19"/>
  <c r="K78" i="18"/>
  <c r="Z79" i="18" s="1"/>
  <c r="J79" i="18"/>
  <c r="Y80" i="18"/>
  <c r="AA79" i="18"/>
  <c r="AY78" i="20"/>
  <c r="BI78" i="19"/>
  <c r="AO79" i="18" s="1"/>
  <c r="V78" i="19"/>
  <c r="AI78" i="19" s="1"/>
  <c r="I78" i="19" s="1"/>
  <c r="I78" i="22" s="1"/>
  <c r="S78" i="22" s="1"/>
  <c r="BX78" i="19" s="1"/>
  <c r="X79" i="18"/>
  <c r="AL79" i="18"/>
  <c r="H79" i="18" s="1"/>
  <c r="AK79" i="18"/>
  <c r="G79" i="18" s="1"/>
  <c r="BH78" i="19"/>
  <c r="AM79" i="18" s="1"/>
  <c r="AW78" i="20"/>
  <c r="U78" i="19"/>
  <c r="AH78" i="19" s="1"/>
  <c r="H78" i="19" s="1"/>
  <c r="H78" i="22" s="1"/>
  <c r="R78" i="22" s="1"/>
  <c r="BW78" i="19" s="1"/>
  <c r="F79" i="18"/>
  <c r="BR79" i="19"/>
  <c r="E79" i="18"/>
  <c r="BD79" i="19"/>
  <c r="AI80" i="18" s="1"/>
  <c r="D79" i="18"/>
  <c r="BP79" i="19"/>
  <c r="AG80" i="18" s="1"/>
  <c r="C80" i="18" s="1"/>
  <c r="Q81" i="18"/>
  <c r="CI182" i="20"/>
  <c r="AS169" i="20"/>
  <c r="AJ169" i="20" s="1"/>
  <c r="CC169" i="20"/>
  <c r="CE114" i="20"/>
  <c r="K115" i="20"/>
  <c r="AT169" i="20"/>
  <c r="AK169" i="20" s="1"/>
  <c r="CD169" i="20"/>
  <c r="AQ170" i="20"/>
  <c r="AH170" i="20" s="1"/>
  <c r="CA170" i="20"/>
  <c r="AR169" i="20"/>
  <c r="AI169" i="20" s="1"/>
  <c r="CB169" i="20"/>
  <c r="BO80" i="19"/>
  <c r="AF81" i="18" s="1"/>
  <c r="AC79" i="19"/>
  <c r="C79" i="19" s="1"/>
  <c r="C79" i="22" s="1"/>
  <c r="AA78" i="19" l="1"/>
  <c r="AN78" i="19" s="1"/>
  <c r="N78" i="19" s="1"/>
  <c r="K78" i="22" s="1"/>
  <c r="U78" i="22" s="1"/>
  <c r="CA78" i="19" s="1"/>
  <c r="AS79" i="18" s="1"/>
  <c r="AE79" i="18"/>
  <c r="AC79" i="18"/>
  <c r="BM78" i="19"/>
  <c r="BC78" i="20"/>
  <c r="AD79" i="18"/>
  <c r="Z78" i="19"/>
  <c r="AM78" i="19" s="1"/>
  <c r="M78" i="19" s="1"/>
  <c r="BB78" i="20"/>
  <c r="Y78" i="19"/>
  <c r="AL78" i="19" s="1"/>
  <c r="L78" i="19" s="1"/>
  <c r="J78" i="22" s="1"/>
  <c r="T78" i="22" s="1"/>
  <c r="BY78" i="19" s="1"/>
  <c r="AQ79" i="18" s="1"/>
  <c r="K79" i="18"/>
  <c r="BJ78" i="19"/>
  <c r="AP79" i="18" s="1"/>
  <c r="AP80" i="18" s="1"/>
  <c r="W78" i="19"/>
  <c r="AJ78" i="19" s="1"/>
  <c r="J78" i="19" s="1"/>
  <c r="Z80" i="18"/>
  <c r="AZ78" i="20"/>
  <c r="AY79" i="20"/>
  <c r="V79" i="19"/>
  <c r="AI79" i="19" s="1"/>
  <c r="I79" i="19" s="1"/>
  <c r="I79" i="22" s="1"/>
  <c r="S79" i="22" s="1"/>
  <c r="BX79" i="19" s="1"/>
  <c r="BI79" i="19"/>
  <c r="AO80" i="18" s="1"/>
  <c r="J80" i="18"/>
  <c r="AZ79" i="20"/>
  <c r="W79" i="19"/>
  <c r="AJ79" i="19" s="1"/>
  <c r="J79" i="19" s="1"/>
  <c r="BJ79" i="19"/>
  <c r="I79" i="18"/>
  <c r="BH79" i="19"/>
  <c r="AM80" i="18" s="1"/>
  <c r="U79" i="19"/>
  <c r="AH79" i="19" s="1"/>
  <c r="H79" i="19" s="1"/>
  <c r="H79" i="22" s="1"/>
  <c r="R79" i="22" s="1"/>
  <c r="BW79" i="19" s="1"/>
  <c r="AW79" i="20"/>
  <c r="T79" i="19"/>
  <c r="AG79" i="19" s="1"/>
  <c r="G79" i="19" s="1"/>
  <c r="G79" i="22" s="1"/>
  <c r="Q79" i="22" s="1"/>
  <c r="BV79" i="19" s="1"/>
  <c r="AN80" i="18" s="1"/>
  <c r="W80" i="18"/>
  <c r="BG79" i="19"/>
  <c r="AV79" i="20"/>
  <c r="AU79" i="20"/>
  <c r="BF79" i="19"/>
  <c r="S79" i="19"/>
  <c r="AF79" i="19" s="1"/>
  <c r="F79" i="19" s="1"/>
  <c r="F79" i="22" s="1"/>
  <c r="P79" i="22" s="1"/>
  <c r="BU79" i="19" s="1"/>
  <c r="V80" i="18"/>
  <c r="U80" i="18"/>
  <c r="R79" i="19"/>
  <c r="AE79" i="19" s="1"/>
  <c r="E79" i="19" s="1"/>
  <c r="E79" i="22" s="1"/>
  <c r="O79" i="22" s="1"/>
  <c r="BT79" i="19" s="1"/>
  <c r="BE79" i="19"/>
  <c r="T80" i="18"/>
  <c r="S80" i="18"/>
  <c r="Q79" i="19"/>
  <c r="AD79" i="19" s="1"/>
  <c r="D79" i="19" s="1"/>
  <c r="D79" i="22" s="1"/>
  <c r="N79" i="22" s="1"/>
  <c r="BS79" i="19" s="1"/>
  <c r="BB81" i="19"/>
  <c r="B81" i="18"/>
  <c r="O81" i="19" s="1"/>
  <c r="AB81" i="19" s="1"/>
  <c r="B81" i="19" s="1"/>
  <c r="B81" i="22" s="1"/>
  <c r="L81" i="22" s="1"/>
  <c r="P171" i="20"/>
  <c r="CJ170" i="20"/>
  <c r="R170" i="20"/>
  <c r="CL169" i="20"/>
  <c r="BV115" i="20"/>
  <c r="AL115" i="20"/>
  <c r="Q170" i="20"/>
  <c r="CK169" i="20"/>
  <c r="S170" i="20"/>
  <c r="CM169" i="20"/>
  <c r="M79" i="22"/>
  <c r="BQ79" i="19"/>
  <c r="AH80" i="18" s="1"/>
  <c r="R81" i="18"/>
  <c r="BC80" i="19"/>
  <c r="P80" i="19"/>
  <c r="P79" i="18" l="1"/>
  <c r="AT80" i="18"/>
  <c r="BN79" i="19"/>
  <c r="BL79" i="19"/>
  <c r="M79" i="18"/>
  <c r="BZ79" i="19"/>
  <c r="AR80" i="18" s="1"/>
  <c r="N79" i="18"/>
  <c r="AC80" i="18" s="1"/>
  <c r="O79" i="18"/>
  <c r="AD80" i="18" s="1"/>
  <c r="L79" i="18"/>
  <c r="AA80" i="18" s="1"/>
  <c r="K80" i="18"/>
  <c r="Z81" i="18" s="1"/>
  <c r="L80" i="18"/>
  <c r="AA81" i="18" s="1"/>
  <c r="BA79" i="20"/>
  <c r="X79" i="19"/>
  <c r="AK79" i="19" s="1"/>
  <c r="K79" i="19" s="1"/>
  <c r="BK79" i="19"/>
  <c r="AB80" i="18"/>
  <c r="AZ80" i="20"/>
  <c r="W80" i="19"/>
  <c r="AJ80" i="19" s="1"/>
  <c r="J80" i="19" s="1"/>
  <c r="BJ80" i="19"/>
  <c r="AP81" i="18" s="1"/>
  <c r="AY80" i="20"/>
  <c r="V80" i="19"/>
  <c r="AI80" i="19" s="1"/>
  <c r="I80" i="19" s="1"/>
  <c r="I80" i="22" s="1"/>
  <c r="S80" i="22" s="1"/>
  <c r="BX80" i="19" s="1"/>
  <c r="BI80" i="19"/>
  <c r="Y81" i="18"/>
  <c r="AX79" i="20"/>
  <c r="X80" i="18"/>
  <c r="I80" i="18" s="1"/>
  <c r="AX80" i="20" s="1"/>
  <c r="AL80" i="18"/>
  <c r="H80" i="18" s="1"/>
  <c r="AK80" i="18"/>
  <c r="AJ80" i="18"/>
  <c r="F80" i="18" s="1"/>
  <c r="BD80" i="19"/>
  <c r="BP80" i="19"/>
  <c r="AG81" i="18" s="1"/>
  <c r="C81" i="18" s="1"/>
  <c r="D80" i="18"/>
  <c r="BR80" i="19"/>
  <c r="E80" i="18"/>
  <c r="Q82" i="18"/>
  <c r="AT170" i="20"/>
  <c r="AK170" i="20" s="1"/>
  <c r="CD170" i="20"/>
  <c r="AR170" i="20"/>
  <c r="AI170" i="20" s="1"/>
  <c r="CB170" i="20"/>
  <c r="AC115" i="20"/>
  <c r="AS170" i="20"/>
  <c r="AJ170" i="20" s="1"/>
  <c r="CC170" i="20"/>
  <c r="AQ171" i="20"/>
  <c r="AH171" i="20" s="1"/>
  <c r="CA171" i="20"/>
  <c r="AC80" i="19"/>
  <c r="C80" i="19" s="1"/>
  <c r="C80" i="22" s="1"/>
  <c r="BO81" i="19"/>
  <c r="AF82" i="18" s="1"/>
  <c r="AR81" i="18" l="1"/>
  <c r="BZ80" i="19"/>
  <c r="N80" i="18"/>
  <c r="AA79" i="19"/>
  <c r="AN79" i="19" s="1"/>
  <c r="N79" i="19" s="1"/>
  <c r="K79" i="22" s="1"/>
  <c r="U79" i="22" s="1"/>
  <c r="CA79" i="19" s="1"/>
  <c r="AS80" i="18" s="1"/>
  <c r="AE80" i="18"/>
  <c r="AT81" i="18" s="1"/>
  <c r="BB79" i="20"/>
  <c r="Y79" i="19"/>
  <c r="AL79" i="19" s="1"/>
  <c r="L79" i="19" s="1"/>
  <c r="J79" i="22" s="1"/>
  <c r="T79" i="22" s="1"/>
  <c r="BY79" i="19" s="1"/>
  <c r="AQ80" i="18" s="1"/>
  <c r="BM79" i="19"/>
  <c r="BC79" i="20"/>
  <c r="Z79" i="19"/>
  <c r="AM79" i="19" s="1"/>
  <c r="M79" i="19" s="1"/>
  <c r="L81" i="18"/>
  <c r="BA80" i="20"/>
  <c r="X80" i="19"/>
  <c r="AK80" i="19" s="1"/>
  <c r="K80" i="19" s="1"/>
  <c r="BK80" i="19"/>
  <c r="X81" i="18"/>
  <c r="BH80" i="19"/>
  <c r="AM81" i="18" s="1"/>
  <c r="U80" i="19"/>
  <c r="AH80" i="19" s="1"/>
  <c r="H80" i="19" s="1"/>
  <c r="H80" i="22" s="1"/>
  <c r="R80" i="22" s="1"/>
  <c r="BW80" i="19" s="1"/>
  <c r="AO81" i="18" s="1"/>
  <c r="AW80" i="20"/>
  <c r="U81" i="18"/>
  <c r="G80" i="18"/>
  <c r="AI81" i="18"/>
  <c r="Q80" i="19"/>
  <c r="AD80" i="19" s="1"/>
  <c r="D80" i="19" s="1"/>
  <c r="D80" i="22" s="1"/>
  <c r="N80" i="22" s="1"/>
  <c r="BS80" i="19" s="1"/>
  <c r="S81" i="18"/>
  <c r="R80" i="19"/>
  <c r="AE80" i="19" s="1"/>
  <c r="E80" i="19" s="1"/>
  <c r="E80" i="22" s="1"/>
  <c r="O80" i="22" s="1"/>
  <c r="BT80" i="19" s="1"/>
  <c r="BE80" i="19"/>
  <c r="T81" i="18"/>
  <c r="AU80" i="20"/>
  <c r="BF80" i="19"/>
  <c r="AK81" i="18" s="1"/>
  <c r="S80" i="19"/>
  <c r="AF80" i="19" s="1"/>
  <c r="F80" i="19" s="1"/>
  <c r="F80" i="22" s="1"/>
  <c r="P80" i="22" s="1"/>
  <c r="BU80" i="19" s="1"/>
  <c r="V81" i="18"/>
  <c r="BB82" i="19"/>
  <c r="B82" i="18"/>
  <c r="O82" i="19" s="1"/>
  <c r="AB82" i="19" s="1"/>
  <c r="B82" i="19" s="1"/>
  <c r="B82" i="22" s="1"/>
  <c r="L82" i="22" s="1"/>
  <c r="P172" i="20"/>
  <c r="CJ171" i="20"/>
  <c r="S171" i="20"/>
  <c r="CM170" i="20"/>
  <c r="K116" i="20"/>
  <c r="CE115" i="20"/>
  <c r="R171" i="20"/>
  <c r="CL170" i="20"/>
  <c r="Q171" i="20"/>
  <c r="CK170" i="20"/>
  <c r="M80" i="22"/>
  <c r="BQ80" i="19"/>
  <c r="AH81" i="18" s="1"/>
  <c r="R82" i="18"/>
  <c r="BC81" i="19"/>
  <c r="P81" i="19"/>
  <c r="BN80" i="19" l="1"/>
  <c r="O80" i="18"/>
  <c r="AA80" i="19" s="1"/>
  <c r="AN80" i="19" s="1"/>
  <c r="N80" i="19" s="1"/>
  <c r="K80" i="22" s="1"/>
  <c r="U80" i="22" s="1"/>
  <c r="CA80" i="19" s="1"/>
  <c r="AS81" i="18" s="1"/>
  <c r="BL80" i="19"/>
  <c r="M80" i="18"/>
  <c r="AB81" i="18" s="1"/>
  <c r="Z80" i="19"/>
  <c r="AM80" i="19" s="1"/>
  <c r="M80" i="19" s="1"/>
  <c r="BM80" i="19"/>
  <c r="BC80" i="20"/>
  <c r="P80" i="18"/>
  <c r="K81" i="18"/>
  <c r="AJ81" i="18"/>
  <c r="BA81" i="20"/>
  <c r="X81" i="19"/>
  <c r="AK81" i="19" s="1"/>
  <c r="K81" i="19" s="1"/>
  <c r="BK81" i="19"/>
  <c r="AA82" i="18"/>
  <c r="Y80" i="19"/>
  <c r="AL80" i="19" s="1"/>
  <c r="L80" i="19" s="1"/>
  <c r="J80" i="22" s="1"/>
  <c r="T80" i="22" s="1"/>
  <c r="BY80" i="19" s="1"/>
  <c r="AQ81" i="18" s="1"/>
  <c r="BB80" i="20"/>
  <c r="AC81" i="18"/>
  <c r="I81" i="18"/>
  <c r="AX81" i="20" s="1"/>
  <c r="W81" i="18"/>
  <c r="AV80" i="20"/>
  <c r="T80" i="19"/>
  <c r="AG80" i="19" s="1"/>
  <c r="G80" i="19" s="1"/>
  <c r="G80" i="22" s="1"/>
  <c r="Q80" i="22" s="1"/>
  <c r="BV80" i="19" s="1"/>
  <c r="AN81" i="18" s="1"/>
  <c r="BG80" i="19"/>
  <c r="AL81" i="18" s="1"/>
  <c r="G81" i="18"/>
  <c r="T81" i="19" s="1"/>
  <c r="AG81" i="19" s="1"/>
  <c r="G81" i="19" s="1"/>
  <c r="G81" i="22" s="1"/>
  <c r="Q81" i="22" s="1"/>
  <c r="BV81" i="19" s="1"/>
  <c r="F81" i="18"/>
  <c r="BD81" i="19"/>
  <c r="BG81" i="19"/>
  <c r="BR81" i="19"/>
  <c r="E81" i="18"/>
  <c r="D81" i="18"/>
  <c r="BP81" i="19"/>
  <c r="AG82" i="18" s="1"/>
  <c r="C82" i="18" s="1"/>
  <c r="Q83" i="18"/>
  <c r="AL116" i="20"/>
  <c r="BV116" i="20"/>
  <c r="AR171" i="20"/>
  <c r="AI171" i="20" s="1"/>
  <c r="CB171" i="20"/>
  <c r="AS171" i="20"/>
  <c r="AJ171" i="20" s="1"/>
  <c r="CC171" i="20"/>
  <c r="AT171" i="20"/>
  <c r="AK171" i="20" s="1"/>
  <c r="CD171" i="20"/>
  <c r="AQ172" i="20"/>
  <c r="AH172" i="20" s="1"/>
  <c r="CA172" i="20"/>
  <c r="AC81" i="19"/>
  <c r="C81" i="19" s="1"/>
  <c r="C81" i="22" s="1"/>
  <c r="BO82" i="19"/>
  <c r="AF83" i="18" s="1"/>
  <c r="BN81" i="19" l="1"/>
  <c r="AE81" i="18"/>
  <c r="AD81" i="18"/>
  <c r="O81" i="18" s="1"/>
  <c r="AA81" i="19" s="1"/>
  <c r="AN81" i="19" s="1"/>
  <c r="N81" i="19" s="1"/>
  <c r="K81" i="22" s="1"/>
  <c r="U81" i="22" s="1"/>
  <c r="CA81" i="19" s="1"/>
  <c r="BL81" i="19"/>
  <c r="M81" i="18"/>
  <c r="AB82" i="18" s="1"/>
  <c r="AZ81" i="20"/>
  <c r="W81" i="19"/>
  <c r="AJ81" i="19" s="1"/>
  <c r="J81" i="19" s="1"/>
  <c r="BJ81" i="19"/>
  <c r="AI82" i="18"/>
  <c r="AN82" i="18"/>
  <c r="J81" i="18"/>
  <c r="BZ81" i="19"/>
  <c r="AR82" i="18" s="1"/>
  <c r="N81" i="18"/>
  <c r="AC82" i="18" s="1"/>
  <c r="Y81" i="19"/>
  <c r="AL81" i="19" s="1"/>
  <c r="L81" i="19" s="1"/>
  <c r="J81" i="22" s="1"/>
  <c r="T81" i="22" s="1"/>
  <c r="BY81" i="19" s="1"/>
  <c r="AQ82" i="18" s="1"/>
  <c r="BB81" i="20"/>
  <c r="H81" i="18"/>
  <c r="X82" i="18" s="1"/>
  <c r="AV81" i="20"/>
  <c r="BH81" i="19"/>
  <c r="AM82" i="18" s="1"/>
  <c r="V82" i="18"/>
  <c r="AU81" i="20"/>
  <c r="S81" i="19"/>
  <c r="AF81" i="19" s="1"/>
  <c r="F81" i="19" s="1"/>
  <c r="F81" i="22" s="1"/>
  <c r="P81" i="22" s="1"/>
  <c r="BU81" i="19" s="1"/>
  <c r="AL82" i="18" s="1"/>
  <c r="BF81" i="19"/>
  <c r="S82" i="18"/>
  <c r="Q81" i="19"/>
  <c r="AD81" i="19" s="1"/>
  <c r="D81" i="19" s="1"/>
  <c r="D81" i="22" s="1"/>
  <c r="N81" i="22" s="1"/>
  <c r="BS81" i="19" s="1"/>
  <c r="U82" i="18"/>
  <c r="BE81" i="19"/>
  <c r="R81" i="19"/>
  <c r="AE81" i="19" s="1"/>
  <c r="E81" i="19" s="1"/>
  <c r="E81" i="22" s="1"/>
  <c r="O81" i="22" s="1"/>
  <c r="BT81" i="19" s="1"/>
  <c r="T82" i="18"/>
  <c r="BB83" i="19"/>
  <c r="B83" i="18"/>
  <c r="O83" i="19" s="1"/>
  <c r="AB83" i="19" s="1"/>
  <c r="B83" i="19" s="1"/>
  <c r="B83" i="22" s="1"/>
  <c r="L83" i="22" s="1"/>
  <c r="P173" i="20"/>
  <c r="CJ172" i="20"/>
  <c r="S172" i="20"/>
  <c r="CM171" i="20"/>
  <c r="R172" i="20"/>
  <c r="CL171" i="20"/>
  <c r="Q172" i="20"/>
  <c r="CK171" i="20"/>
  <c r="AC116" i="20"/>
  <c r="M81" i="22"/>
  <c r="BQ81" i="19"/>
  <c r="AH82" i="18" s="1"/>
  <c r="R83" i="18"/>
  <c r="BC82" i="19"/>
  <c r="P82" i="19"/>
  <c r="P81" i="18" l="1"/>
  <c r="AE82" i="18" s="1"/>
  <c r="AT82" i="18"/>
  <c r="AT83" i="18" s="1"/>
  <c r="AS82" i="18"/>
  <c r="BL82" i="19"/>
  <c r="M82" i="18"/>
  <c r="AW81" i="20"/>
  <c r="AY81" i="20"/>
  <c r="V81" i="19"/>
  <c r="AI81" i="19" s="1"/>
  <c r="I81" i="19" s="1"/>
  <c r="I81" i="22" s="1"/>
  <c r="S81" i="22" s="1"/>
  <c r="BX81" i="19" s="1"/>
  <c r="AP82" i="18" s="1"/>
  <c r="BI81" i="19"/>
  <c r="Z82" i="18"/>
  <c r="Y82" i="18"/>
  <c r="BZ82" i="19"/>
  <c r="AR83" i="18" s="1"/>
  <c r="N82" i="18"/>
  <c r="AC83" i="18" s="1"/>
  <c r="BC81" i="20"/>
  <c r="Z81" i="19"/>
  <c r="AM81" i="19" s="1"/>
  <c r="M81" i="19" s="1"/>
  <c r="BM81" i="19"/>
  <c r="AD82" i="18"/>
  <c r="BB82" i="20"/>
  <c r="Y82" i="19"/>
  <c r="AL82" i="19" s="1"/>
  <c r="L82" i="19" s="1"/>
  <c r="J82" i="22" s="1"/>
  <c r="T82" i="22" s="1"/>
  <c r="BY82" i="19" s="1"/>
  <c r="I82" i="18"/>
  <c r="AX82" i="20" s="1"/>
  <c r="U81" i="19"/>
  <c r="AH81" i="19" s="1"/>
  <c r="H81" i="19" s="1"/>
  <c r="H81" i="22" s="1"/>
  <c r="R81" i="22" s="1"/>
  <c r="BW81" i="19" s="1"/>
  <c r="W82" i="18"/>
  <c r="H82" i="18" s="1"/>
  <c r="AK82" i="18"/>
  <c r="AJ82" i="18"/>
  <c r="F82" i="18" s="1"/>
  <c r="BD82" i="19"/>
  <c r="E82" i="18"/>
  <c r="BR82" i="19"/>
  <c r="BP82" i="19"/>
  <c r="AG83" i="18" s="1"/>
  <c r="C83" i="18" s="1"/>
  <c r="D82" i="18"/>
  <c r="Q84" i="18"/>
  <c r="AR172" i="20"/>
  <c r="AI172" i="20" s="1"/>
  <c r="CB172" i="20"/>
  <c r="AS172" i="20"/>
  <c r="AJ172" i="20" s="1"/>
  <c r="CC172" i="20"/>
  <c r="CE116" i="20"/>
  <c r="K117" i="20"/>
  <c r="AT172" i="20"/>
  <c r="AK172" i="20" s="1"/>
  <c r="CD172" i="20"/>
  <c r="AQ173" i="20"/>
  <c r="AH173" i="20" s="1"/>
  <c r="CA173" i="20"/>
  <c r="BO83" i="19"/>
  <c r="AF84" i="18" s="1"/>
  <c r="AC82" i="19"/>
  <c r="C82" i="19" s="1"/>
  <c r="C82" i="22" s="1"/>
  <c r="P82" i="18" l="1"/>
  <c r="BN82" i="19"/>
  <c r="L82" i="18"/>
  <c r="AO82" i="18"/>
  <c r="BZ83" i="19"/>
  <c r="AR84" i="18" s="1"/>
  <c r="N83" i="18"/>
  <c r="J82" i="18"/>
  <c r="Y83" i="18"/>
  <c r="K82" i="18"/>
  <c r="O82" i="18"/>
  <c r="AD83" i="18" s="1"/>
  <c r="BC82" i="20"/>
  <c r="Z82" i="19"/>
  <c r="AM82" i="19" s="1"/>
  <c r="M82" i="19" s="1"/>
  <c r="BM82" i="19"/>
  <c r="X83" i="18"/>
  <c r="U82" i="19"/>
  <c r="AH82" i="19" s="1"/>
  <c r="H82" i="19" s="1"/>
  <c r="H82" i="22" s="1"/>
  <c r="R82" i="22" s="1"/>
  <c r="BW82" i="19" s="1"/>
  <c r="AW82" i="20"/>
  <c r="BH82" i="19"/>
  <c r="AM83" i="18" s="1"/>
  <c r="G82" i="18"/>
  <c r="V83" i="18" s="1"/>
  <c r="AU82" i="20"/>
  <c r="BF82" i="19"/>
  <c r="S82" i="19"/>
  <c r="AF82" i="19" s="1"/>
  <c r="F82" i="19" s="1"/>
  <c r="F82" i="22" s="1"/>
  <c r="P82" i="22" s="1"/>
  <c r="BU82" i="19" s="1"/>
  <c r="AI83" i="18"/>
  <c r="BE82" i="19"/>
  <c r="T83" i="18"/>
  <c r="R82" i="19"/>
  <c r="AE82" i="19" s="1"/>
  <c r="E82" i="19" s="1"/>
  <c r="E82" i="22" s="1"/>
  <c r="O82" i="22" s="1"/>
  <c r="BT82" i="19" s="1"/>
  <c r="U83" i="18"/>
  <c r="S83" i="18"/>
  <c r="Q82" i="19"/>
  <c r="AD82" i="19" s="1"/>
  <c r="D82" i="19" s="1"/>
  <c r="D82" i="22" s="1"/>
  <c r="N82" i="22" s="1"/>
  <c r="BS82" i="19" s="1"/>
  <c r="BB84" i="19"/>
  <c r="B84" i="18"/>
  <c r="O84" i="19" s="1"/>
  <c r="AB84" i="19" s="1"/>
  <c r="B84" i="19" s="1"/>
  <c r="B84" i="22" s="1"/>
  <c r="L84" i="22" s="1"/>
  <c r="S173" i="20"/>
  <c r="CM172" i="20"/>
  <c r="R173" i="20"/>
  <c r="CL172" i="20"/>
  <c r="BV117" i="20"/>
  <c r="AL117" i="20"/>
  <c r="P174" i="20"/>
  <c r="CJ173" i="20"/>
  <c r="Q173" i="20"/>
  <c r="CK172" i="20"/>
  <c r="M82" i="22"/>
  <c r="BQ82" i="19"/>
  <c r="AH83" i="18" s="1"/>
  <c r="R84" i="18"/>
  <c r="BC83" i="19"/>
  <c r="P83" i="19"/>
  <c r="BA82" i="20" l="1"/>
  <c r="AB83" i="18"/>
  <c r="X82" i="19"/>
  <c r="AK82" i="19" s="1"/>
  <c r="K82" i="19" s="1"/>
  <c r="BK82" i="19"/>
  <c r="AQ83" i="18" s="1"/>
  <c r="AZ82" i="20"/>
  <c r="W82" i="19"/>
  <c r="AJ82" i="19" s="1"/>
  <c r="J82" i="19" s="1"/>
  <c r="BJ82" i="19"/>
  <c r="AP83" i="18" s="1"/>
  <c r="AA83" i="18"/>
  <c r="L83" i="18" s="1"/>
  <c r="AK83" i="18"/>
  <c r="AE83" i="18"/>
  <c r="AT84" i="18" s="1"/>
  <c r="AA82" i="19"/>
  <c r="AN82" i="19" s="1"/>
  <c r="N82" i="19" s="1"/>
  <c r="K82" i="22" s="1"/>
  <c r="U82" i="22" s="1"/>
  <c r="CA82" i="19" s="1"/>
  <c r="AS83" i="18" s="1"/>
  <c r="O83" i="18" s="1"/>
  <c r="AY82" i="20"/>
  <c r="V82" i="19"/>
  <c r="AI82" i="19" s="1"/>
  <c r="I82" i="19" s="1"/>
  <c r="I82" i="22" s="1"/>
  <c r="S82" i="22" s="1"/>
  <c r="BX82" i="19" s="1"/>
  <c r="BI82" i="19"/>
  <c r="AO83" i="18" s="1"/>
  <c r="BC83" i="20"/>
  <c r="Z83" i="19"/>
  <c r="AM83" i="19" s="1"/>
  <c r="M83" i="19" s="1"/>
  <c r="BM83" i="19"/>
  <c r="Z83" i="18"/>
  <c r="AJ83" i="18"/>
  <c r="F83" i="18" s="1"/>
  <c r="I83" i="18"/>
  <c r="AX83" i="20" s="1"/>
  <c r="G83" i="18"/>
  <c r="BG82" i="19"/>
  <c r="AL83" i="18" s="1"/>
  <c r="T82" i="19"/>
  <c r="AG82" i="19" s="1"/>
  <c r="G82" i="19" s="1"/>
  <c r="G82" i="22" s="1"/>
  <c r="Q82" i="22" s="1"/>
  <c r="BV82" i="19" s="1"/>
  <c r="AN83" i="18" s="1"/>
  <c r="AV82" i="20"/>
  <c r="W83" i="18"/>
  <c r="BD83" i="19"/>
  <c r="AI84" i="18" s="1"/>
  <c r="E83" i="18"/>
  <c r="BR83" i="19"/>
  <c r="D83" i="18"/>
  <c r="BP83" i="19"/>
  <c r="AG84" i="18" s="1"/>
  <c r="C84" i="18" s="1"/>
  <c r="Q85" i="18"/>
  <c r="AR173" i="20"/>
  <c r="AI173" i="20" s="1"/>
  <c r="CB173" i="20"/>
  <c r="AQ174" i="20"/>
  <c r="AH174" i="20" s="1"/>
  <c r="CA174" i="20"/>
  <c r="AS173" i="20"/>
  <c r="AJ173" i="20" s="1"/>
  <c r="CC173" i="20"/>
  <c r="AC117" i="20"/>
  <c r="AT173" i="20"/>
  <c r="AK173" i="20" s="1"/>
  <c r="CD173" i="20"/>
  <c r="AC83" i="19"/>
  <c r="C83" i="19" s="1"/>
  <c r="C83" i="22" s="1"/>
  <c r="BO84" i="19"/>
  <c r="AF85" i="18" s="1"/>
  <c r="AD84" i="18" l="1"/>
  <c r="O84" i="18" s="1"/>
  <c r="AA84" i="19" s="1"/>
  <c r="AN84" i="19" s="1"/>
  <c r="N84" i="19" s="1"/>
  <c r="K84" i="22" s="1"/>
  <c r="U84" i="22" s="1"/>
  <c r="CA84" i="19" s="1"/>
  <c r="AA83" i="19"/>
  <c r="AN83" i="19" s="1"/>
  <c r="N83" i="19" s="1"/>
  <c r="K83" i="22" s="1"/>
  <c r="U83" i="22" s="1"/>
  <c r="CA83" i="19" s="1"/>
  <c r="AS84" i="18"/>
  <c r="BN83" i="19"/>
  <c r="BL83" i="19"/>
  <c r="M83" i="18"/>
  <c r="BB83" i="20" s="1"/>
  <c r="AC84" i="18"/>
  <c r="K83" i="18"/>
  <c r="P83" i="18"/>
  <c r="AE84" i="18" s="1"/>
  <c r="AT85" i="18" s="1"/>
  <c r="J83" i="18"/>
  <c r="AA84" i="18"/>
  <c r="BA83" i="20"/>
  <c r="X83" i="19"/>
  <c r="AK83" i="19" s="1"/>
  <c r="K83" i="19" s="1"/>
  <c r="BK83" i="19"/>
  <c r="AB84" i="18"/>
  <c r="H83" i="18"/>
  <c r="W84" i="18" s="1"/>
  <c r="AV83" i="20"/>
  <c r="BG83" i="19"/>
  <c r="T83" i="19"/>
  <c r="AG83" i="19" s="1"/>
  <c r="G83" i="19" s="1"/>
  <c r="G83" i="22" s="1"/>
  <c r="Q83" i="22" s="1"/>
  <c r="BV83" i="19" s="1"/>
  <c r="AN84" i="18" s="1"/>
  <c r="S83" i="19"/>
  <c r="AF83" i="19" s="1"/>
  <c r="F83" i="19" s="1"/>
  <c r="F83" i="22" s="1"/>
  <c r="P83" i="22" s="1"/>
  <c r="BU83" i="19" s="1"/>
  <c r="V84" i="18"/>
  <c r="AU83" i="20"/>
  <c r="BF83" i="19"/>
  <c r="R83" i="19"/>
  <c r="AE83" i="19" s="1"/>
  <c r="E83" i="19" s="1"/>
  <c r="E83" i="22" s="1"/>
  <c r="O83" i="22" s="1"/>
  <c r="BT83" i="19" s="1"/>
  <c r="U84" i="18"/>
  <c r="T84" i="18"/>
  <c r="BE83" i="19"/>
  <c r="S84" i="18"/>
  <c r="Q83" i="19"/>
  <c r="AD83" i="19" s="1"/>
  <c r="D83" i="19" s="1"/>
  <c r="D83" i="22" s="1"/>
  <c r="N83" i="22" s="1"/>
  <c r="BS83" i="19" s="1"/>
  <c r="BB85" i="19"/>
  <c r="B85" i="18"/>
  <c r="O85" i="19" s="1"/>
  <c r="AB85" i="19" s="1"/>
  <c r="B85" i="19" s="1"/>
  <c r="B85" i="22" s="1"/>
  <c r="L85" i="22" s="1"/>
  <c r="R174" i="20"/>
  <c r="CL173" i="20"/>
  <c r="P175" i="20"/>
  <c r="CJ174" i="20"/>
  <c r="CE117" i="20"/>
  <c r="K118" i="20"/>
  <c r="S174" i="20"/>
  <c r="CM173" i="20"/>
  <c r="Q174" i="20"/>
  <c r="CK173" i="20"/>
  <c r="M83" i="22"/>
  <c r="BQ83" i="19"/>
  <c r="AH84" i="18" s="1"/>
  <c r="R85" i="18"/>
  <c r="BC84" i="19"/>
  <c r="P84" i="19"/>
  <c r="AS85" i="18" l="1"/>
  <c r="BN84" i="19"/>
  <c r="Y83" i="19"/>
  <c r="AL83" i="19" s="1"/>
  <c r="L83" i="19" s="1"/>
  <c r="J83" i="22" s="1"/>
  <c r="T83" i="22" s="1"/>
  <c r="BY83" i="19" s="1"/>
  <c r="AQ84" i="18" s="1"/>
  <c r="M84" i="18" s="1"/>
  <c r="BZ84" i="19"/>
  <c r="AR85" i="18" s="1"/>
  <c r="N84" i="18"/>
  <c r="P84" i="18"/>
  <c r="AE85" i="18" s="1"/>
  <c r="AT86" i="18" s="1"/>
  <c r="AY83" i="20"/>
  <c r="V83" i="19"/>
  <c r="AI83" i="19" s="1"/>
  <c r="I83" i="19" s="1"/>
  <c r="I83" i="22" s="1"/>
  <c r="S83" i="22" s="1"/>
  <c r="BX83" i="19" s="1"/>
  <c r="BI83" i="19"/>
  <c r="AO84" i="18" s="1"/>
  <c r="Y84" i="18"/>
  <c r="Z84" i="18"/>
  <c r="AZ83" i="20"/>
  <c r="W83" i="19"/>
  <c r="AJ83" i="19" s="1"/>
  <c r="J83" i="19" s="1"/>
  <c r="BJ83" i="19"/>
  <c r="AP84" i="18" s="1"/>
  <c r="L84" i="18" s="1"/>
  <c r="AL84" i="18"/>
  <c r="H84" i="18" s="1"/>
  <c r="AK84" i="18"/>
  <c r="U83" i="19"/>
  <c r="AH83" i="19" s="1"/>
  <c r="H83" i="19" s="1"/>
  <c r="H83" i="22" s="1"/>
  <c r="R83" i="22" s="1"/>
  <c r="BW83" i="19" s="1"/>
  <c r="BH83" i="19"/>
  <c r="AM84" i="18" s="1"/>
  <c r="AW83" i="20"/>
  <c r="X84" i="18"/>
  <c r="AJ84" i="18"/>
  <c r="F84" i="18" s="1"/>
  <c r="D84" i="18"/>
  <c r="Q84" i="19" s="1"/>
  <c r="AD84" i="19" s="1"/>
  <c r="D84" i="19" s="1"/>
  <c r="D84" i="22" s="1"/>
  <c r="N84" i="22" s="1"/>
  <c r="BS84" i="19" s="1"/>
  <c r="BP84" i="19"/>
  <c r="AG85" i="18" s="1"/>
  <c r="C85" i="18" s="1"/>
  <c r="E84" i="18"/>
  <c r="BR84" i="19"/>
  <c r="BD84" i="19"/>
  <c r="Q86" i="18"/>
  <c r="AT174" i="20"/>
  <c r="AK174" i="20" s="1"/>
  <c r="CD174" i="20"/>
  <c r="AR174" i="20"/>
  <c r="AI174" i="20" s="1"/>
  <c r="CB174" i="20"/>
  <c r="BV118" i="20"/>
  <c r="AL118" i="20"/>
  <c r="AQ175" i="20"/>
  <c r="AH175" i="20" s="1"/>
  <c r="CA175" i="20"/>
  <c r="AS174" i="20"/>
  <c r="AJ174" i="20" s="1"/>
  <c r="CC174" i="20"/>
  <c r="AC84" i="19"/>
  <c r="C84" i="19" s="1"/>
  <c r="C84" i="22" s="1"/>
  <c r="BO85" i="19"/>
  <c r="AF86" i="18" s="1"/>
  <c r="BN85" i="19" l="1"/>
  <c r="BL84" i="19"/>
  <c r="BA84" i="20"/>
  <c r="X84" i="19"/>
  <c r="BK84" i="19"/>
  <c r="AQ85" i="18" s="1"/>
  <c r="BM84" i="19"/>
  <c r="BC84" i="20"/>
  <c r="Z84" i="19"/>
  <c r="AM84" i="19" s="1"/>
  <c r="M84" i="19" s="1"/>
  <c r="AD85" i="18"/>
  <c r="O85" i="18" s="1"/>
  <c r="AA85" i="19" s="1"/>
  <c r="AN85" i="19" s="1"/>
  <c r="N85" i="19" s="1"/>
  <c r="K85" i="22" s="1"/>
  <c r="U85" i="22" s="1"/>
  <c r="CA85" i="19" s="1"/>
  <c r="P85" i="18"/>
  <c r="J84" i="18"/>
  <c r="Y85" i="18"/>
  <c r="AK84" i="19"/>
  <c r="K84" i="19" s="1"/>
  <c r="Y84" i="19"/>
  <c r="AL84" i="19" s="1"/>
  <c r="L84" i="19" s="1"/>
  <c r="J84" i="22" s="1"/>
  <c r="T84" i="22" s="1"/>
  <c r="BY84" i="19" s="1"/>
  <c r="BB84" i="20"/>
  <c r="AC85" i="18"/>
  <c r="K84" i="18"/>
  <c r="Z85" i="18"/>
  <c r="AB85" i="18"/>
  <c r="U84" i="19"/>
  <c r="AH84" i="19" s="1"/>
  <c r="H84" i="19" s="1"/>
  <c r="H84" i="22" s="1"/>
  <c r="R84" i="22" s="1"/>
  <c r="BW84" i="19" s="1"/>
  <c r="AW84" i="20"/>
  <c r="BH84" i="19"/>
  <c r="AM85" i="18" s="1"/>
  <c r="I84" i="18"/>
  <c r="AX84" i="20" s="1"/>
  <c r="G84" i="18"/>
  <c r="AU84" i="20"/>
  <c r="BF84" i="19"/>
  <c r="S84" i="19"/>
  <c r="AF84" i="19" s="1"/>
  <c r="F84" i="19" s="1"/>
  <c r="F84" i="22" s="1"/>
  <c r="P84" i="22" s="1"/>
  <c r="BU84" i="19" s="1"/>
  <c r="AI85" i="18"/>
  <c r="BE84" i="19"/>
  <c r="AJ85" i="18" s="1"/>
  <c r="R84" i="19"/>
  <c r="AE84" i="19" s="1"/>
  <c r="E84" i="19" s="1"/>
  <c r="E84" i="22" s="1"/>
  <c r="O84" i="22" s="1"/>
  <c r="BT84" i="19" s="1"/>
  <c r="U85" i="18"/>
  <c r="T85" i="18"/>
  <c r="S85" i="18"/>
  <c r="BB86" i="19"/>
  <c r="B86" i="18"/>
  <c r="O86" i="19" s="1"/>
  <c r="AB86" i="19" s="1"/>
  <c r="B86" i="19" s="1"/>
  <c r="B86" i="22" s="1"/>
  <c r="L86" i="22" s="1"/>
  <c r="R175" i="20"/>
  <c r="CL174" i="20"/>
  <c r="P176" i="20"/>
  <c r="CJ175" i="20"/>
  <c r="AC118" i="20"/>
  <c r="Q175" i="20"/>
  <c r="CK174" i="20"/>
  <c r="S175" i="20"/>
  <c r="CM174" i="20"/>
  <c r="M84" i="22"/>
  <c r="BQ84" i="19"/>
  <c r="AH85" i="18" s="1"/>
  <c r="R86" i="18"/>
  <c r="BC85" i="19"/>
  <c r="P85" i="19"/>
  <c r="AS86" i="18" l="1"/>
  <c r="BL85" i="19"/>
  <c r="AE86" i="18"/>
  <c r="AZ84" i="20"/>
  <c r="W84" i="19"/>
  <c r="AJ84" i="19" s="1"/>
  <c r="J84" i="19" s="1"/>
  <c r="BJ84" i="19"/>
  <c r="AP85" i="18" s="1"/>
  <c r="AA85" i="18"/>
  <c r="AY84" i="20"/>
  <c r="V84" i="19"/>
  <c r="AI84" i="19" s="1"/>
  <c r="I84" i="19" s="1"/>
  <c r="I84" i="22" s="1"/>
  <c r="S84" i="22" s="1"/>
  <c r="BX84" i="19" s="1"/>
  <c r="BI84" i="19"/>
  <c r="AO85" i="18" s="1"/>
  <c r="K85" i="18"/>
  <c r="BZ85" i="19"/>
  <c r="AR86" i="18" s="1"/>
  <c r="N85" i="18"/>
  <c r="M85" i="18"/>
  <c r="AK85" i="18"/>
  <c r="W85" i="18"/>
  <c r="BG84" i="19"/>
  <c r="AL85" i="18" s="1"/>
  <c r="AV84" i="20"/>
  <c r="T84" i="19"/>
  <c r="AG84" i="19" s="1"/>
  <c r="G84" i="19" s="1"/>
  <c r="G84" i="22" s="1"/>
  <c r="Q84" i="22" s="1"/>
  <c r="BV84" i="19" s="1"/>
  <c r="AN85" i="18" s="1"/>
  <c r="X85" i="18"/>
  <c r="V85" i="18"/>
  <c r="G85" i="18" s="1"/>
  <c r="F85" i="18"/>
  <c r="BD85" i="19"/>
  <c r="BP85" i="19"/>
  <c r="AG86" i="18" s="1"/>
  <c r="C86" i="18" s="1"/>
  <c r="D85" i="18"/>
  <c r="E85" i="18"/>
  <c r="BR85" i="19"/>
  <c r="Q87" i="18"/>
  <c r="AT175" i="20"/>
  <c r="AK175" i="20" s="1"/>
  <c r="CD175" i="20"/>
  <c r="AR175" i="20"/>
  <c r="AI175" i="20" s="1"/>
  <c r="CB175" i="20"/>
  <c r="CE118" i="20"/>
  <c r="K119" i="20"/>
  <c r="AQ176" i="20"/>
  <c r="AH176" i="20" s="1"/>
  <c r="CA176" i="20"/>
  <c r="AS175" i="20"/>
  <c r="AJ175" i="20" s="1"/>
  <c r="CC175" i="20"/>
  <c r="AC85" i="19"/>
  <c r="C85" i="19" s="1"/>
  <c r="C85" i="22" s="1"/>
  <c r="BO86" i="19"/>
  <c r="AF87" i="18" s="1"/>
  <c r="P86" i="18" l="1"/>
  <c r="AT87" i="18"/>
  <c r="BN86" i="19"/>
  <c r="AC86" i="18"/>
  <c r="BZ86" i="19" s="1"/>
  <c r="Y85" i="19"/>
  <c r="AL85" i="19" s="1"/>
  <c r="L85" i="19" s="1"/>
  <c r="J85" i="22" s="1"/>
  <c r="T85" i="22" s="1"/>
  <c r="BY85" i="19" s="1"/>
  <c r="BB85" i="20"/>
  <c r="AZ85" i="20"/>
  <c r="BJ85" i="19"/>
  <c r="W85" i="19"/>
  <c r="AJ85" i="19" s="1"/>
  <c r="J85" i="19" s="1"/>
  <c r="L85" i="18"/>
  <c r="AA86" i="18" s="1"/>
  <c r="BC85" i="20"/>
  <c r="Z85" i="19"/>
  <c r="AM85" i="19" s="1"/>
  <c r="M85" i="19" s="1"/>
  <c r="BM85" i="19"/>
  <c r="AD86" i="18"/>
  <c r="AB86" i="18"/>
  <c r="J85" i="18"/>
  <c r="T86" i="18"/>
  <c r="T85" i="19"/>
  <c r="AG85" i="19" s="1"/>
  <c r="G85" i="19" s="1"/>
  <c r="G85" i="22" s="1"/>
  <c r="Q85" i="22" s="1"/>
  <c r="BV85" i="19" s="1"/>
  <c r="AN86" i="18" s="1"/>
  <c r="BG85" i="19"/>
  <c r="AV85" i="20"/>
  <c r="I85" i="18"/>
  <c r="AX85" i="20" s="1"/>
  <c r="H85" i="18"/>
  <c r="W86" i="18" s="1"/>
  <c r="AI86" i="18"/>
  <c r="E86" i="18" s="1"/>
  <c r="AU85" i="20"/>
  <c r="BF85" i="19"/>
  <c r="S85" i="19"/>
  <c r="AF85" i="19" s="1"/>
  <c r="F85" i="19" s="1"/>
  <c r="F85" i="22" s="1"/>
  <c r="P85" i="22" s="1"/>
  <c r="BU85" i="19" s="1"/>
  <c r="V86" i="18"/>
  <c r="BR86" i="19"/>
  <c r="Q85" i="19"/>
  <c r="AD85" i="19" s="1"/>
  <c r="D85" i="19" s="1"/>
  <c r="D85" i="22" s="1"/>
  <c r="N85" i="22" s="1"/>
  <c r="BS85" i="19" s="1"/>
  <c r="S86" i="18"/>
  <c r="U86" i="18"/>
  <c r="BE85" i="19"/>
  <c r="R85" i="19"/>
  <c r="AE85" i="19" s="1"/>
  <c r="E85" i="19" s="1"/>
  <c r="E85" i="22" s="1"/>
  <c r="O85" i="22" s="1"/>
  <c r="BT85" i="19" s="1"/>
  <c r="BB87" i="19"/>
  <c r="B87" i="18"/>
  <c r="O87" i="19" s="1"/>
  <c r="AB87" i="19" s="1"/>
  <c r="B87" i="19" s="1"/>
  <c r="B87" i="22" s="1"/>
  <c r="L87" i="22" s="1"/>
  <c r="R176" i="20"/>
  <c r="CL175" i="20"/>
  <c r="Q176" i="20"/>
  <c r="CK175" i="20"/>
  <c r="AL119" i="20"/>
  <c r="BV119" i="20"/>
  <c r="P177" i="20"/>
  <c r="CJ176" i="20"/>
  <c r="S176" i="20"/>
  <c r="CM175" i="20"/>
  <c r="M85" i="22"/>
  <c r="BQ85" i="19"/>
  <c r="AH86" i="18" s="1"/>
  <c r="R87" i="18"/>
  <c r="BC86" i="19"/>
  <c r="P86" i="19"/>
  <c r="AR87" i="18" l="1"/>
  <c r="N86" i="18"/>
  <c r="BC86" i="20" s="1"/>
  <c r="BM86" i="19"/>
  <c r="O86" i="18"/>
  <c r="AY85" i="20"/>
  <c r="V85" i="19"/>
  <c r="AI85" i="19" s="1"/>
  <c r="I85" i="19" s="1"/>
  <c r="I85" i="22" s="1"/>
  <c r="S85" i="22" s="1"/>
  <c r="BX85" i="19" s="1"/>
  <c r="AP86" i="18" s="1"/>
  <c r="BI85" i="19"/>
  <c r="AO86" i="18" s="1"/>
  <c r="Y86" i="18"/>
  <c r="Z86" i="18"/>
  <c r="BA85" i="20"/>
  <c r="X85" i="19"/>
  <c r="AK85" i="19" s="1"/>
  <c r="K85" i="19" s="1"/>
  <c r="BK85" i="19"/>
  <c r="AQ86" i="18" s="1"/>
  <c r="AL86" i="18"/>
  <c r="H86" i="18" s="1"/>
  <c r="AK86" i="18"/>
  <c r="BH85" i="19"/>
  <c r="AM86" i="18" s="1"/>
  <c r="U85" i="19"/>
  <c r="AH85" i="19" s="1"/>
  <c r="H85" i="19" s="1"/>
  <c r="H85" i="22" s="1"/>
  <c r="R85" i="22" s="1"/>
  <c r="BW85" i="19" s="1"/>
  <c r="AW85" i="20"/>
  <c r="G86" i="18"/>
  <c r="X86" i="18"/>
  <c r="BE86" i="19"/>
  <c r="R86" i="19"/>
  <c r="AE86" i="19" s="1"/>
  <c r="E86" i="19" s="1"/>
  <c r="E86" i="22" s="1"/>
  <c r="O86" i="22" s="1"/>
  <c r="BT86" i="19" s="1"/>
  <c r="AJ86" i="18"/>
  <c r="F86" i="18" s="1"/>
  <c r="BP86" i="19"/>
  <c r="AG87" i="18" s="1"/>
  <c r="C87" i="18" s="1"/>
  <c r="D86" i="18"/>
  <c r="BD86" i="19"/>
  <c r="AI87" i="18" s="1"/>
  <c r="Q88" i="18"/>
  <c r="AQ177" i="20"/>
  <c r="AH177" i="20" s="1"/>
  <c r="CA177" i="20"/>
  <c r="AT176" i="20"/>
  <c r="AK176" i="20" s="1"/>
  <c r="CD176" i="20"/>
  <c r="AC119" i="20"/>
  <c r="AR176" i="20"/>
  <c r="AI176" i="20" s="1"/>
  <c r="CB176" i="20"/>
  <c r="AS176" i="20"/>
  <c r="AJ176" i="20" s="1"/>
  <c r="CC176" i="20"/>
  <c r="BO87" i="19"/>
  <c r="AF88" i="18" s="1"/>
  <c r="AC86" i="19"/>
  <c r="C86" i="19" s="1"/>
  <c r="C86" i="22" s="1"/>
  <c r="BL86" i="19" l="1"/>
  <c r="Z86" i="19"/>
  <c r="AM86" i="19" s="1"/>
  <c r="M86" i="19" s="1"/>
  <c r="M86" i="18"/>
  <c r="L86" i="18"/>
  <c r="K86" i="18"/>
  <c r="AZ86" i="20"/>
  <c r="W86" i="19"/>
  <c r="AJ86" i="19" s="1"/>
  <c r="J86" i="19" s="1"/>
  <c r="BJ86" i="19"/>
  <c r="AA86" i="19"/>
  <c r="AN86" i="19" s="1"/>
  <c r="N86" i="19" s="1"/>
  <c r="K86" i="22" s="1"/>
  <c r="U86" i="22" s="1"/>
  <c r="CA86" i="19" s="1"/>
  <c r="AS87" i="18" s="1"/>
  <c r="AE87" i="18"/>
  <c r="AT88" i="18" s="1"/>
  <c r="J86" i="18"/>
  <c r="Y86" i="19"/>
  <c r="AL86" i="19" s="1"/>
  <c r="L86" i="19" s="1"/>
  <c r="J86" i="22" s="1"/>
  <c r="T86" i="22" s="1"/>
  <c r="BY86" i="19" s="1"/>
  <c r="BB86" i="20"/>
  <c r="AC87" i="18"/>
  <c r="AA87" i="18"/>
  <c r="AB87" i="18"/>
  <c r="AD87" i="18"/>
  <c r="BA86" i="20"/>
  <c r="X86" i="19"/>
  <c r="AK86" i="19" s="1"/>
  <c r="K86" i="19" s="1"/>
  <c r="BK86" i="19"/>
  <c r="AQ87" i="18" s="1"/>
  <c r="U86" i="19"/>
  <c r="AH86" i="19" s="1"/>
  <c r="H86" i="19" s="1"/>
  <c r="H86" i="22" s="1"/>
  <c r="R86" i="22" s="1"/>
  <c r="BW86" i="19" s="1"/>
  <c r="BH86" i="19"/>
  <c r="AM87" i="18" s="1"/>
  <c r="AW86" i="20"/>
  <c r="W87" i="18"/>
  <c r="AV86" i="20"/>
  <c r="BG86" i="19"/>
  <c r="T86" i="19"/>
  <c r="AG86" i="19" s="1"/>
  <c r="G86" i="19" s="1"/>
  <c r="G86" i="22" s="1"/>
  <c r="Q86" i="22" s="1"/>
  <c r="BV86" i="19" s="1"/>
  <c r="AN87" i="18" s="1"/>
  <c r="I86" i="18"/>
  <c r="AX86" i="20" s="1"/>
  <c r="V87" i="18"/>
  <c r="U87" i="18"/>
  <c r="BF86" i="19"/>
  <c r="AK87" i="18" s="1"/>
  <c r="S86" i="19"/>
  <c r="AF86" i="19" s="1"/>
  <c r="F86" i="19" s="1"/>
  <c r="F86" i="22" s="1"/>
  <c r="P86" i="22" s="1"/>
  <c r="BU86" i="19" s="1"/>
  <c r="AU86" i="20"/>
  <c r="T87" i="18"/>
  <c r="Q86" i="19"/>
  <c r="AD86" i="19" s="1"/>
  <c r="D86" i="19" s="1"/>
  <c r="D86" i="22" s="1"/>
  <c r="N86" i="22" s="1"/>
  <c r="BS86" i="19" s="1"/>
  <c r="AJ87" i="18" s="1"/>
  <c r="S87" i="18"/>
  <c r="BB88" i="19"/>
  <c r="B88" i="18"/>
  <c r="O88" i="19" s="1"/>
  <c r="AB88" i="19" s="1"/>
  <c r="B88" i="19" s="1"/>
  <c r="B88" i="22" s="1"/>
  <c r="L88" i="22" s="1"/>
  <c r="Q177" i="20"/>
  <c r="CK176" i="20"/>
  <c r="R177" i="20"/>
  <c r="CL176" i="20"/>
  <c r="CE119" i="20"/>
  <c r="K120" i="20"/>
  <c r="S177" i="20"/>
  <c r="CM176" i="20"/>
  <c r="P178" i="20"/>
  <c r="CJ177" i="20"/>
  <c r="M86" i="22"/>
  <c r="BQ86" i="19"/>
  <c r="AH87" i="18" s="1"/>
  <c r="R88" i="18"/>
  <c r="BC87" i="19"/>
  <c r="P87" i="19"/>
  <c r="BN87" i="19" l="1"/>
  <c r="BL87" i="19"/>
  <c r="BZ87" i="19"/>
  <c r="AR88" i="18" s="1"/>
  <c r="N87" i="18"/>
  <c r="AY86" i="20"/>
  <c r="BI86" i="19"/>
  <c r="AO87" i="18" s="1"/>
  <c r="V86" i="19"/>
  <c r="AI86" i="19" s="1"/>
  <c r="I86" i="19" s="1"/>
  <c r="I86" i="22" s="1"/>
  <c r="S86" i="22" s="1"/>
  <c r="BX86" i="19" s="1"/>
  <c r="AP87" i="18" s="1"/>
  <c r="O87" i="18"/>
  <c r="AA87" i="19" s="1"/>
  <c r="AN87" i="19" s="1"/>
  <c r="N87" i="19" s="1"/>
  <c r="K87" i="22" s="1"/>
  <c r="U87" i="22" s="1"/>
  <c r="CA87" i="19" s="1"/>
  <c r="AS88" i="18" s="1"/>
  <c r="Y87" i="18"/>
  <c r="M87" i="18"/>
  <c r="P87" i="18"/>
  <c r="Z87" i="18"/>
  <c r="X87" i="18"/>
  <c r="I87" i="18" s="1"/>
  <c r="AX87" i="20" s="1"/>
  <c r="AL87" i="18"/>
  <c r="H87" i="18" s="1"/>
  <c r="G87" i="18"/>
  <c r="F87" i="18"/>
  <c r="AV87" i="20"/>
  <c r="BG87" i="19"/>
  <c r="T87" i="19"/>
  <c r="AG87" i="19" s="1"/>
  <c r="G87" i="19" s="1"/>
  <c r="G87" i="22" s="1"/>
  <c r="Q87" i="22" s="1"/>
  <c r="BV87" i="19" s="1"/>
  <c r="D87" i="18"/>
  <c r="Q87" i="19" s="1"/>
  <c r="BP87" i="19"/>
  <c r="AG88" i="18" s="1"/>
  <c r="C88" i="18" s="1"/>
  <c r="BR87" i="19"/>
  <c r="E87" i="18"/>
  <c r="BD87" i="19"/>
  <c r="Q89" i="18"/>
  <c r="AT177" i="20"/>
  <c r="AK177" i="20" s="1"/>
  <c r="CD177" i="20"/>
  <c r="AQ178" i="20"/>
  <c r="AH178" i="20" s="1"/>
  <c r="CA178" i="20"/>
  <c r="BV120" i="20"/>
  <c r="AL120" i="20"/>
  <c r="AS177" i="20"/>
  <c r="AJ177" i="20" s="1"/>
  <c r="CC177" i="20"/>
  <c r="AR177" i="20"/>
  <c r="AI177" i="20" s="1"/>
  <c r="CB177" i="20"/>
  <c r="BO88" i="19"/>
  <c r="AF89" i="18" s="1"/>
  <c r="AC87" i="19"/>
  <c r="C87" i="19" s="1"/>
  <c r="C87" i="22" s="1"/>
  <c r="AD87" i="19"/>
  <c r="D87" i="19" s="1"/>
  <c r="D87" i="22" s="1"/>
  <c r="N87" i="22" s="1"/>
  <c r="BS87" i="19" s="1"/>
  <c r="BN88" i="19" l="1"/>
  <c r="AE88" i="18"/>
  <c r="AC88" i="18"/>
  <c r="AR89" i="18" s="1"/>
  <c r="AD88" i="18"/>
  <c r="O88" i="18" s="1"/>
  <c r="AA88" i="19" s="1"/>
  <c r="AN88" i="19" s="1"/>
  <c r="N88" i="19" s="1"/>
  <c r="K88" i="22" s="1"/>
  <c r="U88" i="22" s="1"/>
  <c r="CA88" i="19" s="1"/>
  <c r="L87" i="18"/>
  <c r="BZ88" i="19"/>
  <c r="N88" i="18"/>
  <c r="K87" i="18"/>
  <c r="J87" i="18"/>
  <c r="BC87" i="20"/>
  <c r="Z87" i="19"/>
  <c r="AM87" i="19" s="1"/>
  <c r="M87" i="19" s="1"/>
  <c r="BM87" i="19"/>
  <c r="BA87" i="20"/>
  <c r="X87" i="19"/>
  <c r="AK87" i="19" s="1"/>
  <c r="K87" i="19" s="1"/>
  <c r="BK87" i="19"/>
  <c r="BB87" i="20"/>
  <c r="Y87" i="19"/>
  <c r="AL87" i="19" s="1"/>
  <c r="L87" i="19" s="1"/>
  <c r="J87" i="22" s="1"/>
  <c r="T87" i="22" s="1"/>
  <c r="BY87" i="19" s="1"/>
  <c r="AB88" i="18"/>
  <c r="AN88" i="18"/>
  <c r="AI88" i="18"/>
  <c r="X88" i="18"/>
  <c r="AW87" i="20"/>
  <c r="U87" i="19"/>
  <c r="AH87" i="19" s="1"/>
  <c r="H87" i="19" s="1"/>
  <c r="H87" i="22" s="1"/>
  <c r="R87" i="22" s="1"/>
  <c r="BW87" i="19" s="1"/>
  <c r="W88" i="18"/>
  <c r="BH87" i="19"/>
  <c r="AM88" i="18" s="1"/>
  <c r="S88" i="18"/>
  <c r="BP88" i="19" s="1"/>
  <c r="AG89" i="18" s="1"/>
  <c r="BF87" i="19"/>
  <c r="AU87" i="20"/>
  <c r="S87" i="19"/>
  <c r="AF87" i="19" s="1"/>
  <c r="F87" i="19" s="1"/>
  <c r="F87" i="22" s="1"/>
  <c r="P87" i="22" s="1"/>
  <c r="BU87" i="19" s="1"/>
  <c r="AL88" i="18" s="1"/>
  <c r="V88" i="18"/>
  <c r="U88" i="18"/>
  <c r="BE87" i="19"/>
  <c r="AJ88" i="18" s="1"/>
  <c r="R87" i="19"/>
  <c r="AE87" i="19" s="1"/>
  <c r="E87" i="19" s="1"/>
  <c r="E87" i="22" s="1"/>
  <c r="O87" i="22" s="1"/>
  <c r="BT87" i="19" s="1"/>
  <c r="T88" i="18"/>
  <c r="BB89" i="19"/>
  <c r="B89" i="18"/>
  <c r="O89" i="19" s="1"/>
  <c r="AB89" i="19" s="1"/>
  <c r="B89" i="19" s="1"/>
  <c r="B89" i="22" s="1"/>
  <c r="L89" i="22" s="1"/>
  <c r="R178" i="20"/>
  <c r="CL177" i="20"/>
  <c r="AC120" i="20"/>
  <c r="Q178" i="20"/>
  <c r="CK177" i="20"/>
  <c r="S178" i="20"/>
  <c r="CM177" i="20"/>
  <c r="P179" i="20"/>
  <c r="CJ178" i="20"/>
  <c r="M87" i="22"/>
  <c r="BQ87" i="19"/>
  <c r="AH88" i="18" s="1"/>
  <c r="R89" i="18"/>
  <c r="BC88" i="19"/>
  <c r="P88" i="19"/>
  <c r="P88" i="18" l="1"/>
  <c r="AT89" i="18"/>
  <c r="AT90" i="18" s="1"/>
  <c r="AS89" i="18"/>
  <c r="AQ88" i="18"/>
  <c r="M88" i="18" s="1"/>
  <c r="AC89" i="18" s="1"/>
  <c r="AE89" i="18"/>
  <c r="AZ87" i="20"/>
  <c r="W87" i="19"/>
  <c r="AJ87" i="19" s="1"/>
  <c r="J87" i="19" s="1"/>
  <c r="BJ87" i="19"/>
  <c r="AA88" i="18"/>
  <c r="AY87" i="20"/>
  <c r="V87" i="19"/>
  <c r="AI87" i="19" s="1"/>
  <c r="I87" i="19" s="1"/>
  <c r="I87" i="22" s="1"/>
  <c r="S87" i="22" s="1"/>
  <c r="BX87" i="19" s="1"/>
  <c r="BI87" i="19"/>
  <c r="AO88" i="18" s="1"/>
  <c r="BC88" i="20"/>
  <c r="Z88" i="19"/>
  <c r="AM88" i="19" s="1"/>
  <c r="M88" i="19" s="1"/>
  <c r="BM88" i="19"/>
  <c r="AD89" i="18"/>
  <c r="Y88" i="18"/>
  <c r="Z88" i="18"/>
  <c r="H88" i="18"/>
  <c r="I88" i="18"/>
  <c r="AX88" i="20" s="1"/>
  <c r="AK88" i="18"/>
  <c r="G88" i="18" s="1"/>
  <c r="F88" i="18"/>
  <c r="BD88" i="19"/>
  <c r="AI89" i="18" s="1"/>
  <c r="D88" i="18"/>
  <c r="S88" i="19"/>
  <c r="AF88" i="19" s="1"/>
  <c r="F88" i="19" s="1"/>
  <c r="F88" i="22" s="1"/>
  <c r="P88" i="22" s="1"/>
  <c r="BU88" i="19" s="1"/>
  <c r="AU88" i="20"/>
  <c r="BF88" i="19"/>
  <c r="BR88" i="19"/>
  <c r="E88" i="18"/>
  <c r="Q90" i="18"/>
  <c r="AT178" i="20"/>
  <c r="AK178" i="20" s="1"/>
  <c r="CD178" i="20"/>
  <c r="AQ179" i="20"/>
  <c r="AH179" i="20" s="1"/>
  <c r="CA179" i="20"/>
  <c r="AR178" i="20"/>
  <c r="AI178" i="20" s="1"/>
  <c r="CB178" i="20"/>
  <c r="CE120" i="20"/>
  <c r="K121" i="20"/>
  <c r="AS178" i="20"/>
  <c r="AJ178" i="20" s="1"/>
  <c r="CC178" i="20"/>
  <c r="AC88" i="19"/>
  <c r="C88" i="19" s="1"/>
  <c r="C88" i="22" s="1"/>
  <c r="C89" i="18"/>
  <c r="BO89" i="19"/>
  <c r="AF90" i="18" s="1"/>
  <c r="P89" i="18" l="1"/>
  <c r="BN89" i="19"/>
  <c r="BL88" i="19"/>
  <c r="AP88" i="18"/>
  <c r="BZ89" i="19"/>
  <c r="AR90" i="18" s="1"/>
  <c r="N89" i="18"/>
  <c r="O89" i="18"/>
  <c r="K88" i="18"/>
  <c r="Z89" i="18" s="1"/>
  <c r="BB88" i="20"/>
  <c r="Y88" i="19"/>
  <c r="AL88" i="19" s="1"/>
  <c r="L88" i="19" s="1"/>
  <c r="J88" i="22" s="1"/>
  <c r="T88" i="22" s="1"/>
  <c r="BY88" i="19" s="1"/>
  <c r="X89" i="18"/>
  <c r="J88" i="18"/>
  <c r="Y89" i="18"/>
  <c r="L88" i="18"/>
  <c r="AA89" i="18" s="1"/>
  <c r="AW88" i="20"/>
  <c r="U88" i="19"/>
  <c r="AH88" i="19" s="1"/>
  <c r="H88" i="19" s="1"/>
  <c r="H88" i="22" s="1"/>
  <c r="R88" i="22" s="1"/>
  <c r="BW88" i="19" s="1"/>
  <c r="BH88" i="19"/>
  <c r="AM89" i="18" s="1"/>
  <c r="W89" i="18"/>
  <c r="AV88" i="20"/>
  <c r="BG88" i="19"/>
  <c r="AL89" i="18" s="1"/>
  <c r="T88" i="19"/>
  <c r="AG88" i="19" s="1"/>
  <c r="G88" i="19" s="1"/>
  <c r="G88" i="22" s="1"/>
  <c r="Q88" i="22" s="1"/>
  <c r="BV88" i="19" s="1"/>
  <c r="AN89" i="18" s="1"/>
  <c r="V89" i="18"/>
  <c r="U89" i="18"/>
  <c r="T89" i="18"/>
  <c r="BE88" i="19"/>
  <c r="R88" i="19"/>
  <c r="AE88" i="19" s="1"/>
  <c r="E88" i="19" s="1"/>
  <c r="E88" i="22" s="1"/>
  <c r="O88" i="22" s="1"/>
  <c r="BT88" i="19" s="1"/>
  <c r="AK89" i="18" s="1"/>
  <c r="S89" i="18"/>
  <c r="Q88" i="19"/>
  <c r="AD88" i="19" s="1"/>
  <c r="D88" i="19" s="1"/>
  <c r="D88" i="22" s="1"/>
  <c r="N88" i="22" s="1"/>
  <c r="BS88" i="19" s="1"/>
  <c r="BB90" i="19"/>
  <c r="B90" i="18"/>
  <c r="O90" i="19" s="1"/>
  <c r="AB90" i="19" s="1"/>
  <c r="B90" i="19" s="1"/>
  <c r="B90" i="22" s="1"/>
  <c r="L90" i="22" s="1"/>
  <c r="R179" i="20"/>
  <c r="CL178" i="20"/>
  <c r="Q179" i="20"/>
  <c r="CK178" i="20"/>
  <c r="P180" i="20"/>
  <c r="CJ179" i="20"/>
  <c r="AL121" i="20"/>
  <c r="BV121" i="20"/>
  <c r="S179" i="20"/>
  <c r="CM178" i="20"/>
  <c r="M88" i="22"/>
  <c r="BQ88" i="19"/>
  <c r="AH89" i="18" s="1"/>
  <c r="R90" i="18"/>
  <c r="BC89" i="19"/>
  <c r="P89" i="19"/>
  <c r="J89" i="18" l="1"/>
  <c r="Y90" i="18" s="1"/>
  <c r="AA89" i="19"/>
  <c r="AN89" i="19" s="1"/>
  <c r="N89" i="19" s="1"/>
  <c r="K89" i="22" s="1"/>
  <c r="U89" i="22" s="1"/>
  <c r="CA89" i="19" s="1"/>
  <c r="AS90" i="18" s="1"/>
  <c r="AE90" i="18"/>
  <c r="AT91" i="18" s="1"/>
  <c r="AB89" i="18"/>
  <c r="AY88" i="20"/>
  <c r="V88" i="19"/>
  <c r="AI88" i="19" s="1"/>
  <c r="I88" i="19" s="1"/>
  <c r="I88" i="22" s="1"/>
  <c r="S88" i="22" s="1"/>
  <c r="BX88" i="19" s="1"/>
  <c r="BI88" i="19"/>
  <c r="AO89" i="18" s="1"/>
  <c r="AZ88" i="20"/>
  <c r="W88" i="19"/>
  <c r="AJ88" i="19" s="1"/>
  <c r="J88" i="19" s="1"/>
  <c r="BJ88" i="19"/>
  <c r="AP89" i="18" s="1"/>
  <c r="BC89" i="20"/>
  <c r="Z89" i="19"/>
  <c r="AM89" i="19" s="1"/>
  <c r="M89" i="19" s="1"/>
  <c r="BM89" i="19"/>
  <c r="BA88" i="20"/>
  <c r="X88" i="19"/>
  <c r="AK88" i="19" s="1"/>
  <c r="K88" i="19" s="1"/>
  <c r="BK88" i="19"/>
  <c r="AQ89" i="18" s="1"/>
  <c r="AD90" i="18"/>
  <c r="H89" i="18"/>
  <c r="AW89" i="20" s="1"/>
  <c r="I89" i="18"/>
  <c r="AX89" i="20" s="1"/>
  <c r="G89" i="18"/>
  <c r="AJ89" i="18"/>
  <c r="F89" i="18" s="1"/>
  <c r="E89" i="18"/>
  <c r="BR89" i="19"/>
  <c r="BD89" i="19"/>
  <c r="AI90" i="18" s="1"/>
  <c r="BP89" i="19"/>
  <c r="AG90" i="18" s="1"/>
  <c r="C90" i="18" s="1"/>
  <c r="D89" i="18"/>
  <c r="Q91" i="18"/>
  <c r="AT179" i="20"/>
  <c r="AK179" i="20" s="1"/>
  <c r="CD179" i="20"/>
  <c r="AC121" i="20"/>
  <c r="AQ180" i="20"/>
  <c r="AH180" i="20" s="1"/>
  <c r="CA180" i="20"/>
  <c r="AR179" i="20"/>
  <c r="AI179" i="20" s="1"/>
  <c r="CB179" i="20"/>
  <c r="AS179" i="20"/>
  <c r="AJ179" i="20" s="1"/>
  <c r="CC179" i="20"/>
  <c r="BO90" i="19"/>
  <c r="AF91" i="18" s="1"/>
  <c r="AC89" i="19"/>
  <c r="C89" i="19" s="1"/>
  <c r="C89" i="22" s="1"/>
  <c r="BN90" i="19" l="1"/>
  <c r="BL89" i="19"/>
  <c r="L89" i="18"/>
  <c r="BA89" i="20" s="1"/>
  <c r="K89" i="18"/>
  <c r="X90" i="18"/>
  <c r="X89" i="19"/>
  <c r="O90" i="18"/>
  <c r="AA90" i="19" s="1"/>
  <c r="AN90" i="19" s="1"/>
  <c r="N90" i="19" s="1"/>
  <c r="K90" i="22" s="1"/>
  <c r="U90" i="22" s="1"/>
  <c r="CA90" i="19" s="1"/>
  <c r="AS91" i="18" s="1"/>
  <c r="M89" i="18"/>
  <c r="AB90" i="18"/>
  <c r="AY89" i="20"/>
  <c r="V89" i="19"/>
  <c r="AI89" i="19" s="1"/>
  <c r="I89" i="19" s="1"/>
  <c r="I89" i="22" s="1"/>
  <c r="S89" i="22" s="1"/>
  <c r="BX89" i="19" s="1"/>
  <c r="BI89" i="19"/>
  <c r="AO90" i="18" s="1"/>
  <c r="Z90" i="18"/>
  <c r="P90" i="18"/>
  <c r="AZ89" i="20"/>
  <c r="W89" i="19"/>
  <c r="AJ89" i="19" s="1"/>
  <c r="J89" i="19" s="1"/>
  <c r="BJ89" i="19"/>
  <c r="AP90" i="18" s="1"/>
  <c r="U89" i="19"/>
  <c r="AH89" i="19" s="1"/>
  <c r="H89" i="19" s="1"/>
  <c r="H89" i="22" s="1"/>
  <c r="R89" i="22" s="1"/>
  <c r="BW89" i="19" s="1"/>
  <c r="BH89" i="19"/>
  <c r="AM90" i="18" s="1"/>
  <c r="AV89" i="20"/>
  <c r="BG89" i="19"/>
  <c r="T89" i="19"/>
  <c r="AG89" i="19" s="1"/>
  <c r="G89" i="19" s="1"/>
  <c r="G89" i="22" s="1"/>
  <c r="Q89" i="22" s="1"/>
  <c r="BV89" i="19" s="1"/>
  <c r="AN90" i="18" s="1"/>
  <c r="W90" i="18"/>
  <c r="BF89" i="19"/>
  <c r="V90" i="18"/>
  <c r="S89" i="19"/>
  <c r="AF89" i="19" s="1"/>
  <c r="F89" i="19" s="1"/>
  <c r="F89" i="22" s="1"/>
  <c r="P89" i="22" s="1"/>
  <c r="BU89" i="19" s="1"/>
  <c r="AU89" i="20"/>
  <c r="Q89" i="19"/>
  <c r="AD89" i="19" s="1"/>
  <c r="D89" i="19" s="1"/>
  <c r="D89" i="22" s="1"/>
  <c r="N89" i="22" s="1"/>
  <c r="BS89" i="19" s="1"/>
  <c r="S90" i="18"/>
  <c r="U90" i="18"/>
  <c r="BE89" i="19"/>
  <c r="R89" i="19"/>
  <c r="AE89" i="19" s="1"/>
  <c r="E89" i="19" s="1"/>
  <c r="E89" i="22" s="1"/>
  <c r="O89" i="22" s="1"/>
  <c r="BT89" i="19" s="1"/>
  <c r="T90" i="18"/>
  <c r="BB91" i="19"/>
  <c r="B91" i="18"/>
  <c r="O91" i="19" s="1"/>
  <c r="AB91" i="19" s="1"/>
  <c r="B91" i="19" s="1"/>
  <c r="B91" i="22" s="1"/>
  <c r="L91" i="22" s="1"/>
  <c r="R180" i="20"/>
  <c r="CL179" i="20"/>
  <c r="P181" i="20"/>
  <c r="CJ180" i="20"/>
  <c r="Q180" i="20"/>
  <c r="CK179" i="20"/>
  <c r="CE121" i="20"/>
  <c r="K122" i="20"/>
  <c r="S180" i="20"/>
  <c r="CM179" i="20"/>
  <c r="R91" i="18"/>
  <c r="BC90" i="19"/>
  <c r="P90" i="19"/>
  <c r="M89" i="22"/>
  <c r="BQ89" i="19"/>
  <c r="AH90" i="18" s="1"/>
  <c r="BN91" i="19" l="1"/>
  <c r="AE91" i="18"/>
  <c r="BK89" i="19"/>
  <c r="AA90" i="18"/>
  <c r="L90" i="18" s="1"/>
  <c r="AJ90" i="18"/>
  <c r="F90" i="18" s="1"/>
  <c r="BF90" i="19" s="1"/>
  <c r="BB89" i="20"/>
  <c r="Y89" i="19"/>
  <c r="AL89" i="19" s="1"/>
  <c r="L89" i="19" s="1"/>
  <c r="J89" i="22" s="1"/>
  <c r="T89" i="22" s="1"/>
  <c r="BY89" i="19" s="1"/>
  <c r="AC90" i="18"/>
  <c r="AK89" i="19"/>
  <c r="K89" i="19" s="1"/>
  <c r="BA90" i="20"/>
  <c r="X90" i="19"/>
  <c r="AK90" i="19" s="1"/>
  <c r="K90" i="19" s="1"/>
  <c r="BK90" i="19"/>
  <c r="K90" i="18"/>
  <c r="J90" i="18"/>
  <c r="I90" i="18"/>
  <c r="AX90" i="20" s="1"/>
  <c r="AL90" i="18"/>
  <c r="AK90" i="18"/>
  <c r="G90" i="18" s="1"/>
  <c r="E90" i="18"/>
  <c r="BR90" i="19"/>
  <c r="BP90" i="19"/>
  <c r="AG91" i="18" s="1"/>
  <c r="C91" i="18" s="1"/>
  <c r="D90" i="18"/>
  <c r="BD90" i="19"/>
  <c r="Q92" i="18"/>
  <c r="AT180" i="20"/>
  <c r="AK180" i="20" s="1"/>
  <c r="CD180" i="20"/>
  <c r="AL122" i="20"/>
  <c r="BV122" i="20"/>
  <c r="AR180" i="20"/>
  <c r="AI180" i="20" s="1"/>
  <c r="CB180" i="20"/>
  <c r="AQ181" i="20"/>
  <c r="AH181" i="20" s="1"/>
  <c r="CA181" i="20"/>
  <c r="AS180" i="20"/>
  <c r="AJ180" i="20" s="1"/>
  <c r="CC180" i="20"/>
  <c r="AC90" i="19"/>
  <c r="C90" i="19" s="1"/>
  <c r="C90" i="22" s="1"/>
  <c r="BO91" i="19"/>
  <c r="AF92" i="18" s="1"/>
  <c r="P91" i="18" l="1"/>
  <c r="AT92" i="18"/>
  <c r="AQ90" i="18"/>
  <c r="AY90" i="20"/>
  <c r="BI90" i="19"/>
  <c r="V90" i="19"/>
  <c r="AI90" i="19" s="1"/>
  <c r="I90" i="19" s="1"/>
  <c r="I90" i="22" s="1"/>
  <c r="S90" i="22" s="1"/>
  <c r="BX90" i="19" s="1"/>
  <c r="Y91" i="18"/>
  <c r="BZ90" i="19"/>
  <c r="AR91" i="18" s="1"/>
  <c r="N90" i="18"/>
  <c r="AZ90" i="20"/>
  <c r="W90" i="19"/>
  <c r="BJ90" i="19"/>
  <c r="AP91" i="18" s="1"/>
  <c r="AA91" i="18"/>
  <c r="Z91" i="18"/>
  <c r="S90" i="19"/>
  <c r="AF90" i="19" s="1"/>
  <c r="F90" i="19" s="1"/>
  <c r="F90" i="22" s="1"/>
  <c r="P90" i="22" s="1"/>
  <c r="BU90" i="19" s="1"/>
  <c r="AU90" i="20"/>
  <c r="AI91" i="18"/>
  <c r="H90" i="18"/>
  <c r="AV90" i="20"/>
  <c r="T90" i="19"/>
  <c r="AG90" i="19" s="1"/>
  <c r="G90" i="19" s="1"/>
  <c r="G90" i="22" s="1"/>
  <c r="Q90" i="22" s="1"/>
  <c r="BV90" i="19" s="1"/>
  <c r="AN91" i="18" s="1"/>
  <c r="BG90" i="19"/>
  <c r="V91" i="18"/>
  <c r="U91" i="18"/>
  <c r="T91" i="18"/>
  <c r="BE90" i="19"/>
  <c r="R90" i="19"/>
  <c r="AE90" i="19" s="1"/>
  <c r="E90" i="19" s="1"/>
  <c r="E90" i="22" s="1"/>
  <c r="O90" i="22" s="1"/>
  <c r="BT90" i="19" s="1"/>
  <c r="AK91" i="18" s="1"/>
  <c r="S91" i="18"/>
  <c r="Q90" i="19"/>
  <c r="AD90" i="19" s="1"/>
  <c r="D90" i="19" s="1"/>
  <c r="D90" i="22" s="1"/>
  <c r="N90" i="22" s="1"/>
  <c r="BS90" i="19" s="1"/>
  <c r="BB92" i="19"/>
  <c r="B92" i="18"/>
  <c r="O92" i="19" s="1"/>
  <c r="AB92" i="19" s="1"/>
  <c r="B92" i="19" s="1"/>
  <c r="B92" i="22" s="1"/>
  <c r="L92" i="22" s="1"/>
  <c r="R181" i="20"/>
  <c r="CL180" i="20"/>
  <c r="Q181" i="20"/>
  <c r="CK180" i="20"/>
  <c r="AC122" i="20"/>
  <c r="P182" i="20"/>
  <c r="CJ181" i="20"/>
  <c r="S181" i="20"/>
  <c r="CM180" i="20"/>
  <c r="M90" i="22"/>
  <c r="BQ90" i="19"/>
  <c r="AH91" i="18" s="1"/>
  <c r="R92" i="18"/>
  <c r="BC91" i="19"/>
  <c r="P91" i="19"/>
  <c r="BL90" i="19" l="1"/>
  <c r="M90" i="18"/>
  <c r="L91" i="18"/>
  <c r="BC90" i="20"/>
  <c r="Z90" i="19"/>
  <c r="AM90" i="19" s="1"/>
  <c r="M90" i="19" s="1"/>
  <c r="BM90" i="19"/>
  <c r="AD91" i="18"/>
  <c r="J91" i="18"/>
  <c r="Y92" i="18" s="1"/>
  <c r="AL91" i="18"/>
  <c r="AJ90" i="19"/>
  <c r="J90" i="19" s="1"/>
  <c r="U90" i="19"/>
  <c r="AH90" i="19" s="1"/>
  <c r="H90" i="19" s="1"/>
  <c r="H90" i="22" s="1"/>
  <c r="R90" i="22" s="1"/>
  <c r="BW90" i="19" s="1"/>
  <c r="AO91" i="18" s="1"/>
  <c r="BH90" i="19"/>
  <c r="AM91" i="18" s="1"/>
  <c r="X91" i="18"/>
  <c r="AW90" i="20"/>
  <c r="W91" i="18"/>
  <c r="H91" i="18" s="1"/>
  <c r="BH91" i="19" s="1"/>
  <c r="G91" i="18"/>
  <c r="AJ91" i="18"/>
  <c r="E91" i="18"/>
  <c r="BR91" i="19"/>
  <c r="BD91" i="19"/>
  <c r="BP91" i="19"/>
  <c r="AG92" i="18" s="1"/>
  <c r="C92" i="18" s="1"/>
  <c r="D91" i="18"/>
  <c r="Q93" i="18"/>
  <c r="AT181" i="20"/>
  <c r="AK181" i="20" s="1"/>
  <c r="CD181" i="20"/>
  <c r="CA182" i="20"/>
  <c r="AQ182" i="20"/>
  <c r="AH182" i="20" s="1"/>
  <c r="CE122" i="20"/>
  <c r="K123" i="20"/>
  <c r="AR181" i="20"/>
  <c r="AI181" i="20" s="1"/>
  <c r="CB181" i="20"/>
  <c r="AS181" i="20"/>
  <c r="AJ181" i="20" s="1"/>
  <c r="CC181" i="20"/>
  <c r="AC91" i="19"/>
  <c r="C91" i="19" s="1"/>
  <c r="C91" i="22" s="1"/>
  <c r="BO92" i="19"/>
  <c r="AF93" i="18" s="1"/>
  <c r="O91" i="18" l="1"/>
  <c r="BB90" i="20"/>
  <c r="Y90" i="19"/>
  <c r="AL90" i="19" s="1"/>
  <c r="L90" i="19" s="1"/>
  <c r="J90" i="22" s="1"/>
  <c r="T90" i="22" s="1"/>
  <c r="BY90" i="19" s="1"/>
  <c r="AQ91" i="18" s="1"/>
  <c r="AB91" i="18"/>
  <c r="AC91" i="18"/>
  <c r="K91" i="18"/>
  <c r="U91" i="19"/>
  <c r="AH91" i="19" s="1"/>
  <c r="H91" i="19" s="1"/>
  <c r="H91" i="22" s="1"/>
  <c r="R91" i="22" s="1"/>
  <c r="BW91" i="19" s="1"/>
  <c r="AZ91" i="20"/>
  <c r="W91" i="19"/>
  <c r="AJ91" i="19" s="1"/>
  <c r="J91" i="19" s="1"/>
  <c r="BJ91" i="19"/>
  <c r="AP92" i="18" s="1"/>
  <c r="AY91" i="20"/>
  <c r="V91" i="19"/>
  <c r="AI91" i="19" s="1"/>
  <c r="I91" i="19" s="1"/>
  <c r="I91" i="22" s="1"/>
  <c r="S91" i="22" s="1"/>
  <c r="BX91" i="19" s="1"/>
  <c r="BI91" i="19"/>
  <c r="AO92" i="18" s="1"/>
  <c r="AA91" i="19"/>
  <c r="AN91" i="19" s="1"/>
  <c r="N91" i="19" s="1"/>
  <c r="K91" i="22" s="1"/>
  <c r="U91" i="22" s="1"/>
  <c r="CA91" i="19" s="1"/>
  <c r="AS92" i="18" s="1"/>
  <c r="AE92" i="18"/>
  <c r="AT93" i="18" s="1"/>
  <c r="AA92" i="18"/>
  <c r="Z92" i="18"/>
  <c r="BA91" i="20"/>
  <c r="X91" i="19"/>
  <c r="AK91" i="19" s="1"/>
  <c r="K91" i="19" s="1"/>
  <c r="BK91" i="19"/>
  <c r="AI92" i="18"/>
  <c r="I91" i="18"/>
  <c r="AX91" i="20" s="1"/>
  <c r="AM92" i="18"/>
  <c r="AW91" i="20"/>
  <c r="AV91" i="20"/>
  <c r="T91" i="19"/>
  <c r="AG91" i="19" s="1"/>
  <c r="G91" i="19" s="1"/>
  <c r="G91" i="22" s="1"/>
  <c r="Q91" i="22" s="1"/>
  <c r="BV91" i="19" s="1"/>
  <c r="AN92" i="18" s="1"/>
  <c r="BG91" i="19"/>
  <c r="W92" i="18"/>
  <c r="F91" i="18"/>
  <c r="S92" i="18"/>
  <c r="Q91" i="19"/>
  <c r="AD91" i="19" s="1"/>
  <c r="D91" i="19" s="1"/>
  <c r="D91" i="22" s="1"/>
  <c r="N91" i="22" s="1"/>
  <c r="BS91" i="19" s="1"/>
  <c r="T92" i="18"/>
  <c r="U92" i="18"/>
  <c r="BE91" i="19"/>
  <c r="AJ92" i="18" s="1"/>
  <c r="R91" i="19"/>
  <c r="AE91" i="19" s="1"/>
  <c r="E91" i="19" s="1"/>
  <c r="E91" i="22" s="1"/>
  <c r="O91" i="22" s="1"/>
  <c r="BT91" i="19" s="1"/>
  <c r="BB93" i="19"/>
  <c r="B93" i="18"/>
  <c r="O93" i="19" s="1"/>
  <c r="AB93" i="19" s="1"/>
  <c r="B93" i="19" s="1"/>
  <c r="B93" i="22" s="1"/>
  <c r="L93" i="22" s="1"/>
  <c r="CJ182" i="20"/>
  <c r="Q182" i="20"/>
  <c r="CK181" i="20"/>
  <c r="S182" i="20"/>
  <c r="CM181" i="20"/>
  <c r="BV123" i="20"/>
  <c r="AL123" i="20"/>
  <c r="R182" i="20"/>
  <c r="CL181" i="20"/>
  <c r="R93" i="18"/>
  <c r="BC92" i="19"/>
  <c r="P92" i="19"/>
  <c r="M91" i="22"/>
  <c r="BQ91" i="19"/>
  <c r="AH92" i="18" s="1"/>
  <c r="BN92" i="19" l="1"/>
  <c r="AR92" i="18"/>
  <c r="BZ91" i="19"/>
  <c r="N91" i="18"/>
  <c r="M91" i="18"/>
  <c r="BL91" i="19"/>
  <c r="X92" i="18"/>
  <c r="K92" i="18"/>
  <c r="Z93" i="18" s="1"/>
  <c r="L92" i="18"/>
  <c r="AA93" i="18" s="1"/>
  <c r="P92" i="18"/>
  <c r="J92" i="18"/>
  <c r="I92" i="18"/>
  <c r="AX92" i="20" s="1"/>
  <c r="F92" i="18"/>
  <c r="BF92" i="19" s="1"/>
  <c r="V92" i="18"/>
  <c r="BF91" i="19"/>
  <c r="AK92" i="18" s="1"/>
  <c r="S91" i="19"/>
  <c r="AF91" i="19" s="1"/>
  <c r="F91" i="19" s="1"/>
  <c r="F91" i="22" s="1"/>
  <c r="P91" i="22" s="1"/>
  <c r="BU91" i="19" s="1"/>
  <c r="AL92" i="18" s="1"/>
  <c r="AU91" i="20"/>
  <c r="BD92" i="19"/>
  <c r="E92" i="18"/>
  <c r="BR92" i="19"/>
  <c r="BP92" i="19"/>
  <c r="AG93" i="18" s="1"/>
  <c r="C93" i="18" s="1"/>
  <c r="D92" i="18"/>
  <c r="Q94" i="18"/>
  <c r="AC123" i="20"/>
  <c r="CD182" i="20"/>
  <c r="AT182" i="20"/>
  <c r="AK182" i="20" s="1"/>
  <c r="CC182" i="20"/>
  <c r="AS182" i="20"/>
  <c r="AJ182" i="20" s="1"/>
  <c r="CB182" i="20"/>
  <c r="AR182" i="20"/>
  <c r="AI182" i="20" s="1"/>
  <c r="BO93" i="19"/>
  <c r="AF94" i="18" s="1"/>
  <c r="AC92" i="19"/>
  <c r="C92" i="19" s="1"/>
  <c r="C92" i="22" s="1"/>
  <c r="BB91" i="20" l="1"/>
  <c r="Y91" i="19"/>
  <c r="AL91" i="19" s="1"/>
  <c r="L91" i="19" s="1"/>
  <c r="J91" i="22" s="1"/>
  <c r="T91" i="22" s="1"/>
  <c r="BY91" i="19" s="1"/>
  <c r="AQ92" i="18" s="1"/>
  <c r="AB92" i="18"/>
  <c r="Z91" i="19"/>
  <c r="AM91" i="19" s="1"/>
  <c r="M91" i="19" s="1"/>
  <c r="BM91" i="19"/>
  <c r="AD92" i="18"/>
  <c r="BC91" i="20"/>
  <c r="AC92" i="18"/>
  <c r="Y93" i="18"/>
  <c r="AY92" i="20"/>
  <c r="V92" i="19"/>
  <c r="AI92" i="19" s="1"/>
  <c r="I92" i="19" s="1"/>
  <c r="I92" i="22" s="1"/>
  <c r="S92" i="22" s="1"/>
  <c r="BX92" i="19" s="1"/>
  <c r="BI92" i="19"/>
  <c r="AZ92" i="20"/>
  <c r="W92" i="19"/>
  <c r="AJ92" i="19" s="1"/>
  <c r="J92" i="19" s="1"/>
  <c r="BJ92" i="19"/>
  <c r="AP93" i="18" s="1"/>
  <c r="L93" i="18" s="1"/>
  <c r="BA92" i="20"/>
  <c r="X92" i="19"/>
  <c r="AK92" i="19" s="1"/>
  <c r="K92" i="19" s="1"/>
  <c r="BK92" i="19"/>
  <c r="H92" i="18"/>
  <c r="S92" i="19"/>
  <c r="AF92" i="19" s="1"/>
  <c r="F92" i="19" s="1"/>
  <c r="F92" i="22" s="1"/>
  <c r="P92" i="22" s="1"/>
  <c r="BU92" i="19" s="1"/>
  <c r="AU92" i="20"/>
  <c r="AI93" i="18"/>
  <c r="G92" i="18"/>
  <c r="V93" i="18" s="1"/>
  <c r="W93" i="18"/>
  <c r="T92" i="19"/>
  <c r="AG92" i="19" s="1"/>
  <c r="G92" i="19" s="1"/>
  <c r="G92" i="22" s="1"/>
  <c r="Q92" i="22" s="1"/>
  <c r="BV92" i="19" s="1"/>
  <c r="AN93" i="18" s="1"/>
  <c r="BG92" i="19"/>
  <c r="Q92" i="19"/>
  <c r="AD92" i="19" s="1"/>
  <c r="D92" i="19" s="1"/>
  <c r="D92" i="22" s="1"/>
  <c r="N92" i="22" s="1"/>
  <c r="BS92" i="19" s="1"/>
  <c r="S93" i="18"/>
  <c r="R92" i="19"/>
  <c r="AE92" i="19" s="1"/>
  <c r="E92" i="19" s="1"/>
  <c r="E92" i="22" s="1"/>
  <c r="O92" i="22" s="1"/>
  <c r="BT92" i="19" s="1"/>
  <c r="AK93" i="18" s="1"/>
  <c r="BE92" i="19"/>
  <c r="T93" i="18"/>
  <c r="U93" i="18"/>
  <c r="BB94" i="19"/>
  <c r="B94" i="18"/>
  <c r="O94" i="19" s="1"/>
  <c r="AB94" i="19" s="1"/>
  <c r="B94" i="19" s="1"/>
  <c r="B94" i="22" s="1"/>
  <c r="L94" i="22" s="1"/>
  <c r="CK182" i="20"/>
  <c r="CL182" i="20"/>
  <c r="CM182" i="20"/>
  <c r="CE123" i="20"/>
  <c r="K124" i="20"/>
  <c r="M92" i="22"/>
  <c r="BQ92" i="19"/>
  <c r="AH93" i="18" s="1"/>
  <c r="R94" i="18"/>
  <c r="BC93" i="19"/>
  <c r="P93" i="19"/>
  <c r="O92" i="18" l="1"/>
  <c r="AA92" i="19" s="1"/>
  <c r="AN92" i="19" s="1"/>
  <c r="N92" i="19" s="1"/>
  <c r="K92" i="22" s="1"/>
  <c r="U92" i="22" s="1"/>
  <c r="CA92" i="19" s="1"/>
  <c r="AS93" i="18" s="1"/>
  <c r="AE93" i="18"/>
  <c r="M92" i="18"/>
  <c r="BL92" i="19"/>
  <c r="BZ92" i="19"/>
  <c r="AR93" i="18" s="1"/>
  <c r="N92" i="18"/>
  <c r="BA93" i="20"/>
  <c r="X93" i="19"/>
  <c r="AK93" i="19" s="1"/>
  <c r="K93" i="19" s="1"/>
  <c r="BK93" i="19"/>
  <c r="AL93" i="18"/>
  <c r="J93" i="18"/>
  <c r="H93" i="18"/>
  <c r="X93" i="18"/>
  <c r="U92" i="19"/>
  <c r="AH92" i="19" s="1"/>
  <c r="H92" i="19" s="1"/>
  <c r="H92" i="22" s="1"/>
  <c r="R92" i="22" s="1"/>
  <c r="BW92" i="19" s="1"/>
  <c r="AO93" i="18" s="1"/>
  <c r="AW92" i="20"/>
  <c r="BH92" i="19"/>
  <c r="AM93" i="18" s="1"/>
  <c r="AV92" i="20"/>
  <c r="G93" i="18"/>
  <c r="AJ93" i="18"/>
  <c r="F93" i="18" s="1"/>
  <c r="U93" i="19"/>
  <c r="AH93" i="19" s="1"/>
  <c r="H93" i="19" s="1"/>
  <c r="H93" i="22" s="1"/>
  <c r="R93" i="22" s="1"/>
  <c r="BW93" i="19" s="1"/>
  <c r="BH93" i="19"/>
  <c r="AW93" i="20"/>
  <c r="BD93" i="19"/>
  <c r="D93" i="18"/>
  <c r="BP93" i="19"/>
  <c r="AG94" i="18" s="1"/>
  <c r="C94" i="18" s="1"/>
  <c r="E93" i="18"/>
  <c r="BR93" i="19"/>
  <c r="Q95" i="18"/>
  <c r="AL124" i="20"/>
  <c r="BV124" i="20"/>
  <c r="AC93" i="19"/>
  <c r="C93" i="19" s="1"/>
  <c r="C93" i="22" s="1"/>
  <c r="BO94" i="19"/>
  <c r="AF95" i="18" s="1"/>
  <c r="P93" i="18" l="1"/>
  <c r="AT94" i="18"/>
  <c r="BN93" i="19"/>
  <c r="BM92" i="19"/>
  <c r="BC92" i="20"/>
  <c r="Z92" i="19"/>
  <c r="AM92" i="19" s="1"/>
  <c r="M92" i="19" s="1"/>
  <c r="AD93" i="18"/>
  <c r="O93" i="18" s="1"/>
  <c r="AC93" i="18"/>
  <c r="BB92" i="20"/>
  <c r="AB93" i="18"/>
  <c r="Y92" i="19"/>
  <c r="AL92" i="19" s="1"/>
  <c r="L92" i="19" s="1"/>
  <c r="J92" i="22" s="1"/>
  <c r="T92" i="22" s="1"/>
  <c r="BY92" i="19" s="1"/>
  <c r="AQ93" i="18" s="1"/>
  <c r="K93" i="18"/>
  <c r="AM94" i="18"/>
  <c r="Y94" i="18"/>
  <c r="AY93" i="20"/>
  <c r="V93" i="19"/>
  <c r="AI93" i="19" s="1"/>
  <c r="I93" i="19" s="1"/>
  <c r="I93" i="22" s="1"/>
  <c r="S93" i="22" s="1"/>
  <c r="BX93" i="19" s="1"/>
  <c r="BI93" i="19"/>
  <c r="AO94" i="18" s="1"/>
  <c r="Z94" i="18"/>
  <c r="I93" i="18"/>
  <c r="AI94" i="18"/>
  <c r="AV93" i="20"/>
  <c r="BG93" i="19"/>
  <c r="T93" i="19"/>
  <c r="AG93" i="19" s="1"/>
  <c r="G93" i="19" s="1"/>
  <c r="G93" i="22" s="1"/>
  <c r="Q93" i="22" s="1"/>
  <c r="BV93" i="19" s="1"/>
  <c r="AN94" i="18" s="1"/>
  <c r="W94" i="18"/>
  <c r="BF93" i="19"/>
  <c r="S93" i="19"/>
  <c r="AF93" i="19" s="1"/>
  <c r="F93" i="19" s="1"/>
  <c r="F93" i="22" s="1"/>
  <c r="P93" i="22" s="1"/>
  <c r="BU93" i="19" s="1"/>
  <c r="AU93" i="20"/>
  <c r="V94" i="18"/>
  <c r="U94" i="18"/>
  <c r="BE93" i="19"/>
  <c r="R93" i="19"/>
  <c r="AE93" i="19" s="1"/>
  <c r="E93" i="19" s="1"/>
  <c r="E93" i="22" s="1"/>
  <c r="O93" i="22" s="1"/>
  <c r="BT93" i="19" s="1"/>
  <c r="T94" i="18"/>
  <c r="Q93" i="19"/>
  <c r="AD93" i="19" s="1"/>
  <c r="D93" i="19" s="1"/>
  <c r="D93" i="22" s="1"/>
  <c r="N93" i="22" s="1"/>
  <c r="BS93" i="19" s="1"/>
  <c r="S94" i="18"/>
  <c r="BB95" i="19"/>
  <c r="B95" i="18"/>
  <c r="O95" i="19" s="1"/>
  <c r="AB95" i="19" s="1"/>
  <c r="B95" i="19" s="1"/>
  <c r="B95" i="22" s="1"/>
  <c r="L95" i="22" s="1"/>
  <c r="AC124" i="20"/>
  <c r="R95" i="18"/>
  <c r="BC94" i="19"/>
  <c r="P94" i="19"/>
  <c r="M93" i="22"/>
  <c r="BQ93" i="19"/>
  <c r="AH94" i="18" s="1"/>
  <c r="BL93" i="19" l="1"/>
  <c r="AA93" i="19"/>
  <c r="AN93" i="19" s="1"/>
  <c r="N93" i="19" s="1"/>
  <c r="K93" i="22" s="1"/>
  <c r="U93" i="22" s="1"/>
  <c r="CA93" i="19" s="1"/>
  <c r="AS94" i="18" s="1"/>
  <c r="AE94" i="18"/>
  <c r="P94" i="18" s="1"/>
  <c r="M93" i="18"/>
  <c r="BZ93" i="19"/>
  <c r="AR94" i="18" s="1"/>
  <c r="N93" i="18"/>
  <c r="AA94" i="18"/>
  <c r="BJ93" i="19"/>
  <c r="AP94" i="18" s="1"/>
  <c r="W93" i="19"/>
  <c r="AJ93" i="19" s="1"/>
  <c r="J93" i="19" s="1"/>
  <c r="AZ93" i="20"/>
  <c r="K94" i="18"/>
  <c r="Z95" i="18"/>
  <c r="J94" i="18"/>
  <c r="Y95" i="18"/>
  <c r="AX93" i="20"/>
  <c r="X94" i="18"/>
  <c r="AL94" i="18"/>
  <c r="H94" i="18" s="1"/>
  <c r="AJ94" i="18"/>
  <c r="F94" i="18" s="1"/>
  <c r="AK94" i="18"/>
  <c r="BD94" i="19"/>
  <c r="D94" i="18"/>
  <c r="BP94" i="19"/>
  <c r="AG95" i="18" s="1"/>
  <c r="C95" i="18" s="1"/>
  <c r="BR94" i="19"/>
  <c r="E94" i="18"/>
  <c r="Q96" i="18"/>
  <c r="CE124" i="20"/>
  <c r="K125" i="20"/>
  <c r="BO95" i="19"/>
  <c r="AF96" i="18" s="1"/>
  <c r="AC94" i="19"/>
  <c r="C94" i="19" s="1"/>
  <c r="C94" i="22" s="1"/>
  <c r="AT95" i="18" l="1"/>
  <c r="BN94" i="19"/>
  <c r="AC94" i="18"/>
  <c r="BM93" i="19"/>
  <c r="AD94" i="18"/>
  <c r="O94" i="18" s="1"/>
  <c r="AE95" i="18" s="1"/>
  <c r="Z93" i="19"/>
  <c r="AM93" i="19" s="1"/>
  <c r="M93" i="19" s="1"/>
  <c r="BC93" i="20"/>
  <c r="BB93" i="20"/>
  <c r="Y93" i="19"/>
  <c r="AL93" i="19" s="1"/>
  <c r="L93" i="19" s="1"/>
  <c r="J93" i="22" s="1"/>
  <c r="T93" i="22" s="1"/>
  <c r="BY93" i="19" s="1"/>
  <c r="AQ94" i="18" s="1"/>
  <c r="AB94" i="18"/>
  <c r="L94" i="18"/>
  <c r="BK94" i="19"/>
  <c r="X94" i="19"/>
  <c r="AK94" i="19" s="1"/>
  <c r="K94" i="19" s="1"/>
  <c r="BA94" i="20"/>
  <c r="AY94" i="20"/>
  <c r="V94" i="19"/>
  <c r="AI94" i="19" s="1"/>
  <c r="I94" i="19" s="1"/>
  <c r="I94" i="22" s="1"/>
  <c r="S94" i="22" s="1"/>
  <c r="BX94" i="19" s="1"/>
  <c r="BI94" i="19"/>
  <c r="AO95" i="18" s="1"/>
  <c r="AA94" i="19"/>
  <c r="AN94" i="19" s="1"/>
  <c r="N94" i="19" s="1"/>
  <c r="K94" i="22" s="1"/>
  <c r="U94" i="22" s="1"/>
  <c r="CA94" i="19" s="1"/>
  <c r="AZ94" i="20"/>
  <c r="W94" i="19"/>
  <c r="AJ94" i="19" s="1"/>
  <c r="J94" i="19" s="1"/>
  <c r="BJ94" i="19"/>
  <c r="AP95" i="18" s="1"/>
  <c r="AA95" i="18"/>
  <c r="AI95" i="18"/>
  <c r="I94" i="18"/>
  <c r="AX94" i="20" s="1"/>
  <c r="BF94" i="19"/>
  <c r="S94" i="19"/>
  <c r="AF94" i="19" s="1"/>
  <c r="F94" i="19" s="1"/>
  <c r="F94" i="22" s="1"/>
  <c r="P94" i="22" s="1"/>
  <c r="BU94" i="19" s="1"/>
  <c r="U94" i="19"/>
  <c r="AH94" i="19" s="1"/>
  <c r="H94" i="19" s="1"/>
  <c r="H94" i="22" s="1"/>
  <c r="R94" i="22" s="1"/>
  <c r="BW94" i="19" s="1"/>
  <c r="AW94" i="20"/>
  <c r="BH94" i="19"/>
  <c r="AM95" i="18" s="1"/>
  <c r="X95" i="18"/>
  <c r="AU94" i="20"/>
  <c r="G94" i="18"/>
  <c r="S95" i="18"/>
  <c r="Q94" i="19"/>
  <c r="AD94" i="19" s="1"/>
  <c r="D94" i="19" s="1"/>
  <c r="D94" i="22" s="1"/>
  <c r="N94" i="22" s="1"/>
  <c r="BS94" i="19" s="1"/>
  <c r="R94" i="19"/>
  <c r="AE94" i="19" s="1"/>
  <c r="E94" i="19" s="1"/>
  <c r="E94" i="22" s="1"/>
  <c r="O94" i="22" s="1"/>
  <c r="BT94" i="19" s="1"/>
  <c r="U95" i="18"/>
  <c r="BE94" i="19"/>
  <c r="T95" i="18"/>
  <c r="BB96" i="19"/>
  <c r="B96" i="18"/>
  <c r="O96" i="19" s="1"/>
  <c r="AB96" i="19" s="1"/>
  <c r="B96" i="19" s="1"/>
  <c r="B96" i="22" s="1"/>
  <c r="L96" i="22" s="1"/>
  <c r="BV125" i="20"/>
  <c r="AL125" i="20"/>
  <c r="M94" i="22"/>
  <c r="BQ94" i="19"/>
  <c r="AH95" i="18" s="1"/>
  <c r="R96" i="18"/>
  <c r="BC95" i="19"/>
  <c r="P95" i="19"/>
  <c r="AT96" i="18" l="1"/>
  <c r="AS95" i="18"/>
  <c r="M94" i="18"/>
  <c r="AB95" i="18" s="1"/>
  <c r="BL94" i="19"/>
  <c r="N94" i="18"/>
  <c r="BZ94" i="19"/>
  <c r="AR95" i="18" s="1"/>
  <c r="K95" i="18"/>
  <c r="L95" i="18"/>
  <c r="P95" i="18"/>
  <c r="AK95" i="18"/>
  <c r="AJ95" i="18"/>
  <c r="F95" i="18" s="1"/>
  <c r="I95" i="18"/>
  <c r="AX95" i="20" s="1"/>
  <c r="BG94" i="19"/>
  <c r="AL95" i="18" s="1"/>
  <c r="W95" i="18"/>
  <c r="V95" i="18"/>
  <c r="G95" i="18" s="1"/>
  <c r="AV94" i="20"/>
  <c r="T94" i="19"/>
  <c r="AG94" i="19" s="1"/>
  <c r="G94" i="19" s="1"/>
  <c r="G94" i="22" s="1"/>
  <c r="Q94" i="22" s="1"/>
  <c r="BV94" i="19" s="1"/>
  <c r="AN95" i="18" s="1"/>
  <c r="BD95" i="19"/>
  <c r="E95" i="18"/>
  <c r="BR95" i="19"/>
  <c r="D95" i="18"/>
  <c r="BP95" i="19"/>
  <c r="AG96" i="18" s="1"/>
  <c r="C96" i="18" s="1"/>
  <c r="Q97" i="18"/>
  <c r="AC125" i="20"/>
  <c r="BO96" i="19"/>
  <c r="AF97" i="18" s="1"/>
  <c r="AC95" i="19"/>
  <c r="C95" i="19" s="1"/>
  <c r="C95" i="22" s="1"/>
  <c r="BN95" i="19" l="1"/>
  <c r="AC95" i="18"/>
  <c r="Z94" i="19"/>
  <c r="AM94" i="19" s="1"/>
  <c r="M94" i="19" s="1"/>
  <c r="AD95" i="18"/>
  <c r="O95" i="18" s="1"/>
  <c r="AA95" i="19" s="1"/>
  <c r="AN95" i="19" s="1"/>
  <c r="N95" i="19" s="1"/>
  <c r="K95" i="22" s="1"/>
  <c r="U95" i="22" s="1"/>
  <c r="CA95" i="19" s="1"/>
  <c r="BM94" i="19"/>
  <c r="BC94" i="20"/>
  <c r="Y94" i="19"/>
  <c r="AL94" i="19" s="1"/>
  <c r="L94" i="19" s="1"/>
  <c r="J94" i="22" s="1"/>
  <c r="T94" i="22" s="1"/>
  <c r="BY94" i="19" s="1"/>
  <c r="AQ95" i="18" s="1"/>
  <c r="BB94" i="20"/>
  <c r="W95" i="19"/>
  <c r="AJ95" i="19" s="1"/>
  <c r="J95" i="19" s="1"/>
  <c r="AZ95" i="20"/>
  <c r="BJ95" i="19"/>
  <c r="J95" i="18"/>
  <c r="BA95" i="20"/>
  <c r="X95" i="19"/>
  <c r="AK95" i="19" s="1"/>
  <c r="K95" i="19" s="1"/>
  <c r="BK95" i="19"/>
  <c r="AA96" i="18"/>
  <c r="AI96" i="18"/>
  <c r="H95" i="18"/>
  <c r="W96" i="18"/>
  <c r="BG95" i="19"/>
  <c r="T95" i="19"/>
  <c r="AG95" i="19" s="1"/>
  <c r="G95" i="19" s="1"/>
  <c r="G95" i="22" s="1"/>
  <c r="Q95" i="22" s="1"/>
  <c r="BV95" i="19" s="1"/>
  <c r="AN96" i="18" s="1"/>
  <c r="AV95" i="20"/>
  <c r="AW95" i="20"/>
  <c r="U95" i="19"/>
  <c r="AH95" i="19" s="1"/>
  <c r="H95" i="19" s="1"/>
  <c r="H95" i="22" s="1"/>
  <c r="R95" i="22" s="1"/>
  <c r="BW95" i="19" s="1"/>
  <c r="BH95" i="19"/>
  <c r="AM96" i="18" s="1"/>
  <c r="X96" i="18"/>
  <c r="AU95" i="20"/>
  <c r="S95" i="19"/>
  <c r="AF95" i="19" s="1"/>
  <c r="F95" i="19" s="1"/>
  <c r="F95" i="22" s="1"/>
  <c r="P95" i="22" s="1"/>
  <c r="BU95" i="19" s="1"/>
  <c r="BF95" i="19"/>
  <c r="V96" i="18"/>
  <c r="S96" i="18"/>
  <c r="Q95" i="19"/>
  <c r="AD95" i="19" s="1"/>
  <c r="D95" i="19" s="1"/>
  <c r="D95" i="22" s="1"/>
  <c r="N95" i="22" s="1"/>
  <c r="BS95" i="19" s="1"/>
  <c r="R95" i="19"/>
  <c r="AE95" i="19" s="1"/>
  <c r="E95" i="19" s="1"/>
  <c r="E95" i="22" s="1"/>
  <c r="O95" i="22" s="1"/>
  <c r="BT95" i="19" s="1"/>
  <c r="U96" i="18"/>
  <c r="BE95" i="19"/>
  <c r="T96" i="18"/>
  <c r="BB97" i="19"/>
  <c r="B97" i="18"/>
  <c r="O97" i="19" s="1"/>
  <c r="AB97" i="19" s="1"/>
  <c r="B97" i="19" s="1"/>
  <c r="B97" i="22" s="1"/>
  <c r="L97" i="22" s="1"/>
  <c r="CE125" i="20"/>
  <c r="K126" i="20"/>
  <c r="R97" i="18"/>
  <c r="BC96" i="19"/>
  <c r="P96" i="19"/>
  <c r="M95" i="22"/>
  <c r="BQ95" i="19"/>
  <c r="AH96" i="18" s="1"/>
  <c r="AS96" i="18" l="1"/>
  <c r="AR96" i="18"/>
  <c r="BL95" i="19"/>
  <c r="BZ95" i="19"/>
  <c r="N95" i="18"/>
  <c r="AC96" i="18"/>
  <c r="AE96" i="18"/>
  <c r="M95" i="18"/>
  <c r="AP96" i="18"/>
  <c r="L96" i="18" s="1"/>
  <c r="Y96" i="18"/>
  <c r="J96" i="18" s="1"/>
  <c r="AY95" i="20"/>
  <c r="V95" i="19"/>
  <c r="AI95" i="19" s="1"/>
  <c r="I95" i="19" s="1"/>
  <c r="I95" i="22" s="1"/>
  <c r="S95" i="22" s="1"/>
  <c r="BX95" i="19" s="1"/>
  <c r="BI95" i="19"/>
  <c r="AO96" i="18" s="1"/>
  <c r="Z96" i="18"/>
  <c r="AL96" i="18"/>
  <c r="H96" i="18" s="1"/>
  <c r="I96" i="18"/>
  <c r="AX96" i="20" s="1"/>
  <c r="AK96" i="18"/>
  <c r="G96" i="18" s="1"/>
  <c r="BG96" i="19" s="1"/>
  <c r="AJ96" i="18"/>
  <c r="F96" i="18" s="1"/>
  <c r="BD96" i="19"/>
  <c r="BR96" i="19"/>
  <c r="E96" i="18"/>
  <c r="D96" i="18"/>
  <c r="Q96" i="19" s="1"/>
  <c r="BP96" i="19"/>
  <c r="AG97" i="18" s="1"/>
  <c r="C97" i="18" s="1"/>
  <c r="Q98" i="18"/>
  <c r="AL126" i="20"/>
  <c r="BV126" i="20"/>
  <c r="AD96" i="19"/>
  <c r="D96" i="19" s="1"/>
  <c r="D96" i="22" s="1"/>
  <c r="N96" i="22" s="1"/>
  <c r="BS96" i="19" s="1"/>
  <c r="BO97" i="19"/>
  <c r="AF98" i="18" s="1"/>
  <c r="AC96" i="19"/>
  <c r="C96" i="19" s="1"/>
  <c r="C96" i="22" s="1"/>
  <c r="P96" i="18" l="1"/>
  <c r="AT97" i="18"/>
  <c r="BN96" i="19"/>
  <c r="AR97" i="18"/>
  <c r="BC95" i="20"/>
  <c r="Z95" i="19"/>
  <c r="AM95" i="19" s="1"/>
  <c r="M95" i="19" s="1"/>
  <c r="BM95" i="19"/>
  <c r="AD96" i="18"/>
  <c r="Y95" i="19"/>
  <c r="AL95" i="19" s="1"/>
  <c r="L95" i="19" s="1"/>
  <c r="J95" i="22" s="1"/>
  <c r="T95" i="22" s="1"/>
  <c r="BY95" i="19" s="1"/>
  <c r="AQ96" i="18" s="1"/>
  <c r="BB95" i="20"/>
  <c r="AB96" i="18"/>
  <c r="N96" i="18"/>
  <c r="BZ96" i="19"/>
  <c r="K96" i="18"/>
  <c r="Z97" i="18"/>
  <c r="Y97" i="18"/>
  <c r="AY96" i="20"/>
  <c r="V96" i="19"/>
  <c r="AI96" i="19" s="1"/>
  <c r="I96" i="19" s="1"/>
  <c r="I96" i="22" s="1"/>
  <c r="S96" i="22" s="1"/>
  <c r="BX96" i="19" s="1"/>
  <c r="BI96" i="19"/>
  <c r="AO97" i="18" s="1"/>
  <c r="BA96" i="20"/>
  <c r="X96" i="19"/>
  <c r="AK96" i="19" s="1"/>
  <c r="K96" i="19" s="1"/>
  <c r="BK96" i="19"/>
  <c r="X97" i="18"/>
  <c r="BH96" i="19"/>
  <c r="AM97" i="18" s="1"/>
  <c r="AW96" i="20"/>
  <c r="U96" i="19"/>
  <c r="AH96" i="19" s="1"/>
  <c r="H96" i="19" s="1"/>
  <c r="H96" i="22" s="1"/>
  <c r="R96" i="22" s="1"/>
  <c r="BW96" i="19" s="1"/>
  <c r="AI97" i="18"/>
  <c r="AV96" i="20"/>
  <c r="T96" i="19"/>
  <c r="AG96" i="19" s="1"/>
  <c r="G96" i="19" s="1"/>
  <c r="G96" i="22" s="1"/>
  <c r="Q96" i="22" s="1"/>
  <c r="BV96" i="19" s="1"/>
  <c r="AN97" i="18" s="1"/>
  <c r="W97" i="18"/>
  <c r="AU96" i="20"/>
  <c r="V97" i="18"/>
  <c r="BF96" i="19"/>
  <c r="S96" i="19"/>
  <c r="AF96" i="19" s="1"/>
  <c r="F96" i="19" s="1"/>
  <c r="F96" i="22" s="1"/>
  <c r="P96" i="22" s="1"/>
  <c r="BU96" i="19" s="1"/>
  <c r="AL97" i="18" s="1"/>
  <c r="R96" i="19"/>
  <c r="AE96" i="19" s="1"/>
  <c r="E96" i="19" s="1"/>
  <c r="E96" i="22" s="1"/>
  <c r="O96" i="22" s="1"/>
  <c r="BT96" i="19" s="1"/>
  <c r="U97" i="18"/>
  <c r="T97" i="18"/>
  <c r="BE96" i="19"/>
  <c r="AJ97" i="18" s="1"/>
  <c r="S97" i="18"/>
  <c r="BB98" i="19"/>
  <c r="B98" i="18"/>
  <c r="O98" i="19" s="1"/>
  <c r="AB98" i="19" s="1"/>
  <c r="B98" i="19" s="1"/>
  <c r="B98" i="22" s="1"/>
  <c r="L98" i="22" s="1"/>
  <c r="AC126" i="20"/>
  <c r="M96" i="22"/>
  <c r="BQ96" i="19"/>
  <c r="AH97" i="18" s="1"/>
  <c r="R98" i="18"/>
  <c r="BC97" i="19"/>
  <c r="P97" i="19"/>
  <c r="M96" i="18" l="1"/>
  <c r="BL96" i="19"/>
  <c r="BC96" i="20"/>
  <c r="Z96" i="19"/>
  <c r="AM96" i="19" s="1"/>
  <c r="M96" i="19" s="1"/>
  <c r="BM96" i="19"/>
  <c r="O96" i="18"/>
  <c r="AD97" i="18" s="1"/>
  <c r="AB97" i="18"/>
  <c r="K97" i="18"/>
  <c r="Z98" i="18" s="1"/>
  <c r="AZ96" i="20"/>
  <c r="W96" i="19"/>
  <c r="AJ96" i="19" s="1"/>
  <c r="J96" i="19" s="1"/>
  <c r="BJ96" i="19"/>
  <c r="AP97" i="18" s="1"/>
  <c r="AA97" i="18"/>
  <c r="J97" i="18"/>
  <c r="I97" i="18"/>
  <c r="AX97" i="20" s="1"/>
  <c r="AK97" i="18"/>
  <c r="G97" i="18" s="1"/>
  <c r="H97" i="18"/>
  <c r="BH97" i="19" s="1"/>
  <c r="AM98" i="18" s="1"/>
  <c r="F97" i="18"/>
  <c r="BD97" i="19"/>
  <c r="AI98" i="18" s="1"/>
  <c r="E97" i="18"/>
  <c r="BR97" i="19"/>
  <c r="D97" i="18"/>
  <c r="BP97" i="19"/>
  <c r="AG98" i="18" s="1"/>
  <c r="C98" i="18" s="1"/>
  <c r="Q99" i="18"/>
  <c r="CE126" i="20"/>
  <c r="K127" i="20"/>
  <c r="BO98" i="19"/>
  <c r="AF99" i="18" s="1"/>
  <c r="AC97" i="19"/>
  <c r="C97" i="19" s="1"/>
  <c r="C97" i="22" s="1"/>
  <c r="AA96" i="19" l="1"/>
  <c r="AN96" i="19" s="1"/>
  <c r="N96" i="19" s="1"/>
  <c r="K96" i="22" s="1"/>
  <c r="U96" i="22" s="1"/>
  <c r="CA96" i="19" s="1"/>
  <c r="AS97" i="18" s="1"/>
  <c r="AE97" i="18"/>
  <c r="AT98" i="18" s="1"/>
  <c r="AC97" i="18"/>
  <c r="Y96" i="19"/>
  <c r="AL96" i="19" s="1"/>
  <c r="L96" i="19" s="1"/>
  <c r="J96" i="22" s="1"/>
  <c r="T96" i="22" s="1"/>
  <c r="BY96" i="19" s="1"/>
  <c r="AQ97" i="18" s="1"/>
  <c r="BB96" i="20"/>
  <c r="L97" i="18"/>
  <c r="AA98" i="18" s="1"/>
  <c r="AZ97" i="20"/>
  <c r="W97" i="19"/>
  <c r="AJ97" i="19" s="1"/>
  <c r="J97" i="19" s="1"/>
  <c r="BJ97" i="19"/>
  <c r="AP98" i="18" s="1"/>
  <c r="AY97" i="20"/>
  <c r="V97" i="19"/>
  <c r="AI97" i="19" s="1"/>
  <c r="I97" i="19" s="1"/>
  <c r="I97" i="22" s="1"/>
  <c r="S97" i="22" s="1"/>
  <c r="BX97" i="19" s="1"/>
  <c r="BI97" i="19"/>
  <c r="Y98" i="18"/>
  <c r="W98" i="18"/>
  <c r="BG97" i="19"/>
  <c r="AW97" i="20"/>
  <c r="X98" i="18"/>
  <c r="I98" i="18" s="1"/>
  <c r="AX98" i="20" s="1"/>
  <c r="U97" i="19"/>
  <c r="AH97" i="19" s="1"/>
  <c r="H97" i="19" s="1"/>
  <c r="H97" i="22" s="1"/>
  <c r="R97" i="22" s="1"/>
  <c r="BW97" i="19" s="1"/>
  <c r="T97" i="19"/>
  <c r="AG97" i="19" s="1"/>
  <c r="G97" i="19" s="1"/>
  <c r="G97" i="22" s="1"/>
  <c r="Q97" i="22" s="1"/>
  <c r="BV97" i="19" s="1"/>
  <c r="AN98" i="18" s="1"/>
  <c r="AV97" i="20"/>
  <c r="AU97" i="20"/>
  <c r="V98" i="18"/>
  <c r="BF97" i="19"/>
  <c r="S97" i="19"/>
  <c r="AF97" i="19" s="1"/>
  <c r="F97" i="19" s="1"/>
  <c r="F97" i="22" s="1"/>
  <c r="P97" i="22" s="1"/>
  <c r="BU97" i="19" s="1"/>
  <c r="R97" i="19"/>
  <c r="AE97" i="19" s="1"/>
  <c r="E97" i="19" s="1"/>
  <c r="E97" i="22" s="1"/>
  <c r="O97" i="22" s="1"/>
  <c r="BT97" i="19" s="1"/>
  <c r="BE97" i="19"/>
  <c r="U98" i="18"/>
  <c r="T98" i="18"/>
  <c r="S98" i="18"/>
  <c r="Q97" i="19"/>
  <c r="AD97" i="19" s="1"/>
  <c r="D97" i="19" s="1"/>
  <c r="D97" i="22" s="1"/>
  <c r="N97" i="22" s="1"/>
  <c r="BS97" i="19" s="1"/>
  <c r="BB99" i="19"/>
  <c r="B99" i="18"/>
  <c r="O99" i="19" s="1"/>
  <c r="AB99" i="19" s="1"/>
  <c r="B99" i="19" s="1"/>
  <c r="B99" i="22" s="1"/>
  <c r="L99" i="22" s="1"/>
  <c r="AL127" i="20"/>
  <c r="BV127" i="20"/>
  <c r="R99" i="18"/>
  <c r="BC98" i="19"/>
  <c r="P98" i="19"/>
  <c r="M97" i="22"/>
  <c r="BQ97" i="19"/>
  <c r="AH98" i="18" s="1"/>
  <c r="BN97" i="19" l="1"/>
  <c r="O97" i="18"/>
  <c r="AA97" i="19" s="1"/>
  <c r="AN97" i="19" s="1"/>
  <c r="N97" i="19" s="1"/>
  <c r="K97" i="22" s="1"/>
  <c r="U97" i="22" s="1"/>
  <c r="CA97" i="19" s="1"/>
  <c r="AS98" i="18" s="1"/>
  <c r="P97" i="18"/>
  <c r="AE98" i="18" s="1"/>
  <c r="P98" i="18" s="1"/>
  <c r="BL97" i="19"/>
  <c r="BZ97" i="19"/>
  <c r="AR98" i="18" s="1"/>
  <c r="N97" i="18"/>
  <c r="AD98" i="18"/>
  <c r="M97" i="18"/>
  <c r="AC98" i="18" s="1"/>
  <c r="AO98" i="18"/>
  <c r="L98" i="18"/>
  <c r="J98" i="18"/>
  <c r="Y99" i="18" s="1"/>
  <c r="BA97" i="20"/>
  <c r="X97" i="19"/>
  <c r="AK97" i="19" s="1"/>
  <c r="K97" i="19" s="1"/>
  <c r="BK97" i="19"/>
  <c r="AB98" i="18"/>
  <c r="AL98" i="18"/>
  <c r="H98" i="18" s="1"/>
  <c r="AK98" i="18"/>
  <c r="AJ98" i="18"/>
  <c r="E98" i="18"/>
  <c r="BR98" i="19"/>
  <c r="BD98" i="19"/>
  <c r="AI99" i="18" s="1"/>
  <c r="D98" i="18"/>
  <c r="BP98" i="19"/>
  <c r="AG99" i="18" s="1"/>
  <c r="C99" i="18" s="1"/>
  <c r="Q100" i="18"/>
  <c r="AC127" i="20"/>
  <c r="BO99" i="19"/>
  <c r="AF100" i="18" s="1"/>
  <c r="AC98" i="19"/>
  <c r="C98" i="19" s="1"/>
  <c r="C98" i="22" s="1"/>
  <c r="AT99" i="18" l="1"/>
  <c r="BN98" i="19"/>
  <c r="AR99" i="18"/>
  <c r="BZ98" i="19"/>
  <c r="N98" i="18"/>
  <c r="O98" i="18"/>
  <c r="AA98" i="19" s="1"/>
  <c r="AN98" i="19" s="1"/>
  <c r="N98" i="19" s="1"/>
  <c r="K98" i="22" s="1"/>
  <c r="U98" i="22" s="1"/>
  <c r="CA98" i="19" s="1"/>
  <c r="AS99" i="18" s="1"/>
  <c r="Z97" i="19"/>
  <c r="AM97" i="19" s="1"/>
  <c r="M97" i="19" s="1"/>
  <c r="BC97" i="20"/>
  <c r="BM97" i="19"/>
  <c r="Y97" i="19"/>
  <c r="AL97" i="19" s="1"/>
  <c r="L97" i="19" s="1"/>
  <c r="J97" i="22" s="1"/>
  <c r="T97" i="22" s="1"/>
  <c r="BY97" i="19" s="1"/>
  <c r="AQ98" i="18" s="1"/>
  <c r="BB97" i="20"/>
  <c r="K98" i="18"/>
  <c r="BA98" i="20"/>
  <c r="X98" i="19"/>
  <c r="AK98" i="19" s="1"/>
  <c r="K98" i="19" s="1"/>
  <c r="BK98" i="19"/>
  <c r="AY98" i="20"/>
  <c r="V98" i="19"/>
  <c r="AI98" i="19" s="1"/>
  <c r="I98" i="19" s="1"/>
  <c r="I98" i="22" s="1"/>
  <c r="S98" i="22" s="1"/>
  <c r="BX98" i="19" s="1"/>
  <c r="BI98" i="19"/>
  <c r="AO99" i="18" s="1"/>
  <c r="BH98" i="19"/>
  <c r="AM99" i="18" s="1"/>
  <c r="U98" i="19"/>
  <c r="AH98" i="19" s="1"/>
  <c r="H98" i="19" s="1"/>
  <c r="H98" i="22" s="1"/>
  <c r="R98" i="22" s="1"/>
  <c r="BW98" i="19" s="1"/>
  <c r="AW98" i="20"/>
  <c r="X99" i="18"/>
  <c r="G98" i="18"/>
  <c r="F98" i="18"/>
  <c r="S99" i="18"/>
  <c r="Q98" i="19"/>
  <c r="AD98" i="19" s="1"/>
  <c r="D98" i="19" s="1"/>
  <c r="D98" i="22" s="1"/>
  <c r="N98" i="22" s="1"/>
  <c r="BS98" i="19" s="1"/>
  <c r="U99" i="18"/>
  <c r="BE98" i="19"/>
  <c r="AJ99" i="18" s="1"/>
  <c r="T99" i="18"/>
  <c r="R98" i="19"/>
  <c r="AE98" i="19" s="1"/>
  <c r="E98" i="19" s="1"/>
  <c r="E98" i="22" s="1"/>
  <c r="O98" i="22" s="1"/>
  <c r="BT98" i="19" s="1"/>
  <c r="B100" i="18"/>
  <c r="O100" i="19" s="1"/>
  <c r="AB100" i="19" s="1"/>
  <c r="B100" i="19" s="1"/>
  <c r="B100" i="22" s="1"/>
  <c r="L100" i="22" s="1"/>
  <c r="BB100" i="19"/>
  <c r="CE127" i="20"/>
  <c r="K128" i="20"/>
  <c r="M98" i="22"/>
  <c r="BQ98" i="19"/>
  <c r="AH99" i="18" s="1"/>
  <c r="R100" i="18"/>
  <c r="BC99" i="19"/>
  <c r="P99" i="19"/>
  <c r="BN99" i="19" l="1"/>
  <c r="BL98" i="19"/>
  <c r="M98" i="18"/>
  <c r="AB99" i="18" s="1"/>
  <c r="AE99" i="18"/>
  <c r="P99" i="18" s="1"/>
  <c r="BC98" i="20"/>
  <c r="Z98" i="19"/>
  <c r="AM98" i="19" s="1"/>
  <c r="M98" i="19" s="1"/>
  <c r="BM98" i="19"/>
  <c r="AD99" i="18"/>
  <c r="O99" i="18" s="1"/>
  <c r="AA99" i="19" s="1"/>
  <c r="AN99" i="19" s="1"/>
  <c r="N99" i="19" s="1"/>
  <c r="K99" i="22" s="1"/>
  <c r="U99" i="22" s="1"/>
  <c r="CA99" i="19" s="1"/>
  <c r="W98" i="19"/>
  <c r="AJ98" i="19" s="1"/>
  <c r="J98" i="19" s="1"/>
  <c r="BJ98" i="19"/>
  <c r="AP99" i="18" s="1"/>
  <c r="AZ98" i="20"/>
  <c r="Z99" i="18"/>
  <c r="K99" i="18" s="1"/>
  <c r="AA99" i="18"/>
  <c r="AZ99" i="20"/>
  <c r="W99" i="19"/>
  <c r="AJ99" i="19" s="1"/>
  <c r="J99" i="19" s="1"/>
  <c r="BJ99" i="19"/>
  <c r="Y98" i="19"/>
  <c r="AL98" i="19" s="1"/>
  <c r="L98" i="19" s="1"/>
  <c r="J98" i="22" s="1"/>
  <c r="T98" i="22" s="1"/>
  <c r="BY98" i="19" s="1"/>
  <c r="AQ99" i="18" s="1"/>
  <c r="BB98" i="20"/>
  <c r="AC99" i="18"/>
  <c r="I99" i="18"/>
  <c r="AX99" i="20" s="1"/>
  <c r="T98" i="19"/>
  <c r="AG98" i="19" s="1"/>
  <c r="G98" i="19" s="1"/>
  <c r="G98" i="22" s="1"/>
  <c r="Q98" i="22" s="1"/>
  <c r="BV98" i="19" s="1"/>
  <c r="AN99" i="18" s="1"/>
  <c r="W99" i="18"/>
  <c r="AV98" i="20"/>
  <c r="BG98" i="19"/>
  <c r="F99" i="18"/>
  <c r="S99" i="19" s="1"/>
  <c r="AF99" i="19" s="1"/>
  <c r="F99" i="19" s="1"/>
  <c r="F99" i="22" s="1"/>
  <c r="P99" i="22" s="1"/>
  <c r="V99" i="18"/>
  <c r="AU98" i="20"/>
  <c r="BF98" i="19"/>
  <c r="AK99" i="18" s="1"/>
  <c r="S98" i="19"/>
  <c r="AF98" i="19" s="1"/>
  <c r="F98" i="19" s="1"/>
  <c r="F98" i="22" s="1"/>
  <c r="P98" i="22" s="1"/>
  <c r="BU98" i="19" s="1"/>
  <c r="BD99" i="19"/>
  <c r="E99" i="18"/>
  <c r="BR99" i="19"/>
  <c r="D99" i="18"/>
  <c r="BP99" i="19"/>
  <c r="AG100" i="18" s="1"/>
  <c r="C100" i="18" s="1"/>
  <c r="Q101" i="18"/>
  <c r="AL128" i="20"/>
  <c r="BV128" i="20"/>
  <c r="AC99" i="19"/>
  <c r="C99" i="19" s="1"/>
  <c r="C99" i="22" s="1"/>
  <c r="BO100" i="19"/>
  <c r="AF101" i="18" s="1"/>
  <c r="AT100" i="18" l="1"/>
  <c r="AS100" i="18"/>
  <c r="BL99" i="19"/>
  <c r="M99" i="18"/>
  <c r="AE100" i="18"/>
  <c r="P100" i="18" s="1"/>
  <c r="AB100" i="18"/>
  <c r="L99" i="18"/>
  <c r="AA100" i="18"/>
  <c r="BU99" i="19"/>
  <c r="J99" i="18"/>
  <c r="BZ99" i="19"/>
  <c r="AR100" i="18" s="1"/>
  <c r="N99" i="18"/>
  <c r="Y99" i="19"/>
  <c r="AL99" i="19" s="1"/>
  <c r="L99" i="19" s="1"/>
  <c r="J99" i="22" s="1"/>
  <c r="T99" i="22" s="1"/>
  <c r="BY99" i="19" s="1"/>
  <c r="BB99" i="20"/>
  <c r="BF99" i="19"/>
  <c r="AL99" i="18"/>
  <c r="H99" i="18" s="1"/>
  <c r="AU99" i="20"/>
  <c r="U100" i="18"/>
  <c r="AI100" i="18"/>
  <c r="G99" i="18"/>
  <c r="V100" i="18" s="1"/>
  <c r="B101" i="18"/>
  <c r="O101" i="19" s="1"/>
  <c r="AB101" i="19" s="1"/>
  <c r="B101" i="19" s="1"/>
  <c r="B101" i="22" s="1"/>
  <c r="L101" i="22" s="1"/>
  <c r="R99" i="19"/>
  <c r="AE99" i="19" s="1"/>
  <c r="E99" i="19" s="1"/>
  <c r="E99" i="22" s="1"/>
  <c r="O99" i="22" s="1"/>
  <c r="BT99" i="19" s="1"/>
  <c r="T100" i="18"/>
  <c r="BE99" i="19"/>
  <c r="S100" i="18"/>
  <c r="Q99" i="19"/>
  <c r="AD99" i="19" s="1"/>
  <c r="D99" i="19" s="1"/>
  <c r="D99" i="22" s="1"/>
  <c r="N99" i="22" s="1"/>
  <c r="BS99" i="19" s="1"/>
  <c r="BB101" i="19"/>
  <c r="AC128" i="20"/>
  <c r="M99" i="22"/>
  <c r="BQ99" i="19"/>
  <c r="AH100" i="18" s="1"/>
  <c r="R101" i="18"/>
  <c r="BC100" i="19"/>
  <c r="P100" i="19"/>
  <c r="AT101" i="18" l="1"/>
  <c r="BN100" i="19"/>
  <c r="X99" i="19"/>
  <c r="AK99" i="19" s="1"/>
  <c r="K99" i="19" s="1"/>
  <c r="BA99" i="20"/>
  <c r="BK99" i="19"/>
  <c r="AQ100" i="18" s="1"/>
  <c r="AK100" i="18"/>
  <c r="AY99" i="20"/>
  <c r="V99" i="19"/>
  <c r="AI99" i="19" s="1"/>
  <c r="I99" i="19" s="1"/>
  <c r="I99" i="22" s="1"/>
  <c r="S99" i="22" s="1"/>
  <c r="BX99" i="19" s="1"/>
  <c r="AP100" i="18" s="1"/>
  <c r="BI99" i="19"/>
  <c r="AO100" i="18" s="1"/>
  <c r="Y100" i="18"/>
  <c r="Z100" i="18"/>
  <c r="AC100" i="18"/>
  <c r="BC99" i="20"/>
  <c r="Z99" i="19"/>
  <c r="AM99" i="19" s="1"/>
  <c r="M99" i="19" s="1"/>
  <c r="BM99" i="19"/>
  <c r="AD100" i="18"/>
  <c r="BH99" i="19"/>
  <c r="AM100" i="18" s="1"/>
  <c r="U99" i="19"/>
  <c r="AH99" i="19" s="1"/>
  <c r="H99" i="19" s="1"/>
  <c r="H99" i="22" s="1"/>
  <c r="R99" i="22" s="1"/>
  <c r="BW99" i="19" s="1"/>
  <c r="Q102" i="18"/>
  <c r="W100" i="18"/>
  <c r="AW99" i="20"/>
  <c r="X100" i="18"/>
  <c r="G100" i="18"/>
  <c r="T99" i="19"/>
  <c r="AG99" i="19" s="1"/>
  <c r="G99" i="19" s="1"/>
  <c r="G99" i="22" s="1"/>
  <c r="Q99" i="22" s="1"/>
  <c r="BV99" i="19" s="1"/>
  <c r="AN100" i="18" s="1"/>
  <c r="BG99" i="19"/>
  <c r="AL100" i="18" s="1"/>
  <c r="AV99" i="20"/>
  <c r="AJ100" i="18"/>
  <c r="BD100" i="19"/>
  <c r="BR100" i="19"/>
  <c r="E100" i="18"/>
  <c r="BP100" i="19"/>
  <c r="AG101" i="18" s="1"/>
  <c r="C101" i="18" s="1"/>
  <c r="D100" i="18"/>
  <c r="CE128" i="20"/>
  <c r="K129" i="20"/>
  <c r="AC100" i="19"/>
  <c r="C100" i="19" s="1"/>
  <c r="C100" i="22" s="1"/>
  <c r="BO101" i="19"/>
  <c r="AF102" i="18" s="1"/>
  <c r="AR101" i="18" l="1"/>
  <c r="BL100" i="19"/>
  <c r="M100" i="18"/>
  <c r="L100" i="18"/>
  <c r="K100" i="18"/>
  <c r="Z101" i="18"/>
  <c r="O100" i="18"/>
  <c r="BZ100" i="19"/>
  <c r="N100" i="18"/>
  <c r="J100" i="18"/>
  <c r="Y101" i="18" s="1"/>
  <c r="I100" i="18"/>
  <c r="AX100" i="20" s="1"/>
  <c r="H100" i="18"/>
  <c r="W101" i="18" s="1"/>
  <c r="BG100" i="19"/>
  <c r="T100" i="19"/>
  <c r="AG100" i="19" s="1"/>
  <c r="G100" i="19" s="1"/>
  <c r="G100" i="22" s="1"/>
  <c r="Q100" i="22" s="1"/>
  <c r="BV100" i="19" s="1"/>
  <c r="AN101" i="18" s="1"/>
  <c r="AV100" i="20"/>
  <c r="AI101" i="18"/>
  <c r="AW100" i="20"/>
  <c r="BH100" i="19"/>
  <c r="AM101" i="18" s="1"/>
  <c r="U100" i="19"/>
  <c r="AH100" i="19" s="1"/>
  <c r="H100" i="19" s="1"/>
  <c r="H100" i="22" s="1"/>
  <c r="R100" i="22" s="1"/>
  <c r="BW100" i="19" s="1"/>
  <c r="F100" i="18"/>
  <c r="U101" i="18" s="1"/>
  <c r="BE100" i="19"/>
  <c r="AJ101" i="18" s="1"/>
  <c r="R100" i="19"/>
  <c r="AE100" i="19" s="1"/>
  <c r="E100" i="19" s="1"/>
  <c r="E100" i="22" s="1"/>
  <c r="O100" i="22" s="1"/>
  <c r="BT100" i="19" s="1"/>
  <c r="Q100" i="19"/>
  <c r="AD100" i="19" s="1"/>
  <c r="D100" i="19" s="1"/>
  <c r="D100" i="22" s="1"/>
  <c r="N100" i="22" s="1"/>
  <c r="BS100" i="19" s="1"/>
  <c r="S101" i="18"/>
  <c r="T101" i="18"/>
  <c r="BB102" i="19"/>
  <c r="B102" i="18"/>
  <c r="AL129" i="20"/>
  <c r="BV129" i="20"/>
  <c r="R102" i="18"/>
  <c r="BC101" i="19"/>
  <c r="P101" i="19"/>
  <c r="M100" i="22"/>
  <c r="BQ100" i="19"/>
  <c r="AH101" i="18" s="1"/>
  <c r="BB100" i="20" l="1"/>
  <c r="Y100" i="19"/>
  <c r="AL100" i="19" s="1"/>
  <c r="L100" i="19" s="1"/>
  <c r="J100" i="22" s="1"/>
  <c r="T100" i="22" s="1"/>
  <c r="BY100" i="19" s="1"/>
  <c r="AB101" i="18"/>
  <c r="BK100" i="19"/>
  <c r="AQ101" i="18" s="1"/>
  <c r="BA100" i="20"/>
  <c r="X100" i="19"/>
  <c r="AK100" i="19" s="1"/>
  <c r="K100" i="19" s="1"/>
  <c r="J101" i="18"/>
  <c r="Y102" i="18"/>
  <c r="BC100" i="20"/>
  <c r="Z100" i="19"/>
  <c r="AM100" i="19" s="1"/>
  <c r="M100" i="19" s="1"/>
  <c r="BM100" i="19"/>
  <c r="X101" i="18"/>
  <c r="AZ100" i="20"/>
  <c r="W100" i="19"/>
  <c r="AJ100" i="19" s="1"/>
  <c r="J100" i="19" s="1"/>
  <c r="BJ100" i="19"/>
  <c r="AA101" i="18"/>
  <c r="AY100" i="20"/>
  <c r="V100" i="19"/>
  <c r="AI100" i="19" s="1"/>
  <c r="I100" i="19" s="1"/>
  <c r="I100" i="22" s="1"/>
  <c r="S100" i="22" s="1"/>
  <c r="BX100" i="19" s="1"/>
  <c r="BI100" i="19"/>
  <c r="AO101" i="18" s="1"/>
  <c r="AD101" i="18"/>
  <c r="AC101" i="18"/>
  <c r="AA100" i="19"/>
  <c r="AN100" i="19" s="1"/>
  <c r="N100" i="19" s="1"/>
  <c r="K100" i="22" s="1"/>
  <c r="U100" i="22" s="1"/>
  <c r="CA100" i="19" s="1"/>
  <c r="AS101" i="18" s="1"/>
  <c r="AE101" i="18"/>
  <c r="I101" i="18"/>
  <c r="AX101" i="20" s="1"/>
  <c r="F101" i="18"/>
  <c r="AU101" i="20" s="1"/>
  <c r="AU100" i="20"/>
  <c r="BF100" i="19"/>
  <c r="AK101" i="18" s="1"/>
  <c r="S100" i="19"/>
  <c r="AF100" i="19" s="1"/>
  <c r="F100" i="19" s="1"/>
  <c r="F100" i="22" s="1"/>
  <c r="P100" i="22" s="1"/>
  <c r="BU100" i="19" s="1"/>
  <c r="AL101" i="18" s="1"/>
  <c r="V101" i="18"/>
  <c r="BD101" i="19"/>
  <c r="BP101" i="19"/>
  <c r="AG102" i="18" s="1"/>
  <c r="C102" i="18" s="1"/>
  <c r="D101" i="18"/>
  <c r="Q101" i="19" s="1"/>
  <c r="E101" i="18"/>
  <c r="BR101" i="19"/>
  <c r="O102" i="19"/>
  <c r="AB102" i="19" s="1"/>
  <c r="B102" i="19" s="1"/>
  <c r="B102" i="22" s="1"/>
  <c r="L102" i="22" s="1"/>
  <c r="BO102" i="19" s="1"/>
  <c r="AF103" i="18" s="1"/>
  <c r="Q103" i="18"/>
  <c r="AC129" i="20"/>
  <c r="AC101" i="19"/>
  <c r="C101" i="19" s="1"/>
  <c r="C101" i="22" s="1"/>
  <c r="AD101" i="19"/>
  <c r="D101" i="19" s="1"/>
  <c r="D101" i="22" s="1"/>
  <c r="N101" i="22" s="1"/>
  <c r="BS101" i="19" s="1"/>
  <c r="P101" i="18" l="1"/>
  <c r="AT102" i="18"/>
  <c r="BN101" i="19"/>
  <c r="BL101" i="19"/>
  <c r="M101" i="18"/>
  <c r="Y101" i="19" s="1"/>
  <c r="AL101" i="19" s="1"/>
  <c r="L101" i="19" s="1"/>
  <c r="J101" i="22" s="1"/>
  <c r="T101" i="22" s="1"/>
  <c r="BY101" i="19" s="1"/>
  <c r="AP101" i="18"/>
  <c r="BB101" i="20"/>
  <c r="K101" i="18"/>
  <c r="Z102" i="18" s="1"/>
  <c r="AZ101" i="20"/>
  <c r="W101" i="19"/>
  <c r="AJ101" i="19" s="1"/>
  <c r="J101" i="19" s="1"/>
  <c r="BJ101" i="19"/>
  <c r="BZ101" i="19"/>
  <c r="AR102" i="18" s="1"/>
  <c r="N101" i="18"/>
  <c r="AY101" i="20"/>
  <c r="V101" i="19"/>
  <c r="AI101" i="19" s="1"/>
  <c r="I101" i="19" s="1"/>
  <c r="I101" i="22" s="1"/>
  <c r="S101" i="22" s="1"/>
  <c r="BX101" i="19" s="1"/>
  <c r="BI101" i="19"/>
  <c r="O101" i="18"/>
  <c r="AA101" i="19" s="1"/>
  <c r="AN101" i="19" s="1"/>
  <c r="N101" i="19" s="1"/>
  <c r="K101" i="22" s="1"/>
  <c r="U101" i="22" s="1"/>
  <c r="CA101" i="19" s="1"/>
  <c r="AS102" i="18" s="1"/>
  <c r="L101" i="18"/>
  <c r="AA102" i="18"/>
  <c r="H101" i="18"/>
  <c r="U102" i="18"/>
  <c r="G101" i="18"/>
  <c r="V102" i="18" s="1"/>
  <c r="AV101" i="20"/>
  <c r="S101" i="19"/>
  <c r="AF101" i="19" s="1"/>
  <c r="F101" i="19" s="1"/>
  <c r="F101" i="22" s="1"/>
  <c r="P101" i="22" s="1"/>
  <c r="BU101" i="19" s="1"/>
  <c r="BF101" i="19"/>
  <c r="X102" i="18"/>
  <c r="AI102" i="18"/>
  <c r="S102" i="18"/>
  <c r="T102" i="18"/>
  <c r="BE101" i="19"/>
  <c r="AJ102" i="18" s="1"/>
  <c r="F102" i="18" s="1"/>
  <c r="R101" i="19"/>
  <c r="AE101" i="19" s="1"/>
  <c r="E101" i="19" s="1"/>
  <c r="E101" i="22" s="1"/>
  <c r="O101" i="22" s="1"/>
  <c r="BT101" i="19" s="1"/>
  <c r="BB103" i="19"/>
  <c r="B103" i="18"/>
  <c r="O103" i="19" s="1"/>
  <c r="AB103" i="19" s="1"/>
  <c r="B103" i="19" s="1"/>
  <c r="B103" i="22" s="1"/>
  <c r="L103" i="22" s="1"/>
  <c r="CE129" i="20"/>
  <c r="K130" i="20"/>
  <c r="M101" i="22"/>
  <c r="BQ101" i="19"/>
  <c r="AH102" i="18" s="1"/>
  <c r="R103" i="18"/>
  <c r="BC102" i="19"/>
  <c r="P102" i="19"/>
  <c r="BN102" i="19" l="1"/>
  <c r="AP102" i="18"/>
  <c r="BC101" i="20"/>
  <c r="Z101" i="19"/>
  <c r="AM101" i="19" s="1"/>
  <c r="M101" i="19" s="1"/>
  <c r="BM101" i="19"/>
  <c r="BA101" i="20"/>
  <c r="X101" i="19"/>
  <c r="AK101" i="19" s="1"/>
  <c r="K101" i="19" s="1"/>
  <c r="BK101" i="19"/>
  <c r="AQ102" i="18" s="1"/>
  <c r="AB102" i="18"/>
  <c r="AD102" i="18"/>
  <c r="AC102" i="18"/>
  <c r="AE102" i="18"/>
  <c r="P102" i="18" s="1"/>
  <c r="W102" i="18"/>
  <c r="AK102" i="18"/>
  <c r="G102" i="18" s="1"/>
  <c r="V103" i="18" s="1"/>
  <c r="T101" i="19"/>
  <c r="AG101" i="19" s="1"/>
  <c r="G101" i="19" s="1"/>
  <c r="G101" i="22" s="1"/>
  <c r="Q101" i="22" s="1"/>
  <c r="BV101" i="19" s="1"/>
  <c r="AN102" i="18" s="1"/>
  <c r="AW101" i="20"/>
  <c r="BH101" i="19"/>
  <c r="AM102" i="18" s="1"/>
  <c r="U101" i="19"/>
  <c r="AH101" i="19" s="1"/>
  <c r="H101" i="19" s="1"/>
  <c r="H101" i="22" s="1"/>
  <c r="R101" i="22" s="1"/>
  <c r="BW101" i="19" s="1"/>
  <c r="AO102" i="18" s="1"/>
  <c r="BG101" i="19"/>
  <c r="AL102" i="18" s="1"/>
  <c r="BF102" i="19"/>
  <c r="AU102" i="20"/>
  <c r="S102" i="19"/>
  <c r="AF102" i="19" s="1"/>
  <c r="F102" i="19" s="1"/>
  <c r="F102" i="22" s="1"/>
  <c r="P102" i="22" s="1"/>
  <c r="BU102" i="19" s="1"/>
  <c r="BD102" i="19"/>
  <c r="E102" i="18"/>
  <c r="BR102" i="19"/>
  <c r="D102" i="18"/>
  <c r="BP102" i="19"/>
  <c r="AG103" i="18" s="1"/>
  <c r="C103" i="18" s="1"/>
  <c r="Q104" i="18"/>
  <c r="AL130" i="20"/>
  <c r="BV130" i="20"/>
  <c r="AC102" i="19"/>
  <c r="C102" i="19" s="1"/>
  <c r="C102" i="22" s="1"/>
  <c r="BO103" i="19"/>
  <c r="AF104" i="18" s="1"/>
  <c r="AT103" i="18" l="1"/>
  <c r="M102" i="18"/>
  <c r="BL102" i="19"/>
  <c r="L102" i="18"/>
  <c r="K102" i="18"/>
  <c r="O102" i="18"/>
  <c r="AA102" i="19" s="1"/>
  <c r="AN102" i="19" s="1"/>
  <c r="N102" i="19" s="1"/>
  <c r="K102" i="22" s="1"/>
  <c r="U102" i="22" s="1"/>
  <c r="CA102" i="19" s="1"/>
  <c r="AS103" i="18" s="1"/>
  <c r="BB102" i="20"/>
  <c r="Y102" i="19"/>
  <c r="AL102" i="19" s="1"/>
  <c r="L102" i="19" s="1"/>
  <c r="J102" i="22" s="1"/>
  <c r="T102" i="22" s="1"/>
  <c r="BY102" i="19" s="1"/>
  <c r="J102" i="18"/>
  <c r="BZ102" i="19"/>
  <c r="AR103" i="18" s="1"/>
  <c r="N102" i="18"/>
  <c r="AC103" i="18" s="1"/>
  <c r="I102" i="18"/>
  <c r="AX102" i="20" s="1"/>
  <c r="AI103" i="18"/>
  <c r="H102" i="18"/>
  <c r="W103" i="18" s="1"/>
  <c r="AV102" i="20"/>
  <c r="T102" i="19"/>
  <c r="AG102" i="19" s="1"/>
  <c r="G102" i="19" s="1"/>
  <c r="G102" i="22" s="1"/>
  <c r="Q102" i="22" s="1"/>
  <c r="BV102" i="19" s="1"/>
  <c r="AN103" i="18" s="1"/>
  <c r="BG102" i="19"/>
  <c r="AL103" i="18" s="1"/>
  <c r="U103" i="18"/>
  <c r="T103" i="18"/>
  <c r="R102" i="19"/>
  <c r="AE102" i="19" s="1"/>
  <c r="E102" i="19" s="1"/>
  <c r="E102" i="22" s="1"/>
  <c r="O102" i="22" s="1"/>
  <c r="BT102" i="19" s="1"/>
  <c r="AK103" i="18" s="1"/>
  <c r="BE102" i="19"/>
  <c r="Q102" i="19"/>
  <c r="AD102" i="19" s="1"/>
  <c r="D102" i="19" s="1"/>
  <c r="D102" i="22" s="1"/>
  <c r="N102" i="22" s="1"/>
  <c r="BS102" i="19" s="1"/>
  <c r="S103" i="18"/>
  <c r="B104" i="18"/>
  <c r="O104" i="19" s="1"/>
  <c r="AB104" i="19" s="1"/>
  <c r="B104" i="19" s="1"/>
  <c r="B104" i="22" s="1"/>
  <c r="L104" i="22" s="1"/>
  <c r="BB104" i="19"/>
  <c r="AC130" i="20"/>
  <c r="M102" i="22"/>
  <c r="BQ102" i="19"/>
  <c r="AH103" i="18" s="1"/>
  <c r="R104" i="18"/>
  <c r="BC103" i="19"/>
  <c r="P103" i="19"/>
  <c r="BN103" i="19" l="1"/>
  <c r="AR104" i="18"/>
  <c r="AE103" i="18"/>
  <c r="P103" i="18" s="1"/>
  <c r="BK102" i="19"/>
  <c r="AQ103" i="18" s="1"/>
  <c r="BA102" i="20"/>
  <c r="X102" i="19"/>
  <c r="AK102" i="19" s="1"/>
  <c r="K102" i="19" s="1"/>
  <c r="AB103" i="18"/>
  <c r="BJ102" i="19"/>
  <c r="AZ102" i="20"/>
  <c r="W102" i="19"/>
  <c r="AJ102" i="19" s="1"/>
  <c r="J102" i="19" s="1"/>
  <c r="AA103" i="18"/>
  <c r="BZ103" i="19"/>
  <c r="N103" i="18"/>
  <c r="BC102" i="20"/>
  <c r="Z102" i="19"/>
  <c r="AM102" i="19" s="1"/>
  <c r="M102" i="19" s="1"/>
  <c r="BM102" i="19"/>
  <c r="AD103" i="18"/>
  <c r="AY102" i="20"/>
  <c r="BI102" i="19"/>
  <c r="V102" i="19"/>
  <c r="AI102" i="19" s="1"/>
  <c r="I102" i="19" s="1"/>
  <c r="I102" i="22" s="1"/>
  <c r="S102" i="22" s="1"/>
  <c r="BX102" i="19" s="1"/>
  <c r="Y103" i="18"/>
  <c r="Z103" i="18"/>
  <c r="U102" i="19"/>
  <c r="AH102" i="19" s="1"/>
  <c r="H102" i="19" s="1"/>
  <c r="H102" i="22" s="1"/>
  <c r="R102" i="22" s="1"/>
  <c r="BW102" i="19" s="1"/>
  <c r="BH102" i="19"/>
  <c r="AM103" i="18" s="1"/>
  <c r="X103" i="18"/>
  <c r="AW102" i="20"/>
  <c r="H103" i="18"/>
  <c r="G103" i="18"/>
  <c r="AJ103" i="18"/>
  <c r="F103" i="18" s="1"/>
  <c r="Q105" i="18"/>
  <c r="D103" i="18"/>
  <c r="BP103" i="19"/>
  <c r="AG104" i="18" s="1"/>
  <c r="C104" i="18" s="1"/>
  <c r="E103" i="18"/>
  <c r="BR103" i="19"/>
  <c r="BD103" i="19"/>
  <c r="CE130" i="20"/>
  <c r="K131" i="20"/>
  <c r="BO104" i="19"/>
  <c r="AF105" i="18" s="1"/>
  <c r="AC103" i="19"/>
  <c r="C103" i="19" s="1"/>
  <c r="C103" i="22" s="1"/>
  <c r="AT104" i="18" l="1"/>
  <c r="M103" i="18"/>
  <c r="BL103" i="19"/>
  <c r="AP103" i="18"/>
  <c r="AC104" i="18"/>
  <c r="BZ104" i="19" s="1"/>
  <c r="AO103" i="18"/>
  <c r="K103" i="18"/>
  <c r="Z104" i="18"/>
  <c r="O103" i="18"/>
  <c r="AD104" i="18" s="1"/>
  <c r="J103" i="18"/>
  <c r="Y104" i="18"/>
  <c r="BC103" i="20"/>
  <c r="Z103" i="19"/>
  <c r="AM103" i="19" s="1"/>
  <c r="M103" i="19" s="1"/>
  <c r="BM103" i="19"/>
  <c r="AI104" i="18"/>
  <c r="BB103" i="20"/>
  <c r="Y103" i="19"/>
  <c r="AL103" i="19" s="1"/>
  <c r="L103" i="19" s="1"/>
  <c r="J103" i="22" s="1"/>
  <c r="T103" i="22" s="1"/>
  <c r="BY103" i="19" s="1"/>
  <c r="BH103" i="19"/>
  <c r="AM104" i="18" s="1"/>
  <c r="AW103" i="20"/>
  <c r="U103" i="19"/>
  <c r="AH103" i="19" s="1"/>
  <c r="H103" i="19" s="1"/>
  <c r="H103" i="22" s="1"/>
  <c r="R103" i="22" s="1"/>
  <c r="BW103" i="19" s="1"/>
  <c r="I103" i="18"/>
  <c r="AX103" i="20" s="1"/>
  <c r="W104" i="18"/>
  <c r="AU103" i="20"/>
  <c r="BF103" i="19"/>
  <c r="S103" i="19"/>
  <c r="AF103" i="19" s="1"/>
  <c r="F103" i="19" s="1"/>
  <c r="F103" i="22" s="1"/>
  <c r="P103" i="22" s="1"/>
  <c r="BU103" i="19" s="1"/>
  <c r="V104" i="18"/>
  <c r="T103" i="19"/>
  <c r="AG103" i="19" s="1"/>
  <c r="G103" i="19" s="1"/>
  <c r="G103" i="22" s="1"/>
  <c r="Q103" i="22" s="1"/>
  <c r="BV103" i="19" s="1"/>
  <c r="AN104" i="18" s="1"/>
  <c r="AV103" i="20"/>
  <c r="BG103" i="19"/>
  <c r="AL104" i="18" s="1"/>
  <c r="T104" i="18"/>
  <c r="BE103" i="19"/>
  <c r="U104" i="18"/>
  <c r="R103" i="19"/>
  <c r="AE103" i="19" s="1"/>
  <c r="E103" i="19" s="1"/>
  <c r="E103" i="22" s="1"/>
  <c r="O103" i="22" s="1"/>
  <c r="BT103" i="19" s="1"/>
  <c r="Q103" i="19"/>
  <c r="AD103" i="19" s="1"/>
  <c r="D103" i="19" s="1"/>
  <c r="D103" i="22" s="1"/>
  <c r="N103" i="22" s="1"/>
  <c r="BS103" i="19" s="1"/>
  <c r="S104" i="18"/>
  <c r="BB105" i="19"/>
  <c r="B105" i="18"/>
  <c r="AL131" i="20"/>
  <c r="BV131" i="20"/>
  <c r="M103" i="22"/>
  <c r="BQ103" i="19"/>
  <c r="AH104" i="18" s="1"/>
  <c r="R105" i="18"/>
  <c r="BC104" i="19"/>
  <c r="P104" i="19"/>
  <c r="AT105" i="18" l="1"/>
  <c r="AR105" i="18"/>
  <c r="L103" i="18"/>
  <c r="N104" i="18"/>
  <c r="Z104" i="19" s="1"/>
  <c r="AM104" i="19" s="1"/>
  <c r="M104" i="19" s="1"/>
  <c r="J104" i="18"/>
  <c r="Y105" i="18"/>
  <c r="AY103" i="20"/>
  <c r="V103" i="19"/>
  <c r="AI103" i="19" s="1"/>
  <c r="I103" i="19" s="1"/>
  <c r="I103" i="22" s="1"/>
  <c r="S103" i="22" s="1"/>
  <c r="BX103" i="19" s="1"/>
  <c r="BI103" i="19"/>
  <c r="AO104" i="18" s="1"/>
  <c r="AZ103" i="20"/>
  <c r="W103" i="19"/>
  <c r="AJ103" i="19" s="1"/>
  <c r="J103" i="19" s="1"/>
  <c r="BJ103" i="19"/>
  <c r="AP104" i="18" s="1"/>
  <c r="AA104" i="18"/>
  <c r="BM104" i="19"/>
  <c r="AA103" i="19"/>
  <c r="AN103" i="19" s="1"/>
  <c r="N103" i="19" s="1"/>
  <c r="K103" i="22" s="1"/>
  <c r="U103" i="22" s="1"/>
  <c r="CA103" i="19" s="1"/>
  <c r="AS104" i="18" s="1"/>
  <c r="AE104" i="18"/>
  <c r="P104" i="18" s="1"/>
  <c r="H104" i="18"/>
  <c r="X104" i="18"/>
  <c r="AK104" i="18"/>
  <c r="AJ104" i="18"/>
  <c r="E104" i="18"/>
  <c r="BR104" i="19"/>
  <c r="BD104" i="19"/>
  <c r="AI105" i="18" s="1"/>
  <c r="D104" i="18"/>
  <c r="BP104" i="19"/>
  <c r="AG105" i="18" s="1"/>
  <c r="O105" i="19"/>
  <c r="AB105" i="19" s="1"/>
  <c r="B105" i="19" s="1"/>
  <c r="B105" i="22" s="1"/>
  <c r="L105" i="22" s="1"/>
  <c r="BO105" i="19" s="1"/>
  <c r="AF106" i="18" s="1"/>
  <c r="Q106" i="18"/>
  <c r="AC131" i="20"/>
  <c r="AC104" i="19"/>
  <c r="C104" i="19" s="1"/>
  <c r="C104" i="22" s="1"/>
  <c r="C105" i="18"/>
  <c r="AT106" i="18" l="1"/>
  <c r="BN104" i="19"/>
  <c r="AE105" i="18"/>
  <c r="P105" i="18" s="1"/>
  <c r="O104" i="18"/>
  <c r="AA104" i="19" s="1"/>
  <c r="AN104" i="19" s="1"/>
  <c r="N104" i="19" s="1"/>
  <c r="K104" i="22" s="1"/>
  <c r="U104" i="22" s="1"/>
  <c r="CA104" i="19" s="1"/>
  <c r="AS105" i="18" s="1"/>
  <c r="BC104" i="20"/>
  <c r="AD105" i="18"/>
  <c r="BA103" i="20"/>
  <c r="BK103" i="19"/>
  <c r="AQ104" i="18" s="1"/>
  <c r="X103" i="19"/>
  <c r="AK103" i="19" s="1"/>
  <c r="K103" i="19" s="1"/>
  <c r="AB104" i="18"/>
  <c r="K104" i="18"/>
  <c r="L104" i="18"/>
  <c r="AY104" i="20"/>
  <c r="V104" i="19"/>
  <c r="AI104" i="19" s="1"/>
  <c r="I104" i="19" s="1"/>
  <c r="I104" i="22" s="1"/>
  <c r="S104" i="22" s="1"/>
  <c r="BX104" i="19" s="1"/>
  <c r="BI104" i="19"/>
  <c r="AO105" i="18" s="1"/>
  <c r="I104" i="18"/>
  <c r="AX104" i="20" s="1"/>
  <c r="U104" i="19"/>
  <c r="AH104" i="19" s="1"/>
  <c r="H104" i="19" s="1"/>
  <c r="H104" i="22" s="1"/>
  <c r="R104" i="22" s="1"/>
  <c r="BW104" i="19" s="1"/>
  <c r="AW104" i="20"/>
  <c r="BH104" i="19"/>
  <c r="AM105" i="18" s="1"/>
  <c r="G104" i="18"/>
  <c r="F104" i="18"/>
  <c r="S105" i="18"/>
  <c r="Q104" i="19"/>
  <c r="AD104" i="19" s="1"/>
  <c r="D104" i="19" s="1"/>
  <c r="D104" i="22" s="1"/>
  <c r="N104" i="22" s="1"/>
  <c r="BS104" i="19" s="1"/>
  <c r="T105" i="18"/>
  <c r="BE104" i="19"/>
  <c r="AJ105" i="18" s="1"/>
  <c r="R104" i="19"/>
  <c r="AE104" i="19" s="1"/>
  <c r="E104" i="19" s="1"/>
  <c r="E104" i="22" s="1"/>
  <c r="O104" i="22" s="1"/>
  <c r="BT104" i="19" s="1"/>
  <c r="B106" i="18"/>
  <c r="O106" i="19" s="1"/>
  <c r="AB106" i="19" s="1"/>
  <c r="B106" i="19" s="1"/>
  <c r="B106" i="22" s="1"/>
  <c r="L106" i="22" s="1"/>
  <c r="BB106" i="19"/>
  <c r="CE131" i="20"/>
  <c r="K132" i="20"/>
  <c r="M104" i="22"/>
  <c r="BQ104" i="19"/>
  <c r="AH105" i="18" s="1"/>
  <c r="R106" i="18"/>
  <c r="BC105" i="19"/>
  <c r="P105" i="19"/>
  <c r="BN105" i="19" l="1"/>
  <c r="O105" i="18"/>
  <c r="AA105" i="19" s="1"/>
  <c r="AN105" i="19" s="1"/>
  <c r="N105" i="19" s="1"/>
  <c r="K105" i="22" s="1"/>
  <c r="U105" i="22" s="1"/>
  <c r="CA105" i="19" s="1"/>
  <c r="AS106" i="18" s="1"/>
  <c r="BL104" i="19"/>
  <c r="M104" i="18"/>
  <c r="Y104" i="19" s="1"/>
  <c r="AL104" i="19" s="1"/>
  <c r="L104" i="19" s="1"/>
  <c r="J104" i="22" s="1"/>
  <c r="T104" i="22" s="1"/>
  <c r="BY104" i="19" s="1"/>
  <c r="AC105" i="18"/>
  <c r="BB104" i="20"/>
  <c r="Z105" i="18"/>
  <c r="K105" i="18" s="1"/>
  <c r="AZ104" i="20"/>
  <c r="W104" i="19"/>
  <c r="AJ104" i="19" s="1"/>
  <c r="J104" i="19" s="1"/>
  <c r="BJ104" i="19"/>
  <c r="AP105" i="18" s="1"/>
  <c r="BA104" i="20"/>
  <c r="X104" i="19"/>
  <c r="AK104" i="19" s="1"/>
  <c r="K104" i="19" s="1"/>
  <c r="BK104" i="19"/>
  <c r="AB105" i="18"/>
  <c r="X105" i="18"/>
  <c r="AA105" i="18"/>
  <c r="I105" i="18"/>
  <c r="AX105" i="20" s="1"/>
  <c r="W105" i="18"/>
  <c r="T104" i="19"/>
  <c r="AG104" i="19" s="1"/>
  <c r="G104" i="19" s="1"/>
  <c r="G104" i="22" s="1"/>
  <c r="Q104" i="22" s="1"/>
  <c r="BV104" i="19" s="1"/>
  <c r="AN105" i="18" s="1"/>
  <c r="BG104" i="19"/>
  <c r="AV104" i="20"/>
  <c r="AU104" i="20"/>
  <c r="BF104" i="19"/>
  <c r="AK105" i="18" s="1"/>
  <c r="S104" i="19"/>
  <c r="AF104" i="19" s="1"/>
  <c r="F104" i="19" s="1"/>
  <c r="F104" i="22" s="1"/>
  <c r="P104" i="22" s="1"/>
  <c r="BU104" i="19" s="1"/>
  <c r="V105" i="18"/>
  <c r="U105" i="18"/>
  <c r="F105" i="18" s="1"/>
  <c r="BD105" i="19"/>
  <c r="BP105" i="19"/>
  <c r="AG106" i="18" s="1"/>
  <c r="C106" i="18" s="1"/>
  <c r="D105" i="18"/>
  <c r="BF105" i="19"/>
  <c r="S105" i="19"/>
  <c r="AF105" i="19" s="1"/>
  <c r="F105" i="19" s="1"/>
  <c r="F105" i="22" s="1"/>
  <c r="P105" i="22" s="1"/>
  <c r="BU105" i="19" s="1"/>
  <c r="AU105" i="20"/>
  <c r="Q107" i="18"/>
  <c r="E105" i="18"/>
  <c r="BR105" i="19"/>
  <c r="BV132" i="20"/>
  <c r="AL132" i="20"/>
  <c r="BO106" i="19"/>
  <c r="AF107" i="18" s="1"/>
  <c r="AC105" i="19"/>
  <c r="C105" i="19" s="1"/>
  <c r="C105" i="22" s="1"/>
  <c r="BN106" i="19" l="1"/>
  <c r="AE106" i="18"/>
  <c r="AR106" i="18"/>
  <c r="AQ105" i="18"/>
  <c r="M105" i="18" s="1"/>
  <c r="N105" i="18"/>
  <c r="BZ105" i="19"/>
  <c r="W105" i="19"/>
  <c r="AJ105" i="19" s="1"/>
  <c r="J105" i="19" s="1"/>
  <c r="BJ105" i="19"/>
  <c r="AZ105" i="20"/>
  <c r="L105" i="18"/>
  <c r="AA106" i="18"/>
  <c r="J105" i="18"/>
  <c r="AL105" i="18"/>
  <c r="H105" i="18" s="1"/>
  <c r="G105" i="18"/>
  <c r="V106" i="18" s="1"/>
  <c r="AI106" i="18"/>
  <c r="BG105" i="19"/>
  <c r="Q105" i="19"/>
  <c r="AD105" i="19" s="1"/>
  <c r="D105" i="19" s="1"/>
  <c r="D105" i="22" s="1"/>
  <c r="N105" i="22" s="1"/>
  <c r="BS105" i="19" s="1"/>
  <c r="S106" i="18"/>
  <c r="U106" i="18"/>
  <c r="BE105" i="19"/>
  <c r="R105" i="19"/>
  <c r="AE105" i="19" s="1"/>
  <c r="E105" i="19" s="1"/>
  <c r="E105" i="22" s="1"/>
  <c r="O105" i="22" s="1"/>
  <c r="BT105" i="19" s="1"/>
  <c r="AK106" i="18" s="1"/>
  <c r="T106" i="18"/>
  <c r="BB107" i="19"/>
  <c r="B107" i="18"/>
  <c r="AC132" i="20"/>
  <c r="M105" i="22"/>
  <c r="BQ105" i="19"/>
  <c r="AH106" i="18" s="1"/>
  <c r="R107" i="18"/>
  <c r="BC106" i="19"/>
  <c r="P106" i="19"/>
  <c r="P106" i="18" l="1"/>
  <c r="AT107" i="18"/>
  <c r="AB106" i="18"/>
  <c r="BL105" i="19"/>
  <c r="Z105" i="19"/>
  <c r="AM105" i="19" s="1"/>
  <c r="M105" i="19" s="1"/>
  <c r="BM105" i="19"/>
  <c r="BC105" i="20"/>
  <c r="AD106" i="18"/>
  <c r="BA105" i="20"/>
  <c r="X105" i="19"/>
  <c r="AK105" i="19" s="1"/>
  <c r="K105" i="19" s="1"/>
  <c r="BK105" i="19"/>
  <c r="AQ106" i="18" s="1"/>
  <c r="Y106" i="18"/>
  <c r="AY105" i="20"/>
  <c r="V105" i="19"/>
  <c r="AI105" i="19" s="1"/>
  <c r="I105" i="19" s="1"/>
  <c r="I105" i="22" s="1"/>
  <c r="S105" i="22" s="1"/>
  <c r="BX105" i="19" s="1"/>
  <c r="AP106" i="18" s="1"/>
  <c r="BI105" i="19"/>
  <c r="AO106" i="18" s="1"/>
  <c r="Z106" i="18"/>
  <c r="BB105" i="20"/>
  <c r="Y105" i="19"/>
  <c r="AL105" i="19" s="1"/>
  <c r="L105" i="19" s="1"/>
  <c r="J105" i="22" s="1"/>
  <c r="T105" i="22" s="1"/>
  <c r="BY105" i="19" s="1"/>
  <c r="AC106" i="18"/>
  <c r="X106" i="18"/>
  <c r="U105" i="19"/>
  <c r="AH105" i="19" s="1"/>
  <c r="H105" i="19" s="1"/>
  <c r="H105" i="22" s="1"/>
  <c r="R105" i="22" s="1"/>
  <c r="BW105" i="19" s="1"/>
  <c r="AW105" i="20"/>
  <c r="BH105" i="19"/>
  <c r="AM106" i="18" s="1"/>
  <c r="W106" i="18"/>
  <c r="AV105" i="20"/>
  <c r="AJ106" i="18"/>
  <c r="F106" i="18" s="1"/>
  <c r="T105" i="19"/>
  <c r="AG105" i="19" s="1"/>
  <c r="G105" i="19" s="1"/>
  <c r="G105" i="22" s="1"/>
  <c r="Q105" i="22" s="1"/>
  <c r="BV105" i="19" s="1"/>
  <c r="AN106" i="18" s="1"/>
  <c r="AL106" i="18"/>
  <c r="G106" i="18"/>
  <c r="E106" i="18"/>
  <c r="BR106" i="19"/>
  <c r="BD106" i="19"/>
  <c r="AI107" i="18" s="1"/>
  <c r="D106" i="18"/>
  <c r="BP106" i="19"/>
  <c r="AG107" i="18" s="1"/>
  <c r="C107" i="18" s="1"/>
  <c r="O107" i="19"/>
  <c r="AB107" i="19" s="1"/>
  <c r="B107" i="19" s="1"/>
  <c r="B107" i="22" s="1"/>
  <c r="L107" i="22" s="1"/>
  <c r="BO107" i="19" s="1"/>
  <c r="AF108" i="18" s="1"/>
  <c r="Q108" i="18"/>
  <c r="CE132" i="20"/>
  <c r="K133" i="20"/>
  <c r="AC106" i="19"/>
  <c r="C106" i="19" s="1"/>
  <c r="C106" i="22" s="1"/>
  <c r="O106" i="18" l="1"/>
  <c r="AA106" i="19" s="1"/>
  <c r="AN106" i="19" s="1"/>
  <c r="N106" i="19" s="1"/>
  <c r="K106" i="22" s="1"/>
  <c r="U106" i="22" s="1"/>
  <c r="CA106" i="19" s="1"/>
  <c r="AS107" i="18" s="1"/>
  <c r="BL106" i="19"/>
  <c r="M106" i="18"/>
  <c r="L106" i="18"/>
  <c r="AB107" i="18" s="1"/>
  <c r="K106" i="18"/>
  <c r="Z107" i="18"/>
  <c r="J106" i="18"/>
  <c r="Y107" i="18"/>
  <c r="BZ106" i="19"/>
  <c r="AR107" i="18" s="1"/>
  <c r="N106" i="18"/>
  <c r="BA106" i="20"/>
  <c r="BK106" i="19"/>
  <c r="X106" i="19"/>
  <c r="AK106" i="19" s="1"/>
  <c r="K106" i="19" s="1"/>
  <c r="V107" i="18"/>
  <c r="BF106" i="19"/>
  <c r="S106" i="19"/>
  <c r="AF106" i="19" s="1"/>
  <c r="F106" i="19" s="1"/>
  <c r="F106" i="22" s="1"/>
  <c r="P106" i="22" s="1"/>
  <c r="BU106" i="19" s="1"/>
  <c r="AU106" i="20"/>
  <c r="T107" i="18"/>
  <c r="H106" i="18"/>
  <c r="I106" i="18"/>
  <c r="AX106" i="20" s="1"/>
  <c r="BG106" i="19"/>
  <c r="AL107" i="18" s="1"/>
  <c r="T106" i="19"/>
  <c r="AG106" i="19" s="1"/>
  <c r="G106" i="19" s="1"/>
  <c r="G106" i="22" s="1"/>
  <c r="Q106" i="22" s="1"/>
  <c r="BV106" i="19" s="1"/>
  <c r="AN107" i="18" s="1"/>
  <c r="W107" i="18"/>
  <c r="AV106" i="20"/>
  <c r="BR107" i="19"/>
  <c r="E107" i="18"/>
  <c r="R107" i="19" s="1"/>
  <c r="AE107" i="19" s="1"/>
  <c r="E107" i="19" s="1"/>
  <c r="E107" i="22" s="1"/>
  <c r="O107" i="22" s="1"/>
  <c r="BT107" i="19" s="1"/>
  <c r="Q106" i="19"/>
  <c r="AD106" i="19" s="1"/>
  <c r="D106" i="19" s="1"/>
  <c r="D106" i="22" s="1"/>
  <c r="N106" i="22" s="1"/>
  <c r="BS106" i="19" s="1"/>
  <c r="S107" i="18"/>
  <c r="U107" i="18"/>
  <c r="R106" i="19"/>
  <c r="AE106" i="19" s="1"/>
  <c r="E106" i="19" s="1"/>
  <c r="E106" i="22" s="1"/>
  <c r="O106" i="22" s="1"/>
  <c r="BT106" i="19" s="1"/>
  <c r="AK107" i="18" s="1"/>
  <c r="BE106" i="19"/>
  <c r="AJ107" i="18" s="1"/>
  <c r="BB108" i="19"/>
  <c r="B108" i="18"/>
  <c r="O108" i="19" s="1"/>
  <c r="AB108" i="19" s="1"/>
  <c r="B108" i="19" s="1"/>
  <c r="B108" i="22" s="1"/>
  <c r="L108" i="22" s="1"/>
  <c r="Q109" i="18"/>
  <c r="BV133" i="20"/>
  <c r="AL133" i="20"/>
  <c r="M106" i="22"/>
  <c r="BQ106" i="19"/>
  <c r="AH107" i="18" s="1"/>
  <c r="BE107" i="19"/>
  <c r="R108" i="18"/>
  <c r="BC107" i="19"/>
  <c r="P107" i="19"/>
  <c r="BN107" i="19" l="1"/>
  <c r="AE107" i="18"/>
  <c r="BB106" i="20"/>
  <c r="Y106" i="19"/>
  <c r="AL106" i="19" s="1"/>
  <c r="L106" i="19" s="1"/>
  <c r="J106" i="22" s="1"/>
  <c r="T106" i="22" s="1"/>
  <c r="BY106" i="19" s="1"/>
  <c r="AQ107" i="18" s="1"/>
  <c r="J107" i="18"/>
  <c r="AC107" i="18"/>
  <c r="BC106" i="20"/>
  <c r="Z106" i="19"/>
  <c r="AM106" i="19" s="1"/>
  <c r="M106" i="19" s="1"/>
  <c r="BM106" i="19"/>
  <c r="AD107" i="18"/>
  <c r="AY106" i="20"/>
  <c r="V106" i="19"/>
  <c r="AI106" i="19" s="1"/>
  <c r="I106" i="19" s="1"/>
  <c r="I106" i="22" s="1"/>
  <c r="S106" i="22" s="1"/>
  <c r="BX106" i="19" s="1"/>
  <c r="BI106" i="19"/>
  <c r="AZ106" i="20"/>
  <c r="W106" i="19"/>
  <c r="AJ106" i="19" s="1"/>
  <c r="J106" i="19" s="1"/>
  <c r="BJ106" i="19"/>
  <c r="AP107" i="18" s="1"/>
  <c r="AA107" i="18"/>
  <c r="AW106" i="20"/>
  <c r="BH106" i="19"/>
  <c r="AM107" i="18" s="1"/>
  <c r="U106" i="19"/>
  <c r="AH106" i="19" s="1"/>
  <c r="H106" i="19" s="1"/>
  <c r="H106" i="22" s="1"/>
  <c r="R106" i="22" s="1"/>
  <c r="BW106" i="19" s="1"/>
  <c r="H107" i="18"/>
  <c r="X107" i="18"/>
  <c r="G107" i="18"/>
  <c r="F107" i="18"/>
  <c r="U108" i="18" s="1"/>
  <c r="BD107" i="19"/>
  <c r="AI108" i="18" s="1"/>
  <c r="D107" i="18"/>
  <c r="BP107" i="19"/>
  <c r="AG108" i="18" s="1"/>
  <c r="C108" i="18" s="1"/>
  <c r="AC133" i="20"/>
  <c r="AC107" i="19"/>
  <c r="C107" i="19" s="1"/>
  <c r="C107" i="22" s="1"/>
  <c r="BO108" i="19"/>
  <c r="AF109" i="18" s="1"/>
  <c r="P107" i="18" l="1"/>
  <c r="AT108" i="18"/>
  <c r="BL107" i="19"/>
  <c r="M107" i="18"/>
  <c r="L107" i="18"/>
  <c r="AB108" i="18" s="1"/>
  <c r="AO107" i="18"/>
  <c r="AY107" i="20"/>
  <c r="V107" i="19"/>
  <c r="AI107" i="19" s="1"/>
  <c r="I107" i="19" s="1"/>
  <c r="I107" i="22" s="1"/>
  <c r="S107" i="22" s="1"/>
  <c r="BX107" i="19" s="1"/>
  <c r="BI107" i="19"/>
  <c r="O107" i="18"/>
  <c r="N107" i="18"/>
  <c r="BZ107" i="19"/>
  <c r="AR108" i="18" s="1"/>
  <c r="BA107" i="20"/>
  <c r="X107" i="19"/>
  <c r="AK107" i="19" s="1"/>
  <c r="K107" i="19" s="1"/>
  <c r="BK107" i="19"/>
  <c r="Y108" i="18"/>
  <c r="I107" i="18"/>
  <c r="AX107" i="20" s="1"/>
  <c r="AU107" i="20"/>
  <c r="AW107" i="20"/>
  <c r="BH107" i="19"/>
  <c r="AM108" i="18" s="1"/>
  <c r="U107" i="19"/>
  <c r="AH107" i="19" s="1"/>
  <c r="H107" i="19" s="1"/>
  <c r="H107" i="22" s="1"/>
  <c r="R107" i="22" s="1"/>
  <c r="BW107" i="19" s="1"/>
  <c r="V108" i="18"/>
  <c r="T107" i="19"/>
  <c r="AG107" i="19" s="1"/>
  <c r="G107" i="19" s="1"/>
  <c r="G107" i="22" s="1"/>
  <c r="Q107" i="22" s="1"/>
  <c r="BV107" i="19" s="1"/>
  <c r="AN108" i="18" s="1"/>
  <c r="W108" i="18"/>
  <c r="BG107" i="19"/>
  <c r="AV107" i="20"/>
  <c r="S107" i="19"/>
  <c r="AF107" i="19" s="1"/>
  <c r="F107" i="19" s="1"/>
  <c r="F107" i="22" s="1"/>
  <c r="P107" i="22" s="1"/>
  <c r="BU107" i="19" s="1"/>
  <c r="BF107" i="19"/>
  <c r="AK108" i="18" s="1"/>
  <c r="S108" i="18"/>
  <c r="T108" i="18"/>
  <c r="Q107" i="19"/>
  <c r="AD107" i="19" s="1"/>
  <c r="D107" i="19" s="1"/>
  <c r="D107" i="22" s="1"/>
  <c r="N107" i="22" s="1"/>
  <c r="BS107" i="19" s="1"/>
  <c r="AJ108" i="18" s="1"/>
  <c r="BB109" i="19"/>
  <c r="B109" i="18"/>
  <c r="CE133" i="20"/>
  <c r="K134" i="20"/>
  <c r="M107" i="22"/>
  <c r="BQ107" i="19"/>
  <c r="AH108" i="18" s="1"/>
  <c r="R109" i="18"/>
  <c r="BC108" i="19"/>
  <c r="P108" i="19"/>
  <c r="AD108" i="18" l="1"/>
  <c r="BB107" i="20"/>
  <c r="Y107" i="19"/>
  <c r="AL107" i="19" s="1"/>
  <c r="L107" i="19" s="1"/>
  <c r="J107" i="22" s="1"/>
  <c r="T107" i="22" s="1"/>
  <c r="BY107" i="19" s="1"/>
  <c r="AQ108" i="18" s="1"/>
  <c r="AO108" i="18"/>
  <c r="K107" i="18"/>
  <c r="BC107" i="20"/>
  <c r="Z107" i="19"/>
  <c r="AM107" i="19" s="1"/>
  <c r="M107" i="19" s="1"/>
  <c r="BM107" i="19"/>
  <c r="J108" i="18"/>
  <c r="Y109" i="18" s="1"/>
  <c r="AC108" i="18"/>
  <c r="AE108" i="18"/>
  <c r="AT109" i="18" s="1"/>
  <c r="AA107" i="19"/>
  <c r="AN107" i="19" s="1"/>
  <c r="N107" i="19" s="1"/>
  <c r="K107" i="22" s="1"/>
  <c r="U107" i="22" s="1"/>
  <c r="CA107" i="19" s="1"/>
  <c r="AS108" i="18" s="1"/>
  <c r="AL108" i="18"/>
  <c r="H108" i="18" s="1"/>
  <c r="X108" i="18"/>
  <c r="G108" i="18"/>
  <c r="F108" i="18"/>
  <c r="D108" i="18"/>
  <c r="BP108" i="19"/>
  <c r="AG109" i="18" s="1"/>
  <c r="C109" i="18" s="1"/>
  <c r="BD108" i="19"/>
  <c r="E108" i="18"/>
  <c r="BR108" i="19"/>
  <c r="O109" i="19"/>
  <c r="AB109" i="19" s="1"/>
  <c r="B109" i="19" s="1"/>
  <c r="B109" i="22" s="1"/>
  <c r="L109" i="22" s="1"/>
  <c r="BO109" i="19" s="1"/>
  <c r="AF110" i="18" s="1"/>
  <c r="Q110" i="18"/>
  <c r="BV134" i="20"/>
  <c r="AL134" i="20"/>
  <c r="AC108" i="19"/>
  <c r="C108" i="19" s="1"/>
  <c r="C108" i="22" s="1"/>
  <c r="BN108" i="19" l="1"/>
  <c r="O108" i="18"/>
  <c r="AA108" i="19" s="1"/>
  <c r="AN108" i="19" s="1"/>
  <c r="N108" i="19" s="1"/>
  <c r="K108" i="22" s="1"/>
  <c r="U108" i="22" s="1"/>
  <c r="CA108" i="19" s="1"/>
  <c r="AS109" i="18" s="1"/>
  <c r="BL108" i="19"/>
  <c r="M108" i="18"/>
  <c r="Z108" i="18"/>
  <c r="K108" i="18" s="1"/>
  <c r="AZ107" i="20"/>
  <c r="W107" i="19"/>
  <c r="AJ107" i="19" s="1"/>
  <c r="J107" i="19" s="1"/>
  <c r="BJ107" i="19"/>
  <c r="AP108" i="18" s="1"/>
  <c r="AP109" i="18" s="1"/>
  <c r="AA108" i="18"/>
  <c r="AI109" i="18"/>
  <c r="P108" i="18"/>
  <c r="AY108" i="20"/>
  <c r="V108" i="19"/>
  <c r="AI108" i="19" s="1"/>
  <c r="I108" i="19" s="1"/>
  <c r="I108" i="22" s="1"/>
  <c r="S108" i="22" s="1"/>
  <c r="BX108" i="19" s="1"/>
  <c r="BI108" i="19"/>
  <c r="AO109" i="18" s="1"/>
  <c r="AZ108" i="20"/>
  <c r="W108" i="19"/>
  <c r="AJ108" i="19" s="1"/>
  <c r="J108" i="19" s="1"/>
  <c r="BJ108" i="19"/>
  <c r="Z109" i="18"/>
  <c r="BZ108" i="19"/>
  <c r="AR109" i="18" s="1"/>
  <c r="N108" i="18"/>
  <c r="AC109" i="18" s="1"/>
  <c r="AW108" i="20"/>
  <c r="BH108" i="19"/>
  <c r="AM109" i="18" s="1"/>
  <c r="U108" i="19"/>
  <c r="AH108" i="19" s="1"/>
  <c r="H108" i="19" s="1"/>
  <c r="H108" i="22" s="1"/>
  <c r="R108" i="22" s="1"/>
  <c r="BW108" i="19" s="1"/>
  <c r="I108" i="18"/>
  <c r="AX108" i="20" s="1"/>
  <c r="T108" i="19"/>
  <c r="AG108" i="19" s="1"/>
  <c r="G108" i="19" s="1"/>
  <c r="G108" i="22" s="1"/>
  <c r="Q108" i="22" s="1"/>
  <c r="BV108" i="19" s="1"/>
  <c r="AN109" i="18" s="1"/>
  <c r="AV108" i="20"/>
  <c r="BG108" i="19"/>
  <c r="W109" i="18"/>
  <c r="S108" i="19"/>
  <c r="AF108" i="19" s="1"/>
  <c r="F108" i="19" s="1"/>
  <c r="F108" i="22" s="1"/>
  <c r="P108" i="22" s="1"/>
  <c r="BU108" i="19" s="1"/>
  <c r="AU108" i="20"/>
  <c r="V109" i="18"/>
  <c r="BF108" i="19"/>
  <c r="T109" i="18"/>
  <c r="U109" i="18"/>
  <c r="BE108" i="19"/>
  <c r="R108" i="19"/>
  <c r="AE108" i="19" s="1"/>
  <c r="E108" i="19" s="1"/>
  <c r="E108" i="22" s="1"/>
  <c r="O108" i="22" s="1"/>
  <c r="BT108" i="19" s="1"/>
  <c r="S109" i="18"/>
  <c r="Q108" i="19"/>
  <c r="AD108" i="19" s="1"/>
  <c r="D108" i="19" s="1"/>
  <c r="D108" i="22" s="1"/>
  <c r="N108" i="22" s="1"/>
  <c r="BS108" i="19" s="1"/>
  <c r="BB110" i="19"/>
  <c r="B110" i="18"/>
  <c r="O110" i="19" s="1"/>
  <c r="AB110" i="19" s="1"/>
  <c r="B110" i="19" s="1"/>
  <c r="B110" i="22" s="1"/>
  <c r="L110" i="22" s="1"/>
  <c r="AC134" i="20"/>
  <c r="M108" i="22"/>
  <c r="BQ108" i="19"/>
  <c r="AH109" i="18" s="1"/>
  <c r="R110" i="18"/>
  <c r="BC109" i="19"/>
  <c r="P109" i="19"/>
  <c r="BN109" i="19" l="1"/>
  <c r="AE109" i="18"/>
  <c r="BB108" i="20"/>
  <c r="Y108" i="19"/>
  <c r="AL108" i="19" s="1"/>
  <c r="L108" i="19" s="1"/>
  <c r="J108" i="22" s="1"/>
  <c r="T108" i="22" s="1"/>
  <c r="BY108" i="19" s="1"/>
  <c r="L108" i="18"/>
  <c r="BK108" i="19" s="1"/>
  <c r="AQ109" i="18" s="1"/>
  <c r="AB109" i="18"/>
  <c r="X108" i="19"/>
  <c r="AK108" i="19" s="1"/>
  <c r="K108" i="19" s="1"/>
  <c r="BA108" i="20"/>
  <c r="AA109" i="18"/>
  <c r="L109" i="18" s="1"/>
  <c r="K109" i="18"/>
  <c r="Z110" i="18" s="1"/>
  <c r="J109" i="18"/>
  <c r="BZ109" i="19"/>
  <c r="AR110" i="18" s="1"/>
  <c r="N109" i="18"/>
  <c r="BC108" i="20"/>
  <c r="Z108" i="19"/>
  <c r="AM108" i="19" s="1"/>
  <c r="M108" i="19" s="1"/>
  <c r="BM108" i="19"/>
  <c r="AD109" i="18"/>
  <c r="BA109" i="20"/>
  <c r="X109" i="19"/>
  <c r="AK109" i="19" s="1"/>
  <c r="K109" i="19" s="1"/>
  <c r="BK109" i="19"/>
  <c r="AL109" i="18"/>
  <c r="H109" i="18" s="1"/>
  <c r="X109" i="18"/>
  <c r="AK109" i="18"/>
  <c r="G109" i="18" s="1"/>
  <c r="AJ109" i="18"/>
  <c r="F109" i="18" s="1"/>
  <c r="Q111" i="18"/>
  <c r="BD109" i="19"/>
  <c r="D109" i="18"/>
  <c r="BP109" i="19"/>
  <c r="AG110" i="18" s="1"/>
  <c r="C110" i="18" s="1"/>
  <c r="E109" i="18"/>
  <c r="BR109" i="19"/>
  <c r="CE134" i="20"/>
  <c r="K135" i="20"/>
  <c r="AC109" i="19"/>
  <c r="C109" i="19" s="1"/>
  <c r="C109" i="22" s="1"/>
  <c r="BO110" i="19"/>
  <c r="AF111" i="18" s="1"/>
  <c r="P109" i="18" l="1"/>
  <c r="AT110" i="18"/>
  <c r="BL109" i="19"/>
  <c r="M109" i="18"/>
  <c r="AB110" i="18" s="1"/>
  <c r="Y110" i="18"/>
  <c r="AY109" i="20"/>
  <c r="V109" i="19"/>
  <c r="AI109" i="19" s="1"/>
  <c r="I109" i="19" s="1"/>
  <c r="I109" i="22" s="1"/>
  <c r="S109" i="22" s="1"/>
  <c r="BX109" i="19" s="1"/>
  <c r="BI109" i="19"/>
  <c r="BC109" i="20"/>
  <c r="Z109" i="19"/>
  <c r="AM109" i="19" s="1"/>
  <c r="M109" i="19" s="1"/>
  <c r="BM109" i="19"/>
  <c r="AZ109" i="20"/>
  <c r="W109" i="19"/>
  <c r="AJ109" i="19" s="1"/>
  <c r="J109" i="19" s="1"/>
  <c r="BJ109" i="19"/>
  <c r="AP110" i="18" s="1"/>
  <c r="AA110" i="18"/>
  <c r="O109" i="18"/>
  <c r="AD110" i="18" s="1"/>
  <c r="AW109" i="20"/>
  <c r="BH109" i="19"/>
  <c r="AM110" i="18" s="1"/>
  <c r="U109" i="19"/>
  <c r="AH109" i="19" s="1"/>
  <c r="H109" i="19" s="1"/>
  <c r="H109" i="22" s="1"/>
  <c r="R109" i="22" s="1"/>
  <c r="BW109" i="19" s="1"/>
  <c r="I109" i="18"/>
  <c r="AX109" i="20" s="1"/>
  <c r="AI110" i="18"/>
  <c r="AV109" i="20"/>
  <c r="BG109" i="19"/>
  <c r="W110" i="18"/>
  <c r="T109" i="19"/>
  <c r="AG109" i="19" s="1"/>
  <c r="G109" i="19" s="1"/>
  <c r="G109" i="22" s="1"/>
  <c r="Q109" i="22" s="1"/>
  <c r="BV109" i="19" s="1"/>
  <c r="AN110" i="18" s="1"/>
  <c r="V110" i="18"/>
  <c r="S109" i="19"/>
  <c r="AF109" i="19" s="1"/>
  <c r="F109" i="19" s="1"/>
  <c r="F109" i="22" s="1"/>
  <c r="P109" i="22" s="1"/>
  <c r="BU109" i="19" s="1"/>
  <c r="AU109" i="20"/>
  <c r="BF109" i="19"/>
  <c r="S110" i="18"/>
  <c r="Q109" i="19"/>
  <c r="AD109" i="19" s="1"/>
  <c r="D109" i="19" s="1"/>
  <c r="D109" i="22" s="1"/>
  <c r="N109" i="22" s="1"/>
  <c r="BS109" i="19" s="1"/>
  <c r="T110" i="18"/>
  <c r="BE109" i="19"/>
  <c r="U110" i="18"/>
  <c r="R109" i="19"/>
  <c r="AE109" i="19" s="1"/>
  <c r="E109" i="19" s="1"/>
  <c r="E109" i="22" s="1"/>
  <c r="O109" i="22" s="1"/>
  <c r="BT109" i="19" s="1"/>
  <c r="BB111" i="19"/>
  <c r="B111" i="18"/>
  <c r="AL135" i="20"/>
  <c r="BV135" i="20"/>
  <c r="M109" i="22"/>
  <c r="BQ109" i="19"/>
  <c r="AH110" i="18" s="1"/>
  <c r="R111" i="18"/>
  <c r="BC110" i="19"/>
  <c r="P110" i="19"/>
  <c r="L110" i="18" l="1"/>
  <c r="AC110" i="18"/>
  <c r="AO110" i="18"/>
  <c r="BB109" i="20"/>
  <c r="Y109" i="19"/>
  <c r="AL109" i="19" s="1"/>
  <c r="L109" i="19" s="1"/>
  <c r="J109" i="22" s="1"/>
  <c r="T109" i="22" s="1"/>
  <c r="BY109" i="19" s="1"/>
  <c r="AQ110" i="18" s="1"/>
  <c r="BA110" i="20"/>
  <c r="X110" i="19"/>
  <c r="AK110" i="19" s="1"/>
  <c r="K110" i="19" s="1"/>
  <c r="BK110" i="19"/>
  <c r="J110" i="18"/>
  <c r="AE110" i="18"/>
  <c r="AT111" i="18" s="1"/>
  <c r="AA109" i="19"/>
  <c r="AN109" i="19" s="1"/>
  <c r="N109" i="19" s="1"/>
  <c r="K109" i="22" s="1"/>
  <c r="U109" i="22" s="1"/>
  <c r="CA109" i="19" s="1"/>
  <c r="AS110" i="18" s="1"/>
  <c r="AK110" i="18"/>
  <c r="G110" i="18" s="1"/>
  <c r="X110" i="18"/>
  <c r="AL110" i="18"/>
  <c r="AJ110" i="18"/>
  <c r="F110" i="18" s="1"/>
  <c r="BD110" i="19"/>
  <c r="D110" i="18"/>
  <c r="BP110" i="19"/>
  <c r="AG111" i="18" s="1"/>
  <c r="E110" i="18"/>
  <c r="BR110" i="19"/>
  <c r="O111" i="19"/>
  <c r="AB111" i="19" s="1"/>
  <c r="B111" i="19" s="1"/>
  <c r="B111" i="22" s="1"/>
  <c r="L111" i="22" s="1"/>
  <c r="BO111" i="19" s="1"/>
  <c r="AF112" i="18" s="1"/>
  <c r="Q112" i="18"/>
  <c r="AC135" i="20"/>
  <c r="AC110" i="19"/>
  <c r="C110" i="19" s="1"/>
  <c r="C110" i="22" s="1"/>
  <c r="BN110" i="19" l="1"/>
  <c r="O110" i="18"/>
  <c r="AA110" i="19" s="1"/>
  <c r="AN110" i="19" s="1"/>
  <c r="N110" i="19" s="1"/>
  <c r="K110" i="22" s="1"/>
  <c r="U110" i="22" s="1"/>
  <c r="CA110" i="19" s="1"/>
  <c r="AS111" i="18" s="1"/>
  <c r="BL110" i="19"/>
  <c r="M110" i="18"/>
  <c r="K110" i="18"/>
  <c r="N110" i="18"/>
  <c r="AC111" i="18" s="1"/>
  <c r="BZ110" i="19"/>
  <c r="AR111" i="18" s="1"/>
  <c r="Z111" i="18"/>
  <c r="T111" i="18"/>
  <c r="P110" i="18"/>
  <c r="AE111" i="18" s="1"/>
  <c r="AT112" i="18" s="1"/>
  <c r="AY110" i="20"/>
  <c r="V110" i="19"/>
  <c r="AI110" i="19" s="1"/>
  <c r="I110" i="19" s="1"/>
  <c r="I110" i="22" s="1"/>
  <c r="S110" i="22" s="1"/>
  <c r="BX110" i="19" s="1"/>
  <c r="BI110" i="19"/>
  <c r="Y111" i="18"/>
  <c r="BG110" i="19"/>
  <c r="AV110" i="20"/>
  <c r="I110" i="18"/>
  <c r="AX110" i="20" s="1"/>
  <c r="H110" i="18"/>
  <c r="AI111" i="18"/>
  <c r="V111" i="18"/>
  <c r="T110" i="19"/>
  <c r="AG110" i="19" s="1"/>
  <c r="G110" i="19" s="1"/>
  <c r="G110" i="22" s="1"/>
  <c r="Q110" i="22" s="1"/>
  <c r="BV110" i="19" s="1"/>
  <c r="AN111" i="18" s="1"/>
  <c r="BF110" i="19"/>
  <c r="S110" i="19"/>
  <c r="AF110" i="19" s="1"/>
  <c r="F110" i="19" s="1"/>
  <c r="F110" i="22" s="1"/>
  <c r="P110" i="22" s="1"/>
  <c r="BU110" i="19" s="1"/>
  <c r="AL111" i="18" s="1"/>
  <c r="AU110" i="20"/>
  <c r="S111" i="18"/>
  <c r="Q110" i="19"/>
  <c r="AD110" i="19" s="1"/>
  <c r="D110" i="19" s="1"/>
  <c r="D110" i="22" s="1"/>
  <c r="N110" i="22" s="1"/>
  <c r="BS110" i="19" s="1"/>
  <c r="BR111" i="19"/>
  <c r="BE110" i="19"/>
  <c r="U111" i="18"/>
  <c r="R110" i="19"/>
  <c r="AE110" i="19" s="1"/>
  <c r="E110" i="19" s="1"/>
  <c r="E110" i="22" s="1"/>
  <c r="O110" i="22" s="1"/>
  <c r="BT110" i="19" s="1"/>
  <c r="C111" i="18"/>
  <c r="P111" i="19" s="1"/>
  <c r="B112" i="18"/>
  <c r="O112" i="19" s="1"/>
  <c r="AB112" i="19" s="1"/>
  <c r="B112" i="19" s="1"/>
  <c r="B112" i="22" s="1"/>
  <c r="L112" i="22" s="1"/>
  <c r="BB112" i="19"/>
  <c r="CE135" i="20"/>
  <c r="K136" i="20"/>
  <c r="M110" i="22"/>
  <c r="BQ110" i="19"/>
  <c r="AH111" i="18" s="1"/>
  <c r="BN111" i="19" l="1"/>
  <c r="AB111" i="18"/>
  <c r="Y110" i="19"/>
  <c r="AL110" i="19" s="1"/>
  <c r="L110" i="19" s="1"/>
  <c r="J110" i="22" s="1"/>
  <c r="T110" i="22" s="1"/>
  <c r="BY110" i="19" s="1"/>
  <c r="AQ111" i="18" s="1"/>
  <c r="BB110" i="20"/>
  <c r="BZ111" i="19"/>
  <c r="AR112" i="18" s="1"/>
  <c r="N111" i="18"/>
  <c r="Z110" i="19"/>
  <c r="AM110" i="19" s="1"/>
  <c r="M110" i="19" s="1"/>
  <c r="BM110" i="19"/>
  <c r="AD111" i="18"/>
  <c r="BC110" i="20"/>
  <c r="AZ110" i="20"/>
  <c r="BJ110" i="19"/>
  <c r="AP111" i="18" s="1"/>
  <c r="W110" i="19"/>
  <c r="AJ110" i="19" s="1"/>
  <c r="J110" i="19" s="1"/>
  <c r="AA111" i="18"/>
  <c r="P111" i="18"/>
  <c r="BC111" i="19"/>
  <c r="J111" i="18"/>
  <c r="Y112" i="18"/>
  <c r="R112" i="18"/>
  <c r="BH110" i="19"/>
  <c r="AM111" i="18" s="1"/>
  <c r="AW110" i="20"/>
  <c r="U110" i="19"/>
  <c r="AH110" i="19" s="1"/>
  <c r="H110" i="19" s="1"/>
  <c r="H110" i="22" s="1"/>
  <c r="R110" i="22" s="1"/>
  <c r="BW110" i="19" s="1"/>
  <c r="AO111" i="18" s="1"/>
  <c r="E111" i="18"/>
  <c r="R111" i="19" s="1"/>
  <c r="AE111" i="19" s="1"/>
  <c r="E111" i="19" s="1"/>
  <c r="E111" i="22" s="1"/>
  <c r="O111" i="22" s="1"/>
  <c r="BT111" i="19" s="1"/>
  <c r="X111" i="18"/>
  <c r="W111" i="18"/>
  <c r="H111" i="18" s="1"/>
  <c r="AK111" i="18"/>
  <c r="AJ111" i="18"/>
  <c r="F111" i="18" s="1"/>
  <c r="Q113" i="18"/>
  <c r="BD111" i="19"/>
  <c r="AI112" i="18" s="1"/>
  <c r="D111" i="18"/>
  <c r="BP111" i="19"/>
  <c r="AG112" i="18" s="1"/>
  <c r="C112" i="18" s="1"/>
  <c r="BV136" i="20"/>
  <c r="AL136" i="20"/>
  <c r="AC111" i="19"/>
  <c r="C111" i="19" s="1"/>
  <c r="C111" i="22" s="1"/>
  <c r="BO112" i="19"/>
  <c r="AF113" i="18" s="1"/>
  <c r="BL111" i="19" l="1"/>
  <c r="M111" i="18"/>
  <c r="L111" i="18"/>
  <c r="K111" i="18"/>
  <c r="BC111" i="20"/>
  <c r="Z111" i="19"/>
  <c r="AM111" i="19" s="1"/>
  <c r="M111" i="19" s="1"/>
  <c r="BM111" i="19"/>
  <c r="O111" i="18"/>
  <c r="AD112" i="18" s="1"/>
  <c r="AY111" i="20"/>
  <c r="V111" i="19"/>
  <c r="AI111" i="19" s="1"/>
  <c r="I111" i="19" s="1"/>
  <c r="I111" i="22" s="1"/>
  <c r="S111" i="22" s="1"/>
  <c r="BX111" i="19" s="1"/>
  <c r="BI111" i="19"/>
  <c r="AO112" i="18" s="1"/>
  <c r="Z112" i="18"/>
  <c r="AW111" i="20"/>
  <c r="BH111" i="19"/>
  <c r="AM112" i="18" s="1"/>
  <c r="U111" i="19"/>
  <c r="AH111" i="19" s="1"/>
  <c r="H111" i="19" s="1"/>
  <c r="H111" i="22" s="1"/>
  <c r="R111" i="22" s="1"/>
  <c r="BW111" i="19" s="1"/>
  <c r="I111" i="18"/>
  <c r="AX111" i="20" s="1"/>
  <c r="BE111" i="19"/>
  <c r="G111" i="18"/>
  <c r="V112" i="18" s="1"/>
  <c r="U112" i="18"/>
  <c r="BF111" i="19"/>
  <c r="AK112" i="18" s="1"/>
  <c r="S111" i="19"/>
  <c r="AF111" i="19" s="1"/>
  <c r="F111" i="19" s="1"/>
  <c r="F111" i="22" s="1"/>
  <c r="P111" i="22" s="1"/>
  <c r="BU111" i="19" s="1"/>
  <c r="AU111" i="20"/>
  <c r="T112" i="18"/>
  <c r="Q111" i="19"/>
  <c r="AD111" i="19" s="1"/>
  <c r="D111" i="19" s="1"/>
  <c r="D111" i="22" s="1"/>
  <c r="N111" i="22" s="1"/>
  <c r="BS111" i="19" s="1"/>
  <c r="AJ112" i="18" s="1"/>
  <c r="S112" i="18"/>
  <c r="BB113" i="19"/>
  <c r="B113" i="18"/>
  <c r="AC136" i="20"/>
  <c r="M111" i="22"/>
  <c r="BQ111" i="19"/>
  <c r="AH112" i="18" s="1"/>
  <c r="R113" i="18"/>
  <c r="BC112" i="19"/>
  <c r="P112" i="19"/>
  <c r="Y111" i="19" l="1"/>
  <c r="AL111" i="19" s="1"/>
  <c r="L111" i="19" s="1"/>
  <c r="J111" i="22" s="1"/>
  <c r="T111" i="22" s="1"/>
  <c r="BY111" i="19" s="1"/>
  <c r="BB111" i="20"/>
  <c r="AC112" i="18"/>
  <c r="AB112" i="18"/>
  <c r="BK111" i="19"/>
  <c r="AQ112" i="18" s="1"/>
  <c r="BA111" i="20"/>
  <c r="X111" i="19"/>
  <c r="AK111" i="19" s="1"/>
  <c r="K111" i="19" s="1"/>
  <c r="AA111" i="19"/>
  <c r="AN111" i="19" s="1"/>
  <c r="N111" i="19" s="1"/>
  <c r="K111" i="22" s="1"/>
  <c r="U111" i="22" s="1"/>
  <c r="CA111" i="19" s="1"/>
  <c r="AS112" i="18" s="1"/>
  <c r="AE112" i="18"/>
  <c r="AT113" i="18" s="1"/>
  <c r="AZ111" i="20"/>
  <c r="BJ111" i="19"/>
  <c r="AP112" i="18" s="1"/>
  <c r="W111" i="19"/>
  <c r="AJ111" i="19" s="1"/>
  <c r="J111" i="19" s="1"/>
  <c r="AA112" i="18"/>
  <c r="K112" i="18"/>
  <c r="X112" i="18"/>
  <c r="I112" i="18" s="1"/>
  <c r="AX112" i="20" s="1"/>
  <c r="BG111" i="19"/>
  <c r="AL112" i="18" s="1"/>
  <c r="T111" i="19"/>
  <c r="AG111" i="19" s="1"/>
  <c r="G111" i="19" s="1"/>
  <c r="G111" i="22" s="1"/>
  <c r="Q111" i="22" s="1"/>
  <c r="BV111" i="19" s="1"/>
  <c r="AN112" i="18" s="1"/>
  <c r="W112" i="18"/>
  <c r="AV111" i="20"/>
  <c r="G112" i="18"/>
  <c r="T112" i="19" s="1"/>
  <c r="AG112" i="19" s="1"/>
  <c r="G112" i="19" s="1"/>
  <c r="G112" i="22" s="1"/>
  <c r="Q112" i="22" s="1"/>
  <c r="BV112" i="19" s="1"/>
  <c r="F112" i="18"/>
  <c r="BR112" i="19"/>
  <c r="E112" i="18"/>
  <c r="BP112" i="19"/>
  <c r="AG113" i="18" s="1"/>
  <c r="C113" i="18" s="1"/>
  <c r="D112" i="18"/>
  <c r="Q112" i="19" s="1"/>
  <c r="AD112" i="19" s="1"/>
  <c r="D112" i="19" s="1"/>
  <c r="D112" i="22" s="1"/>
  <c r="N112" i="22" s="1"/>
  <c r="BS112" i="19" s="1"/>
  <c r="BD112" i="19"/>
  <c r="AI113" i="18" s="1"/>
  <c r="O113" i="19"/>
  <c r="AB113" i="19" s="1"/>
  <c r="B113" i="19" s="1"/>
  <c r="B113" i="22" s="1"/>
  <c r="L113" i="22" s="1"/>
  <c r="BO113" i="19" s="1"/>
  <c r="AF114" i="18" s="1"/>
  <c r="Q114" i="18"/>
  <c r="CE136" i="20"/>
  <c r="K137" i="20"/>
  <c r="AC112" i="19"/>
  <c r="C112" i="19" s="1"/>
  <c r="C112" i="22" s="1"/>
  <c r="BN112" i="19" l="1"/>
  <c r="O112" i="18"/>
  <c r="AA112" i="19" s="1"/>
  <c r="AN112" i="19" s="1"/>
  <c r="N112" i="19" s="1"/>
  <c r="K112" i="22" s="1"/>
  <c r="U112" i="22" s="1"/>
  <c r="CA112" i="19" s="1"/>
  <c r="AS113" i="18" s="1"/>
  <c r="AR113" i="18"/>
  <c r="N112" i="18"/>
  <c r="BZ112" i="19"/>
  <c r="BL112" i="19"/>
  <c r="M112" i="18"/>
  <c r="BB112" i="20" s="1"/>
  <c r="L112" i="18"/>
  <c r="P112" i="18"/>
  <c r="AZ112" i="20"/>
  <c r="W112" i="19"/>
  <c r="AJ112" i="19" s="1"/>
  <c r="J112" i="19" s="1"/>
  <c r="BJ112" i="19"/>
  <c r="AA113" i="18"/>
  <c r="AN113" i="18"/>
  <c r="J112" i="18"/>
  <c r="AV112" i="20"/>
  <c r="BG112" i="19"/>
  <c r="H112" i="18"/>
  <c r="W113" i="18" s="1"/>
  <c r="BF112" i="19"/>
  <c r="V113" i="18"/>
  <c r="S112" i="19"/>
  <c r="AF112" i="19" s="1"/>
  <c r="F112" i="19" s="1"/>
  <c r="F112" i="22" s="1"/>
  <c r="P112" i="22" s="1"/>
  <c r="BU112" i="19" s="1"/>
  <c r="AL113" i="18" s="1"/>
  <c r="AU112" i="20"/>
  <c r="T113" i="18"/>
  <c r="U113" i="18"/>
  <c r="R112" i="19"/>
  <c r="AE112" i="19" s="1"/>
  <c r="E112" i="19" s="1"/>
  <c r="E112" i="22" s="1"/>
  <c r="O112" i="22" s="1"/>
  <c r="BT112" i="19" s="1"/>
  <c r="BE112" i="19"/>
  <c r="AJ113" i="18" s="1"/>
  <c r="S113" i="18"/>
  <c r="BB114" i="19"/>
  <c r="B114" i="18"/>
  <c r="O114" i="19" s="1"/>
  <c r="AB114" i="19" s="1"/>
  <c r="B114" i="19" s="1"/>
  <c r="B114" i="22" s="1"/>
  <c r="L114" i="22" s="1"/>
  <c r="BV137" i="20"/>
  <c r="AL137" i="20"/>
  <c r="M112" i="22"/>
  <c r="BQ112" i="19"/>
  <c r="AH113" i="18" s="1"/>
  <c r="R114" i="18"/>
  <c r="BC113" i="19"/>
  <c r="P113" i="19"/>
  <c r="BN113" i="19" l="1"/>
  <c r="AE113" i="18"/>
  <c r="AT114" i="18" s="1"/>
  <c r="Y112" i="19"/>
  <c r="AL112" i="19" s="1"/>
  <c r="L112" i="19" s="1"/>
  <c r="J112" i="22" s="1"/>
  <c r="T112" i="22" s="1"/>
  <c r="BY112" i="19" s="1"/>
  <c r="BC112" i="20"/>
  <c r="Z112" i="19"/>
  <c r="AM112" i="19" s="1"/>
  <c r="M112" i="19" s="1"/>
  <c r="AD113" i="18"/>
  <c r="O113" i="18" s="1"/>
  <c r="AA113" i="19" s="1"/>
  <c r="AN113" i="19" s="1"/>
  <c r="N113" i="19" s="1"/>
  <c r="K113" i="22" s="1"/>
  <c r="U113" i="22" s="1"/>
  <c r="CA113" i="19" s="1"/>
  <c r="BM112" i="19"/>
  <c r="AC113" i="18"/>
  <c r="BA112" i="20"/>
  <c r="X112" i="19"/>
  <c r="AK112" i="19" s="1"/>
  <c r="K112" i="19" s="1"/>
  <c r="AB113" i="18"/>
  <c r="BK112" i="19"/>
  <c r="AY112" i="20"/>
  <c r="V112" i="19"/>
  <c r="AI112" i="19" s="1"/>
  <c r="I112" i="19" s="1"/>
  <c r="I112" i="22" s="1"/>
  <c r="S112" i="22" s="1"/>
  <c r="BX112" i="19" s="1"/>
  <c r="AP113" i="18" s="1"/>
  <c r="BI112" i="19"/>
  <c r="AO113" i="18" s="1"/>
  <c r="Y113" i="18"/>
  <c r="Z113" i="18"/>
  <c r="H113" i="18"/>
  <c r="AK113" i="18"/>
  <c r="AW112" i="20"/>
  <c r="U112" i="19"/>
  <c r="AH112" i="19" s="1"/>
  <c r="H112" i="19" s="1"/>
  <c r="H112" i="22" s="1"/>
  <c r="R112" i="22" s="1"/>
  <c r="BW112" i="19" s="1"/>
  <c r="X113" i="18"/>
  <c r="BH112" i="19"/>
  <c r="AM113" i="18" s="1"/>
  <c r="F113" i="18"/>
  <c r="BF113" i="19" s="1"/>
  <c r="BR113" i="19"/>
  <c r="E113" i="18"/>
  <c r="Q115" i="18"/>
  <c r="BD113" i="19"/>
  <c r="AI114" i="18" s="1"/>
  <c r="D113" i="18"/>
  <c r="BP113" i="19"/>
  <c r="AG114" i="18" s="1"/>
  <c r="C114" i="18" s="1"/>
  <c r="AC137" i="20"/>
  <c r="BO114" i="19"/>
  <c r="AF115" i="18" s="1"/>
  <c r="AC113" i="19"/>
  <c r="C113" i="19" s="1"/>
  <c r="C113" i="22" s="1"/>
  <c r="P113" i="18" l="1"/>
  <c r="AE114" i="18" s="1"/>
  <c r="P114" i="18" s="1"/>
  <c r="AS114" i="18"/>
  <c r="AR114" i="18"/>
  <c r="AQ113" i="18"/>
  <c r="M113" i="18" s="1"/>
  <c r="BZ113" i="19"/>
  <c r="N113" i="18"/>
  <c r="L113" i="18"/>
  <c r="BK113" i="19"/>
  <c r="J113" i="18"/>
  <c r="Y114" i="18" s="1"/>
  <c r="K113" i="18"/>
  <c r="Z114" i="18" s="1"/>
  <c r="AU113" i="20"/>
  <c r="S113" i="19"/>
  <c r="AF113" i="19" s="1"/>
  <c r="F113" i="19" s="1"/>
  <c r="F113" i="22" s="1"/>
  <c r="P113" i="22" s="1"/>
  <c r="BU113" i="19" s="1"/>
  <c r="I113" i="18"/>
  <c r="AX113" i="20" s="1"/>
  <c r="X114" i="18"/>
  <c r="G113" i="18"/>
  <c r="U113" i="19"/>
  <c r="AH113" i="19" s="1"/>
  <c r="H113" i="19" s="1"/>
  <c r="H113" i="22" s="1"/>
  <c r="R113" i="22" s="1"/>
  <c r="BW113" i="19" s="1"/>
  <c r="AW113" i="20"/>
  <c r="BH113" i="19"/>
  <c r="AM114" i="18" s="1"/>
  <c r="U114" i="18"/>
  <c r="R113" i="19"/>
  <c r="AE113" i="19" s="1"/>
  <c r="E113" i="19" s="1"/>
  <c r="E113" i="22" s="1"/>
  <c r="O113" i="22" s="1"/>
  <c r="BT113" i="19" s="1"/>
  <c r="AK114" i="18" s="1"/>
  <c r="BE113" i="19"/>
  <c r="Q113" i="19"/>
  <c r="AD113" i="19" s="1"/>
  <c r="D113" i="19" s="1"/>
  <c r="D113" i="22" s="1"/>
  <c r="N113" i="22" s="1"/>
  <c r="BS113" i="19" s="1"/>
  <c r="S114" i="18"/>
  <c r="T114" i="18"/>
  <c r="BB115" i="19"/>
  <c r="B115" i="18"/>
  <c r="CE137" i="20"/>
  <c r="K138" i="20"/>
  <c r="M113" i="22"/>
  <c r="BQ113" i="19"/>
  <c r="AH114" i="18" s="1"/>
  <c r="R115" i="18"/>
  <c r="BC114" i="19"/>
  <c r="P114" i="19"/>
  <c r="AT115" i="18" l="1"/>
  <c r="BN114" i="19"/>
  <c r="BB113" i="20"/>
  <c r="Y113" i="19"/>
  <c r="AL113" i="19" s="1"/>
  <c r="L113" i="19" s="1"/>
  <c r="J113" i="22" s="1"/>
  <c r="T113" i="22" s="1"/>
  <c r="BY113" i="19" s="1"/>
  <c r="AQ114" i="18" s="1"/>
  <c r="AB114" i="18"/>
  <c r="AC114" i="18"/>
  <c r="BC113" i="20"/>
  <c r="Z113" i="19"/>
  <c r="AM113" i="19" s="1"/>
  <c r="M113" i="19" s="1"/>
  <c r="AD114" i="18"/>
  <c r="O114" i="18" s="1"/>
  <c r="BM113" i="19"/>
  <c r="BL113" i="19"/>
  <c r="X113" i="19"/>
  <c r="AK113" i="19" s="1"/>
  <c r="K113" i="19" s="1"/>
  <c r="BA113" i="20"/>
  <c r="AZ113" i="20"/>
  <c r="W113" i="19"/>
  <c r="AJ113" i="19" s="1"/>
  <c r="J113" i="19" s="1"/>
  <c r="BJ113" i="19"/>
  <c r="AA114" i="18"/>
  <c r="AY113" i="20"/>
  <c r="V113" i="19"/>
  <c r="AI113" i="19" s="1"/>
  <c r="I113" i="19" s="1"/>
  <c r="I113" i="22" s="1"/>
  <c r="S113" i="22" s="1"/>
  <c r="BX113" i="19" s="1"/>
  <c r="BI113" i="19"/>
  <c r="AO114" i="18" s="1"/>
  <c r="I114" i="18"/>
  <c r="AX114" i="20" s="1"/>
  <c r="AV113" i="20"/>
  <c r="T113" i="19"/>
  <c r="AG113" i="19" s="1"/>
  <c r="G113" i="19" s="1"/>
  <c r="G113" i="22" s="1"/>
  <c r="Q113" i="22" s="1"/>
  <c r="BV113" i="19" s="1"/>
  <c r="AN114" i="18" s="1"/>
  <c r="BG113" i="19"/>
  <c r="AL114" i="18" s="1"/>
  <c r="W114" i="18"/>
  <c r="V114" i="18"/>
  <c r="G114" i="18" s="1"/>
  <c r="AJ114" i="18"/>
  <c r="F114" i="18" s="1"/>
  <c r="E114" i="18"/>
  <c r="BR114" i="19"/>
  <c r="BP114" i="19"/>
  <c r="AG115" i="18" s="1"/>
  <c r="C115" i="18" s="1"/>
  <c r="D114" i="18"/>
  <c r="BD114" i="19"/>
  <c r="O115" i="19"/>
  <c r="AB115" i="19" s="1"/>
  <c r="B115" i="19" s="1"/>
  <c r="B115" i="22" s="1"/>
  <c r="L115" i="22" s="1"/>
  <c r="BO115" i="19" s="1"/>
  <c r="AF116" i="18" s="1"/>
  <c r="Q116" i="18"/>
  <c r="AL138" i="20"/>
  <c r="BV138" i="20"/>
  <c r="AC114" i="19"/>
  <c r="C114" i="19" s="1"/>
  <c r="C114" i="22" s="1"/>
  <c r="BL114" i="19" l="1"/>
  <c r="M114" i="18"/>
  <c r="N114" i="18"/>
  <c r="BZ114" i="19"/>
  <c r="AR115" i="18" s="1"/>
  <c r="AA114" i="19"/>
  <c r="AN114" i="19" s="1"/>
  <c r="N114" i="19" s="1"/>
  <c r="K114" i="22" s="1"/>
  <c r="U114" i="22" s="1"/>
  <c r="CA114" i="19" s="1"/>
  <c r="AS115" i="18" s="1"/>
  <c r="AE115" i="18"/>
  <c r="P115" i="18" s="1"/>
  <c r="AP114" i="18"/>
  <c r="K114" i="18"/>
  <c r="Y114" i="19"/>
  <c r="AL114" i="19" s="1"/>
  <c r="L114" i="19" s="1"/>
  <c r="J114" i="22" s="1"/>
  <c r="T114" i="22" s="1"/>
  <c r="BY114" i="19" s="1"/>
  <c r="BB114" i="20"/>
  <c r="AC115" i="18"/>
  <c r="J114" i="18"/>
  <c r="AV114" i="20"/>
  <c r="T114" i="19"/>
  <c r="AG114" i="19" s="1"/>
  <c r="G114" i="19" s="1"/>
  <c r="G114" i="22" s="1"/>
  <c r="Q114" i="22" s="1"/>
  <c r="BV114" i="19" s="1"/>
  <c r="AN115" i="18" s="1"/>
  <c r="BG114" i="19"/>
  <c r="AI115" i="18"/>
  <c r="H114" i="18"/>
  <c r="W115" i="18"/>
  <c r="S114" i="19"/>
  <c r="AF114" i="19" s="1"/>
  <c r="F114" i="19" s="1"/>
  <c r="F114" i="22" s="1"/>
  <c r="P114" i="22" s="1"/>
  <c r="BU114" i="19" s="1"/>
  <c r="V115" i="18"/>
  <c r="BF114" i="19"/>
  <c r="AU114" i="20"/>
  <c r="Q114" i="19"/>
  <c r="AD114" i="19" s="1"/>
  <c r="D114" i="19" s="1"/>
  <c r="D114" i="22" s="1"/>
  <c r="N114" i="22" s="1"/>
  <c r="BS114" i="19" s="1"/>
  <c r="S115" i="18"/>
  <c r="T115" i="18"/>
  <c r="U115" i="18"/>
  <c r="BE114" i="19"/>
  <c r="AJ115" i="18" s="1"/>
  <c r="R114" i="19"/>
  <c r="AE114" i="19" s="1"/>
  <c r="E114" i="19" s="1"/>
  <c r="E114" i="22" s="1"/>
  <c r="O114" i="22" s="1"/>
  <c r="BT114" i="19" s="1"/>
  <c r="B116" i="18"/>
  <c r="O116" i="19" s="1"/>
  <c r="AB116" i="19" s="1"/>
  <c r="B116" i="19" s="1"/>
  <c r="B116" i="22" s="1"/>
  <c r="L116" i="22" s="1"/>
  <c r="BB116" i="19"/>
  <c r="AC138" i="20"/>
  <c r="M114" i="22"/>
  <c r="BQ114" i="19"/>
  <c r="AH115" i="18" s="1"/>
  <c r="R116" i="18"/>
  <c r="BC115" i="19"/>
  <c r="P115" i="19"/>
  <c r="AT116" i="18" l="1"/>
  <c r="BN115" i="19"/>
  <c r="BC114" i="20"/>
  <c r="Z114" i="19"/>
  <c r="AM114" i="19" s="1"/>
  <c r="M114" i="19" s="1"/>
  <c r="BM114" i="19"/>
  <c r="AD115" i="18"/>
  <c r="O115" i="18" s="1"/>
  <c r="AA115" i="19" s="1"/>
  <c r="AN115" i="19" s="1"/>
  <c r="N115" i="19" s="1"/>
  <c r="K115" i="22" s="1"/>
  <c r="U115" i="22" s="1"/>
  <c r="CA115" i="19" s="1"/>
  <c r="L114" i="18"/>
  <c r="AZ114" i="20"/>
  <c r="W114" i="19"/>
  <c r="AJ114" i="19" s="1"/>
  <c r="J114" i="19" s="1"/>
  <c r="BJ114" i="19"/>
  <c r="AP115" i="18" s="1"/>
  <c r="BZ115" i="19"/>
  <c r="AR116" i="18" s="1"/>
  <c r="N115" i="18"/>
  <c r="AD116" i="18" s="1"/>
  <c r="AY114" i="20"/>
  <c r="BI114" i="19"/>
  <c r="V114" i="19"/>
  <c r="AI114" i="19" s="1"/>
  <c r="I114" i="19" s="1"/>
  <c r="I114" i="22" s="1"/>
  <c r="S114" i="22" s="1"/>
  <c r="BX114" i="19" s="1"/>
  <c r="Y115" i="18"/>
  <c r="Z115" i="18"/>
  <c r="AL115" i="18"/>
  <c r="H115" i="18" s="1"/>
  <c r="AK115" i="18"/>
  <c r="G115" i="18" s="1"/>
  <c r="AW114" i="20"/>
  <c r="U114" i="19"/>
  <c r="AH114" i="19" s="1"/>
  <c r="H114" i="19" s="1"/>
  <c r="H114" i="22" s="1"/>
  <c r="R114" i="22" s="1"/>
  <c r="BW114" i="19" s="1"/>
  <c r="BH114" i="19"/>
  <c r="AM115" i="18" s="1"/>
  <c r="X115" i="18"/>
  <c r="F115" i="18"/>
  <c r="BF115" i="19" s="1"/>
  <c r="BR115" i="19"/>
  <c r="E115" i="18"/>
  <c r="BD115" i="19"/>
  <c r="D115" i="18"/>
  <c r="Q115" i="19" s="1"/>
  <c r="AD115" i="19" s="1"/>
  <c r="D115" i="19" s="1"/>
  <c r="D115" i="22" s="1"/>
  <c r="N115" i="22" s="1"/>
  <c r="BS115" i="19" s="1"/>
  <c r="BP115" i="19"/>
  <c r="AG116" i="18" s="1"/>
  <c r="C116" i="18" s="1"/>
  <c r="Q117" i="18"/>
  <c r="CE138" i="20"/>
  <c r="K139" i="20"/>
  <c r="BO116" i="19"/>
  <c r="AF117" i="18" s="1"/>
  <c r="AC115" i="19"/>
  <c r="C115" i="19" s="1"/>
  <c r="C115" i="22" s="1"/>
  <c r="AS116" i="18" l="1"/>
  <c r="O116" i="18" s="1"/>
  <c r="AA116" i="19" s="1"/>
  <c r="AN116" i="19" s="1"/>
  <c r="N116" i="19" s="1"/>
  <c r="K116" i="22" s="1"/>
  <c r="U116" i="22" s="1"/>
  <c r="CA116" i="19" s="1"/>
  <c r="AE116" i="18"/>
  <c r="AT117" i="18" s="1"/>
  <c r="AB115" i="18"/>
  <c r="X114" i="19"/>
  <c r="AK114" i="19" s="1"/>
  <c r="K114" i="19" s="1"/>
  <c r="AA115" i="18"/>
  <c r="L115" i="18" s="1"/>
  <c r="X115" i="19" s="1"/>
  <c r="AK115" i="19" s="1"/>
  <c r="K115" i="19" s="1"/>
  <c r="BK114" i="19"/>
  <c r="AQ115" i="18" s="1"/>
  <c r="BA114" i="20"/>
  <c r="AO115" i="18"/>
  <c r="K115" i="18" s="1"/>
  <c r="Z116" i="18" s="1"/>
  <c r="BA115" i="20"/>
  <c r="P116" i="18"/>
  <c r="J115" i="18"/>
  <c r="Y116" i="18"/>
  <c r="BC115" i="20"/>
  <c r="Z115" i="19"/>
  <c r="AM115" i="19" s="1"/>
  <c r="M115" i="19" s="1"/>
  <c r="BM115" i="19"/>
  <c r="AV115" i="20"/>
  <c r="BG115" i="19"/>
  <c r="T115" i="19"/>
  <c r="AG115" i="19" s="1"/>
  <c r="G115" i="19" s="1"/>
  <c r="G115" i="22" s="1"/>
  <c r="Q115" i="22" s="1"/>
  <c r="BV115" i="19" s="1"/>
  <c r="AN116" i="18" s="1"/>
  <c r="BH115" i="19"/>
  <c r="U115" i="19"/>
  <c r="AH115" i="19" s="1"/>
  <c r="H115" i="19" s="1"/>
  <c r="H115" i="22" s="1"/>
  <c r="R115" i="22" s="1"/>
  <c r="BW115" i="19" s="1"/>
  <c r="AW115" i="20"/>
  <c r="W116" i="18"/>
  <c r="AM116" i="18"/>
  <c r="S115" i="19"/>
  <c r="AF115" i="19" s="1"/>
  <c r="F115" i="19" s="1"/>
  <c r="F115" i="22" s="1"/>
  <c r="P115" i="22" s="1"/>
  <c r="BU115" i="19" s="1"/>
  <c r="AL116" i="18" s="1"/>
  <c r="AI116" i="18"/>
  <c r="I115" i="18"/>
  <c r="AX115" i="20" s="1"/>
  <c r="AU115" i="20"/>
  <c r="V116" i="18"/>
  <c r="T116" i="18"/>
  <c r="U116" i="18"/>
  <c r="BE115" i="19"/>
  <c r="AJ116" i="18" s="1"/>
  <c r="R115" i="19"/>
  <c r="AE115" i="19" s="1"/>
  <c r="E115" i="19" s="1"/>
  <c r="E115" i="22" s="1"/>
  <c r="O115" i="22" s="1"/>
  <c r="BT115" i="19" s="1"/>
  <c r="AK116" i="18" s="1"/>
  <c r="S116" i="18"/>
  <c r="BB117" i="19"/>
  <c r="B117" i="18"/>
  <c r="AL139" i="20"/>
  <c r="BV139" i="20"/>
  <c r="M115" i="22"/>
  <c r="BQ115" i="19"/>
  <c r="AH116" i="18" s="1"/>
  <c r="R117" i="18"/>
  <c r="BC116" i="19"/>
  <c r="P116" i="19"/>
  <c r="AS117" i="18" l="1"/>
  <c r="BN116" i="19"/>
  <c r="M115" i="18"/>
  <c r="BL115" i="19"/>
  <c r="BK115" i="19"/>
  <c r="AQ116" i="18" s="1"/>
  <c r="Y115" i="19"/>
  <c r="AL115" i="19" s="1"/>
  <c r="L115" i="19" s="1"/>
  <c r="J115" i="22" s="1"/>
  <c r="T115" i="22" s="1"/>
  <c r="BY115" i="19" s="1"/>
  <c r="BB115" i="20"/>
  <c r="AP116" i="18"/>
  <c r="AE117" i="18"/>
  <c r="P117" i="18" s="1"/>
  <c r="J116" i="18"/>
  <c r="AY115" i="20"/>
  <c r="V115" i="19"/>
  <c r="AI115" i="19" s="1"/>
  <c r="I115" i="19" s="1"/>
  <c r="I115" i="22" s="1"/>
  <c r="S115" i="22" s="1"/>
  <c r="BX115" i="19" s="1"/>
  <c r="BI115" i="19"/>
  <c r="AO116" i="18" s="1"/>
  <c r="AZ115" i="20"/>
  <c r="W115" i="19"/>
  <c r="AJ115" i="19" s="1"/>
  <c r="J115" i="19" s="1"/>
  <c r="BJ115" i="19"/>
  <c r="AA116" i="18"/>
  <c r="H116" i="18"/>
  <c r="E116" i="18"/>
  <c r="R116" i="19" s="1"/>
  <c r="AE116" i="19" s="1"/>
  <c r="E116" i="19" s="1"/>
  <c r="E116" i="22" s="1"/>
  <c r="O116" i="22" s="1"/>
  <c r="BT116" i="19" s="1"/>
  <c r="G116" i="18"/>
  <c r="W117" i="18" s="1"/>
  <c r="X116" i="18"/>
  <c r="BR116" i="19"/>
  <c r="AI117" i="18"/>
  <c r="BD116" i="19"/>
  <c r="BE116" i="19"/>
  <c r="BP116" i="19"/>
  <c r="AG117" i="18" s="1"/>
  <c r="C117" i="18" s="1"/>
  <c r="D116" i="18"/>
  <c r="F116" i="18"/>
  <c r="O117" i="19"/>
  <c r="AB117" i="19" s="1"/>
  <c r="B117" i="19" s="1"/>
  <c r="B117" i="22" s="1"/>
  <c r="L117" i="22" s="1"/>
  <c r="BO117" i="19" s="1"/>
  <c r="AF118" i="18" s="1"/>
  <c r="Q118" i="18"/>
  <c r="AC139" i="20"/>
  <c r="AC116" i="19"/>
  <c r="C116" i="19" s="1"/>
  <c r="C116" i="22" s="1"/>
  <c r="AT118" i="18" l="1"/>
  <c r="BN117" i="19"/>
  <c r="BL116" i="19"/>
  <c r="AB116" i="18"/>
  <c r="M116" i="18" s="1"/>
  <c r="AC116" i="18"/>
  <c r="K116" i="18"/>
  <c r="Z117" i="18" s="1"/>
  <c r="BG116" i="19"/>
  <c r="AZ116" i="20"/>
  <c r="BJ116" i="19"/>
  <c r="AP117" i="18" s="1"/>
  <c r="W116" i="19"/>
  <c r="AJ116" i="19" s="1"/>
  <c r="J116" i="19" s="1"/>
  <c r="Y117" i="18"/>
  <c r="AY116" i="20"/>
  <c r="V116" i="19"/>
  <c r="AI116" i="19" s="1"/>
  <c r="I116" i="19" s="1"/>
  <c r="I116" i="22" s="1"/>
  <c r="S116" i="22" s="1"/>
  <c r="BX116" i="19" s="1"/>
  <c r="BI116" i="19"/>
  <c r="AO117" i="18" s="1"/>
  <c r="L116" i="18"/>
  <c r="AA117" i="18" s="1"/>
  <c r="Y116" i="19"/>
  <c r="AL116" i="19" s="1"/>
  <c r="L116" i="19" s="1"/>
  <c r="J116" i="22" s="1"/>
  <c r="T116" i="22" s="1"/>
  <c r="BY116" i="19" s="1"/>
  <c r="BB116" i="20"/>
  <c r="AV116" i="20"/>
  <c r="AW116" i="20"/>
  <c r="BH116" i="19"/>
  <c r="AM117" i="18" s="1"/>
  <c r="U116" i="19"/>
  <c r="AH116" i="19" s="1"/>
  <c r="H116" i="19" s="1"/>
  <c r="H116" i="22" s="1"/>
  <c r="R116" i="22" s="1"/>
  <c r="BW116" i="19" s="1"/>
  <c r="T116" i="19"/>
  <c r="AG116" i="19" s="1"/>
  <c r="G116" i="19" s="1"/>
  <c r="G116" i="22" s="1"/>
  <c r="Q116" i="22" s="1"/>
  <c r="BV116" i="19" s="1"/>
  <c r="AN117" i="18" s="1"/>
  <c r="I116" i="18"/>
  <c r="AX116" i="20" s="1"/>
  <c r="Q116" i="19"/>
  <c r="AD116" i="19" s="1"/>
  <c r="D116" i="19" s="1"/>
  <c r="D116" i="22" s="1"/>
  <c r="N116" i="22" s="1"/>
  <c r="BS116" i="19" s="1"/>
  <c r="AJ117" i="18" s="1"/>
  <c r="T117" i="18"/>
  <c r="V117" i="18"/>
  <c r="AU116" i="20"/>
  <c r="BF116" i="19"/>
  <c r="AK117" i="18" s="1"/>
  <c r="S116" i="19"/>
  <c r="AF116" i="19" s="1"/>
  <c r="F116" i="19" s="1"/>
  <c r="F116" i="22" s="1"/>
  <c r="P116" i="22" s="1"/>
  <c r="BU116" i="19" s="1"/>
  <c r="AL117" i="18" s="1"/>
  <c r="U117" i="18"/>
  <c r="S117" i="18"/>
  <c r="BB118" i="19"/>
  <c r="B118" i="18"/>
  <c r="O118" i="19" s="1"/>
  <c r="AB118" i="19" s="1"/>
  <c r="B118" i="19" s="1"/>
  <c r="B118" i="22" s="1"/>
  <c r="L118" i="22" s="1"/>
  <c r="CE139" i="20"/>
  <c r="K140" i="20"/>
  <c r="M116" i="22"/>
  <c r="BQ116" i="19"/>
  <c r="AH117" i="18" s="1"/>
  <c r="R118" i="18"/>
  <c r="BC117" i="19"/>
  <c r="P117" i="19"/>
  <c r="BZ116" i="19" l="1"/>
  <c r="AR117" i="18" s="1"/>
  <c r="AR118" i="18" s="1"/>
  <c r="N116" i="18"/>
  <c r="AC117" i="18"/>
  <c r="BZ117" i="19" s="1"/>
  <c r="L117" i="18"/>
  <c r="K117" i="18"/>
  <c r="AA118" i="18" s="1"/>
  <c r="BA117" i="20"/>
  <c r="X117" i="19"/>
  <c r="AK117" i="19" s="1"/>
  <c r="K117" i="19" s="1"/>
  <c r="BK117" i="19"/>
  <c r="BA116" i="20"/>
  <c r="X116" i="19"/>
  <c r="AK116" i="19" s="1"/>
  <c r="K116" i="19" s="1"/>
  <c r="BK116" i="19"/>
  <c r="AQ117" i="18" s="1"/>
  <c r="AB117" i="18"/>
  <c r="J117" i="18"/>
  <c r="Y118" i="18"/>
  <c r="H117" i="18"/>
  <c r="X117" i="18"/>
  <c r="D117" i="18"/>
  <c r="BP117" i="19"/>
  <c r="AG118" i="18" s="1"/>
  <c r="C118" i="18" s="1"/>
  <c r="BD117" i="19"/>
  <c r="F117" i="18"/>
  <c r="G117" i="18"/>
  <c r="V118" i="18" s="1"/>
  <c r="E117" i="18"/>
  <c r="T118" i="18" s="1"/>
  <c r="BR117" i="19"/>
  <c r="Q119" i="18"/>
  <c r="AL140" i="20"/>
  <c r="BV140" i="20"/>
  <c r="AC117" i="19"/>
  <c r="C117" i="19" s="1"/>
  <c r="C117" i="22" s="1"/>
  <c r="BO118" i="19"/>
  <c r="AF119" i="18" s="1"/>
  <c r="N117" i="18" l="1"/>
  <c r="BL117" i="19"/>
  <c r="BM116" i="19"/>
  <c r="AD117" i="18"/>
  <c r="BC116" i="20"/>
  <c r="Z116" i="19"/>
  <c r="AM116" i="19" s="1"/>
  <c r="M116" i="19" s="1"/>
  <c r="BJ117" i="19"/>
  <c r="AZ117" i="20"/>
  <c r="W117" i="19"/>
  <c r="AJ117" i="19" s="1"/>
  <c r="J117" i="19" s="1"/>
  <c r="AY117" i="20"/>
  <c r="BI117" i="19"/>
  <c r="V117" i="19"/>
  <c r="AI117" i="19" s="1"/>
  <c r="I117" i="19" s="1"/>
  <c r="I117" i="22" s="1"/>
  <c r="S117" i="22" s="1"/>
  <c r="BX117" i="19" s="1"/>
  <c r="Z118" i="18"/>
  <c r="BC117" i="20"/>
  <c r="Z117" i="19"/>
  <c r="AM117" i="19" s="1"/>
  <c r="M117" i="19" s="1"/>
  <c r="BM117" i="19"/>
  <c r="M117" i="18"/>
  <c r="AB118" i="18" s="1"/>
  <c r="BH117" i="19"/>
  <c r="AM118" i="18" s="1"/>
  <c r="AW117" i="20"/>
  <c r="U117" i="19"/>
  <c r="AH117" i="19" s="1"/>
  <c r="H117" i="19" s="1"/>
  <c r="H117" i="22" s="1"/>
  <c r="R117" i="22" s="1"/>
  <c r="BW117" i="19" s="1"/>
  <c r="I117" i="18"/>
  <c r="AX117" i="20" s="1"/>
  <c r="AI118" i="18"/>
  <c r="E118" i="18" s="1"/>
  <c r="U118" i="18"/>
  <c r="BR118" i="19"/>
  <c r="BG117" i="19"/>
  <c r="T117" i="19"/>
  <c r="AG117" i="19" s="1"/>
  <c r="G117" i="19" s="1"/>
  <c r="G117" i="22" s="1"/>
  <c r="Q117" i="22" s="1"/>
  <c r="BV117" i="19" s="1"/>
  <c r="AN118" i="18" s="1"/>
  <c r="AV117" i="20"/>
  <c r="W118" i="18"/>
  <c r="BE117" i="19"/>
  <c r="R117" i="19"/>
  <c r="AE117" i="19" s="1"/>
  <c r="E117" i="19" s="1"/>
  <c r="E117" i="22" s="1"/>
  <c r="O117" i="22" s="1"/>
  <c r="BT117" i="19" s="1"/>
  <c r="BF117" i="19"/>
  <c r="S117" i="19"/>
  <c r="AF117" i="19" s="1"/>
  <c r="F117" i="19" s="1"/>
  <c r="F117" i="22" s="1"/>
  <c r="P117" i="22" s="1"/>
  <c r="BU117" i="19" s="1"/>
  <c r="AU117" i="20"/>
  <c r="Q117" i="19"/>
  <c r="AD117" i="19" s="1"/>
  <c r="D117" i="19" s="1"/>
  <c r="D117" i="22" s="1"/>
  <c r="N117" i="22" s="1"/>
  <c r="BS117" i="19" s="1"/>
  <c r="S118" i="18"/>
  <c r="BB119" i="19"/>
  <c r="B119" i="18"/>
  <c r="AC140" i="20"/>
  <c r="R119" i="18"/>
  <c r="BC118" i="19"/>
  <c r="P118" i="19"/>
  <c r="M117" i="22"/>
  <c r="BQ117" i="19"/>
  <c r="AH118" i="18" s="1"/>
  <c r="O117" i="18" l="1"/>
  <c r="AP118" i="18"/>
  <c r="AO118" i="18"/>
  <c r="BB117" i="20"/>
  <c r="Y117" i="19"/>
  <c r="AL117" i="19" s="1"/>
  <c r="L117" i="19" s="1"/>
  <c r="J117" i="22" s="1"/>
  <c r="T117" i="22" s="1"/>
  <c r="BY117" i="19" s="1"/>
  <c r="AQ118" i="18" s="1"/>
  <c r="AC118" i="18"/>
  <c r="K118" i="18"/>
  <c r="Z119" i="18" s="1"/>
  <c r="J118" i="18"/>
  <c r="AL118" i="18"/>
  <c r="H118" i="18" s="1"/>
  <c r="AK118" i="18"/>
  <c r="G118" i="18" s="1"/>
  <c r="X118" i="18"/>
  <c r="I118" i="18" s="1"/>
  <c r="AX118" i="20" s="1"/>
  <c r="AJ118" i="18"/>
  <c r="BD118" i="19"/>
  <c r="AI119" i="18" s="1"/>
  <c r="R118" i="19"/>
  <c r="AE118" i="19" s="1"/>
  <c r="E118" i="19" s="1"/>
  <c r="E118" i="22" s="1"/>
  <c r="O118" i="22" s="1"/>
  <c r="BT118" i="19" s="1"/>
  <c r="BE118" i="19"/>
  <c r="D118" i="18"/>
  <c r="BP118" i="19"/>
  <c r="AG119" i="18" s="1"/>
  <c r="C119" i="18" s="1"/>
  <c r="O119" i="19"/>
  <c r="AB119" i="19" s="1"/>
  <c r="B119" i="19" s="1"/>
  <c r="B119" i="22" s="1"/>
  <c r="L119" i="22" s="1"/>
  <c r="BO119" i="19" s="1"/>
  <c r="AF120" i="18" s="1"/>
  <c r="Q120" i="18"/>
  <c r="CE140" i="20"/>
  <c r="K141" i="20"/>
  <c r="AC118" i="19"/>
  <c r="C118" i="19" s="1"/>
  <c r="C118" i="22" s="1"/>
  <c r="AD118" i="18" l="1"/>
  <c r="AA117" i="19"/>
  <c r="AN117" i="19" s="1"/>
  <c r="N117" i="19" s="1"/>
  <c r="K117" i="22" s="1"/>
  <c r="U117" i="22" s="1"/>
  <c r="CA117" i="19" s="1"/>
  <c r="AS118" i="18" s="1"/>
  <c r="AE118" i="18"/>
  <c r="BL118" i="19"/>
  <c r="M118" i="18"/>
  <c r="L118" i="18"/>
  <c r="AA119" i="18" s="1"/>
  <c r="AY118" i="20"/>
  <c r="V118" i="19"/>
  <c r="AI118" i="19" s="1"/>
  <c r="I118" i="19" s="1"/>
  <c r="I118" i="22" s="1"/>
  <c r="S118" i="22" s="1"/>
  <c r="BX118" i="19" s="1"/>
  <c r="BI118" i="19"/>
  <c r="AO119" i="18" s="1"/>
  <c r="Y119" i="18"/>
  <c r="BZ118" i="19"/>
  <c r="AR119" i="18" s="1"/>
  <c r="N118" i="18"/>
  <c r="AZ118" i="20"/>
  <c r="W118" i="19"/>
  <c r="AJ118" i="19" s="1"/>
  <c r="J118" i="19" s="1"/>
  <c r="BJ118" i="19"/>
  <c r="AP119" i="18" s="1"/>
  <c r="T118" i="19"/>
  <c r="AG118" i="19" s="1"/>
  <c r="G118" i="19" s="1"/>
  <c r="G118" i="22" s="1"/>
  <c r="Q118" i="22" s="1"/>
  <c r="BV118" i="19" s="1"/>
  <c r="AN119" i="18" s="1"/>
  <c r="AV118" i="20"/>
  <c r="BG118" i="19"/>
  <c r="W119" i="18"/>
  <c r="F118" i="18"/>
  <c r="U118" i="19"/>
  <c r="AH118" i="19" s="1"/>
  <c r="H118" i="19" s="1"/>
  <c r="H118" i="22" s="1"/>
  <c r="R118" i="22" s="1"/>
  <c r="BW118" i="19" s="1"/>
  <c r="AW118" i="20"/>
  <c r="X119" i="18"/>
  <c r="BH118" i="19"/>
  <c r="AM119" i="18" s="1"/>
  <c r="T119" i="18"/>
  <c r="Q118" i="19"/>
  <c r="AD118" i="19" s="1"/>
  <c r="D118" i="19" s="1"/>
  <c r="D118" i="22" s="1"/>
  <c r="N118" i="22" s="1"/>
  <c r="BS118" i="19" s="1"/>
  <c r="AJ119" i="18" s="1"/>
  <c r="S119" i="18"/>
  <c r="BB120" i="19"/>
  <c r="B120" i="18"/>
  <c r="O120" i="19" s="1"/>
  <c r="AB120" i="19" s="1"/>
  <c r="B120" i="19" s="1"/>
  <c r="B120" i="22" s="1"/>
  <c r="L120" i="22" s="1"/>
  <c r="Q121" i="18"/>
  <c r="BV141" i="20"/>
  <c r="AL141" i="20"/>
  <c r="M118" i="22"/>
  <c r="BQ118" i="19"/>
  <c r="AH119" i="18" s="1"/>
  <c r="R120" i="18"/>
  <c r="BC119" i="19"/>
  <c r="P119" i="19"/>
  <c r="P118" i="18" l="1"/>
  <c r="AT119" i="18"/>
  <c r="BN118" i="19"/>
  <c r="O118" i="18"/>
  <c r="AA118" i="19" s="1"/>
  <c r="AN118" i="19" s="1"/>
  <c r="N118" i="19" s="1"/>
  <c r="K118" i="22" s="1"/>
  <c r="U118" i="22" s="1"/>
  <c r="CA118" i="19" s="1"/>
  <c r="AS119" i="18" s="1"/>
  <c r="BB118" i="20"/>
  <c r="Y118" i="19"/>
  <c r="AL118" i="19" s="1"/>
  <c r="L118" i="19" s="1"/>
  <c r="J118" i="22" s="1"/>
  <c r="T118" i="22" s="1"/>
  <c r="BY118" i="19" s="1"/>
  <c r="AC119" i="18"/>
  <c r="AR120" i="18" s="1"/>
  <c r="BK118" i="19"/>
  <c r="AQ119" i="18" s="1"/>
  <c r="AB119" i="18"/>
  <c r="X118" i="19"/>
  <c r="AK118" i="19" s="1"/>
  <c r="K118" i="19" s="1"/>
  <c r="BA118" i="20"/>
  <c r="K119" i="18"/>
  <c r="BC118" i="20"/>
  <c r="Z118" i="19"/>
  <c r="AM118" i="19" s="1"/>
  <c r="M118" i="19" s="1"/>
  <c r="BM118" i="19"/>
  <c r="AD119" i="18"/>
  <c r="J119" i="18"/>
  <c r="L119" i="18"/>
  <c r="AA120" i="18" s="1"/>
  <c r="BZ119" i="19"/>
  <c r="AZ119" i="20"/>
  <c r="BJ119" i="19"/>
  <c r="W119" i="19"/>
  <c r="AJ119" i="19" s="1"/>
  <c r="J119" i="19" s="1"/>
  <c r="S118" i="19"/>
  <c r="AF118" i="19" s="1"/>
  <c r="F118" i="19" s="1"/>
  <c r="F118" i="22" s="1"/>
  <c r="P118" i="22" s="1"/>
  <c r="BU118" i="19" s="1"/>
  <c r="AL119" i="18" s="1"/>
  <c r="BF118" i="19"/>
  <c r="AK119" i="18" s="1"/>
  <c r="AU118" i="20"/>
  <c r="V119" i="18"/>
  <c r="U119" i="18"/>
  <c r="F119" i="18" s="1"/>
  <c r="BD119" i="19"/>
  <c r="E119" i="18"/>
  <c r="BR119" i="19"/>
  <c r="I119" i="18"/>
  <c r="AX119" i="20" s="1"/>
  <c r="D119" i="18"/>
  <c r="BP119" i="19"/>
  <c r="AG120" i="18" s="1"/>
  <c r="C120" i="18" s="1"/>
  <c r="AC141" i="20"/>
  <c r="BO120" i="19"/>
  <c r="AF121" i="18" s="1"/>
  <c r="AC119" i="19"/>
  <c r="C119" i="19" s="1"/>
  <c r="C119" i="22" s="1"/>
  <c r="BN119" i="19" l="1"/>
  <c r="AE119" i="18"/>
  <c r="P119" i="18" s="1"/>
  <c r="N119" i="18"/>
  <c r="BM119" i="19" s="1"/>
  <c r="BL119" i="19"/>
  <c r="M119" i="18"/>
  <c r="AP120" i="18"/>
  <c r="L120" i="18" s="1"/>
  <c r="BC119" i="20"/>
  <c r="Z119" i="19"/>
  <c r="AM119" i="19" s="1"/>
  <c r="M119" i="19" s="1"/>
  <c r="BA119" i="20"/>
  <c r="X119" i="19"/>
  <c r="AK119" i="19" s="1"/>
  <c r="K119" i="19" s="1"/>
  <c r="BK119" i="19"/>
  <c r="Y120" i="18"/>
  <c r="AY119" i="20"/>
  <c r="V119" i="19"/>
  <c r="AI119" i="19" s="1"/>
  <c r="I119" i="19" s="1"/>
  <c r="I119" i="22" s="1"/>
  <c r="S119" i="22" s="1"/>
  <c r="BX119" i="19" s="1"/>
  <c r="BI119" i="19"/>
  <c r="Z120" i="18"/>
  <c r="O119" i="18"/>
  <c r="H119" i="18"/>
  <c r="G119" i="18"/>
  <c r="AI120" i="18"/>
  <c r="V120" i="18"/>
  <c r="AU119" i="20"/>
  <c r="S119" i="19"/>
  <c r="AF119" i="19" s="1"/>
  <c r="F119" i="19" s="1"/>
  <c r="F119" i="22" s="1"/>
  <c r="P119" i="22" s="1"/>
  <c r="BU119" i="19" s="1"/>
  <c r="BF119" i="19"/>
  <c r="BG119" i="19"/>
  <c r="AL120" i="18" s="1"/>
  <c r="T119" i="19"/>
  <c r="AG119" i="19" s="1"/>
  <c r="G119" i="19" s="1"/>
  <c r="G119" i="22" s="1"/>
  <c r="Q119" i="22" s="1"/>
  <c r="BV119" i="19" s="1"/>
  <c r="AN120" i="18" s="1"/>
  <c r="AV119" i="20"/>
  <c r="W120" i="18"/>
  <c r="S120" i="18"/>
  <c r="Q119" i="19"/>
  <c r="AD119" i="19" s="1"/>
  <c r="D119" i="19" s="1"/>
  <c r="D119" i="22" s="1"/>
  <c r="N119" i="22" s="1"/>
  <c r="BS119" i="19" s="1"/>
  <c r="R119" i="19"/>
  <c r="AE119" i="19" s="1"/>
  <c r="E119" i="19" s="1"/>
  <c r="E119" i="22" s="1"/>
  <c r="O119" i="22" s="1"/>
  <c r="BT119" i="19" s="1"/>
  <c r="U120" i="18"/>
  <c r="BE119" i="19"/>
  <c r="T120" i="18"/>
  <c r="X120" i="18"/>
  <c r="BB121" i="19"/>
  <c r="B121" i="18"/>
  <c r="CE141" i="20"/>
  <c r="K142" i="20"/>
  <c r="M119" i="22"/>
  <c r="BQ119" i="19"/>
  <c r="AH120" i="18" s="1"/>
  <c r="R121" i="18"/>
  <c r="BC120" i="19"/>
  <c r="P120" i="19"/>
  <c r="AT120" i="18" l="1"/>
  <c r="AT121" i="18" s="1"/>
  <c r="AD120" i="18"/>
  <c r="BB119" i="20"/>
  <c r="Y119" i="19"/>
  <c r="AL119" i="19" s="1"/>
  <c r="L119" i="19" s="1"/>
  <c r="J119" i="22" s="1"/>
  <c r="T119" i="22" s="1"/>
  <c r="BY119" i="19" s="1"/>
  <c r="AQ120" i="18" s="1"/>
  <c r="AC120" i="18"/>
  <c r="AB120" i="18"/>
  <c r="AA119" i="19"/>
  <c r="AN119" i="19" s="1"/>
  <c r="N119" i="19" s="1"/>
  <c r="K119" i="22" s="1"/>
  <c r="U119" i="22" s="1"/>
  <c r="CA119" i="19" s="1"/>
  <c r="AS120" i="18" s="1"/>
  <c r="O120" i="18" s="1"/>
  <c r="AA120" i="19" s="1"/>
  <c r="AN120" i="19" s="1"/>
  <c r="N120" i="19" s="1"/>
  <c r="K120" i="22" s="1"/>
  <c r="U120" i="22" s="1"/>
  <c r="CA120" i="19" s="1"/>
  <c r="AE120" i="18"/>
  <c r="BA120" i="20"/>
  <c r="X120" i="19"/>
  <c r="AK120" i="19" s="1"/>
  <c r="K120" i="19" s="1"/>
  <c r="BK120" i="19"/>
  <c r="J120" i="18"/>
  <c r="Y121" i="18"/>
  <c r="H120" i="18"/>
  <c r="AK120" i="18"/>
  <c r="BH119" i="19"/>
  <c r="AM120" i="18" s="1"/>
  <c r="AM121" i="18" s="1"/>
  <c r="U119" i="19"/>
  <c r="AH119" i="19" s="1"/>
  <c r="H119" i="19" s="1"/>
  <c r="H119" i="22" s="1"/>
  <c r="R119" i="22" s="1"/>
  <c r="BW119" i="19" s="1"/>
  <c r="AO120" i="18" s="1"/>
  <c r="AW119" i="20"/>
  <c r="AJ120" i="18"/>
  <c r="F120" i="18" s="1"/>
  <c r="G120" i="18"/>
  <c r="W121" i="18" s="1"/>
  <c r="AW120" i="20"/>
  <c r="BH120" i="19"/>
  <c r="U120" i="19"/>
  <c r="AH120" i="19" s="1"/>
  <c r="H120" i="19" s="1"/>
  <c r="H120" i="22" s="1"/>
  <c r="R120" i="22" s="1"/>
  <c r="BW120" i="19" s="1"/>
  <c r="BG120" i="19"/>
  <c r="I120" i="18"/>
  <c r="AX120" i="20" s="1"/>
  <c r="BR120" i="19"/>
  <c r="E120" i="18"/>
  <c r="BD120" i="19"/>
  <c r="D120" i="18"/>
  <c r="BP120" i="19"/>
  <c r="AG121" i="18" s="1"/>
  <c r="C121" i="18" s="1"/>
  <c r="O121" i="19"/>
  <c r="AB121" i="19" s="1"/>
  <c r="B121" i="19" s="1"/>
  <c r="B121" i="22" s="1"/>
  <c r="L121" i="22" s="1"/>
  <c r="BO121" i="19" s="1"/>
  <c r="AF122" i="18" s="1"/>
  <c r="Q122" i="18"/>
  <c r="AL142" i="20"/>
  <c r="BV142" i="20"/>
  <c r="AC120" i="19"/>
  <c r="C120" i="19" s="1"/>
  <c r="C120" i="22" s="1"/>
  <c r="AS121" i="18" l="1"/>
  <c r="BN120" i="19"/>
  <c r="BL120" i="19"/>
  <c r="BZ120" i="19"/>
  <c r="AR121" i="18" s="1"/>
  <c r="N120" i="18"/>
  <c r="AC121" i="18" s="1"/>
  <c r="M120" i="18"/>
  <c r="K120" i="18"/>
  <c r="AD121" i="18"/>
  <c r="P120" i="18"/>
  <c r="AE121" i="18" s="1"/>
  <c r="AT122" i="18" s="1"/>
  <c r="AZ120" i="20"/>
  <c r="W120" i="19"/>
  <c r="AJ120" i="19" s="1"/>
  <c r="J120" i="19" s="1"/>
  <c r="BJ120" i="19"/>
  <c r="J121" i="18"/>
  <c r="AY120" i="20"/>
  <c r="BI120" i="19"/>
  <c r="AO121" i="18" s="1"/>
  <c r="V120" i="19"/>
  <c r="AI120" i="19" s="1"/>
  <c r="I120" i="19" s="1"/>
  <c r="I120" i="22" s="1"/>
  <c r="S120" i="22" s="1"/>
  <c r="BX120" i="19" s="1"/>
  <c r="BF120" i="19"/>
  <c r="AU120" i="20"/>
  <c r="V121" i="18"/>
  <c r="S120" i="19"/>
  <c r="AF120" i="19" s="1"/>
  <c r="F120" i="19" s="1"/>
  <c r="F120" i="22" s="1"/>
  <c r="P120" i="22" s="1"/>
  <c r="BU120" i="19" s="1"/>
  <c r="AL121" i="18" s="1"/>
  <c r="AV120" i="20"/>
  <c r="X121" i="18"/>
  <c r="T120" i="19"/>
  <c r="AG120" i="19" s="1"/>
  <c r="G120" i="19" s="1"/>
  <c r="G120" i="22" s="1"/>
  <c r="Q120" i="22" s="1"/>
  <c r="BV120" i="19" s="1"/>
  <c r="AN121" i="18" s="1"/>
  <c r="AI121" i="18"/>
  <c r="S121" i="18"/>
  <c r="Q120" i="19"/>
  <c r="AD120" i="19" s="1"/>
  <c r="D120" i="19" s="1"/>
  <c r="D120" i="22" s="1"/>
  <c r="N120" i="22" s="1"/>
  <c r="BS120" i="19" s="1"/>
  <c r="T121" i="18"/>
  <c r="U121" i="18"/>
  <c r="BE120" i="19"/>
  <c r="R120" i="19"/>
  <c r="AE120" i="19" s="1"/>
  <c r="E120" i="19" s="1"/>
  <c r="E120" i="22" s="1"/>
  <c r="O120" i="22" s="1"/>
  <c r="BT120" i="19" s="1"/>
  <c r="BB122" i="19"/>
  <c r="B122" i="18"/>
  <c r="O122" i="19" s="1"/>
  <c r="AB122" i="19" s="1"/>
  <c r="B122" i="19" s="1"/>
  <c r="B122" i="22" s="1"/>
  <c r="L122" i="22" s="1"/>
  <c r="AC142" i="20"/>
  <c r="M120" i="22"/>
  <c r="BQ120" i="19"/>
  <c r="AH121" i="18" s="1"/>
  <c r="R122" i="18"/>
  <c r="BC121" i="19"/>
  <c r="P121" i="19"/>
  <c r="O121" i="18" l="1"/>
  <c r="AA121" i="19" s="1"/>
  <c r="AN121" i="19" s="1"/>
  <c r="N121" i="19" s="1"/>
  <c r="K121" i="22" s="1"/>
  <c r="U121" i="22" s="1"/>
  <c r="CA121" i="19" s="1"/>
  <c r="AS122" i="18" s="1"/>
  <c r="BN121" i="19"/>
  <c r="BZ121" i="19"/>
  <c r="N121" i="18"/>
  <c r="AR122" i="18"/>
  <c r="BC120" i="20"/>
  <c r="Z120" i="19"/>
  <c r="AM120" i="19" s="1"/>
  <c r="M120" i="19" s="1"/>
  <c r="BM120" i="19"/>
  <c r="BB120" i="20"/>
  <c r="Y120" i="19"/>
  <c r="AL120" i="19" s="1"/>
  <c r="L120" i="19" s="1"/>
  <c r="J120" i="22" s="1"/>
  <c r="T120" i="22" s="1"/>
  <c r="BY120" i="19" s="1"/>
  <c r="AQ121" i="18" s="1"/>
  <c r="AB121" i="18"/>
  <c r="AP121" i="18"/>
  <c r="AD122" i="18"/>
  <c r="Z121" i="18"/>
  <c r="K121" i="18" s="1"/>
  <c r="AA121" i="18"/>
  <c r="L121" i="18" s="1"/>
  <c r="AY121" i="20"/>
  <c r="V121" i="19"/>
  <c r="AI121" i="19" s="1"/>
  <c r="I121" i="19" s="1"/>
  <c r="I121" i="22" s="1"/>
  <c r="S121" i="22" s="1"/>
  <c r="BI121" i="19"/>
  <c r="Z122" i="18"/>
  <c r="P121" i="18"/>
  <c r="AE122" i="18" s="1"/>
  <c r="AT123" i="18" s="1"/>
  <c r="BC121" i="20"/>
  <c r="Z121" i="19"/>
  <c r="AM121" i="19" s="1"/>
  <c r="M121" i="19" s="1"/>
  <c r="BM121" i="19"/>
  <c r="AK121" i="18"/>
  <c r="Y122" i="18"/>
  <c r="BK121" i="19"/>
  <c r="H121" i="18"/>
  <c r="I121" i="18"/>
  <c r="AX121" i="20" s="1"/>
  <c r="X122" i="18"/>
  <c r="G121" i="18"/>
  <c r="AJ121" i="18"/>
  <c r="F121" i="18" s="1"/>
  <c r="BD121" i="19"/>
  <c r="E121" i="18"/>
  <c r="BR121" i="19"/>
  <c r="Q123" i="18"/>
  <c r="D121" i="18"/>
  <c r="BP121" i="19"/>
  <c r="AG122" i="18" s="1"/>
  <c r="C122" i="18" s="1"/>
  <c r="CE142" i="20"/>
  <c r="K143" i="20"/>
  <c r="AC121" i="19"/>
  <c r="C121" i="19" s="1"/>
  <c r="C121" i="22" s="1"/>
  <c r="BO122" i="19"/>
  <c r="AF123" i="18" s="1"/>
  <c r="BN122" i="19" l="1"/>
  <c r="O122" i="18"/>
  <c r="AA122" i="19" s="1"/>
  <c r="AN122" i="19" s="1"/>
  <c r="N122" i="19" s="1"/>
  <c r="K122" i="22" s="1"/>
  <c r="U122" i="22" s="1"/>
  <c r="CA122" i="19" s="1"/>
  <c r="AS123" i="18" s="1"/>
  <c r="AB122" i="18"/>
  <c r="M121" i="18"/>
  <c r="BL121" i="19"/>
  <c r="X121" i="19"/>
  <c r="AK121" i="19" s="1"/>
  <c r="K121" i="19" s="1"/>
  <c r="AA122" i="18"/>
  <c r="BX121" i="19"/>
  <c r="BA121" i="20"/>
  <c r="AZ121" i="20"/>
  <c r="W121" i="19"/>
  <c r="AJ121" i="19" s="1"/>
  <c r="J121" i="19" s="1"/>
  <c r="BJ121" i="19"/>
  <c r="AP122" i="18" s="1"/>
  <c r="P122" i="18"/>
  <c r="BH121" i="19"/>
  <c r="AM122" i="18" s="1"/>
  <c r="U121" i="19"/>
  <c r="AH121" i="19" s="1"/>
  <c r="H121" i="19" s="1"/>
  <c r="H121" i="22" s="1"/>
  <c r="R121" i="22" s="1"/>
  <c r="BW121" i="19" s="1"/>
  <c r="AO122" i="18" s="1"/>
  <c r="AW121" i="20"/>
  <c r="BG121" i="19"/>
  <c r="T121" i="19"/>
  <c r="AG121" i="19" s="1"/>
  <c r="G121" i="19" s="1"/>
  <c r="G121" i="22" s="1"/>
  <c r="Q121" i="22" s="1"/>
  <c r="BV121" i="19" s="1"/>
  <c r="AN122" i="18" s="1"/>
  <c r="W122" i="18"/>
  <c r="AV121" i="20"/>
  <c r="BF121" i="19"/>
  <c r="V122" i="18"/>
  <c r="AU121" i="20"/>
  <c r="S121" i="19"/>
  <c r="AF121" i="19" s="1"/>
  <c r="F121" i="19" s="1"/>
  <c r="F121" i="22" s="1"/>
  <c r="P121" i="22" s="1"/>
  <c r="BU121" i="19" s="1"/>
  <c r="T122" i="18"/>
  <c r="BR122" i="19" s="1"/>
  <c r="AI122" i="18"/>
  <c r="U122" i="18"/>
  <c r="BE121" i="19"/>
  <c r="R121" i="19"/>
  <c r="AE121" i="19" s="1"/>
  <c r="E121" i="19" s="1"/>
  <c r="E121" i="22" s="1"/>
  <c r="O121" i="22" s="1"/>
  <c r="BT121" i="19" s="1"/>
  <c r="Q121" i="19"/>
  <c r="AD121" i="19" s="1"/>
  <c r="D121" i="19" s="1"/>
  <c r="D121" i="22" s="1"/>
  <c r="N121" i="22" s="1"/>
  <c r="BS121" i="19" s="1"/>
  <c r="S122" i="18"/>
  <c r="BB123" i="19"/>
  <c r="B123" i="18"/>
  <c r="AL143" i="20"/>
  <c r="BV143" i="20"/>
  <c r="M121" i="22"/>
  <c r="BQ121" i="19"/>
  <c r="AH122" i="18" s="1"/>
  <c r="R123" i="18"/>
  <c r="BC122" i="19"/>
  <c r="P122" i="19"/>
  <c r="BN123" i="19" l="1"/>
  <c r="AE123" i="18"/>
  <c r="AC122" i="18"/>
  <c r="BB121" i="20"/>
  <c r="Y121" i="19"/>
  <c r="AL121" i="19" s="1"/>
  <c r="L121" i="19" s="1"/>
  <c r="J121" i="22" s="1"/>
  <c r="T121" i="22" s="1"/>
  <c r="BY121" i="19" s="1"/>
  <c r="AQ122" i="18" s="1"/>
  <c r="M122" i="18" s="1"/>
  <c r="L122" i="18"/>
  <c r="K122" i="18"/>
  <c r="AZ122" i="20"/>
  <c r="W122" i="19"/>
  <c r="AJ122" i="19" s="1"/>
  <c r="J122" i="19" s="1"/>
  <c r="BJ122" i="19"/>
  <c r="J122" i="18"/>
  <c r="AL122" i="18"/>
  <c r="H122" i="18" s="1"/>
  <c r="I122" i="18"/>
  <c r="AX122" i="20" s="1"/>
  <c r="E122" i="18"/>
  <c r="BE122" i="19" s="1"/>
  <c r="AJ122" i="18"/>
  <c r="F122" i="18" s="1"/>
  <c r="AK122" i="18"/>
  <c r="BD122" i="19"/>
  <c r="AI123" i="18" s="1"/>
  <c r="R122" i="19"/>
  <c r="D122" i="18"/>
  <c r="BP122" i="19"/>
  <c r="AG123" i="18" s="1"/>
  <c r="C123" i="18" s="1"/>
  <c r="O123" i="19"/>
  <c r="AB123" i="19" s="1"/>
  <c r="B123" i="19" s="1"/>
  <c r="B123" i="22" s="1"/>
  <c r="L123" i="22" s="1"/>
  <c r="BO123" i="19" s="1"/>
  <c r="AF124" i="18" s="1"/>
  <c r="Q124" i="18"/>
  <c r="AC143" i="20"/>
  <c r="AE122" i="19"/>
  <c r="E122" i="19" s="1"/>
  <c r="E122" i="22" s="1"/>
  <c r="O122" i="22" s="1"/>
  <c r="BT122" i="19" s="1"/>
  <c r="AC122" i="19"/>
  <c r="C122" i="19" s="1"/>
  <c r="C122" i="22" s="1"/>
  <c r="P123" i="18" l="1"/>
  <c r="AT124" i="18"/>
  <c r="Y122" i="19"/>
  <c r="AL122" i="19" s="1"/>
  <c r="L122" i="19" s="1"/>
  <c r="J122" i="22" s="1"/>
  <c r="T122" i="22" s="1"/>
  <c r="BY122" i="19" s="1"/>
  <c r="BB122" i="20"/>
  <c r="BL122" i="19"/>
  <c r="BZ122" i="19"/>
  <c r="AR123" i="18" s="1"/>
  <c r="N122" i="18"/>
  <c r="AA123" i="18"/>
  <c r="X122" i="19"/>
  <c r="AK122" i="19" s="1"/>
  <c r="K122" i="19" s="1"/>
  <c r="AB123" i="18"/>
  <c r="BK122" i="19"/>
  <c r="AQ123" i="18" s="1"/>
  <c r="BA122" i="20"/>
  <c r="AY122" i="20"/>
  <c r="V122" i="19"/>
  <c r="AI122" i="19" s="1"/>
  <c r="I122" i="19" s="1"/>
  <c r="I122" i="22" s="1"/>
  <c r="S122" i="22" s="1"/>
  <c r="BX122" i="19" s="1"/>
  <c r="AP123" i="18" s="1"/>
  <c r="BI122" i="19"/>
  <c r="Z123" i="18"/>
  <c r="Y123" i="18"/>
  <c r="U122" i="19"/>
  <c r="AH122" i="19" s="1"/>
  <c r="H122" i="19" s="1"/>
  <c r="H122" i="22" s="1"/>
  <c r="R122" i="22" s="1"/>
  <c r="BW122" i="19" s="1"/>
  <c r="X123" i="18"/>
  <c r="BH122" i="19"/>
  <c r="AM123" i="18" s="1"/>
  <c r="AW122" i="20"/>
  <c r="BF122" i="19"/>
  <c r="AU122" i="20"/>
  <c r="U123" i="18"/>
  <c r="S122" i="19"/>
  <c r="AF122" i="19" s="1"/>
  <c r="F122" i="19" s="1"/>
  <c r="F122" i="22" s="1"/>
  <c r="P122" i="22" s="1"/>
  <c r="BU122" i="19" s="1"/>
  <c r="AK123" i="18"/>
  <c r="G122" i="18"/>
  <c r="Q122" i="19"/>
  <c r="AD122" i="19" s="1"/>
  <c r="D122" i="19" s="1"/>
  <c r="D122" i="22" s="1"/>
  <c r="N122" i="22" s="1"/>
  <c r="BS122" i="19" s="1"/>
  <c r="AJ123" i="18" s="1"/>
  <c r="T123" i="18"/>
  <c r="S123" i="18"/>
  <c r="B124" i="18"/>
  <c r="O124" i="19" s="1"/>
  <c r="AB124" i="19" s="1"/>
  <c r="B124" i="19" s="1"/>
  <c r="B124" i="22" s="1"/>
  <c r="L124" i="22" s="1"/>
  <c r="BB124" i="19"/>
  <c r="CE143" i="20"/>
  <c r="K144" i="20"/>
  <c r="M122" i="22"/>
  <c r="BQ122" i="19"/>
  <c r="AH123" i="18" s="1"/>
  <c r="R124" i="18"/>
  <c r="BC123" i="19"/>
  <c r="P123" i="19"/>
  <c r="BL123" i="19" l="1"/>
  <c r="M123" i="18"/>
  <c r="AD123" i="18"/>
  <c r="Z122" i="19"/>
  <c r="AM122" i="19" s="1"/>
  <c r="M122" i="19" s="1"/>
  <c r="BM122" i="19"/>
  <c r="BC122" i="20"/>
  <c r="AC123" i="18"/>
  <c r="L123" i="18"/>
  <c r="Y123" i="19"/>
  <c r="AL123" i="19" s="1"/>
  <c r="L123" i="19" s="1"/>
  <c r="J123" i="22" s="1"/>
  <c r="T123" i="22" s="1"/>
  <c r="BY123" i="19" s="1"/>
  <c r="BB123" i="20"/>
  <c r="AO123" i="18"/>
  <c r="K123" i="18" s="1"/>
  <c r="I123" i="18"/>
  <c r="AX123" i="20" s="1"/>
  <c r="BG122" i="19"/>
  <c r="AL123" i="18" s="1"/>
  <c r="W123" i="18"/>
  <c r="T122" i="19"/>
  <c r="AG122" i="19" s="1"/>
  <c r="G122" i="19" s="1"/>
  <c r="G122" i="22" s="1"/>
  <c r="Q122" i="22" s="1"/>
  <c r="BV122" i="19" s="1"/>
  <c r="AN123" i="18" s="1"/>
  <c r="AV122" i="20"/>
  <c r="V123" i="18"/>
  <c r="G123" i="18" s="1"/>
  <c r="F123" i="18"/>
  <c r="D123" i="18"/>
  <c r="BP123" i="19"/>
  <c r="AG124" i="18" s="1"/>
  <c r="C124" i="18" s="1"/>
  <c r="E123" i="18"/>
  <c r="BR123" i="19"/>
  <c r="BD123" i="19"/>
  <c r="Q125" i="18"/>
  <c r="AL144" i="20"/>
  <c r="BV144" i="20"/>
  <c r="AC123" i="19"/>
  <c r="C123" i="19" s="1"/>
  <c r="C123" i="22" s="1"/>
  <c r="BO124" i="19"/>
  <c r="AF125" i="18" s="1"/>
  <c r="O123" i="18" l="1"/>
  <c r="BZ123" i="19"/>
  <c r="AR124" i="18" s="1"/>
  <c r="N123" i="18"/>
  <c r="AC124" i="18" s="1"/>
  <c r="AA123" i="19"/>
  <c r="AN123" i="19" s="1"/>
  <c r="N123" i="19" s="1"/>
  <c r="K123" i="22" s="1"/>
  <c r="U123" i="22" s="1"/>
  <c r="CA123" i="19" s="1"/>
  <c r="AS124" i="18" s="1"/>
  <c r="AE124" i="18"/>
  <c r="AB124" i="18"/>
  <c r="BK123" i="19"/>
  <c r="AQ124" i="18" s="1"/>
  <c r="X123" i="19"/>
  <c r="AK123" i="19" s="1"/>
  <c r="K123" i="19" s="1"/>
  <c r="BA123" i="20"/>
  <c r="J123" i="18"/>
  <c r="AZ123" i="20"/>
  <c r="W123" i="19"/>
  <c r="AJ123" i="19" s="1"/>
  <c r="J123" i="19" s="1"/>
  <c r="BJ123" i="19"/>
  <c r="AA124" i="18"/>
  <c r="H123" i="18"/>
  <c r="AI124" i="18"/>
  <c r="W124" i="18"/>
  <c r="AW123" i="20"/>
  <c r="BH123" i="19"/>
  <c r="AM124" i="18" s="1"/>
  <c r="U123" i="19"/>
  <c r="AH123" i="19" s="1"/>
  <c r="H123" i="19" s="1"/>
  <c r="H123" i="22" s="1"/>
  <c r="R123" i="22" s="1"/>
  <c r="BW123" i="19" s="1"/>
  <c r="X124" i="18"/>
  <c r="BG123" i="19"/>
  <c r="T123" i="19"/>
  <c r="AG123" i="19" s="1"/>
  <c r="G123" i="19" s="1"/>
  <c r="G123" i="22" s="1"/>
  <c r="Q123" i="22" s="1"/>
  <c r="BV123" i="19" s="1"/>
  <c r="AN124" i="18" s="1"/>
  <c r="AV123" i="20"/>
  <c r="V124" i="18"/>
  <c r="AU123" i="20"/>
  <c r="BF123" i="19"/>
  <c r="S123" i="19"/>
  <c r="AF123" i="19" s="1"/>
  <c r="F123" i="19" s="1"/>
  <c r="F123" i="22" s="1"/>
  <c r="P123" i="22" s="1"/>
  <c r="BU123" i="19" s="1"/>
  <c r="T124" i="18"/>
  <c r="U124" i="18"/>
  <c r="BE123" i="19"/>
  <c r="R123" i="19"/>
  <c r="AE123" i="19" s="1"/>
  <c r="E123" i="19" s="1"/>
  <c r="E123" i="22" s="1"/>
  <c r="O123" i="22" s="1"/>
  <c r="BT123" i="19" s="1"/>
  <c r="Q123" i="19"/>
  <c r="AD123" i="19" s="1"/>
  <c r="D123" i="19" s="1"/>
  <c r="D123" i="22" s="1"/>
  <c r="N123" i="22" s="1"/>
  <c r="BS123" i="19" s="1"/>
  <c r="S124" i="18"/>
  <c r="BB125" i="19"/>
  <c r="B125" i="18"/>
  <c r="AC144" i="20"/>
  <c r="M123" i="22"/>
  <c r="BQ123" i="19"/>
  <c r="AH124" i="18" s="1"/>
  <c r="R125" i="18"/>
  <c r="BC124" i="19"/>
  <c r="P124" i="19"/>
  <c r="P124" i="18" l="1"/>
  <c r="AT125" i="18"/>
  <c r="BN124" i="19"/>
  <c r="AR125" i="18"/>
  <c r="BZ124" i="19"/>
  <c r="N124" i="18"/>
  <c r="BL124" i="19"/>
  <c r="M124" i="18"/>
  <c r="AC125" i="18" s="1"/>
  <c r="BM123" i="19"/>
  <c r="BC123" i="20"/>
  <c r="Z123" i="19"/>
  <c r="AM123" i="19" s="1"/>
  <c r="M123" i="19" s="1"/>
  <c r="AD124" i="18"/>
  <c r="O124" i="18" s="1"/>
  <c r="AD125" i="18" s="1"/>
  <c r="BB124" i="20"/>
  <c r="Y124" i="19"/>
  <c r="AL124" i="19" s="1"/>
  <c r="L124" i="19" s="1"/>
  <c r="J124" i="22" s="1"/>
  <c r="T124" i="22" s="1"/>
  <c r="BY124" i="19" s="1"/>
  <c r="Y124" i="18"/>
  <c r="AY123" i="20"/>
  <c r="V123" i="19"/>
  <c r="AI123" i="19" s="1"/>
  <c r="I123" i="19" s="1"/>
  <c r="I123" i="22" s="1"/>
  <c r="S123" i="22" s="1"/>
  <c r="BX123" i="19" s="1"/>
  <c r="AP124" i="18" s="1"/>
  <c r="BI123" i="19"/>
  <c r="AO124" i="18" s="1"/>
  <c r="Z124" i="18"/>
  <c r="AL124" i="18"/>
  <c r="H124" i="18" s="1"/>
  <c r="I124" i="18"/>
  <c r="AX124" i="20" s="1"/>
  <c r="AK124" i="18"/>
  <c r="G124" i="18" s="1"/>
  <c r="AJ124" i="18"/>
  <c r="F124" i="18" s="1"/>
  <c r="BD124" i="19"/>
  <c r="D124" i="18"/>
  <c r="BP124" i="19"/>
  <c r="AG125" i="18" s="1"/>
  <c r="C125" i="18" s="1"/>
  <c r="E124" i="18"/>
  <c r="BR124" i="19"/>
  <c r="O125" i="19"/>
  <c r="AB125" i="19" s="1"/>
  <c r="B125" i="19" s="1"/>
  <c r="B125" i="22" s="1"/>
  <c r="L125" i="22" s="1"/>
  <c r="BO125" i="19" s="1"/>
  <c r="AF126" i="18" s="1"/>
  <c r="Q126" i="18"/>
  <c r="CE144" i="20"/>
  <c r="K145" i="20"/>
  <c r="AC124" i="19"/>
  <c r="C124" i="19" s="1"/>
  <c r="C124" i="22" s="1"/>
  <c r="AT126" i="18" l="1"/>
  <c r="AE125" i="18"/>
  <c r="AA124" i="19"/>
  <c r="AN124" i="19" s="1"/>
  <c r="N124" i="19" s="1"/>
  <c r="K124" i="22" s="1"/>
  <c r="U124" i="22" s="1"/>
  <c r="CA124" i="19" s="1"/>
  <c r="AS125" i="18" s="1"/>
  <c r="BZ125" i="19"/>
  <c r="AR126" i="18" s="1"/>
  <c r="N125" i="18"/>
  <c r="BM124" i="19"/>
  <c r="BC124" i="20"/>
  <c r="Z124" i="19"/>
  <c r="AM124" i="19" s="1"/>
  <c r="M124" i="19" s="1"/>
  <c r="L124" i="18"/>
  <c r="K124" i="18"/>
  <c r="Z125" i="18"/>
  <c r="J124" i="18"/>
  <c r="Y125" i="18" s="1"/>
  <c r="P125" i="18"/>
  <c r="BA124" i="20"/>
  <c r="BK124" i="19"/>
  <c r="AQ125" i="18" s="1"/>
  <c r="X124" i="19"/>
  <c r="AK124" i="19" s="1"/>
  <c r="K124" i="19" s="1"/>
  <c r="AB125" i="18"/>
  <c r="BC125" i="20"/>
  <c r="Z125" i="19"/>
  <c r="AM125" i="19" s="1"/>
  <c r="M125" i="19" s="1"/>
  <c r="BM125" i="19"/>
  <c r="AN125" i="18"/>
  <c r="X125" i="18"/>
  <c r="U124" i="19"/>
  <c r="AH124" i="19" s="1"/>
  <c r="H124" i="19" s="1"/>
  <c r="H124" i="22" s="1"/>
  <c r="R124" i="22" s="1"/>
  <c r="BW124" i="19" s="1"/>
  <c r="AW124" i="20"/>
  <c r="BH124" i="19"/>
  <c r="AM125" i="18" s="1"/>
  <c r="AI125" i="18"/>
  <c r="W125" i="18"/>
  <c r="AV124" i="20"/>
  <c r="BG124" i="19"/>
  <c r="T124" i="19"/>
  <c r="AG124" i="19" s="1"/>
  <c r="G124" i="19" s="1"/>
  <c r="G124" i="22" s="1"/>
  <c r="Q124" i="22" s="1"/>
  <c r="BV124" i="19" s="1"/>
  <c r="S124" i="19"/>
  <c r="AF124" i="19" s="1"/>
  <c r="F124" i="19" s="1"/>
  <c r="F124" i="22" s="1"/>
  <c r="P124" i="22" s="1"/>
  <c r="BU124" i="19" s="1"/>
  <c r="AU124" i="20"/>
  <c r="BF124" i="19"/>
  <c r="V125" i="18"/>
  <c r="Q124" i="19"/>
  <c r="AD124" i="19" s="1"/>
  <c r="D124" i="19" s="1"/>
  <c r="D124" i="22" s="1"/>
  <c r="N124" i="22" s="1"/>
  <c r="BS124" i="19" s="1"/>
  <c r="S125" i="18"/>
  <c r="BE124" i="19"/>
  <c r="T125" i="18"/>
  <c r="U125" i="18"/>
  <c r="R124" i="19"/>
  <c r="AE124" i="19" s="1"/>
  <c r="E124" i="19" s="1"/>
  <c r="E124" i="22" s="1"/>
  <c r="O124" i="22" s="1"/>
  <c r="BT124" i="19" s="1"/>
  <c r="B126" i="18"/>
  <c r="O126" i="19" s="1"/>
  <c r="AB126" i="19" s="1"/>
  <c r="B126" i="19" s="1"/>
  <c r="B126" i="22" s="1"/>
  <c r="L126" i="22" s="1"/>
  <c r="BB126" i="19"/>
  <c r="BV145" i="20"/>
  <c r="AL145" i="20"/>
  <c r="M124" i="22"/>
  <c r="BQ124" i="19"/>
  <c r="AH125" i="18" s="1"/>
  <c r="R126" i="18"/>
  <c r="BC125" i="19"/>
  <c r="P125" i="19"/>
  <c r="BN125" i="19" l="1"/>
  <c r="O125" i="18"/>
  <c r="AA125" i="19" s="1"/>
  <c r="AN125" i="19" s="1"/>
  <c r="N125" i="19" s="1"/>
  <c r="K125" i="22" s="1"/>
  <c r="U125" i="22" s="1"/>
  <c r="CA125" i="19" s="1"/>
  <c r="AS126" i="18" s="1"/>
  <c r="AD126" i="18"/>
  <c r="BL125" i="19"/>
  <c r="J125" i="18"/>
  <c r="Y126" i="18"/>
  <c r="M125" i="18"/>
  <c r="AZ124" i="20"/>
  <c r="W124" i="19"/>
  <c r="AJ124" i="19" s="1"/>
  <c r="J124" i="19" s="1"/>
  <c r="BJ124" i="19"/>
  <c r="AA125" i="18"/>
  <c r="AJ125" i="18"/>
  <c r="F125" i="18" s="1"/>
  <c r="AY124" i="20"/>
  <c r="BI124" i="19"/>
  <c r="AO125" i="18" s="1"/>
  <c r="K125" i="18" s="1"/>
  <c r="V124" i="19"/>
  <c r="AI124" i="19" s="1"/>
  <c r="I124" i="19" s="1"/>
  <c r="I124" i="22" s="1"/>
  <c r="S124" i="22" s="1"/>
  <c r="BX124" i="19" s="1"/>
  <c r="I125" i="18"/>
  <c r="AX125" i="20" s="1"/>
  <c r="AL125" i="18"/>
  <c r="H125" i="18" s="1"/>
  <c r="AK125" i="18"/>
  <c r="BP125" i="19"/>
  <c r="AG126" i="18" s="1"/>
  <c r="C126" i="18" s="1"/>
  <c r="D125" i="18"/>
  <c r="BD125" i="19"/>
  <c r="AI126" i="18" s="1"/>
  <c r="BR125" i="19"/>
  <c r="E125" i="18"/>
  <c r="Q127" i="18"/>
  <c r="AC145" i="20"/>
  <c r="AC125" i="19"/>
  <c r="C125" i="19" s="1"/>
  <c r="C125" i="22" s="1"/>
  <c r="BO126" i="19"/>
  <c r="AF127" i="18" s="1"/>
  <c r="BN126" i="19" l="1"/>
  <c r="O126" i="18"/>
  <c r="AA126" i="19" s="1"/>
  <c r="AN126" i="19" s="1"/>
  <c r="N126" i="19" s="1"/>
  <c r="K126" i="22" s="1"/>
  <c r="U126" i="22" s="1"/>
  <c r="CA126" i="19" s="1"/>
  <c r="AS127" i="18" s="1"/>
  <c r="AE126" i="18"/>
  <c r="AP125" i="18"/>
  <c r="AP126" i="18" s="1"/>
  <c r="BF125" i="19"/>
  <c r="S125" i="19"/>
  <c r="AF125" i="19" s="1"/>
  <c r="F125" i="19" s="1"/>
  <c r="F125" i="22" s="1"/>
  <c r="P125" i="22" s="1"/>
  <c r="BU125" i="19" s="1"/>
  <c r="AU125" i="20"/>
  <c r="AZ125" i="20"/>
  <c r="BJ125" i="19"/>
  <c r="W125" i="19"/>
  <c r="AJ125" i="19" s="1"/>
  <c r="J125" i="19" s="1"/>
  <c r="BB125" i="20"/>
  <c r="Y125" i="19"/>
  <c r="AL125" i="19" s="1"/>
  <c r="L125" i="19" s="1"/>
  <c r="J125" i="22" s="1"/>
  <c r="T125" i="22" s="1"/>
  <c r="BY125" i="19" s="1"/>
  <c r="AC126" i="18"/>
  <c r="L125" i="18"/>
  <c r="AA126" i="18" s="1"/>
  <c r="Z126" i="18"/>
  <c r="AY125" i="20"/>
  <c r="V125" i="19"/>
  <c r="AI125" i="19" s="1"/>
  <c r="I125" i="19" s="1"/>
  <c r="I125" i="22" s="1"/>
  <c r="S125" i="22" s="1"/>
  <c r="BX125" i="19" s="1"/>
  <c r="BI125" i="19"/>
  <c r="AO126" i="18" s="1"/>
  <c r="BH125" i="19"/>
  <c r="AM126" i="18" s="1"/>
  <c r="X126" i="18"/>
  <c r="U125" i="19"/>
  <c r="AH125" i="19" s="1"/>
  <c r="H125" i="19" s="1"/>
  <c r="H125" i="22" s="1"/>
  <c r="R125" i="22" s="1"/>
  <c r="BW125" i="19" s="1"/>
  <c r="AW125" i="20"/>
  <c r="G125" i="18"/>
  <c r="T126" i="18"/>
  <c r="U126" i="18"/>
  <c r="R125" i="19"/>
  <c r="AE125" i="19" s="1"/>
  <c r="E125" i="19" s="1"/>
  <c r="E125" i="22" s="1"/>
  <c r="O125" i="22" s="1"/>
  <c r="BT125" i="19" s="1"/>
  <c r="AK126" i="18" s="1"/>
  <c r="BE125" i="19"/>
  <c r="Q125" i="19"/>
  <c r="AD125" i="19" s="1"/>
  <c r="D125" i="19" s="1"/>
  <c r="D125" i="22" s="1"/>
  <c r="N125" i="22" s="1"/>
  <c r="BS125" i="19" s="1"/>
  <c r="S126" i="18"/>
  <c r="BB127" i="19"/>
  <c r="B127" i="18"/>
  <c r="CE145" i="20"/>
  <c r="K146" i="20"/>
  <c r="R127" i="18"/>
  <c r="BC126" i="19"/>
  <c r="P126" i="19"/>
  <c r="M125" i="22"/>
  <c r="BQ125" i="19"/>
  <c r="AH126" i="18" s="1"/>
  <c r="P126" i="18" l="1"/>
  <c r="AE127" i="18" s="1"/>
  <c r="AT127" i="18"/>
  <c r="AT128" i="18" s="1"/>
  <c r="BN127" i="19"/>
  <c r="L126" i="18"/>
  <c r="K126" i="18"/>
  <c r="BA125" i="20"/>
  <c r="X125" i="19"/>
  <c r="AK125" i="19" s="1"/>
  <c r="K125" i="19" s="1"/>
  <c r="BK125" i="19"/>
  <c r="AQ126" i="18" s="1"/>
  <c r="AB126" i="18"/>
  <c r="BZ126" i="19"/>
  <c r="AR127" i="18" s="1"/>
  <c r="N126" i="18"/>
  <c r="I126" i="18"/>
  <c r="AX126" i="20" s="1"/>
  <c r="BG125" i="19"/>
  <c r="AL126" i="18" s="1"/>
  <c r="W126" i="18"/>
  <c r="AV125" i="20"/>
  <c r="T125" i="19"/>
  <c r="AG125" i="19" s="1"/>
  <c r="G125" i="19" s="1"/>
  <c r="G125" i="22" s="1"/>
  <c r="Q125" i="22" s="1"/>
  <c r="BV125" i="19" s="1"/>
  <c r="AN126" i="18" s="1"/>
  <c r="V126" i="18"/>
  <c r="G126" i="18" s="1"/>
  <c r="AJ126" i="18"/>
  <c r="BD126" i="19"/>
  <c r="D126" i="18"/>
  <c r="BP126" i="19"/>
  <c r="AG127" i="18" s="1"/>
  <c r="C127" i="18" s="1"/>
  <c r="R128" i="18" s="1"/>
  <c r="BR126" i="19"/>
  <c r="E126" i="18"/>
  <c r="O127" i="19"/>
  <c r="AB127" i="19" s="1"/>
  <c r="B127" i="19" s="1"/>
  <c r="B127" i="22" s="1"/>
  <c r="L127" i="22" s="1"/>
  <c r="BO127" i="19" s="1"/>
  <c r="AF128" i="18" s="1"/>
  <c r="Q128" i="18"/>
  <c r="AL146" i="20"/>
  <c r="BV146" i="20"/>
  <c r="AC126" i="19"/>
  <c r="C126" i="19" s="1"/>
  <c r="C126" i="22" s="1"/>
  <c r="P127" i="18" l="1"/>
  <c r="M126" i="18"/>
  <c r="BL126" i="19"/>
  <c r="AZ126" i="20"/>
  <c r="W126" i="19"/>
  <c r="AJ126" i="19" s="1"/>
  <c r="J126" i="19" s="1"/>
  <c r="BJ126" i="19"/>
  <c r="AC127" i="18"/>
  <c r="BC126" i="20"/>
  <c r="Z126" i="19"/>
  <c r="AM126" i="19" s="1"/>
  <c r="M126" i="19" s="1"/>
  <c r="BM126" i="19"/>
  <c r="AD127" i="18"/>
  <c r="J126" i="18"/>
  <c r="AA127" i="18"/>
  <c r="AB127" i="18"/>
  <c r="BB126" i="20"/>
  <c r="Y126" i="19"/>
  <c r="AL126" i="19" s="1"/>
  <c r="L126" i="19" s="1"/>
  <c r="J126" i="22" s="1"/>
  <c r="T126" i="22" s="1"/>
  <c r="BY126" i="19" s="1"/>
  <c r="Z127" i="18"/>
  <c r="BA126" i="20"/>
  <c r="X126" i="19"/>
  <c r="AK126" i="19" s="1"/>
  <c r="K126" i="19" s="1"/>
  <c r="BK126" i="19"/>
  <c r="AQ127" i="18" s="1"/>
  <c r="BG126" i="19"/>
  <c r="AV126" i="20"/>
  <c r="T126" i="19"/>
  <c r="AG126" i="19" s="1"/>
  <c r="G126" i="19" s="1"/>
  <c r="G126" i="22" s="1"/>
  <c r="Q126" i="22" s="1"/>
  <c r="BV126" i="19" s="1"/>
  <c r="AN127" i="18" s="1"/>
  <c r="H126" i="18"/>
  <c r="W127" i="18" s="1"/>
  <c r="AI127" i="18"/>
  <c r="F126" i="18"/>
  <c r="U127" i="18" s="1"/>
  <c r="Q126" i="19"/>
  <c r="AD126" i="19" s="1"/>
  <c r="D126" i="19" s="1"/>
  <c r="D126" i="22" s="1"/>
  <c r="N126" i="22" s="1"/>
  <c r="BS126" i="19" s="1"/>
  <c r="S127" i="18"/>
  <c r="R126" i="19"/>
  <c r="AE126" i="19" s="1"/>
  <c r="E126" i="19" s="1"/>
  <c r="E126" i="22" s="1"/>
  <c r="O126" i="22" s="1"/>
  <c r="BT126" i="19" s="1"/>
  <c r="T127" i="18"/>
  <c r="BE126" i="19"/>
  <c r="AJ127" i="18" s="1"/>
  <c r="BB128" i="19"/>
  <c r="B128" i="18"/>
  <c r="O128" i="19" s="1"/>
  <c r="AB128" i="19" s="1"/>
  <c r="B128" i="19" s="1"/>
  <c r="B128" i="22" s="1"/>
  <c r="L128" i="22" s="1"/>
  <c r="BO128" i="19" s="1"/>
  <c r="AF129" i="18" s="1"/>
  <c r="AC146" i="20"/>
  <c r="M126" i="22"/>
  <c r="BQ126" i="19"/>
  <c r="AH127" i="18" s="1"/>
  <c r="BC127" i="19"/>
  <c r="P127" i="19"/>
  <c r="BL127" i="19" l="1"/>
  <c r="O127" i="18"/>
  <c r="AY126" i="20"/>
  <c r="V126" i="19"/>
  <c r="AI126" i="19" s="1"/>
  <c r="I126" i="19" s="1"/>
  <c r="I126" i="22" s="1"/>
  <c r="S126" i="22" s="1"/>
  <c r="BX126" i="19" s="1"/>
  <c r="AP127" i="18" s="1"/>
  <c r="BI126" i="19"/>
  <c r="AO127" i="18" s="1"/>
  <c r="Y127" i="18"/>
  <c r="M127" i="18"/>
  <c r="BZ127" i="19"/>
  <c r="AR128" i="18" s="1"/>
  <c r="N127" i="18"/>
  <c r="U126" i="19"/>
  <c r="AH126" i="19" s="1"/>
  <c r="H126" i="19" s="1"/>
  <c r="H126" i="22" s="1"/>
  <c r="R126" i="22" s="1"/>
  <c r="BW126" i="19" s="1"/>
  <c r="BH126" i="19"/>
  <c r="AM127" i="18" s="1"/>
  <c r="X127" i="18"/>
  <c r="AW126" i="20"/>
  <c r="F127" i="18"/>
  <c r="BF126" i="19"/>
  <c r="AK127" i="18" s="1"/>
  <c r="S126" i="19"/>
  <c r="AF126" i="19" s="1"/>
  <c r="F126" i="19" s="1"/>
  <c r="F126" i="22" s="1"/>
  <c r="P126" i="22" s="1"/>
  <c r="BU126" i="19" s="1"/>
  <c r="AL127" i="18" s="1"/>
  <c r="V127" i="18"/>
  <c r="AU126" i="20"/>
  <c r="E127" i="18"/>
  <c r="BR127" i="19"/>
  <c r="BD127" i="19"/>
  <c r="BP127" i="19"/>
  <c r="AG128" i="18" s="1"/>
  <c r="C128" i="18" s="1"/>
  <c r="R129" i="18" s="1"/>
  <c r="D127" i="18"/>
  <c r="Q127" i="19" s="1"/>
  <c r="AD127" i="19" s="1"/>
  <c r="D127" i="19" s="1"/>
  <c r="D127" i="22" s="1"/>
  <c r="N127" i="22" s="1"/>
  <c r="BS127" i="19" s="1"/>
  <c r="Q129" i="18"/>
  <c r="B129" i="18" s="1"/>
  <c r="O129" i="19" s="1"/>
  <c r="AB129" i="19" s="1"/>
  <c r="B129" i="19" s="1"/>
  <c r="B129" i="22" s="1"/>
  <c r="L129" i="22" s="1"/>
  <c r="AU127" i="20"/>
  <c r="S127" i="19"/>
  <c r="AF127" i="19" s="1"/>
  <c r="F127" i="19" s="1"/>
  <c r="F127" i="22" s="1"/>
  <c r="P127" i="22" s="1"/>
  <c r="BU127" i="19" s="1"/>
  <c r="BF127" i="19"/>
  <c r="BB129" i="19"/>
  <c r="CE146" i="20"/>
  <c r="K147" i="20"/>
  <c r="BC128" i="19"/>
  <c r="P128" i="19"/>
  <c r="AC127" i="19"/>
  <c r="C127" i="19" s="1"/>
  <c r="C127" i="22" s="1"/>
  <c r="L127" i="18" l="1"/>
  <c r="K127" i="18"/>
  <c r="BB127" i="20"/>
  <c r="Y127" i="19"/>
  <c r="AL127" i="19" s="1"/>
  <c r="L127" i="19" s="1"/>
  <c r="J127" i="22" s="1"/>
  <c r="T127" i="22" s="1"/>
  <c r="BY127" i="19" s="1"/>
  <c r="BC127" i="20"/>
  <c r="Z127" i="19"/>
  <c r="AM127" i="19" s="1"/>
  <c r="M127" i="19" s="1"/>
  <c r="BM127" i="19"/>
  <c r="J127" i="18"/>
  <c r="AD128" i="18"/>
  <c r="AA127" i="19"/>
  <c r="AN127" i="19" s="1"/>
  <c r="N127" i="19" s="1"/>
  <c r="K127" i="22" s="1"/>
  <c r="U127" i="22" s="1"/>
  <c r="CA127" i="19" s="1"/>
  <c r="AS128" i="18" s="1"/>
  <c r="AE128" i="18"/>
  <c r="AT129" i="18" s="1"/>
  <c r="AC128" i="18"/>
  <c r="AB128" i="18"/>
  <c r="H127" i="18"/>
  <c r="AI128" i="18"/>
  <c r="G127" i="18"/>
  <c r="AV127" i="20" s="1"/>
  <c r="S128" i="18"/>
  <c r="BP128" i="19" s="1"/>
  <c r="AG129" i="18" s="1"/>
  <c r="I127" i="18"/>
  <c r="AX127" i="20" s="1"/>
  <c r="V128" i="18"/>
  <c r="BG127" i="19"/>
  <c r="AL128" i="18" s="1"/>
  <c r="T128" i="18"/>
  <c r="BE127" i="19"/>
  <c r="AJ128" i="18" s="1"/>
  <c r="U128" i="18"/>
  <c r="R127" i="19"/>
  <c r="AE127" i="19" s="1"/>
  <c r="E127" i="19" s="1"/>
  <c r="E127" i="22" s="1"/>
  <c r="O127" i="22" s="1"/>
  <c r="BT127" i="19" s="1"/>
  <c r="AK128" i="18" s="1"/>
  <c r="Q130" i="18"/>
  <c r="BV147" i="20"/>
  <c r="AL147" i="20"/>
  <c r="AC128" i="19"/>
  <c r="C128" i="19" s="1"/>
  <c r="C128" i="22" s="1"/>
  <c r="M127" i="22"/>
  <c r="BQ127" i="19"/>
  <c r="AH128" i="18" s="1"/>
  <c r="BO129" i="19"/>
  <c r="AF130" i="18" s="1"/>
  <c r="C129" i="18"/>
  <c r="BN128" i="19" l="1"/>
  <c r="X127" i="19"/>
  <c r="AK127" i="19" s="1"/>
  <c r="K127" i="19" s="1"/>
  <c r="BK127" i="19"/>
  <c r="AQ128" i="18" s="1"/>
  <c r="BA127" i="20"/>
  <c r="BJ127" i="19"/>
  <c r="AP128" i="18" s="1"/>
  <c r="AA128" i="18"/>
  <c r="AZ127" i="20"/>
  <c r="W127" i="19"/>
  <c r="AJ127" i="19" s="1"/>
  <c r="J127" i="19" s="1"/>
  <c r="P128" i="18"/>
  <c r="AY127" i="20"/>
  <c r="V127" i="19"/>
  <c r="AI127" i="19" s="1"/>
  <c r="I127" i="19" s="1"/>
  <c r="I127" i="22" s="1"/>
  <c r="S127" i="22" s="1"/>
  <c r="BX127" i="19" s="1"/>
  <c r="BI127" i="19"/>
  <c r="Z128" i="18"/>
  <c r="O128" i="18"/>
  <c r="AA128" i="19" s="1"/>
  <c r="AN128" i="19" s="1"/>
  <c r="N128" i="19" s="1"/>
  <c r="K128" i="22" s="1"/>
  <c r="U128" i="22" s="1"/>
  <c r="CA128" i="19" s="1"/>
  <c r="AS129" i="18" s="1"/>
  <c r="X128" i="18"/>
  <c r="BZ128" i="19"/>
  <c r="AR129" i="18" s="1"/>
  <c r="N128" i="18"/>
  <c r="Y128" i="18"/>
  <c r="W128" i="18"/>
  <c r="T127" i="19"/>
  <c r="AG127" i="19" s="1"/>
  <c r="G127" i="19" s="1"/>
  <c r="G127" i="22" s="1"/>
  <c r="Q127" i="22" s="1"/>
  <c r="BV127" i="19" s="1"/>
  <c r="AN128" i="18" s="1"/>
  <c r="AN129" i="18" s="1"/>
  <c r="U127" i="19"/>
  <c r="AH127" i="19" s="1"/>
  <c r="H127" i="19" s="1"/>
  <c r="H127" i="22" s="1"/>
  <c r="R127" i="22" s="1"/>
  <c r="BW127" i="19" s="1"/>
  <c r="AW127" i="20"/>
  <c r="BH127" i="19"/>
  <c r="AM128" i="18" s="1"/>
  <c r="G128" i="18"/>
  <c r="T128" i="19" s="1"/>
  <c r="AG128" i="19" s="1"/>
  <c r="G128" i="19" s="1"/>
  <c r="G128" i="22" s="1"/>
  <c r="Q128" i="22" s="1"/>
  <c r="BV128" i="19" s="1"/>
  <c r="F128" i="18"/>
  <c r="BD128" i="19"/>
  <c r="E128" i="18"/>
  <c r="BR128" i="19"/>
  <c r="D128" i="18"/>
  <c r="BB130" i="19"/>
  <c r="B130" i="18"/>
  <c r="O130" i="19" s="1"/>
  <c r="AB130" i="19" s="1"/>
  <c r="B130" i="19" s="1"/>
  <c r="B130" i="22" s="1"/>
  <c r="L130" i="22" s="1"/>
  <c r="AC147" i="20"/>
  <c r="M128" i="22"/>
  <c r="BQ128" i="19"/>
  <c r="AH129" i="18" s="1"/>
  <c r="R130" i="18"/>
  <c r="BC129" i="19"/>
  <c r="P129" i="19"/>
  <c r="BN129" i="19" l="1"/>
  <c r="BL128" i="19"/>
  <c r="M128" i="18"/>
  <c r="L128" i="18"/>
  <c r="AO128" i="18"/>
  <c r="K128" i="18" s="1"/>
  <c r="Z129" i="18" s="1"/>
  <c r="BC128" i="20"/>
  <c r="Z128" i="19"/>
  <c r="AM128" i="19" s="1"/>
  <c r="M128" i="19" s="1"/>
  <c r="BM128" i="19"/>
  <c r="J128" i="18"/>
  <c r="Y129" i="18"/>
  <c r="BB128" i="20"/>
  <c r="Y128" i="19"/>
  <c r="AL128" i="19" s="1"/>
  <c r="L128" i="19" s="1"/>
  <c r="J128" i="22" s="1"/>
  <c r="T128" i="22" s="1"/>
  <c r="BY128" i="19" s="1"/>
  <c r="AE129" i="18"/>
  <c r="AT130" i="18" s="1"/>
  <c r="AC129" i="18"/>
  <c r="AD129" i="18"/>
  <c r="BG128" i="19"/>
  <c r="I128" i="18"/>
  <c r="AX128" i="20" s="1"/>
  <c r="AV128" i="20"/>
  <c r="H128" i="18"/>
  <c r="W129" i="18" s="1"/>
  <c r="AI129" i="18"/>
  <c r="BH128" i="19"/>
  <c r="AM129" i="18" s="1"/>
  <c r="X129" i="18"/>
  <c r="AW128" i="20"/>
  <c r="V129" i="18"/>
  <c r="AU128" i="20"/>
  <c r="BF128" i="19"/>
  <c r="S128" i="19"/>
  <c r="AF128" i="19" s="1"/>
  <c r="F128" i="19" s="1"/>
  <c r="F128" i="22" s="1"/>
  <c r="P128" i="22" s="1"/>
  <c r="BU128" i="19" s="1"/>
  <c r="BD129" i="19"/>
  <c r="R128" i="19"/>
  <c r="AE128" i="19" s="1"/>
  <c r="E128" i="19" s="1"/>
  <c r="E128" i="22" s="1"/>
  <c r="O128" i="22" s="1"/>
  <c r="BT128" i="19" s="1"/>
  <c r="U129" i="18"/>
  <c r="T129" i="18"/>
  <c r="BE128" i="19"/>
  <c r="S129" i="18"/>
  <c r="Q128" i="19"/>
  <c r="AD128" i="19" s="1"/>
  <c r="D128" i="19" s="1"/>
  <c r="D128" i="22" s="1"/>
  <c r="N128" i="22" s="1"/>
  <c r="BS128" i="19" s="1"/>
  <c r="Q131" i="18"/>
  <c r="CE147" i="20"/>
  <c r="K148" i="20"/>
  <c r="AC129" i="19"/>
  <c r="C129" i="19" s="1"/>
  <c r="C129" i="22" s="1"/>
  <c r="BO130" i="19"/>
  <c r="AF131" i="18" s="1"/>
  <c r="BA128" i="20" l="1"/>
  <c r="X128" i="19"/>
  <c r="AK128" i="19" s="1"/>
  <c r="K128" i="19" s="1"/>
  <c r="BK128" i="19"/>
  <c r="AQ129" i="18" s="1"/>
  <c r="AB129" i="18"/>
  <c r="AL129" i="18"/>
  <c r="O129" i="18"/>
  <c r="AA129" i="19" s="1"/>
  <c r="AN129" i="19" s="1"/>
  <c r="N129" i="19" s="1"/>
  <c r="K129" i="22" s="1"/>
  <c r="U129" i="22" s="1"/>
  <c r="CA129" i="19" s="1"/>
  <c r="AS130" i="18" s="1"/>
  <c r="AZ128" i="20"/>
  <c r="W128" i="19"/>
  <c r="AJ128" i="19" s="1"/>
  <c r="J128" i="19" s="1"/>
  <c r="BJ128" i="19"/>
  <c r="AA129" i="18"/>
  <c r="AY128" i="20"/>
  <c r="V128" i="19"/>
  <c r="AI128" i="19" s="1"/>
  <c r="I128" i="19" s="1"/>
  <c r="I128" i="22" s="1"/>
  <c r="S128" i="22" s="1"/>
  <c r="BX128" i="19" s="1"/>
  <c r="BI128" i="19"/>
  <c r="AO129" i="18" s="1"/>
  <c r="J129" i="18"/>
  <c r="Y130" i="18"/>
  <c r="BZ129" i="19"/>
  <c r="AR130" i="18" s="1"/>
  <c r="N129" i="18"/>
  <c r="P129" i="18"/>
  <c r="AE130" i="18" s="1"/>
  <c r="AT131" i="18" s="1"/>
  <c r="U128" i="19"/>
  <c r="AH128" i="19" s="1"/>
  <c r="H128" i="19" s="1"/>
  <c r="H128" i="22" s="1"/>
  <c r="R128" i="22" s="1"/>
  <c r="BW128" i="19" s="1"/>
  <c r="H129" i="18"/>
  <c r="AK129" i="18"/>
  <c r="G129" i="18" s="1"/>
  <c r="AJ129" i="18"/>
  <c r="F129" i="18" s="1"/>
  <c r="I129" i="18"/>
  <c r="AX129" i="20" s="1"/>
  <c r="BP129" i="19"/>
  <c r="AG130" i="18" s="1"/>
  <c r="C130" i="18" s="1"/>
  <c r="P130" i="19" s="1"/>
  <c r="D129" i="18"/>
  <c r="E129" i="18"/>
  <c r="BR129" i="19"/>
  <c r="AI130" i="18" s="1"/>
  <c r="BB131" i="19"/>
  <c r="B131" i="18"/>
  <c r="O131" i="19" s="1"/>
  <c r="AB131" i="19" s="1"/>
  <c r="B131" i="19" s="1"/>
  <c r="B131" i="22" s="1"/>
  <c r="L131" i="22" s="1"/>
  <c r="AL148" i="20"/>
  <c r="BV148" i="20"/>
  <c r="M129" i="22"/>
  <c r="BQ129" i="19"/>
  <c r="AH130" i="18" s="1"/>
  <c r="BC130" i="19"/>
  <c r="BN130" i="19" l="1"/>
  <c r="AD130" i="18"/>
  <c r="M129" i="18"/>
  <c r="BL129" i="19"/>
  <c r="AP129" i="18"/>
  <c r="K129" i="18"/>
  <c r="P130" i="18"/>
  <c r="AC130" i="18"/>
  <c r="AY129" i="20"/>
  <c r="V129" i="19"/>
  <c r="AI129" i="19" s="1"/>
  <c r="I129" i="19" s="1"/>
  <c r="I129" i="22" s="1"/>
  <c r="S129" i="22" s="1"/>
  <c r="BX129" i="19" s="1"/>
  <c r="BI129" i="19"/>
  <c r="AO130" i="18" s="1"/>
  <c r="BC129" i="20"/>
  <c r="Z129" i="19"/>
  <c r="AM129" i="19" s="1"/>
  <c r="M129" i="19" s="1"/>
  <c r="BM129" i="19"/>
  <c r="R131" i="18"/>
  <c r="BH129" i="19"/>
  <c r="AM130" i="18" s="1"/>
  <c r="AW129" i="20"/>
  <c r="U129" i="19"/>
  <c r="AH129" i="19" s="1"/>
  <c r="H129" i="19" s="1"/>
  <c r="H129" i="22" s="1"/>
  <c r="R129" i="22" s="1"/>
  <c r="BW129" i="19" s="1"/>
  <c r="BG129" i="19"/>
  <c r="T129" i="19"/>
  <c r="AG129" i="19" s="1"/>
  <c r="G129" i="19" s="1"/>
  <c r="G129" i="22" s="1"/>
  <c r="Q129" i="22" s="1"/>
  <c r="BV129" i="19" s="1"/>
  <c r="AN130" i="18" s="1"/>
  <c r="W130" i="18"/>
  <c r="AV129" i="20"/>
  <c r="X130" i="18"/>
  <c r="AU129" i="20"/>
  <c r="S129" i="19"/>
  <c r="AF129" i="19" s="1"/>
  <c r="F129" i="19" s="1"/>
  <c r="F129" i="22" s="1"/>
  <c r="P129" i="22" s="1"/>
  <c r="BU129" i="19" s="1"/>
  <c r="BF129" i="19"/>
  <c r="V130" i="18"/>
  <c r="BD130" i="19"/>
  <c r="S130" i="18"/>
  <c r="Q129" i="19"/>
  <c r="AD129" i="19" s="1"/>
  <c r="D129" i="19" s="1"/>
  <c r="D129" i="22" s="1"/>
  <c r="N129" i="22" s="1"/>
  <c r="BS129" i="19" s="1"/>
  <c r="T130" i="18"/>
  <c r="R129" i="19"/>
  <c r="AE129" i="19" s="1"/>
  <c r="E129" i="19" s="1"/>
  <c r="E129" i="22" s="1"/>
  <c r="O129" i="22" s="1"/>
  <c r="BT129" i="19" s="1"/>
  <c r="BE129" i="19"/>
  <c r="U130" i="18"/>
  <c r="Q132" i="18"/>
  <c r="AC148" i="20"/>
  <c r="AC130" i="19"/>
  <c r="C130" i="19" s="1"/>
  <c r="C130" i="22" s="1"/>
  <c r="BO131" i="19"/>
  <c r="AF132" i="18" s="1"/>
  <c r="O130" i="18" l="1"/>
  <c r="AA130" i="19" s="1"/>
  <c r="AN130" i="19" s="1"/>
  <c r="N130" i="19" s="1"/>
  <c r="K130" i="22" s="1"/>
  <c r="U130" i="22" s="1"/>
  <c r="CA130" i="19" s="1"/>
  <c r="AS131" i="18" s="1"/>
  <c r="BB129" i="20"/>
  <c r="Y129" i="19"/>
  <c r="AL129" i="19" s="1"/>
  <c r="L129" i="19" s="1"/>
  <c r="J129" i="22" s="1"/>
  <c r="T129" i="22" s="1"/>
  <c r="BY129" i="19" s="1"/>
  <c r="L129" i="18"/>
  <c r="BJ129" i="19"/>
  <c r="AP130" i="18" s="1"/>
  <c r="Z130" i="18"/>
  <c r="K130" i="18" s="1"/>
  <c r="AZ129" i="20"/>
  <c r="W129" i="19"/>
  <c r="AJ129" i="19" s="1"/>
  <c r="J129" i="19" s="1"/>
  <c r="I130" i="18"/>
  <c r="AX130" i="20" s="1"/>
  <c r="BZ130" i="19"/>
  <c r="AR131" i="18" s="1"/>
  <c r="N130" i="18"/>
  <c r="AZ130" i="20"/>
  <c r="W130" i="19"/>
  <c r="AJ130" i="19" s="1"/>
  <c r="J130" i="19" s="1"/>
  <c r="BJ130" i="19"/>
  <c r="AE131" i="18"/>
  <c r="J130" i="18"/>
  <c r="AK130" i="18"/>
  <c r="G130" i="18" s="1"/>
  <c r="BG130" i="19" s="1"/>
  <c r="AJ130" i="18"/>
  <c r="F130" i="18" s="1"/>
  <c r="AL130" i="18"/>
  <c r="BP130" i="19"/>
  <c r="AG131" i="18" s="1"/>
  <c r="C131" i="18" s="1"/>
  <c r="P131" i="19" s="1"/>
  <c r="D130" i="18"/>
  <c r="E130" i="18"/>
  <c r="BR130" i="19"/>
  <c r="AI131" i="18" s="1"/>
  <c r="BB132" i="19"/>
  <c r="B132" i="18"/>
  <c r="O132" i="19" s="1"/>
  <c r="AB132" i="19" s="1"/>
  <c r="B132" i="19" s="1"/>
  <c r="B132" i="22" s="1"/>
  <c r="L132" i="22" s="1"/>
  <c r="CE148" i="20"/>
  <c r="K149" i="20"/>
  <c r="M130" i="22"/>
  <c r="BQ130" i="19"/>
  <c r="AH131" i="18" s="1"/>
  <c r="P131" i="18" l="1"/>
  <c r="AT132" i="18"/>
  <c r="BN131" i="19"/>
  <c r="BK129" i="19"/>
  <c r="AQ130" i="18" s="1"/>
  <c r="AB130" i="18"/>
  <c r="AA130" i="18"/>
  <c r="L130" i="18" s="1"/>
  <c r="BA129" i="20"/>
  <c r="X129" i="19"/>
  <c r="AK129" i="19" s="1"/>
  <c r="K129" i="19" s="1"/>
  <c r="BC130" i="20"/>
  <c r="Z130" i="19"/>
  <c r="AM130" i="19" s="1"/>
  <c r="M130" i="19" s="1"/>
  <c r="BM130" i="19"/>
  <c r="AD131" i="18"/>
  <c r="AY130" i="20"/>
  <c r="V130" i="19"/>
  <c r="AI130" i="19" s="1"/>
  <c r="I130" i="19" s="1"/>
  <c r="I130" i="22" s="1"/>
  <c r="S130" i="22" s="1"/>
  <c r="BI130" i="19"/>
  <c r="Y131" i="18"/>
  <c r="Z131" i="18"/>
  <c r="AA131" i="18"/>
  <c r="X130" i="19"/>
  <c r="AK130" i="19" s="1"/>
  <c r="K130" i="19" s="1"/>
  <c r="BF130" i="19"/>
  <c r="V131" i="18"/>
  <c r="AU130" i="20"/>
  <c r="AV130" i="20"/>
  <c r="S130" i="19"/>
  <c r="AF130" i="19" s="1"/>
  <c r="F130" i="19" s="1"/>
  <c r="F130" i="22" s="1"/>
  <c r="P130" i="22" s="1"/>
  <c r="BU130" i="19" s="1"/>
  <c r="AL131" i="18" s="1"/>
  <c r="T130" i="19"/>
  <c r="AG130" i="19" s="1"/>
  <c r="G130" i="19" s="1"/>
  <c r="G130" i="22" s="1"/>
  <c r="Q130" i="22" s="1"/>
  <c r="BV130" i="19" s="1"/>
  <c r="AN131" i="18" s="1"/>
  <c r="H130" i="18"/>
  <c r="BC131" i="19"/>
  <c r="BD131" i="19"/>
  <c r="R132" i="18"/>
  <c r="BO132" i="19" s="1"/>
  <c r="AF133" i="18" s="1"/>
  <c r="Q133" i="18"/>
  <c r="U131" i="18"/>
  <c r="R130" i="19"/>
  <c r="AE130" i="19" s="1"/>
  <c r="E130" i="19" s="1"/>
  <c r="E130" i="22" s="1"/>
  <c r="O130" i="22" s="1"/>
  <c r="BT130" i="19" s="1"/>
  <c r="AK131" i="18" s="1"/>
  <c r="T131" i="18"/>
  <c r="BE130" i="19"/>
  <c r="Q130" i="19"/>
  <c r="S131" i="18"/>
  <c r="BV149" i="20"/>
  <c r="AL149" i="20"/>
  <c r="AC131" i="19"/>
  <c r="C131" i="19" s="1"/>
  <c r="C131" i="22" s="1"/>
  <c r="M130" i="18" l="1"/>
  <c r="AC131" i="18" s="1"/>
  <c r="BL130" i="19"/>
  <c r="BK130" i="19"/>
  <c r="BB130" i="20"/>
  <c r="BX130" i="19"/>
  <c r="BA130" i="20"/>
  <c r="AP131" i="18"/>
  <c r="BZ131" i="19"/>
  <c r="J131" i="18"/>
  <c r="O131" i="18"/>
  <c r="X131" i="18"/>
  <c r="AW130" i="20"/>
  <c r="BH130" i="19"/>
  <c r="AM131" i="18" s="1"/>
  <c r="U130" i="19"/>
  <c r="AH130" i="19" s="1"/>
  <c r="H130" i="19" s="1"/>
  <c r="H130" i="22" s="1"/>
  <c r="R130" i="22" s="1"/>
  <c r="BW130" i="19" s="1"/>
  <c r="AO131" i="18" s="1"/>
  <c r="W131" i="18"/>
  <c r="H131" i="18" s="1"/>
  <c r="G131" i="18"/>
  <c r="BP131" i="19"/>
  <c r="AG132" i="18" s="1"/>
  <c r="C132" i="18" s="1"/>
  <c r="P132" i="19" s="1"/>
  <c r="D131" i="18"/>
  <c r="E131" i="18"/>
  <c r="BR131" i="19"/>
  <c r="AI132" i="18" s="1"/>
  <c r="AD130" i="19"/>
  <c r="D130" i="19" s="1"/>
  <c r="D130" i="22" s="1"/>
  <c r="N130" i="22" s="1"/>
  <c r="BS130" i="19" s="1"/>
  <c r="AJ131" i="18" s="1"/>
  <c r="BB133" i="19"/>
  <c r="B133" i="18"/>
  <c r="AC149" i="20"/>
  <c r="M131" i="22"/>
  <c r="BQ131" i="19"/>
  <c r="AH132" i="18" s="1"/>
  <c r="N131" i="18" l="1"/>
  <c r="AD132" i="18" s="1"/>
  <c r="AR132" i="18"/>
  <c r="Y130" i="19"/>
  <c r="AB131" i="18"/>
  <c r="L131" i="18"/>
  <c r="K131" i="18"/>
  <c r="Z132" i="18" s="1"/>
  <c r="BK131" i="19"/>
  <c r="BC131" i="20"/>
  <c r="Z131" i="19"/>
  <c r="AM131" i="19" s="1"/>
  <c r="M131" i="19" s="1"/>
  <c r="BM131" i="19"/>
  <c r="AE132" i="18"/>
  <c r="AT133" i="18" s="1"/>
  <c r="AA131" i="19"/>
  <c r="AN131" i="19" s="1"/>
  <c r="N131" i="19" s="1"/>
  <c r="K131" i="22" s="1"/>
  <c r="U131" i="22" s="1"/>
  <c r="CA131" i="19" s="1"/>
  <c r="AS132" i="18" s="1"/>
  <c r="Y132" i="18"/>
  <c r="AY131" i="20"/>
  <c r="V131" i="19"/>
  <c r="AI131" i="19" s="1"/>
  <c r="I131" i="19" s="1"/>
  <c r="I131" i="22" s="1"/>
  <c r="S131" i="22" s="1"/>
  <c r="BX131" i="19" s="1"/>
  <c r="BI131" i="19"/>
  <c r="AO132" i="18" s="1"/>
  <c r="AZ131" i="20"/>
  <c r="W131" i="19"/>
  <c r="AJ131" i="19" s="1"/>
  <c r="J131" i="19" s="1"/>
  <c r="BJ131" i="19"/>
  <c r="AP132" i="18" s="1"/>
  <c r="R133" i="18"/>
  <c r="AW131" i="20"/>
  <c r="BH131" i="19"/>
  <c r="AM132" i="18" s="1"/>
  <c r="U131" i="19"/>
  <c r="AH131" i="19" s="1"/>
  <c r="H131" i="19" s="1"/>
  <c r="H131" i="22" s="1"/>
  <c r="R131" i="22" s="1"/>
  <c r="BW131" i="19" s="1"/>
  <c r="I131" i="18"/>
  <c r="AX131" i="20" s="1"/>
  <c r="W132" i="18"/>
  <c r="AV131" i="20"/>
  <c r="BG131" i="19"/>
  <c r="T131" i="19"/>
  <c r="AG131" i="19" s="1"/>
  <c r="G131" i="19" s="1"/>
  <c r="G131" i="22" s="1"/>
  <c r="Q131" i="22" s="1"/>
  <c r="BV131" i="19" s="1"/>
  <c r="AN132" i="18" s="1"/>
  <c r="F131" i="18"/>
  <c r="U132" i="18" s="1"/>
  <c r="BD132" i="19"/>
  <c r="Q131" i="19"/>
  <c r="AD131" i="19" s="1"/>
  <c r="D131" i="19" s="1"/>
  <c r="D131" i="22" s="1"/>
  <c r="N131" i="22" s="1"/>
  <c r="BS131" i="19" s="1"/>
  <c r="S132" i="18"/>
  <c r="BC132" i="19"/>
  <c r="BE131" i="19"/>
  <c r="T132" i="18"/>
  <c r="R131" i="19"/>
  <c r="AE131" i="19" s="1"/>
  <c r="E131" i="19" s="1"/>
  <c r="E131" i="22" s="1"/>
  <c r="O131" i="22" s="1"/>
  <c r="BT131" i="19" s="1"/>
  <c r="S131" i="19"/>
  <c r="AF131" i="19" s="1"/>
  <c r="F131" i="19" s="1"/>
  <c r="F131" i="22" s="1"/>
  <c r="P131" i="22" s="1"/>
  <c r="BU131" i="19" s="1"/>
  <c r="AL132" i="18" s="1"/>
  <c r="AU131" i="20"/>
  <c r="BF131" i="19"/>
  <c r="V132" i="18"/>
  <c r="O133" i="19"/>
  <c r="AB133" i="19" s="1"/>
  <c r="B133" i="19" s="1"/>
  <c r="B133" i="22" s="1"/>
  <c r="L133" i="22" s="1"/>
  <c r="BO133" i="19" s="1"/>
  <c r="AF134" i="18" s="1"/>
  <c r="Q134" i="18"/>
  <c r="CE149" i="20"/>
  <c r="K150" i="20"/>
  <c r="AC132" i="19"/>
  <c r="C132" i="19" s="1"/>
  <c r="C132" i="22" s="1"/>
  <c r="BN132" i="19" l="1"/>
  <c r="O132" i="18"/>
  <c r="AA132" i="19" s="1"/>
  <c r="AN132" i="19" s="1"/>
  <c r="N132" i="19" s="1"/>
  <c r="K132" i="22" s="1"/>
  <c r="U132" i="22" s="1"/>
  <c r="CA132" i="19" s="1"/>
  <c r="AS133" i="18" s="1"/>
  <c r="AL130" i="19"/>
  <c r="L130" i="19" s="1"/>
  <c r="J130" i="22" s="1"/>
  <c r="T130" i="22" s="1"/>
  <c r="BY130" i="19" s="1"/>
  <c r="AQ131" i="18" s="1"/>
  <c r="X131" i="19"/>
  <c r="AK131" i="19" s="1"/>
  <c r="K131" i="19" s="1"/>
  <c r="BA131" i="20"/>
  <c r="K132" i="18"/>
  <c r="AA132" i="18"/>
  <c r="J132" i="18"/>
  <c r="Y133" i="18"/>
  <c r="P132" i="18"/>
  <c r="AE133" i="18" s="1"/>
  <c r="P133" i="18" s="1"/>
  <c r="AZ132" i="20"/>
  <c r="W132" i="19"/>
  <c r="AJ132" i="19" s="1"/>
  <c r="J132" i="19" s="1"/>
  <c r="BJ132" i="19"/>
  <c r="H132" i="18"/>
  <c r="U132" i="19" s="1"/>
  <c r="AH132" i="19" s="1"/>
  <c r="H132" i="19" s="1"/>
  <c r="H132" i="22" s="1"/>
  <c r="R132" i="22" s="1"/>
  <c r="BW132" i="19" s="1"/>
  <c r="X132" i="18"/>
  <c r="AK132" i="18"/>
  <c r="G132" i="18" s="1"/>
  <c r="AJ132" i="18"/>
  <c r="BH132" i="19"/>
  <c r="F132" i="18"/>
  <c r="D132" i="18"/>
  <c r="BP132" i="19"/>
  <c r="AG133" i="18" s="1"/>
  <c r="C133" i="18" s="1"/>
  <c r="P133" i="19" s="1"/>
  <c r="E132" i="18"/>
  <c r="BR132" i="19"/>
  <c r="AI133" i="18" s="1"/>
  <c r="BB134" i="19"/>
  <c r="B134" i="18"/>
  <c r="O134" i="19" s="1"/>
  <c r="AB134" i="19" s="1"/>
  <c r="B134" i="19" s="1"/>
  <c r="B134" i="22" s="1"/>
  <c r="L134" i="22" s="1"/>
  <c r="AL150" i="20"/>
  <c r="BV150" i="20"/>
  <c r="M132" i="22"/>
  <c r="BQ132" i="19"/>
  <c r="AH133" i="18" s="1"/>
  <c r="AT134" i="18" l="1"/>
  <c r="BN133" i="19"/>
  <c r="BL131" i="19"/>
  <c r="M131" i="18"/>
  <c r="L132" i="18"/>
  <c r="AA133" i="18"/>
  <c r="AW132" i="20"/>
  <c r="V133" i="18"/>
  <c r="AM133" i="18"/>
  <c r="AY132" i="20"/>
  <c r="V132" i="19"/>
  <c r="AI132" i="19" s="1"/>
  <c r="I132" i="19" s="1"/>
  <c r="I132" i="22" s="1"/>
  <c r="S132" i="22" s="1"/>
  <c r="BX132" i="19" s="1"/>
  <c r="AP133" i="18" s="1"/>
  <c r="BI132" i="19"/>
  <c r="AO133" i="18" s="1"/>
  <c r="Z133" i="18"/>
  <c r="I132" i="18"/>
  <c r="AX132" i="20" s="1"/>
  <c r="X133" i="18"/>
  <c r="BC133" i="19"/>
  <c r="BF132" i="19"/>
  <c r="S132" i="19"/>
  <c r="AF132" i="19" s="1"/>
  <c r="F132" i="19" s="1"/>
  <c r="F132" i="22" s="1"/>
  <c r="P132" i="22" s="1"/>
  <c r="BU132" i="19" s="1"/>
  <c r="AU132" i="20"/>
  <c r="R134" i="18"/>
  <c r="R132" i="19"/>
  <c r="AE132" i="19" s="1"/>
  <c r="E132" i="19" s="1"/>
  <c r="E132" i="22" s="1"/>
  <c r="O132" i="22" s="1"/>
  <c r="BT132" i="19" s="1"/>
  <c r="U133" i="18"/>
  <c r="T133" i="18"/>
  <c r="BE132" i="19"/>
  <c r="BD133" i="19"/>
  <c r="AV132" i="20"/>
  <c r="BG132" i="19"/>
  <c r="AL133" i="18" s="1"/>
  <c r="W133" i="18"/>
  <c r="T132" i="19"/>
  <c r="AG132" i="19" s="1"/>
  <c r="G132" i="19" s="1"/>
  <c r="G132" i="22" s="1"/>
  <c r="Q132" i="22" s="1"/>
  <c r="BV132" i="19" s="1"/>
  <c r="AN133" i="18" s="1"/>
  <c r="Q132" i="19"/>
  <c r="AD132" i="19" s="1"/>
  <c r="D132" i="19" s="1"/>
  <c r="D132" i="22" s="1"/>
  <c r="N132" i="22" s="1"/>
  <c r="BS132" i="19" s="1"/>
  <c r="S133" i="18"/>
  <c r="Q135" i="18"/>
  <c r="AC150" i="20"/>
  <c r="AC133" i="19"/>
  <c r="C133" i="19" s="1"/>
  <c r="C133" i="22" s="1"/>
  <c r="BO134" i="19"/>
  <c r="AF135" i="18" s="1"/>
  <c r="Y131" i="19" l="1"/>
  <c r="AL131" i="19" s="1"/>
  <c r="L131" i="19" s="1"/>
  <c r="J131" i="22" s="1"/>
  <c r="T131" i="22" s="1"/>
  <c r="BY131" i="19" s="1"/>
  <c r="AQ132" i="18" s="1"/>
  <c r="BB131" i="20"/>
  <c r="AC132" i="18"/>
  <c r="AB132" i="18"/>
  <c r="L133" i="18"/>
  <c r="BA133" i="20"/>
  <c r="BA132" i="20"/>
  <c r="X132" i="19"/>
  <c r="AK132" i="19" s="1"/>
  <c r="K132" i="19" s="1"/>
  <c r="BK132" i="19"/>
  <c r="I133" i="18"/>
  <c r="AX133" i="20" s="1"/>
  <c r="K133" i="18"/>
  <c r="Z134" i="18" s="1"/>
  <c r="J133" i="18"/>
  <c r="AK133" i="18"/>
  <c r="G133" i="18" s="1"/>
  <c r="AJ133" i="18"/>
  <c r="F133" i="18" s="1"/>
  <c r="H133" i="18"/>
  <c r="D133" i="18"/>
  <c r="BP133" i="19"/>
  <c r="AG134" i="18" s="1"/>
  <c r="C134" i="18" s="1"/>
  <c r="R135" i="18" s="1"/>
  <c r="E133" i="18"/>
  <c r="BR133" i="19"/>
  <c r="AI134" i="18" s="1"/>
  <c r="BB135" i="19"/>
  <c r="B135" i="18"/>
  <c r="CE150" i="20"/>
  <c r="K151" i="20"/>
  <c r="M133" i="22"/>
  <c r="BQ133" i="19"/>
  <c r="AH134" i="18" s="1"/>
  <c r="B4" i="19"/>
  <c r="B4" i="22" s="1"/>
  <c r="L4" i="22" s="1"/>
  <c r="BO4" i="19" s="1"/>
  <c r="AR133" i="18" l="1"/>
  <c r="M132" i="18"/>
  <c r="BZ132" i="19"/>
  <c r="N132" i="18"/>
  <c r="AC133" i="18"/>
  <c r="BL132" i="19"/>
  <c r="BK133" i="19"/>
  <c r="X133" i="19"/>
  <c r="AK133" i="19" s="1"/>
  <c r="K133" i="19" s="1"/>
  <c r="AY133" i="20"/>
  <c r="V133" i="19"/>
  <c r="AI133" i="19" s="1"/>
  <c r="I133" i="19" s="1"/>
  <c r="I133" i="22" s="1"/>
  <c r="S133" i="22" s="1"/>
  <c r="BX133" i="19" s="1"/>
  <c r="BI133" i="19"/>
  <c r="Y134" i="18"/>
  <c r="AZ133" i="20"/>
  <c r="W133" i="19"/>
  <c r="AJ133" i="19" s="1"/>
  <c r="J133" i="19" s="1"/>
  <c r="BJ133" i="19"/>
  <c r="AP134" i="18" s="1"/>
  <c r="AA134" i="18"/>
  <c r="W134" i="18"/>
  <c r="T133" i="19"/>
  <c r="AG133" i="19" s="1"/>
  <c r="G133" i="19" s="1"/>
  <c r="G133" i="22" s="1"/>
  <c r="Q133" i="22" s="1"/>
  <c r="BV133" i="19" s="1"/>
  <c r="AN134" i="18" s="1"/>
  <c r="AV133" i="20"/>
  <c r="BG133" i="19"/>
  <c r="V134" i="18"/>
  <c r="S133" i="19"/>
  <c r="AF133" i="19" s="1"/>
  <c r="F133" i="19" s="1"/>
  <c r="F133" i="22" s="1"/>
  <c r="P133" i="22" s="1"/>
  <c r="BU133" i="19" s="1"/>
  <c r="BF133" i="19"/>
  <c r="AU133" i="20"/>
  <c r="P134" i="19"/>
  <c r="AC134" i="19" s="1"/>
  <c r="C134" i="19" s="1"/>
  <c r="C134" i="22" s="1"/>
  <c r="BD134" i="19"/>
  <c r="T134" i="18"/>
  <c r="BE133" i="19"/>
  <c r="R133" i="19"/>
  <c r="AE133" i="19" s="1"/>
  <c r="E133" i="19" s="1"/>
  <c r="E133" i="22" s="1"/>
  <c r="O133" i="22" s="1"/>
  <c r="BT133" i="19" s="1"/>
  <c r="BH133" i="19"/>
  <c r="AM134" i="18" s="1"/>
  <c r="U133" i="19"/>
  <c r="AH133" i="19" s="1"/>
  <c r="H133" i="19" s="1"/>
  <c r="H133" i="22" s="1"/>
  <c r="R133" i="22" s="1"/>
  <c r="BW133" i="19" s="1"/>
  <c r="AW133" i="20"/>
  <c r="X134" i="18"/>
  <c r="BC134" i="19"/>
  <c r="Q133" i="19"/>
  <c r="AD133" i="19" s="1"/>
  <c r="D133" i="19" s="1"/>
  <c r="D133" i="22" s="1"/>
  <c r="N133" i="22" s="1"/>
  <c r="BS133" i="19" s="1"/>
  <c r="S134" i="18"/>
  <c r="U134" i="18"/>
  <c r="O135" i="19"/>
  <c r="AB135" i="19" s="1"/>
  <c r="B135" i="19" s="1"/>
  <c r="B135" i="22" s="1"/>
  <c r="L135" i="22" s="1"/>
  <c r="BO135" i="19" s="1"/>
  <c r="AF136" i="18" s="1"/>
  <c r="Q136" i="18"/>
  <c r="AL151" i="20"/>
  <c r="BV151" i="20"/>
  <c r="AR134" i="18" l="1"/>
  <c r="BZ133" i="19"/>
  <c r="N133" i="18"/>
  <c r="Z132" i="19"/>
  <c r="AM132" i="19" s="1"/>
  <c r="M132" i="19" s="1"/>
  <c r="BM132" i="19"/>
  <c r="BC132" i="20"/>
  <c r="AD133" i="18"/>
  <c r="Y132" i="19"/>
  <c r="AL132" i="19" s="1"/>
  <c r="L132" i="19" s="1"/>
  <c r="J132" i="22" s="1"/>
  <c r="T132" i="22" s="1"/>
  <c r="BY132" i="19" s="1"/>
  <c r="AQ133" i="18" s="1"/>
  <c r="BB132" i="20"/>
  <c r="AB133" i="18"/>
  <c r="AO134" i="18"/>
  <c r="L134" i="18"/>
  <c r="J134" i="18"/>
  <c r="AL134" i="18"/>
  <c r="H134" i="18" s="1"/>
  <c r="I134" i="18"/>
  <c r="AX134" i="20" s="1"/>
  <c r="AK134" i="18"/>
  <c r="G134" i="18" s="1"/>
  <c r="AJ134" i="18"/>
  <c r="F134" i="18" s="1"/>
  <c r="D134" i="18"/>
  <c r="Q134" i="19" s="1"/>
  <c r="AD134" i="19" s="1"/>
  <c r="D134" i="19" s="1"/>
  <c r="D134" i="22" s="1"/>
  <c r="N134" i="22" s="1"/>
  <c r="BS134" i="19" s="1"/>
  <c r="BP134" i="19"/>
  <c r="AG135" i="18" s="1"/>
  <c r="C135" i="18" s="1"/>
  <c r="R136" i="18" s="1"/>
  <c r="E134" i="18"/>
  <c r="BR134" i="19"/>
  <c r="AI135" i="18" s="1"/>
  <c r="BB136" i="19"/>
  <c r="B136" i="18"/>
  <c r="O136" i="19" s="1"/>
  <c r="AB136" i="19" s="1"/>
  <c r="B136" i="19" s="1"/>
  <c r="B136" i="22" s="1"/>
  <c r="L136" i="22" s="1"/>
  <c r="AC151" i="20"/>
  <c r="M134" i="22"/>
  <c r="BQ134" i="19"/>
  <c r="AH135" i="18" s="1"/>
  <c r="BL133" i="19" l="1"/>
  <c r="O133" i="18"/>
  <c r="AD134" i="18" s="1"/>
  <c r="BC133" i="20"/>
  <c r="Z133" i="19"/>
  <c r="AM133" i="19" s="1"/>
  <c r="M133" i="19" s="1"/>
  <c r="BM133" i="19"/>
  <c r="M133" i="18"/>
  <c r="K134" i="18"/>
  <c r="AY134" i="20"/>
  <c r="V134" i="19"/>
  <c r="AI134" i="19" s="1"/>
  <c r="I134" i="19" s="1"/>
  <c r="I134" i="22" s="1"/>
  <c r="S134" i="22" s="1"/>
  <c r="BX134" i="19" s="1"/>
  <c r="BI134" i="19"/>
  <c r="AO135" i="18" s="1"/>
  <c r="Z135" i="18"/>
  <c r="BA134" i="20"/>
  <c r="X134" i="19"/>
  <c r="AK134" i="19" s="1"/>
  <c r="K134" i="19" s="1"/>
  <c r="BK134" i="19"/>
  <c r="Y135" i="18"/>
  <c r="BH134" i="19"/>
  <c r="AM135" i="18" s="1"/>
  <c r="U134" i="19"/>
  <c r="AH134" i="19" s="1"/>
  <c r="H134" i="19" s="1"/>
  <c r="H134" i="22" s="1"/>
  <c r="R134" i="22" s="1"/>
  <c r="BW134" i="19" s="1"/>
  <c r="X135" i="18"/>
  <c r="AW134" i="20"/>
  <c r="BF134" i="19"/>
  <c r="S134" i="19"/>
  <c r="AF134" i="19" s="1"/>
  <c r="F134" i="19" s="1"/>
  <c r="F134" i="22" s="1"/>
  <c r="P134" i="22" s="1"/>
  <c r="BU134" i="19" s="1"/>
  <c r="AU134" i="20"/>
  <c r="W135" i="18"/>
  <c r="AV134" i="20"/>
  <c r="T134" i="19"/>
  <c r="AG134" i="19" s="1"/>
  <c r="G134" i="19" s="1"/>
  <c r="G134" i="22" s="1"/>
  <c r="Q134" i="22" s="1"/>
  <c r="BV134" i="19" s="1"/>
  <c r="AN135" i="18" s="1"/>
  <c r="V135" i="18"/>
  <c r="BG134" i="19"/>
  <c r="BD135" i="19"/>
  <c r="P135" i="19"/>
  <c r="AC135" i="19" s="1"/>
  <c r="C135" i="19" s="1"/>
  <c r="C135" i="22" s="1"/>
  <c r="BE134" i="19"/>
  <c r="AJ135" i="18" s="1"/>
  <c r="U135" i="18"/>
  <c r="T135" i="18"/>
  <c r="R134" i="19"/>
  <c r="AE134" i="19" s="1"/>
  <c r="E134" i="19" s="1"/>
  <c r="E134" i="22" s="1"/>
  <c r="O134" i="22" s="1"/>
  <c r="BT134" i="19" s="1"/>
  <c r="AK135" i="18" s="1"/>
  <c r="BC135" i="19"/>
  <c r="Q137" i="18"/>
  <c r="S135" i="18"/>
  <c r="CE151" i="20"/>
  <c r="K152" i="20"/>
  <c r="BO136" i="19"/>
  <c r="AF137" i="18" s="1"/>
  <c r="AB134" i="18" l="1"/>
  <c r="BB133" i="20"/>
  <c r="AC134" i="18"/>
  <c r="Y133" i="19"/>
  <c r="AL133" i="19" s="1"/>
  <c r="L133" i="19" s="1"/>
  <c r="J133" i="22" s="1"/>
  <c r="T133" i="22" s="1"/>
  <c r="BY133" i="19" s="1"/>
  <c r="AQ134" i="18" s="1"/>
  <c r="AA133" i="19"/>
  <c r="AN133" i="19" s="1"/>
  <c r="N133" i="19" s="1"/>
  <c r="K133" i="22" s="1"/>
  <c r="U133" i="22" s="1"/>
  <c r="CA133" i="19" s="1"/>
  <c r="AS134" i="18" s="1"/>
  <c r="AE134" i="18"/>
  <c r="AT135" i="18" s="1"/>
  <c r="BJ134" i="19"/>
  <c r="AP135" i="18" s="1"/>
  <c r="W134" i="19"/>
  <c r="AJ134" i="19" s="1"/>
  <c r="J134" i="19" s="1"/>
  <c r="AA135" i="18"/>
  <c r="L135" i="18" s="1"/>
  <c r="BK135" i="19" s="1"/>
  <c r="AZ134" i="20"/>
  <c r="J135" i="18"/>
  <c r="K135" i="18"/>
  <c r="Z136" i="18"/>
  <c r="BA135" i="20"/>
  <c r="X135" i="19"/>
  <c r="AL135" i="18"/>
  <c r="H135" i="18" s="1"/>
  <c r="I135" i="18"/>
  <c r="AX135" i="20" s="1"/>
  <c r="G135" i="18"/>
  <c r="F135" i="18"/>
  <c r="BP135" i="19"/>
  <c r="AG136" i="18" s="1"/>
  <c r="C136" i="18" s="1"/>
  <c r="R137" i="18" s="1"/>
  <c r="D135" i="18"/>
  <c r="BR135" i="19"/>
  <c r="AI136" i="18" s="1"/>
  <c r="E135" i="18"/>
  <c r="BB137" i="19"/>
  <c r="B137" i="18"/>
  <c r="BV152" i="20"/>
  <c r="AL152" i="20"/>
  <c r="M135" i="22"/>
  <c r="BQ135" i="19"/>
  <c r="AH136" i="18" s="1"/>
  <c r="BN134" i="19" l="1"/>
  <c r="O134" i="18"/>
  <c r="AA134" i="19" s="1"/>
  <c r="AN134" i="19" s="1"/>
  <c r="N134" i="19" s="1"/>
  <c r="K134" i="22" s="1"/>
  <c r="U134" i="22" s="1"/>
  <c r="CA134" i="19" s="1"/>
  <c r="AS135" i="18" s="1"/>
  <c r="BL134" i="19"/>
  <c r="N134" i="18"/>
  <c r="BZ134" i="19"/>
  <c r="AR135" i="18" s="1"/>
  <c r="P134" i="18"/>
  <c r="AE135" i="18" s="1"/>
  <c r="P135" i="18" s="1"/>
  <c r="M134" i="18"/>
  <c r="AB135" i="18"/>
  <c r="AY135" i="20"/>
  <c r="V135" i="19"/>
  <c r="AI135" i="19" s="1"/>
  <c r="I135" i="19" s="1"/>
  <c r="I135" i="22" s="1"/>
  <c r="S135" i="22" s="1"/>
  <c r="BX135" i="19" s="1"/>
  <c r="BI135" i="19"/>
  <c r="AZ135" i="20"/>
  <c r="W135" i="19"/>
  <c r="AJ135" i="19" s="1"/>
  <c r="J135" i="19" s="1"/>
  <c r="BJ135" i="19"/>
  <c r="AP136" i="18" s="1"/>
  <c r="AK135" i="19"/>
  <c r="K135" i="19" s="1"/>
  <c r="Y136" i="18"/>
  <c r="J136" i="18" s="1"/>
  <c r="AA136" i="18"/>
  <c r="U135" i="19"/>
  <c r="AH135" i="19" s="1"/>
  <c r="H135" i="19" s="1"/>
  <c r="H135" i="22" s="1"/>
  <c r="R135" i="22" s="1"/>
  <c r="BW135" i="19" s="1"/>
  <c r="X136" i="18"/>
  <c r="W136" i="18"/>
  <c r="BH135" i="19"/>
  <c r="AM136" i="18" s="1"/>
  <c r="AW135" i="20"/>
  <c r="P136" i="19"/>
  <c r="BG135" i="19"/>
  <c r="AV135" i="20"/>
  <c r="T135" i="19"/>
  <c r="AG135" i="19" s="1"/>
  <c r="G135" i="19" s="1"/>
  <c r="G135" i="22" s="1"/>
  <c r="Q135" i="22" s="1"/>
  <c r="BV135" i="19" s="1"/>
  <c r="AN136" i="18" s="1"/>
  <c r="BC136" i="19"/>
  <c r="AU135" i="20"/>
  <c r="BF135" i="19"/>
  <c r="S135" i="19"/>
  <c r="AF135" i="19" s="1"/>
  <c r="F135" i="19" s="1"/>
  <c r="F135" i="22" s="1"/>
  <c r="P135" i="22" s="1"/>
  <c r="BU135" i="19" s="1"/>
  <c r="V136" i="18"/>
  <c r="BE135" i="19"/>
  <c r="R135" i="19"/>
  <c r="AE135" i="19" s="1"/>
  <c r="E135" i="19" s="1"/>
  <c r="E135" i="22" s="1"/>
  <c r="O135" i="22" s="1"/>
  <c r="BT135" i="19" s="1"/>
  <c r="T136" i="18"/>
  <c r="U136" i="18"/>
  <c r="Q135" i="19"/>
  <c r="AD135" i="19" s="1"/>
  <c r="D135" i="19" s="1"/>
  <c r="D135" i="22" s="1"/>
  <c r="N135" i="22" s="1"/>
  <c r="BS135" i="19" s="1"/>
  <c r="S136" i="18"/>
  <c r="BD136" i="19"/>
  <c r="O137" i="19"/>
  <c r="AB137" i="19" s="1"/>
  <c r="B137" i="19" s="1"/>
  <c r="B137" i="22" s="1"/>
  <c r="L137" i="22" s="1"/>
  <c r="BO137" i="19" s="1"/>
  <c r="AF138" i="18" s="1"/>
  <c r="Q138" i="18"/>
  <c r="AC152" i="20"/>
  <c r="AC136" i="19"/>
  <c r="C136" i="19" s="1"/>
  <c r="C136" i="22" s="1"/>
  <c r="AT136" i="18" l="1"/>
  <c r="BN135" i="19"/>
  <c r="Y134" i="19"/>
  <c r="AL134" i="19" s="1"/>
  <c r="L134" i="19" s="1"/>
  <c r="J134" i="22" s="1"/>
  <c r="T134" i="22" s="1"/>
  <c r="BY134" i="19" s="1"/>
  <c r="AQ135" i="18" s="1"/>
  <c r="BB134" i="20"/>
  <c r="Z134" i="19"/>
  <c r="AM134" i="19" s="1"/>
  <c r="M134" i="19" s="1"/>
  <c r="BM134" i="19"/>
  <c r="BC134" i="20"/>
  <c r="AD135" i="18"/>
  <c r="AC135" i="18"/>
  <c r="AO136" i="18"/>
  <c r="Y137" i="18"/>
  <c r="AY136" i="20"/>
  <c r="V136" i="19"/>
  <c r="AI136" i="19" s="1"/>
  <c r="I136" i="19" s="1"/>
  <c r="I136" i="22" s="1"/>
  <c r="S136" i="22" s="1"/>
  <c r="BX136" i="19" s="1"/>
  <c r="BI136" i="19"/>
  <c r="L136" i="18"/>
  <c r="I136" i="18"/>
  <c r="AX136" i="20" s="1"/>
  <c r="AL136" i="18"/>
  <c r="AK136" i="18"/>
  <c r="G136" i="18" s="1"/>
  <c r="AJ136" i="18"/>
  <c r="F136" i="18" s="1"/>
  <c r="E136" i="18"/>
  <c r="BR136" i="19"/>
  <c r="AI137" i="18" s="1"/>
  <c r="BP136" i="19"/>
  <c r="AG137" i="18" s="1"/>
  <c r="C137" i="18" s="1"/>
  <c r="R138" i="18" s="1"/>
  <c r="D136" i="18"/>
  <c r="BB138" i="19"/>
  <c r="B138" i="18"/>
  <c r="O138" i="19" s="1"/>
  <c r="AB138" i="19" s="1"/>
  <c r="B138" i="19" s="1"/>
  <c r="B138" i="22" s="1"/>
  <c r="L138" i="22" s="1"/>
  <c r="CE152" i="20"/>
  <c r="K153" i="20"/>
  <c r="M136" i="22"/>
  <c r="BQ136" i="19"/>
  <c r="AH137" i="18" s="1"/>
  <c r="AR136" i="18" l="1"/>
  <c r="BZ135" i="19"/>
  <c r="N135" i="18"/>
  <c r="O135" i="18"/>
  <c r="AD136" i="18" s="1"/>
  <c r="BL135" i="19"/>
  <c r="M135" i="18"/>
  <c r="K136" i="18"/>
  <c r="BA136" i="20"/>
  <c r="X136" i="19"/>
  <c r="AK136" i="19" s="1"/>
  <c r="K136" i="19" s="1"/>
  <c r="BK136" i="19"/>
  <c r="H136" i="18"/>
  <c r="W137" i="18" s="1"/>
  <c r="BG136" i="19"/>
  <c r="T136" i="19"/>
  <c r="AG136" i="19" s="1"/>
  <c r="G136" i="19" s="1"/>
  <c r="G136" i="22" s="1"/>
  <c r="Q136" i="22" s="1"/>
  <c r="BV136" i="19" s="1"/>
  <c r="AN137" i="18" s="1"/>
  <c r="J137" i="18" s="1"/>
  <c r="AV136" i="20"/>
  <c r="Q139" i="18"/>
  <c r="AU136" i="20"/>
  <c r="BF136" i="19"/>
  <c r="S136" i="19"/>
  <c r="AF136" i="19" s="1"/>
  <c r="F136" i="19" s="1"/>
  <c r="F136" i="22" s="1"/>
  <c r="P136" i="22" s="1"/>
  <c r="BU136" i="19" s="1"/>
  <c r="V137" i="18"/>
  <c r="T137" i="18"/>
  <c r="BR137" i="19" s="1"/>
  <c r="P137" i="19"/>
  <c r="BC137" i="19"/>
  <c r="BD137" i="19"/>
  <c r="S137" i="18"/>
  <c r="Q136" i="19"/>
  <c r="AD136" i="19" s="1"/>
  <c r="D136" i="19" s="1"/>
  <c r="D136" i="22" s="1"/>
  <c r="N136" i="22" s="1"/>
  <c r="BS136" i="19" s="1"/>
  <c r="U137" i="18"/>
  <c r="BE136" i="19"/>
  <c r="R136" i="19"/>
  <c r="AE136" i="19" s="1"/>
  <c r="E136" i="19" s="1"/>
  <c r="E136" i="22" s="1"/>
  <c r="O136" i="22" s="1"/>
  <c r="BT136" i="19" s="1"/>
  <c r="AL153" i="20"/>
  <c r="BV153" i="20"/>
  <c r="AC137" i="19"/>
  <c r="C137" i="19" s="1"/>
  <c r="C137" i="22" s="1"/>
  <c r="BO138" i="19"/>
  <c r="AF139" i="18" s="1"/>
  <c r="AE136" i="18" l="1"/>
  <c r="AA135" i="19"/>
  <c r="AN135" i="19" s="1"/>
  <c r="N135" i="19" s="1"/>
  <c r="K135" i="22" s="1"/>
  <c r="U135" i="22" s="1"/>
  <c r="CA135" i="19" s="1"/>
  <c r="AS136" i="18" s="1"/>
  <c r="AB136" i="18"/>
  <c r="Y135" i="19"/>
  <c r="AL135" i="19" s="1"/>
  <c r="L135" i="19" s="1"/>
  <c r="J135" i="22" s="1"/>
  <c r="T135" i="22" s="1"/>
  <c r="BY135" i="19" s="1"/>
  <c r="AQ136" i="18" s="1"/>
  <c r="BB135" i="20"/>
  <c r="BM135" i="19"/>
  <c r="BC135" i="20"/>
  <c r="Z135" i="19"/>
  <c r="AM135" i="19" s="1"/>
  <c r="M135" i="19" s="1"/>
  <c r="AC136" i="18"/>
  <c r="Z137" i="18"/>
  <c r="BJ136" i="19"/>
  <c r="AP137" i="18" s="1"/>
  <c r="AZ136" i="20"/>
  <c r="W136" i="19"/>
  <c r="AJ136" i="19" s="1"/>
  <c r="J136" i="19" s="1"/>
  <c r="AA137" i="18"/>
  <c r="AY137" i="20"/>
  <c r="V137" i="19"/>
  <c r="AI137" i="19" s="1"/>
  <c r="I137" i="19" s="1"/>
  <c r="I137" i="22" s="1"/>
  <c r="S137" i="22" s="1"/>
  <c r="BX137" i="19" s="1"/>
  <c r="BI137" i="19"/>
  <c r="Y138" i="18"/>
  <c r="AL137" i="18"/>
  <c r="H137" i="18" s="1"/>
  <c r="E137" i="18"/>
  <c r="X137" i="18"/>
  <c r="BH136" i="19"/>
  <c r="AM137" i="18" s="1"/>
  <c r="U136" i="19"/>
  <c r="AH136" i="19" s="1"/>
  <c r="H136" i="19" s="1"/>
  <c r="H136" i="22" s="1"/>
  <c r="R136" i="22" s="1"/>
  <c r="BW136" i="19" s="1"/>
  <c r="AO137" i="18" s="1"/>
  <c r="AW136" i="20"/>
  <c r="AJ137" i="18"/>
  <c r="F137" i="18" s="1"/>
  <c r="BF137" i="19" s="1"/>
  <c r="AI138" i="18"/>
  <c r="AK137" i="18"/>
  <c r="G137" i="18" s="1"/>
  <c r="D137" i="18"/>
  <c r="S138" i="18" s="1"/>
  <c r="BP138" i="19" s="1"/>
  <c r="BP137" i="19"/>
  <c r="AG138" i="18" s="1"/>
  <c r="C138" i="18" s="1"/>
  <c r="R139" i="18" s="1"/>
  <c r="BB139" i="19"/>
  <c r="B139" i="18"/>
  <c r="AC153" i="20"/>
  <c r="BC138" i="19"/>
  <c r="M137" i="22"/>
  <c r="BQ137" i="19"/>
  <c r="AH138" i="18" s="1"/>
  <c r="P136" i="18" l="1"/>
  <c r="AT137" i="18"/>
  <c r="BN136" i="19"/>
  <c r="O136" i="18"/>
  <c r="AA136" i="19" s="1"/>
  <c r="AN136" i="19" s="1"/>
  <c r="N136" i="19" s="1"/>
  <c r="K136" i="22" s="1"/>
  <c r="U136" i="22" s="1"/>
  <c r="CA136" i="19" s="1"/>
  <c r="AS137" i="18" s="1"/>
  <c r="BL136" i="19"/>
  <c r="M136" i="18"/>
  <c r="AB137" i="18" s="1"/>
  <c r="BZ136" i="19"/>
  <c r="AR137" i="18" s="1"/>
  <c r="N136" i="18"/>
  <c r="L137" i="18"/>
  <c r="K137" i="18"/>
  <c r="AU137" i="20"/>
  <c r="S137" i="19"/>
  <c r="AF137" i="19" s="1"/>
  <c r="F137" i="19" s="1"/>
  <c r="F137" i="22" s="1"/>
  <c r="P137" i="22" s="1"/>
  <c r="BU137" i="19" s="1"/>
  <c r="BH137" i="19"/>
  <c r="AM138" i="18" s="1"/>
  <c r="U137" i="19"/>
  <c r="AH137" i="19" s="1"/>
  <c r="H137" i="19" s="1"/>
  <c r="H137" i="22" s="1"/>
  <c r="R137" i="22" s="1"/>
  <c r="BW137" i="19" s="1"/>
  <c r="AO138" i="18" s="1"/>
  <c r="AW137" i="20"/>
  <c r="BE137" i="19"/>
  <c r="R137" i="19"/>
  <c r="AE137" i="19" s="1"/>
  <c r="E137" i="19" s="1"/>
  <c r="E137" i="22" s="1"/>
  <c r="O137" i="22" s="1"/>
  <c r="BT137" i="19" s="1"/>
  <c r="AK138" i="18" s="1"/>
  <c r="I137" i="18"/>
  <c r="AX137" i="20" s="1"/>
  <c r="AV137" i="20"/>
  <c r="BG137" i="19"/>
  <c r="AL138" i="18" s="1"/>
  <c r="W138" i="18"/>
  <c r="T137" i="19"/>
  <c r="AG137" i="19" s="1"/>
  <c r="G137" i="19" s="1"/>
  <c r="G137" i="22" s="1"/>
  <c r="Q137" i="22" s="1"/>
  <c r="BV137" i="19" s="1"/>
  <c r="AN138" i="18" s="1"/>
  <c r="P138" i="19"/>
  <c r="V138" i="18"/>
  <c r="U138" i="18"/>
  <c r="BD138" i="19"/>
  <c r="D138" i="18"/>
  <c r="AG139" i="18"/>
  <c r="C139" i="18" s="1"/>
  <c r="T138" i="18"/>
  <c r="Q137" i="19"/>
  <c r="AD137" i="19" s="1"/>
  <c r="D137" i="19" s="1"/>
  <c r="D137" i="22" s="1"/>
  <c r="N137" i="22" s="1"/>
  <c r="BS137" i="19" s="1"/>
  <c r="AJ138" i="18" s="1"/>
  <c r="O139" i="19"/>
  <c r="AB139" i="19" s="1"/>
  <c r="B139" i="19" s="1"/>
  <c r="B139" i="22" s="1"/>
  <c r="L139" i="22" s="1"/>
  <c r="Q140" i="18"/>
  <c r="CE153" i="20"/>
  <c r="K154" i="20"/>
  <c r="BO139" i="19"/>
  <c r="AF140" i="18" s="1"/>
  <c r="AC138" i="19"/>
  <c r="C138" i="19" s="1"/>
  <c r="C138" i="22" s="1"/>
  <c r="S139" i="18"/>
  <c r="Q138" i="19"/>
  <c r="BN137" i="19" l="1"/>
  <c r="AE137" i="18"/>
  <c r="P137" i="18" s="1"/>
  <c r="Y136" i="19"/>
  <c r="AL136" i="19" s="1"/>
  <c r="L136" i="19" s="1"/>
  <c r="J136" i="22" s="1"/>
  <c r="T136" i="22" s="1"/>
  <c r="BY136" i="19" s="1"/>
  <c r="AQ137" i="18" s="1"/>
  <c r="BB136" i="20"/>
  <c r="AC137" i="18"/>
  <c r="AD137" i="18"/>
  <c r="BM136" i="19"/>
  <c r="BC136" i="20"/>
  <c r="Z136" i="19"/>
  <c r="AM136" i="19" s="1"/>
  <c r="M136" i="19" s="1"/>
  <c r="BK137" i="19"/>
  <c r="BA137" i="20"/>
  <c r="X137" i="19"/>
  <c r="AK137" i="19" s="1"/>
  <c r="K137" i="19" s="1"/>
  <c r="AZ137" i="20"/>
  <c r="W137" i="19"/>
  <c r="AJ137" i="19" s="1"/>
  <c r="J137" i="19" s="1"/>
  <c r="BJ137" i="19"/>
  <c r="AP138" i="18" s="1"/>
  <c r="AA138" i="18"/>
  <c r="Z138" i="18"/>
  <c r="K138" i="18" s="1"/>
  <c r="AZ138" i="20"/>
  <c r="W138" i="19"/>
  <c r="AJ138" i="19" s="1"/>
  <c r="J138" i="19" s="1"/>
  <c r="BJ138" i="19"/>
  <c r="H138" i="18"/>
  <c r="AW138" i="20" s="1"/>
  <c r="J138" i="18"/>
  <c r="Z139" i="18"/>
  <c r="G138" i="18"/>
  <c r="BG138" i="19" s="1"/>
  <c r="X138" i="18"/>
  <c r="I138" i="18" s="1"/>
  <c r="AX138" i="20" s="1"/>
  <c r="F138" i="18"/>
  <c r="AV138" i="20"/>
  <c r="T138" i="19"/>
  <c r="AG138" i="19" s="1"/>
  <c r="G138" i="19" s="1"/>
  <c r="G138" i="22" s="1"/>
  <c r="Q138" i="22" s="1"/>
  <c r="BV138" i="19" s="1"/>
  <c r="AN139" i="18" s="1"/>
  <c r="BR138" i="19"/>
  <c r="AI139" i="18" s="1"/>
  <c r="E138" i="18"/>
  <c r="B140" i="18"/>
  <c r="O140" i="19" s="1"/>
  <c r="AB140" i="19" s="1"/>
  <c r="B140" i="19" s="1"/>
  <c r="B140" i="22" s="1"/>
  <c r="L140" i="22" s="1"/>
  <c r="BB140" i="19"/>
  <c r="AL154" i="20"/>
  <c r="BV154" i="20"/>
  <c r="R140" i="18"/>
  <c r="BC139" i="19"/>
  <c r="P139" i="19"/>
  <c r="AD138" i="19"/>
  <c r="D138" i="19" s="1"/>
  <c r="D138" i="22" s="1"/>
  <c r="N138" i="22" s="1"/>
  <c r="BS138" i="19" s="1"/>
  <c r="BP139" i="19"/>
  <c r="AG140" i="18" s="1"/>
  <c r="M138" i="22"/>
  <c r="BQ138" i="19"/>
  <c r="AH139" i="18" s="1"/>
  <c r="D139" i="18" s="1"/>
  <c r="AT138" i="18" l="1"/>
  <c r="BL137" i="19"/>
  <c r="O137" i="18"/>
  <c r="N137" i="18"/>
  <c r="AD138" i="18" s="1"/>
  <c r="BZ137" i="19"/>
  <c r="AR138" i="18" s="1"/>
  <c r="M137" i="18"/>
  <c r="L138" i="18"/>
  <c r="AA139" i="18" s="1"/>
  <c r="W139" i="18"/>
  <c r="BH138" i="19"/>
  <c r="U138" i="19"/>
  <c r="AH138" i="19" s="1"/>
  <c r="H138" i="19" s="1"/>
  <c r="H138" i="22" s="1"/>
  <c r="R138" i="22" s="1"/>
  <c r="BW138" i="19" s="1"/>
  <c r="AY138" i="20"/>
  <c r="V138" i="19"/>
  <c r="BI138" i="19"/>
  <c r="AO139" i="18" s="1"/>
  <c r="Y139" i="18"/>
  <c r="AM139" i="18"/>
  <c r="X139" i="18"/>
  <c r="S138" i="19"/>
  <c r="AF138" i="19" s="1"/>
  <c r="F138" i="19" s="1"/>
  <c r="F138" i="22" s="1"/>
  <c r="P138" i="22" s="1"/>
  <c r="BU138" i="19" s="1"/>
  <c r="AL139" i="18" s="1"/>
  <c r="V139" i="18"/>
  <c r="AU138" i="20"/>
  <c r="BF138" i="19"/>
  <c r="Q141" i="18"/>
  <c r="BD139" i="19"/>
  <c r="T139" i="18"/>
  <c r="BE138" i="19"/>
  <c r="AJ139" i="18" s="1"/>
  <c r="R138" i="19"/>
  <c r="AE138" i="19" s="1"/>
  <c r="E138" i="19" s="1"/>
  <c r="E138" i="22" s="1"/>
  <c r="O138" i="22" s="1"/>
  <c r="BT138" i="19" s="1"/>
  <c r="U139" i="18"/>
  <c r="AC154" i="20"/>
  <c r="AC139" i="19"/>
  <c r="C139" i="19" s="1"/>
  <c r="C139" i="22" s="1"/>
  <c r="S140" i="18"/>
  <c r="Q139" i="19"/>
  <c r="C140" i="18"/>
  <c r="BO140" i="19"/>
  <c r="AF141" i="18" s="1"/>
  <c r="BB137" i="20" l="1"/>
  <c r="Y137" i="19"/>
  <c r="AL137" i="19" s="1"/>
  <c r="L137" i="19" s="1"/>
  <c r="J137" i="22" s="1"/>
  <c r="T137" i="22" s="1"/>
  <c r="BY137" i="19" s="1"/>
  <c r="AQ138" i="18" s="1"/>
  <c r="AB138" i="18"/>
  <c r="AE138" i="18"/>
  <c r="P138" i="18" s="1"/>
  <c r="AA137" i="19"/>
  <c r="AN137" i="19" s="1"/>
  <c r="N137" i="19" s="1"/>
  <c r="K137" i="22" s="1"/>
  <c r="U137" i="22" s="1"/>
  <c r="CA137" i="19" s="1"/>
  <c r="AS138" i="18" s="1"/>
  <c r="BC137" i="20"/>
  <c r="Z137" i="19"/>
  <c r="AM137" i="19" s="1"/>
  <c r="M137" i="19" s="1"/>
  <c r="BM137" i="19"/>
  <c r="AC138" i="18"/>
  <c r="K139" i="18"/>
  <c r="BA138" i="20"/>
  <c r="X138" i="19"/>
  <c r="AK138" i="19" s="1"/>
  <c r="K138" i="19" s="1"/>
  <c r="BK138" i="19"/>
  <c r="J139" i="18"/>
  <c r="Y140" i="18"/>
  <c r="AZ139" i="20"/>
  <c r="W139" i="19"/>
  <c r="AJ139" i="19" s="1"/>
  <c r="J139" i="19" s="1"/>
  <c r="BJ139" i="19"/>
  <c r="AI138" i="19"/>
  <c r="I138" i="19" s="1"/>
  <c r="I138" i="22" s="1"/>
  <c r="S138" i="22" s="1"/>
  <c r="BX138" i="19" s="1"/>
  <c r="AP139" i="18" s="1"/>
  <c r="H139" i="18"/>
  <c r="AK139" i="18"/>
  <c r="G139" i="18" s="1"/>
  <c r="I139" i="18"/>
  <c r="AX139" i="20" s="1"/>
  <c r="F139" i="18"/>
  <c r="BF139" i="19" s="1"/>
  <c r="AI140" i="18"/>
  <c r="BR139" i="19"/>
  <c r="E139" i="18"/>
  <c r="T140" i="18" s="1"/>
  <c r="BR140" i="19" s="1"/>
  <c r="AU139" i="20"/>
  <c r="BB141" i="19"/>
  <c r="B141" i="18"/>
  <c r="CE154" i="20"/>
  <c r="K155" i="20"/>
  <c r="BP140" i="19"/>
  <c r="AG141" i="18" s="1"/>
  <c r="R141" i="18"/>
  <c r="BC140" i="19"/>
  <c r="P140" i="19"/>
  <c r="AD139" i="19"/>
  <c r="D139" i="19" s="1"/>
  <c r="D139" i="22" s="1"/>
  <c r="N139" i="22" s="1"/>
  <c r="BS139" i="19" s="1"/>
  <c r="M139" i="22"/>
  <c r="BQ139" i="19"/>
  <c r="AH140" i="18" s="1"/>
  <c r="AT139" i="18" l="1"/>
  <c r="BN138" i="19"/>
  <c r="O138" i="18"/>
  <c r="AA138" i="19" s="1"/>
  <c r="AN138" i="19" s="1"/>
  <c r="N138" i="19" s="1"/>
  <c r="K138" i="22" s="1"/>
  <c r="U138" i="22" s="1"/>
  <c r="CA138" i="19" s="1"/>
  <c r="AS139" i="18" s="1"/>
  <c r="BL138" i="19"/>
  <c r="BZ138" i="19"/>
  <c r="AR139" i="18" s="1"/>
  <c r="N138" i="18"/>
  <c r="M138" i="18"/>
  <c r="L139" i="18"/>
  <c r="AY139" i="20"/>
  <c r="V139" i="19"/>
  <c r="AI139" i="19" s="1"/>
  <c r="I139" i="19" s="1"/>
  <c r="I139" i="22" s="1"/>
  <c r="S139" i="22" s="1"/>
  <c r="BX139" i="19" s="1"/>
  <c r="AP140" i="18" s="1"/>
  <c r="BI139" i="19"/>
  <c r="Z140" i="18"/>
  <c r="E140" i="18"/>
  <c r="V140" i="18"/>
  <c r="U139" i="19"/>
  <c r="AH139" i="19" s="1"/>
  <c r="H139" i="19" s="1"/>
  <c r="H139" i="22" s="1"/>
  <c r="R139" i="22" s="1"/>
  <c r="BW139" i="19" s="1"/>
  <c r="AW139" i="20"/>
  <c r="BH139" i="19"/>
  <c r="AM140" i="18" s="1"/>
  <c r="S139" i="19"/>
  <c r="AF139" i="19" s="1"/>
  <c r="F139" i="19" s="1"/>
  <c r="F139" i="22" s="1"/>
  <c r="P139" i="22" s="1"/>
  <c r="BU139" i="19" s="1"/>
  <c r="X140" i="18"/>
  <c r="AV139" i="20"/>
  <c r="T139" i="19"/>
  <c r="AG139" i="19" s="1"/>
  <c r="G139" i="19" s="1"/>
  <c r="G139" i="22" s="1"/>
  <c r="Q139" i="22" s="1"/>
  <c r="BV139" i="19" s="1"/>
  <c r="AN140" i="18" s="1"/>
  <c r="BG139" i="19"/>
  <c r="AL140" i="18" s="1"/>
  <c r="W140" i="18"/>
  <c r="BD140" i="19"/>
  <c r="AI141" i="18" s="1"/>
  <c r="D140" i="18"/>
  <c r="S141" i="18" s="1"/>
  <c r="U140" i="18"/>
  <c r="R139" i="19"/>
  <c r="AE139" i="19" s="1"/>
  <c r="E139" i="19" s="1"/>
  <c r="E139" i="22" s="1"/>
  <c r="O139" i="22" s="1"/>
  <c r="BT139" i="19" s="1"/>
  <c r="AK140" i="18" s="1"/>
  <c r="BE139" i="19"/>
  <c r="AJ140" i="18" s="1"/>
  <c r="O141" i="19"/>
  <c r="AB141" i="19" s="1"/>
  <c r="B141" i="19" s="1"/>
  <c r="B141" i="22" s="1"/>
  <c r="L141" i="22" s="1"/>
  <c r="BO141" i="19" s="1"/>
  <c r="AF142" i="18" s="1"/>
  <c r="Q142" i="18"/>
  <c r="AL155" i="20"/>
  <c r="BV155" i="20"/>
  <c r="C141" i="18"/>
  <c r="BE140" i="19"/>
  <c r="R140" i="19"/>
  <c r="AE140" i="19" s="1"/>
  <c r="E140" i="19" s="1"/>
  <c r="E140" i="22" s="1"/>
  <c r="O140" i="22" s="1"/>
  <c r="BT140" i="19" s="1"/>
  <c r="AC140" i="19"/>
  <c r="C140" i="19" s="1"/>
  <c r="C140" i="22" s="1"/>
  <c r="BN139" i="19" l="1"/>
  <c r="AE139" i="18"/>
  <c r="P139" i="18" s="1"/>
  <c r="AD139" i="18"/>
  <c r="O139" i="18" s="1"/>
  <c r="AC139" i="18"/>
  <c r="Z138" i="19"/>
  <c r="AM138" i="19" s="1"/>
  <c r="M138" i="19" s="1"/>
  <c r="BM138" i="19"/>
  <c r="BC138" i="20"/>
  <c r="BB138" i="20"/>
  <c r="Y138" i="19"/>
  <c r="AL138" i="19" s="1"/>
  <c r="L138" i="19" s="1"/>
  <c r="J138" i="22" s="1"/>
  <c r="T138" i="22" s="1"/>
  <c r="BY138" i="19" s="1"/>
  <c r="AQ139" i="18" s="1"/>
  <c r="AB139" i="18"/>
  <c r="BA139" i="20"/>
  <c r="X139" i="19"/>
  <c r="AK139" i="19" s="1"/>
  <c r="K139" i="19" s="1"/>
  <c r="BK139" i="19"/>
  <c r="AA140" i="18"/>
  <c r="L140" i="18" s="1"/>
  <c r="AO140" i="18"/>
  <c r="I140" i="18"/>
  <c r="AX140" i="20" s="1"/>
  <c r="BA140" i="20"/>
  <c r="X140" i="19"/>
  <c r="AK140" i="19" s="1"/>
  <c r="K140" i="19" s="1"/>
  <c r="BK140" i="19"/>
  <c r="K140" i="18"/>
  <c r="J140" i="18"/>
  <c r="Z141" i="18" s="1"/>
  <c r="H140" i="18"/>
  <c r="BH140" i="19" s="1"/>
  <c r="AM141" i="18" s="1"/>
  <c r="T141" i="18"/>
  <c r="BR141" i="19" s="1"/>
  <c r="G140" i="18"/>
  <c r="F140" i="18"/>
  <c r="AU140" i="20" s="1"/>
  <c r="Q140" i="19"/>
  <c r="AD140" i="19" s="1"/>
  <c r="D140" i="19" s="1"/>
  <c r="D140" i="22" s="1"/>
  <c r="N140" i="22" s="1"/>
  <c r="BS140" i="19" s="1"/>
  <c r="AJ141" i="18" s="1"/>
  <c r="BB142" i="19"/>
  <c r="B142" i="18"/>
  <c r="O142" i="19" s="1"/>
  <c r="AB142" i="19" s="1"/>
  <c r="B142" i="19" s="1"/>
  <c r="B142" i="22" s="1"/>
  <c r="L142" i="22" s="1"/>
  <c r="AC155" i="20"/>
  <c r="M140" i="22"/>
  <c r="BQ140" i="19"/>
  <c r="AH141" i="18" s="1"/>
  <c r="E141" i="18"/>
  <c r="R142" i="18"/>
  <c r="BC141" i="19"/>
  <c r="P141" i="19"/>
  <c r="BP141" i="19"/>
  <c r="AG142" i="18" s="1"/>
  <c r="AE140" i="18" l="1"/>
  <c r="AT140" i="18"/>
  <c r="AT141" i="18" s="1"/>
  <c r="AA139" i="19"/>
  <c r="AN139" i="19" s="1"/>
  <c r="N139" i="19" s="1"/>
  <c r="K139" i="22" s="1"/>
  <c r="U139" i="22" s="1"/>
  <c r="CA139" i="19" s="1"/>
  <c r="AS140" i="18" s="1"/>
  <c r="AR140" i="18"/>
  <c r="AB140" i="18"/>
  <c r="M139" i="18"/>
  <c r="BL139" i="19"/>
  <c r="N139" i="18"/>
  <c r="BZ139" i="19"/>
  <c r="AZ140" i="20"/>
  <c r="W140" i="19"/>
  <c r="AJ140" i="19" s="1"/>
  <c r="J140" i="19" s="1"/>
  <c r="BJ140" i="19"/>
  <c r="AP141" i="18" s="1"/>
  <c r="AA141" i="18"/>
  <c r="AY140" i="20"/>
  <c r="V140" i="19"/>
  <c r="AI140" i="19" s="1"/>
  <c r="I140" i="19" s="1"/>
  <c r="I140" i="22" s="1"/>
  <c r="S140" i="22" s="1"/>
  <c r="BX140" i="19" s="1"/>
  <c r="BI140" i="19"/>
  <c r="AO141" i="18" s="1"/>
  <c r="Y141" i="18"/>
  <c r="AW140" i="20"/>
  <c r="U141" i="18"/>
  <c r="X141" i="18"/>
  <c r="I141" i="18" s="1"/>
  <c r="AX141" i="20" s="1"/>
  <c r="BF140" i="19"/>
  <c r="AK141" i="18" s="1"/>
  <c r="U140" i="19"/>
  <c r="AH140" i="19" s="1"/>
  <c r="H140" i="19" s="1"/>
  <c r="H140" i="22" s="1"/>
  <c r="R140" i="22" s="1"/>
  <c r="BW140" i="19" s="1"/>
  <c r="W141" i="18"/>
  <c r="AV140" i="20"/>
  <c r="T140" i="19"/>
  <c r="AG140" i="19" s="1"/>
  <c r="G140" i="19" s="1"/>
  <c r="G140" i="22" s="1"/>
  <c r="Q140" i="22" s="1"/>
  <c r="BV140" i="19" s="1"/>
  <c r="AN141" i="18" s="1"/>
  <c r="BG140" i="19"/>
  <c r="AL141" i="18" s="1"/>
  <c r="F141" i="18"/>
  <c r="U142" i="18" s="1"/>
  <c r="S140" i="19"/>
  <c r="AF140" i="19" s="1"/>
  <c r="F140" i="19" s="1"/>
  <c r="F140" i="22" s="1"/>
  <c r="P140" i="22" s="1"/>
  <c r="BU140" i="19" s="1"/>
  <c r="V141" i="18"/>
  <c r="G141" i="18" s="1"/>
  <c r="BD141" i="19"/>
  <c r="AI142" i="18" s="1"/>
  <c r="D141" i="18"/>
  <c r="Q141" i="19" s="1"/>
  <c r="Q143" i="18"/>
  <c r="CE155" i="20"/>
  <c r="K156" i="20"/>
  <c r="T142" i="18"/>
  <c r="BE141" i="19"/>
  <c r="R141" i="19"/>
  <c r="AE141" i="19" s="1"/>
  <c r="E141" i="19" s="1"/>
  <c r="E141" i="22" s="1"/>
  <c r="O141" i="22" s="1"/>
  <c r="S142" i="18"/>
  <c r="AU141" i="20"/>
  <c r="S141" i="19"/>
  <c r="C142" i="18"/>
  <c r="BO142" i="19"/>
  <c r="AF143" i="18" s="1"/>
  <c r="AC141" i="19"/>
  <c r="C141" i="19" s="1"/>
  <c r="C141" i="22" s="1"/>
  <c r="P140" i="18" l="1"/>
  <c r="BN140" i="19"/>
  <c r="Y139" i="19"/>
  <c r="AL139" i="19" s="1"/>
  <c r="L139" i="19" s="1"/>
  <c r="J139" i="22" s="1"/>
  <c r="T139" i="22" s="1"/>
  <c r="BY139" i="19" s="1"/>
  <c r="AQ140" i="18" s="1"/>
  <c r="M140" i="18" s="1"/>
  <c r="BB139" i="20"/>
  <c r="Z139" i="19"/>
  <c r="AM139" i="19" s="1"/>
  <c r="M139" i="19" s="1"/>
  <c r="BM139" i="19"/>
  <c r="BC139" i="20"/>
  <c r="AD140" i="18"/>
  <c r="O140" i="18" s="1"/>
  <c r="AC140" i="18"/>
  <c r="K141" i="18"/>
  <c r="L141" i="18"/>
  <c r="AA142" i="18"/>
  <c r="J141" i="18"/>
  <c r="Y142" i="18"/>
  <c r="AZ141" i="20"/>
  <c r="W141" i="19"/>
  <c r="AJ141" i="19" s="1"/>
  <c r="J141" i="19" s="1"/>
  <c r="BJ141" i="19"/>
  <c r="H141" i="18"/>
  <c r="X142" i="18" s="1"/>
  <c r="V142" i="18"/>
  <c r="BT141" i="19"/>
  <c r="AW141" i="20"/>
  <c r="BF141" i="19"/>
  <c r="AK142" i="18" s="1"/>
  <c r="T141" i="19"/>
  <c r="AG141" i="19" s="1"/>
  <c r="G141" i="19" s="1"/>
  <c r="G141" i="22" s="1"/>
  <c r="Q141" i="22" s="1"/>
  <c r="BV141" i="19" s="1"/>
  <c r="AN142" i="18" s="1"/>
  <c r="BG141" i="19"/>
  <c r="W142" i="18"/>
  <c r="AV141" i="20"/>
  <c r="B143" i="18"/>
  <c r="O143" i="19" s="1"/>
  <c r="AB143" i="19" s="1"/>
  <c r="B143" i="19" s="1"/>
  <c r="B143" i="22" s="1"/>
  <c r="L143" i="22" s="1"/>
  <c r="BB143" i="19"/>
  <c r="AL156" i="20"/>
  <c r="BV156" i="20"/>
  <c r="M141" i="22"/>
  <c r="BQ141" i="19"/>
  <c r="AH142" i="18" s="1"/>
  <c r="D142" i="18" s="1"/>
  <c r="AF141" i="19"/>
  <c r="F141" i="19" s="1"/>
  <c r="F141" i="22" s="1"/>
  <c r="P141" i="22" s="1"/>
  <c r="BU141" i="19" s="1"/>
  <c r="BP142" i="19"/>
  <c r="AG143" i="18" s="1"/>
  <c r="R143" i="18"/>
  <c r="BC142" i="19"/>
  <c r="P142" i="19"/>
  <c r="AD141" i="19"/>
  <c r="D141" i="19" s="1"/>
  <c r="D141" i="22" s="1"/>
  <c r="N141" i="22" s="1"/>
  <c r="BS141" i="19" s="1"/>
  <c r="AJ142" i="18" s="1"/>
  <c r="E142" i="18"/>
  <c r="BR142" i="19"/>
  <c r="Y140" i="19" l="1"/>
  <c r="AL140" i="19" s="1"/>
  <c r="L140" i="19" s="1"/>
  <c r="J140" i="22" s="1"/>
  <c r="T140" i="22" s="1"/>
  <c r="BY140" i="19" s="1"/>
  <c r="AQ141" i="18" s="1"/>
  <c r="BB140" i="20"/>
  <c r="AB141" i="18"/>
  <c r="BZ140" i="19"/>
  <c r="AR141" i="18" s="1"/>
  <c r="N140" i="18"/>
  <c r="AA140" i="19"/>
  <c r="AN140" i="19" s="1"/>
  <c r="N140" i="19" s="1"/>
  <c r="K140" i="22" s="1"/>
  <c r="U140" i="22" s="1"/>
  <c r="CA140" i="19" s="1"/>
  <c r="AS141" i="18" s="1"/>
  <c r="AE141" i="18"/>
  <c r="BL140" i="19"/>
  <c r="AL142" i="18"/>
  <c r="H142" i="18" s="1"/>
  <c r="W143" i="18" s="1"/>
  <c r="U141" i="19"/>
  <c r="AH141" i="19" s="1"/>
  <c r="H141" i="19" s="1"/>
  <c r="H141" i="22" s="1"/>
  <c r="R141" i="22" s="1"/>
  <c r="BW141" i="19" s="1"/>
  <c r="J142" i="18"/>
  <c r="Y143" i="18"/>
  <c r="BA141" i="20"/>
  <c r="X141" i="19"/>
  <c r="AK141" i="19" s="1"/>
  <c r="K141" i="19" s="1"/>
  <c r="BK141" i="19"/>
  <c r="AY141" i="20"/>
  <c r="V141" i="19"/>
  <c r="AI141" i="19" s="1"/>
  <c r="I141" i="19" s="1"/>
  <c r="I141" i="22" s="1"/>
  <c r="S141" i="22" s="1"/>
  <c r="BX141" i="19" s="1"/>
  <c r="AP142" i="18" s="1"/>
  <c r="BI141" i="19"/>
  <c r="AO142" i="18" s="1"/>
  <c r="Z142" i="18"/>
  <c r="BH141" i="19"/>
  <c r="AM142" i="18" s="1"/>
  <c r="G142" i="18"/>
  <c r="F142" i="18"/>
  <c r="V143" i="18" s="1"/>
  <c r="BD142" i="19"/>
  <c r="AI143" i="18" s="1"/>
  <c r="Q144" i="18"/>
  <c r="AC156" i="20"/>
  <c r="C143" i="18"/>
  <c r="BO143" i="19"/>
  <c r="AF144" i="18" s="1"/>
  <c r="S143" i="18"/>
  <c r="Q142" i="19"/>
  <c r="T143" i="18"/>
  <c r="BE142" i="19"/>
  <c r="R142" i="19"/>
  <c r="AV142" i="20"/>
  <c r="BG142" i="19"/>
  <c r="T142" i="19"/>
  <c r="AC142" i="19"/>
  <c r="C142" i="19" s="1"/>
  <c r="C142" i="22" s="1"/>
  <c r="P141" i="18" l="1"/>
  <c r="AT142" i="18"/>
  <c r="BN141" i="19"/>
  <c r="BL141" i="19"/>
  <c r="M141" i="18"/>
  <c r="AC141" i="18"/>
  <c r="AD141" i="18"/>
  <c r="O141" i="18" s="1"/>
  <c r="BM140" i="19"/>
  <c r="BC140" i="20"/>
  <c r="Z140" i="19"/>
  <c r="AM140" i="19" s="1"/>
  <c r="M140" i="19" s="1"/>
  <c r="L142" i="18"/>
  <c r="X142" i="19" s="1"/>
  <c r="AK142" i="19" s="1"/>
  <c r="K142" i="19" s="1"/>
  <c r="K142" i="18"/>
  <c r="Z143" i="18" s="1"/>
  <c r="BA142" i="20"/>
  <c r="BK142" i="19"/>
  <c r="AY142" i="20"/>
  <c r="V142" i="19"/>
  <c r="AI142" i="19" s="1"/>
  <c r="I142" i="19" s="1"/>
  <c r="I142" i="22" s="1"/>
  <c r="S142" i="22" s="1"/>
  <c r="BX142" i="19" s="1"/>
  <c r="BI142" i="19"/>
  <c r="AO143" i="18" s="1"/>
  <c r="AA143" i="18"/>
  <c r="I142" i="18"/>
  <c r="AW142" i="20"/>
  <c r="BH142" i="19"/>
  <c r="AM143" i="18" s="1"/>
  <c r="U142" i="19"/>
  <c r="AH142" i="19" s="1"/>
  <c r="H142" i="19" s="1"/>
  <c r="H142" i="22" s="1"/>
  <c r="R142" i="22" s="1"/>
  <c r="BW142" i="19" s="1"/>
  <c r="U143" i="18"/>
  <c r="BF142" i="19"/>
  <c r="S142" i="19"/>
  <c r="AF142" i="19" s="1"/>
  <c r="F142" i="19" s="1"/>
  <c r="F142" i="22" s="1"/>
  <c r="P142" i="22" s="1"/>
  <c r="BU142" i="19" s="1"/>
  <c r="AL143" i="18" s="1"/>
  <c r="AU142" i="20"/>
  <c r="BB144" i="19"/>
  <c r="B144" i="18"/>
  <c r="O144" i="19" s="1"/>
  <c r="AB144" i="19" s="1"/>
  <c r="B144" i="19" s="1"/>
  <c r="B144" i="22" s="1"/>
  <c r="L144" i="22" s="1"/>
  <c r="CE156" i="20"/>
  <c r="K157" i="20"/>
  <c r="M142" i="22"/>
  <c r="BQ142" i="19"/>
  <c r="AH143" i="18" s="1"/>
  <c r="D143" i="18" s="1"/>
  <c r="AG142" i="19"/>
  <c r="G142" i="19" s="1"/>
  <c r="G142" i="22" s="1"/>
  <c r="Q142" i="22" s="1"/>
  <c r="BV142" i="19" s="1"/>
  <c r="AN143" i="18" s="1"/>
  <c r="AE142" i="19"/>
  <c r="E142" i="19" s="1"/>
  <c r="E142" i="22" s="1"/>
  <c r="O142" i="22" s="1"/>
  <c r="BT142" i="19" s="1"/>
  <c r="BP143" i="19"/>
  <c r="AG144" i="18" s="1"/>
  <c r="AD142" i="19"/>
  <c r="D142" i="19" s="1"/>
  <c r="D142" i="22" s="1"/>
  <c r="N142" i="22" s="1"/>
  <c r="BS142" i="19" s="1"/>
  <c r="AJ143" i="18" s="1"/>
  <c r="BR143" i="19"/>
  <c r="E143" i="18"/>
  <c r="R144" i="18"/>
  <c r="BC143" i="19"/>
  <c r="P143" i="19"/>
  <c r="N141" i="18" l="1"/>
  <c r="BZ141" i="19"/>
  <c r="AR142" i="18" s="1"/>
  <c r="AC142" i="18"/>
  <c r="BB141" i="20"/>
  <c r="Y141" i="19"/>
  <c r="AL141" i="19" s="1"/>
  <c r="L141" i="19" s="1"/>
  <c r="J141" i="22" s="1"/>
  <c r="T141" i="22" s="1"/>
  <c r="BY141" i="19" s="1"/>
  <c r="AQ142" i="18" s="1"/>
  <c r="AB142" i="18"/>
  <c r="AD142" i="18"/>
  <c r="AA141" i="19"/>
  <c r="AN141" i="19" s="1"/>
  <c r="N141" i="19" s="1"/>
  <c r="K141" i="22" s="1"/>
  <c r="U141" i="22" s="1"/>
  <c r="CA141" i="19" s="1"/>
  <c r="AS142" i="18" s="1"/>
  <c r="AE142" i="18"/>
  <c r="P142" i="18" s="1"/>
  <c r="K143" i="18"/>
  <c r="Z144" i="18" s="1"/>
  <c r="J143" i="18"/>
  <c r="AZ142" i="20"/>
  <c r="W142" i="19"/>
  <c r="AJ142" i="19" s="1"/>
  <c r="J142" i="19" s="1"/>
  <c r="BJ142" i="19"/>
  <c r="AP143" i="18" s="1"/>
  <c r="AX142" i="20"/>
  <c r="X143" i="18"/>
  <c r="I143" i="18" s="1"/>
  <c r="AX143" i="20" s="1"/>
  <c r="H143" i="18"/>
  <c r="AK143" i="18"/>
  <c r="F143" i="18"/>
  <c r="AU143" i="20" s="1"/>
  <c r="BD143" i="19"/>
  <c r="AI144" i="18" s="1"/>
  <c r="Q145" i="18"/>
  <c r="T144" i="18"/>
  <c r="BR144" i="19" s="1"/>
  <c r="AL157" i="20"/>
  <c r="BV157" i="20"/>
  <c r="C144" i="18"/>
  <c r="BO144" i="19"/>
  <c r="AF145" i="18" s="1"/>
  <c r="S144" i="18"/>
  <c r="Q143" i="19"/>
  <c r="BE143" i="19"/>
  <c r="R143" i="19"/>
  <c r="AE143" i="19" s="1"/>
  <c r="E143" i="19" s="1"/>
  <c r="E143" i="22" s="1"/>
  <c r="O143" i="22" s="1"/>
  <c r="BT143" i="19" s="1"/>
  <c r="AC143" i="19"/>
  <c r="C143" i="19" s="1"/>
  <c r="C143" i="22" s="1"/>
  <c r="AW143" i="20"/>
  <c r="BH143" i="19"/>
  <c r="U143" i="19"/>
  <c r="AT143" i="18" l="1"/>
  <c r="BN142" i="19"/>
  <c r="O142" i="18"/>
  <c r="AA142" i="19" s="1"/>
  <c r="AN142" i="19" s="1"/>
  <c r="N142" i="19" s="1"/>
  <c r="K142" i="22" s="1"/>
  <c r="U142" i="22" s="1"/>
  <c r="CA142" i="19" s="1"/>
  <c r="AS143" i="18" s="1"/>
  <c r="AE143" i="18"/>
  <c r="P143" i="18" s="1"/>
  <c r="BZ142" i="19"/>
  <c r="AR143" i="18" s="1"/>
  <c r="N142" i="18"/>
  <c r="M142" i="18"/>
  <c r="BL142" i="19"/>
  <c r="Z141" i="19"/>
  <c r="AM141" i="19" s="1"/>
  <c r="M141" i="19" s="1"/>
  <c r="BM141" i="19"/>
  <c r="BC141" i="20"/>
  <c r="L143" i="18"/>
  <c r="AA144" i="18"/>
  <c r="AY143" i="20"/>
  <c r="V143" i="19"/>
  <c r="AI143" i="19" s="1"/>
  <c r="I143" i="19" s="1"/>
  <c r="I143" i="22" s="1"/>
  <c r="S143" i="22" s="1"/>
  <c r="BX143" i="19" s="1"/>
  <c r="BI143" i="19"/>
  <c r="AO144" i="18" s="1"/>
  <c r="K144" i="18" s="1"/>
  <c r="Y144" i="18"/>
  <c r="AZ143" i="20"/>
  <c r="W143" i="19"/>
  <c r="AJ143" i="19" s="1"/>
  <c r="J143" i="19" s="1"/>
  <c r="BJ143" i="19"/>
  <c r="AP144" i="18" s="1"/>
  <c r="X144" i="18"/>
  <c r="AM144" i="18"/>
  <c r="S143" i="19"/>
  <c r="AF143" i="19" s="1"/>
  <c r="F143" i="19" s="1"/>
  <c r="F143" i="22" s="1"/>
  <c r="P143" i="22" s="1"/>
  <c r="BU143" i="19" s="1"/>
  <c r="BF143" i="19"/>
  <c r="AK144" i="18" s="1"/>
  <c r="U144" i="18"/>
  <c r="E144" i="18"/>
  <c r="BE144" i="19" s="1"/>
  <c r="G143" i="18"/>
  <c r="BB145" i="19"/>
  <c r="B145" i="18"/>
  <c r="O145" i="19" s="1"/>
  <c r="AB145" i="19" s="1"/>
  <c r="B145" i="19" s="1"/>
  <c r="B145" i="22" s="1"/>
  <c r="L145" i="22" s="1"/>
  <c r="AC157" i="20"/>
  <c r="AD143" i="19"/>
  <c r="D143" i="19" s="1"/>
  <c r="D143" i="22" s="1"/>
  <c r="N143" i="22" s="1"/>
  <c r="BS143" i="19" s="1"/>
  <c r="AJ144" i="18" s="1"/>
  <c r="BP144" i="19"/>
  <c r="AG145" i="18" s="1"/>
  <c r="M143" i="22"/>
  <c r="BQ143" i="19"/>
  <c r="AH144" i="18" s="1"/>
  <c r="D144" i="18" s="1"/>
  <c r="T145" i="18" s="1"/>
  <c r="R144" i="19"/>
  <c r="AE144" i="19" s="1"/>
  <c r="E144" i="19" s="1"/>
  <c r="E144" i="22" s="1"/>
  <c r="O144" i="22" s="1"/>
  <c r="AH143" i="19"/>
  <c r="H143" i="19" s="1"/>
  <c r="H143" i="22" s="1"/>
  <c r="R143" i="22" s="1"/>
  <c r="BW143" i="19" s="1"/>
  <c r="R145" i="18"/>
  <c r="BC144" i="19"/>
  <c r="P144" i="19"/>
  <c r="AT144" i="18" l="1"/>
  <c r="BN143" i="19"/>
  <c r="AB143" i="18"/>
  <c r="BB142" i="20"/>
  <c r="Y142" i="19"/>
  <c r="AD143" i="18"/>
  <c r="Z142" i="19"/>
  <c r="AM142" i="19" s="1"/>
  <c r="M142" i="19" s="1"/>
  <c r="AC143" i="18"/>
  <c r="BM142" i="19"/>
  <c r="BC142" i="20"/>
  <c r="BK143" i="19"/>
  <c r="BA143" i="20"/>
  <c r="X143" i="19"/>
  <c r="AK143" i="19" s="1"/>
  <c r="K143" i="19" s="1"/>
  <c r="L144" i="18"/>
  <c r="AA145" i="18" s="1"/>
  <c r="AZ144" i="20"/>
  <c r="W144" i="19"/>
  <c r="AJ144" i="19" s="1"/>
  <c r="J144" i="19" s="1"/>
  <c r="BJ144" i="19"/>
  <c r="I144" i="18"/>
  <c r="AX144" i="20" s="1"/>
  <c r="T143" i="19"/>
  <c r="AG143" i="19" s="1"/>
  <c r="G143" i="19" s="1"/>
  <c r="G143" i="22" s="1"/>
  <c r="Q143" i="22" s="1"/>
  <c r="BV143" i="19" s="1"/>
  <c r="AN144" i="18" s="1"/>
  <c r="V144" i="18"/>
  <c r="G144" i="18" s="1"/>
  <c r="AV143" i="20"/>
  <c r="W144" i="18"/>
  <c r="BG143" i="19"/>
  <c r="AL144" i="18" s="1"/>
  <c r="F144" i="18"/>
  <c r="U145" i="18" s="1"/>
  <c r="BD144" i="19"/>
  <c r="AI145" i="18" s="1"/>
  <c r="E145" i="18" s="1"/>
  <c r="Q146" i="18"/>
  <c r="CE157" i="20"/>
  <c r="K158" i="20"/>
  <c r="C145" i="18"/>
  <c r="BO145" i="19"/>
  <c r="AF146" i="18" s="1"/>
  <c r="BF144" i="19"/>
  <c r="V145" i="18"/>
  <c r="BR145" i="19"/>
  <c r="AC144" i="19"/>
  <c r="C144" i="19" s="1"/>
  <c r="C144" i="22" s="1"/>
  <c r="S145" i="18"/>
  <c r="Q144" i="19"/>
  <c r="O143" i="18" l="1"/>
  <c r="AL142" i="19"/>
  <c r="L142" i="19" s="1"/>
  <c r="J142" i="22" s="1"/>
  <c r="T142" i="22" s="1"/>
  <c r="BY142" i="19" s="1"/>
  <c r="AQ143" i="18" s="1"/>
  <c r="BZ143" i="19"/>
  <c r="AR144" i="18" s="1"/>
  <c r="N143" i="18"/>
  <c r="AN145" i="18"/>
  <c r="J144" i="18"/>
  <c r="BA144" i="20"/>
  <c r="X144" i="19"/>
  <c r="AK144" i="19" s="1"/>
  <c r="K144" i="19" s="1"/>
  <c r="BK144" i="19"/>
  <c r="H144" i="18"/>
  <c r="U144" i="19" s="1"/>
  <c r="AH144" i="19" s="1"/>
  <c r="H144" i="19" s="1"/>
  <c r="H144" i="22" s="1"/>
  <c r="R144" i="22" s="1"/>
  <c r="BW144" i="19" s="1"/>
  <c r="AU144" i="20"/>
  <c r="AV144" i="20"/>
  <c r="BG144" i="19"/>
  <c r="T144" i="19"/>
  <c r="AG144" i="19" s="1"/>
  <c r="G144" i="19" s="1"/>
  <c r="G144" i="22" s="1"/>
  <c r="Q144" i="22" s="1"/>
  <c r="BV144" i="19" s="1"/>
  <c r="S144" i="19"/>
  <c r="BT144" i="19"/>
  <c r="AK145" i="18" s="1"/>
  <c r="BB146" i="19"/>
  <c r="B146" i="18"/>
  <c r="O146" i="19" s="1"/>
  <c r="AB146" i="19" s="1"/>
  <c r="B146" i="19" s="1"/>
  <c r="B146" i="22" s="1"/>
  <c r="L146" i="22" s="1"/>
  <c r="AL158" i="20"/>
  <c r="BV158" i="20"/>
  <c r="M144" i="22"/>
  <c r="BQ144" i="19"/>
  <c r="AH145" i="18" s="1"/>
  <c r="D145" i="18" s="1"/>
  <c r="T146" i="18" s="1"/>
  <c r="AF144" i="19"/>
  <c r="F144" i="19" s="1"/>
  <c r="F144" i="22" s="1"/>
  <c r="P144" i="22" s="1"/>
  <c r="BU144" i="19" s="1"/>
  <c r="BE145" i="19"/>
  <c r="R145" i="19"/>
  <c r="AE145" i="19" s="1"/>
  <c r="E145" i="19" s="1"/>
  <c r="E145" i="22" s="1"/>
  <c r="O145" i="22" s="1"/>
  <c r="BT145" i="19" s="1"/>
  <c r="AD144" i="19"/>
  <c r="D144" i="19" s="1"/>
  <c r="D144" i="22" s="1"/>
  <c r="N144" i="22" s="1"/>
  <c r="BS144" i="19" s="1"/>
  <c r="AJ145" i="18" s="1"/>
  <c r="BP145" i="19"/>
  <c r="AG146" i="18" s="1"/>
  <c r="R146" i="18"/>
  <c r="BC145" i="19"/>
  <c r="P145" i="19"/>
  <c r="AD144" i="18" l="1"/>
  <c r="BL143" i="19"/>
  <c r="M143" i="18"/>
  <c r="AC144" i="18" s="1"/>
  <c r="BC143" i="20"/>
  <c r="Z143" i="19"/>
  <c r="AM143" i="19" s="1"/>
  <c r="M143" i="19" s="1"/>
  <c r="BM143" i="19"/>
  <c r="AA143" i="19"/>
  <c r="AN143" i="19" s="1"/>
  <c r="N143" i="19" s="1"/>
  <c r="K143" i="22" s="1"/>
  <c r="U143" i="22" s="1"/>
  <c r="CA143" i="19" s="1"/>
  <c r="AS144" i="18" s="1"/>
  <c r="AE144" i="18"/>
  <c r="AT145" i="18" s="1"/>
  <c r="X145" i="18"/>
  <c r="Y145" i="18"/>
  <c r="AY144" i="20"/>
  <c r="V144" i="19"/>
  <c r="AI144" i="19" s="1"/>
  <c r="I144" i="19" s="1"/>
  <c r="I144" i="22" s="1"/>
  <c r="S144" i="22" s="1"/>
  <c r="BX144" i="19" s="1"/>
  <c r="AP145" i="18" s="1"/>
  <c r="BI144" i="19"/>
  <c r="AO145" i="18" s="1"/>
  <c r="Z145" i="18"/>
  <c r="AL145" i="18"/>
  <c r="W145" i="18"/>
  <c r="AW144" i="20"/>
  <c r="BH144" i="19"/>
  <c r="AM145" i="18" s="1"/>
  <c r="H145" i="18"/>
  <c r="G145" i="18"/>
  <c r="BG145" i="19" s="1"/>
  <c r="F145" i="18"/>
  <c r="BD145" i="19"/>
  <c r="AI146" i="18" s="1"/>
  <c r="Q147" i="18"/>
  <c r="AC158" i="20"/>
  <c r="BR146" i="19"/>
  <c r="AC145" i="19"/>
  <c r="C145" i="19" s="1"/>
  <c r="C145" i="22" s="1"/>
  <c r="AV145" i="20"/>
  <c r="T145" i="19"/>
  <c r="W146" i="18"/>
  <c r="BO146" i="19"/>
  <c r="AF147" i="18" s="1"/>
  <c r="C146" i="18"/>
  <c r="S146" i="18"/>
  <c r="Q145" i="19"/>
  <c r="BN144" i="19" l="1"/>
  <c r="O144" i="18"/>
  <c r="AA144" i="19" s="1"/>
  <c r="AN144" i="19" s="1"/>
  <c r="N144" i="19" s="1"/>
  <c r="K144" i="22" s="1"/>
  <c r="U144" i="22" s="1"/>
  <c r="CA144" i="19" s="1"/>
  <c r="AS145" i="18" s="1"/>
  <c r="AR145" i="18"/>
  <c r="BZ144" i="19"/>
  <c r="N144" i="18"/>
  <c r="BB143" i="20"/>
  <c r="Y143" i="19"/>
  <c r="AL143" i="19" s="1"/>
  <c r="L143" i="19" s="1"/>
  <c r="J143" i="22" s="1"/>
  <c r="T143" i="22" s="1"/>
  <c r="BY143" i="19" s="1"/>
  <c r="AQ144" i="18" s="1"/>
  <c r="AB144" i="18"/>
  <c r="P144" i="18"/>
  <c r="L145" i="18"/>
  <c r="K145" i="18"/>
  <c r="AZ145" i="20"/>
  <c r="W145" i="19"/>
  <c r="AJ145" i="19" s="1"/>
  <c r="J145" i="19" s="1"/>
  <c r="BJ145" i="19"/>
  <c r="J145" i="18"/>
  <c r="Y146" i="18"/>
  <c r="AA146" i="18"/>
  <c r="I145" i="18"/>
  <c r="U145" i="19"/>
  <c r="AH145" i="19" s="1"/>
  <c r="H145" i="19" s="1"/>
  <c r="H145" i="22" s="1"/>
  <c r="R145" i="22" s="1"/>
  <c r="BW145" i="19" s="1"/>
  <c r="AW145" i="20"/>
  <c r="BH145" i="19"/>
  <c r="AM146" i="18" s="1"/>
  <c r="BF145" i="19"/>
  <c r="AK146" i="18" s="1"/>
  <c r="U146" i="18"/>
  <c r="S145" i="19"/>
  <c r="AF145" i="19" s="1"/>
  <c r="F145" i="19" s="1"/>
  <c r="F145" i="22" s="1"/>
  <c r="P145" i="22" s="1"/>
  <c r="BU145" i="19" s="1"/>
  <c r="AL146" i="18" s="1"/>
  <c r="AU145" i="20"/>
  <c r="V146" i="18"/>
  <c r="G146" i="18" s="1"/>
  <c r="BG146" i="19" s="1"/>
  <c r="E146" i="18"/>
  <c r="BB147" i="19"/>
  <c r="B147" i="18"/>
  <c r="CE158" i="20"/>
  <c r="K159" i="20"/>
  <c r="M145" i="22"/>
  <c r="BQ145" i="19"/>
  <c r="AH146" i="18" s="1"/>
  <c r="D146" i="18" s="1"/>
  <c r="R147" i="18"/>
  <c r="BC146" i="19"/>
  <c r="P146" i="19"/>
  <c r="AV146" i="20"/>
  <c r="BE146" i="19"/>
  <c r="R146" i="19"/>
  <c r="AD145" i="19"/>
  <c r="D145" i="19" s="1"/>
  <c r="D145" i="22" s="1"/>
  <c r="N145" i="22" s="1"/>
  <c r="BS145" i="19" s="1"/>
  <c r="AJ146" i="18" s="1"/>
  <c r="BP146" i="19"/>
  <c r="AG147" i="18" s="1"/>
  <c r="AG145" i="19"/>
  <c r="G145" i="19" s="1"/>
  <c r="G145" i="22" s="1"/>
  <c r="Q145" i="22" s="1"/>
  <c r="BV145" i="19" s="1"/>
  <c r="AN146" i="18" s="1"/>
  <c r="BN145" i="19" l="1"/>
  <c r="AE145" i="18"/>
  <c r="M144" i="18"/>
  <c r="AB145" i="18"/>
  <c r="BC144" i="20"/>
  <c r="AD145" i="18"/>
  <c r="O145" i="18" s="1"/>
  <c r="BM144" i="19"/>
  <c r="Z144" i="19"/>
  <c r="AM144" i="19" s="1"/>
  <c r="M144" i="19" s="1"/>
  <c r="BL144" i="19"/>
  <c r="BK145" i="19"/>
  <c r="BA145" i="20"/>
  <c r="X145" i="19"/>
  <c r="AK145" i="19" s="1"/>
  <c r="K145" i="19" s="1"/>
  <c r="AY145" i="20"/>
  <c r="BI145" i="19"/>
  <c r="AO146" i="18" s="1"/>
  <c r="V145" i="19"/>
  <c r="AI145" i="19" s="1"/>
  <c r="I145" i="19" s="1"/>
  <c r="I145" i="22" s="1"/>
  <c r="S145" i="22" s="1"/>
  <c r="BX145" i="19" s="1"/>
  <c r="AP146" i="18" s="1"/>
  <c r="Z146" i="18"/>
  <c r="J146" i="18"/>
  <c r="AA145" i="19"/>
  <c r="AN145" i="19" s="1"/>
  <c r="N145" i="19" s="1"/>
  <c r="K145" i="22" s="1"/>
  <c r="U145" i="22" s="1"/>
  <c r="CA145" i="19" s="1"/>
  <c r="AS146" i="18" s="1"/>
  <c r="AX145" i="20"/>
  <c r="X146" i="18"/>
  <c r="I146" i="18" s="1"/>
  <c r="AX146" i="20" s="1"/>
  <c r="H146" i="18"/>
  <c r="U146" i="19" s="1"/>
  <c r="T146" i="19"/>
  <c r="F146" i="18"/>
  <c r="BD146" i="19"/>
  <c r="AI147" i="18" s="1"/>
  <c r="O147" i="19"/>
  <c r="AB147" i="19" s="1"/>
  <c r="B147" i="19" s="1"/>
  <c r="B147" i="22" s="1"/>
  <c r="L147" i="22" s="1"/>
  <c r="BO147" i="19" s="1"/>
  <c r="AF148" i="18" s="1"/>
  <c r="Q148" i="18"/>
  <c r="BV159" i="20"/>
  <c r="AL159" i="20"/>
  <c r="X147" i="18"/>
  <c r="S147" i="18"/>
  <c r="Q146" i="19"/>
  <c r="C147" i="18"/>
  <c r="AE146" i="19"/>
  <c r="E146" i="19" s="1"/>
  <c r="E146" i="22" s="1"/>
  <c r="O146" i="22" s="1"/>
  <c r="BT146" i="19" s="1"/>
  <c r="AG146" i="19"/>
  <c r="G146" i="19" s="1"/>
  <c r="G146" i="22" s="1"/>
  <c r="Q146" i="22" s="1"/>
  <c r="BV146" i="19" s="1"/>
  <c r="AN147" i="18" s="1"/>
  <c r="T147" i="18"/>
  <c r="BH146" i="19"/>
  <c r="AC146" i="19"/>
  <c r="C146" i="19" s="1"/>
  <c r="C146" i="22" s="1"/>
  <c r="P145" i="18" l="1"/>
  <c r="AE146" i="18" s="1"/>
  <c r="P146" i="18" s="1"/>
  <c r="AT146" i="18"/>
  <c r="BN146" i="19"/>
  <c r="Y144" i="19"/>
  <c r="AL144" i="19" s="1"/>
  <c r="L144" i="19" s="1"/>
  <c r="J144" i="22" s="1"/>
  <c r="T144" i="22" s="1"/>
  <c r="BY144" i="19" s="1"/>
  <c r="AQ145" i="18" s="1"/>
  <c r="BB144" i="20"/>
  <c r="AC145" i="18"/>
  <c r="L146" i="18"/>
  <c r="AY146" i="20"/>
  <c r="V146" i="19"/>
  <c r="AI146" i="19" s="1"/>
  <c r="I146" i="19" s="1"/>
  <c r="I146" i="22" s="1"/>
  <c r="S146" i="22" s="1"/>
  <c r="BX146" i="19" s="1"/>
  <c r="BI146" i="19"/>
  <c r="AO147" i="18" s="1"/>
  <c r="AW146" i="20"/>
  <c r="K146" i="18"/>
  <c r="Z147" i="18"/>
  <c r="X146" i="19"/>
  <c r="AK146" i="19" s="1"/>
  <c r="K146" i="19" s="1"/>
  <c r="W147" i="18"/>
  <c r="H147" i="18" s="1"/>
  <c r="Y147" i="18"/>
  <c r="AA147" i="18"/>
  <c r="AM147" i="18"/>
  <c r="V147" i="18"/>
  <c r="BF146" i="19"/>
  <c r="AK147" i="18" s="1"/>
  <c r="U147" i="18"/>
  <c r="AU146" i="20"/>
  <c r="S146" i="19"/>
  <c r="AF146" i="19" s="1"/>
  <c r="F146" i="19" s="1"/>
  <c r="F146" i="22" s="1"/>
  <c r="P146" i="22" s="1"/>
  <c r="BU146" i="19" s="1"/>
  <c r="AL147" i="18" s="1"/>
  <c r="BB148" i="19"/>
  <c r="B148" i="18"/>
  <c r="O148" i="19" s="1"/>
  <c r="AB148" i="19" s="1"/>
  <c r="B148" i="19" s="1"/>
  <c r="B148" i="22" s="1"/>
  <c r="L148" i="22" s="1"/>
  <c r="AC159" i="20"/>
  <c r="R148" i="18"/>
  <c r="BC147" i="19"/>
  <c r="P147" i="19"/>
  <c r="AD146" i="19"/>
  <c r="D146" i="19" s="1"/>
  <c r="D146" i="22" s="1"/>
  <c r="N146" i="22" s="1"/>
  <c r="BS146" i="19" s="1"/>
  <c r="AJ147" i="18" s="1"/>
  <c r="AH146" i="19"/>
  <c r="H146" i="19" s="1"/>
  <c r="H146" i="22" s="1"/>
  <c r="R146" i="22" s="1"/>
  <c r="BW146" i="19" s="1"/>
  <c r="BP147" i="19"/>
  <c r="AG148" i="18" s="1"/>
  <c r="M146" i="22"/>
  <c r="BQ146" i="19"/>
  <c r="AH147" i="18" s="1"/>
  <c r="E147" i="18"/>
  <c r="BR147" i="19"/>
  <c r="AT147" i="18" l="1"/>
  <c r="N145" i="18"/>
  <c r="BZ145" i="19"/>
  <c r="AR146" i="18" s="1"/>
  <c r="BL145" i="19"/>
  <c r="M145" i="18"/>
  <c r="BK146" i="19"/>
  <c r="BA146" i="20"/>
  <c r="AZ146" i="20"/>
  <c r="W146" i="19"/>
  <c r="BJ146" i="19"/>
  <c r="AP147" i="18" s="1"/>
  <c r="J147" i="18"/>
  <c r="K147" i="18"/>
  <c r="Z148" i="18" s="1"/>
  <c r="I147" i="18"/>
  <c r="AX147" i="20" s="1"/>
  <c r="F147" i="18"/>
  <c r="U148" i="18" s="1"/>
  <c r="G147" i="18"/>
  <c r="BD147" i="19"/>
  <c r="AI148" i="18" s="1"/>
  <c r="Q149" i="18"/>
  <c r="D147" i="18"/>
  <c r="T148" i="18" s="1"/>
  <c r="CE159" i="20"/>
  <c r="K160" i="20"/>
  <c r="BE147" i="19"/>
  <c r="R147" i="19"/>
  <c r="AE147" i="19" s="1"/>
  <c r="E147" i="19" s="1"/>
  <c r="E147" i="22" s="1"/>
  <c r="O147" i="22" s="1"/>
  <c r="BT147" i="19" s="1"/>
  <c r="Q147" i="19"/>
  <c r="AC147" i="19"/>
  <c r="C147" i="19" s="1"/>
  <c r="C147" i="22" s="1"/>
  <c r="BH147" i="19"/>
  <c r="AM148" i="18" s="1"/>
  <c r="U147" i="19"/>
  <c r="AW147" i="20"/>
  <c r="BO148" i="19"/>
  <c r="AF149" i="18" s="1"/>
  <c r="C148" i="18"/>
  <c r="Y145" i="19" l="1"/>
  <c r="AL145" i="19" s="1"/>
  <c r="L145" i="19" s="1"/>
  <c r="J145" i="22" s="1"/>
  <c r="T145" i="22" s="1"/>
  <c r="BY145" i="19" s="1"/>
  <c r="AQ146" i="18" s="1"/>
  <c r="BB145" i="20"/>
  <c r="AB146" i="18"/>
  <c r="AC146" i="18"/>
  <c r="AD146" i="18"/>
  <c r="BC145" i="20"/>
  <c r="BM145" i="19"/>
  <c r="Z145" i="19"/>
  <c r="AM145" i="19" s="1"/>
  <c r="M145" i="19" s="1"/>
  <c r="L147" i="18"/>
  <c r="AY147" i="20"/>
  <c r="BI147" i="19"/>
  <c r="V147" i="19"/>
  <c r="AI147" i="19" s="1"/>
  <c r="I147" i="19" s="1"/>
  <c r="I147" i="22" s="1"/>
  <c r="S147" i="22" s="1"/>
  <c r="BX147" i="19" s="1"/>
  <c r="S148" i="18"/>
  <c r="AZ147" i="20"/>
  <c r="W147" i="19"/>
  <c r="AJ147" i="19" s="1"/>
  <c r="J147" i="19" s="1"/>
  <c r="BJ147" i="19"/>
  <c r="AP148" i="18" s="1"/>
  <c r="AJ146" i="19"/>
  <c r="J146" i="19" s="1"/>
  <c r="BA147" i="20"/>
  <c r="X147" i="19"/>
  <c r="AK147" i="19" s="1"/>
  <c r="K147" i="19" s="1"/>
  <c r="BK147" i="19"/>
  <c r="Y148" i="18"/>
  <c r="X148" i="18"/>
  <c r="I148" i="18" s="1"/>
  <c r="AX148" i="20" s="1"/>
  <c r="S147" i="19"/>
  <c r="AF147" i="19" s="1"/>
  <c r="F147" i="19" s="1"/>
  <c r="F147" i="22" s="1"/>
  <c r="P147" i="22" s="1"/>
  <c r="BU147" i="19" s="1"/>
  <c r="AU147" i="20"/>
  <c r="BF147" i="19"/>
  <c r="AK148" i="18" s="1"/>
  <c r="V148" i="18"/>
  <c r="AV147" i="20"/>
  <c r="BG147" i="19"/>
  <c r="AL148" i="18" s="1"/>
  <c r="T147" i="19"/>
  <c r="AG147" i="19" s="1"/>
  <c r="G147" i="19" s="1"/>
  <c r="G147" i="22" s="1"/>
  <c r="Q147" i="22" s="1"/>
  <c r="BV147" i="19" s="1"/>
  <c r="AN148" i="18" s="1"/>
  <c r="W148" i="18"/>
  <c r="BB149" i="19"/>
  <c r="B149" i="18"/>
  <c r="BV160" i="20"/>
  <c r="AL160" i="20"/>
  <c r="M147" i="22"/>
  <c r="BQ147" i="19"/>
  <c r="AH148" i="18" s="1"/>
  <c r="D148" i="18" s="1"/>
  <c r="AH147" i="19"/>
  <c r="H147" i="19" s="1"/>
  <c r="H147" i="22" s="1"/>
  <c r="R147" i="22" s="1"/>
  <c r="BW147" i="19" s="1"/>
  <c r="AD147" i="19"/>
  <c r="D147" i="19" s="1"/>
  <c r="D147" i="22" s="1"/>
  <c r="N147" i="22" s="1"/>
  <c r="BS147" i="19" s="1"/>
  <c r="AJ148" i="18" s="1"/>
  <c r="BP148" i="19"/>
  <c r="AG149" i="18" s="1"/>
  <c r="E148" i="18"/>
  <c r="BR148" i="19"/>
  <c r="R149" i="18"/>
  <c r="BC148" i="19"/>
  <c r="P148" i="19"/>
  <c r="AR147" i="18" l="1"/>
  <c r="BZ146" i="19"/>
  <c r="N146" i="18"/>
  <c r="M146" i="18"/>
  <c r="AB147" i="18"/>
  <c r="O146" i="18"/>
  <c r="BL146" i="19"/>
  <c r="AA148" i="18"/>
  <c r="L148" i="18" s="1"/>
  <c r="BA148" i="20" s="1"/>
  <c r="AO148" i="18"/>
  <c r="X148" i="19"/>
  <c r="AK148" i="19" s="1"/>
  <c r="K148" i="19" s="1"/>
  <c r="J148" i="18"/>
  <c r="H148" i="18"/>
  <c r="X149" i="18" s="1"/>
  <c r="G148" i="18"/>
  <c r="BH148" i="19"/>
  <c r="AM149" i="18" s="1"/>
  <c r="W149" i="18"/>
  <c r="F148" i="18"/>
  <c r="AV148" i="20"/>
  <c r="T148" i="19"/>
  <c r="AG148" i="19" s="1"/>
  <c r="G148" i="19" s="1"/>
  <c r="G148" i="22" s="1"/>
  <c r="Q148" i="22" s="1"/>
  <c r="BV148" i="19" s="1"/>
  <c r="AN149" i="18" s="1"/>
  <c r="BG148" i="19"/>
  <c r="BD148" i="19"/>
  <c r="AI149" i="18" s="1"/>
  <c r="O149" i="19"/>
  <c r="AB149" i="19" s="1"/>
  <c r="B149" i="19" s="1"/>
  <c r="B149" i="22" s="1"/>
  <c r="L149" i="22" s="1"/>
  <c r="Q150" i="18"/>
  <c r="U149" i="18"/>
  <c r="AC160" i="20"/>
  <c r="C149" i="18"/>
  <c r="BO149" i="19"/>
  <c r="AF150" i="18" s="1"/>
  <c r="S149" i="18"/>
  <c r="Q148" i="19"/>
  <c r="AU148" i="20"/>
  <c r="BF148" i="19"/>
  <c r="S148" i="19"/>
  <c r="V149" i="18"/>
  <c r="AC148" i="19"/>
  <c r="C148" i="19" s="1"/>
  <c r="C148" i="22" s="1"/>
  <c r="T149" i="18"/>
  <c r="BE148" i="19"/>
  <c r="R148" i="19"/>
  <c r="AE148" i="19" s="1"/>
  <c r="E148" i="19" s="1"/>
  <c r="E148" i="22" s="1"/>
  <c r="O148" i="22" s="1"/>
  <c r="BT148" i="19" s="1"/>
  <c r="AD147" i="18" l="1"/>
  <c r="BB146" i="20"/>
  <c r="Y146" i="19"/>
  <c r="AL146" i="19" s="1"/>
  <c r="L146" i="19" s="1"/>
  <c r="J146" i="22" s="1"/>
  <c r="T146" i="22" s="1"/>
  <c r="BY146" i="19" s="1"/>
  <c r="AQ147" i="18" s="1"/>
  <c r="M147" i="18" s="1"/>
  <c r="AA146" i="19"/>
  <c r="AN146" i="19" s="1"/>
  <c r="N146" i="19" s="1"/>
  <c r="K146" i="22" s="1"/>
  <c r="U146" i="22" s="1"/>
  <c r="CA146" i="19" s="1"/>
  <c r="AS147" i="18" s="1"/>
  <c r="AE147" i="18"/>
  <c r="AT148" i="18" s="1"/>
  <c r="AC147" i="18"/>
  <c r="Z146" i="19"/>
  <c r="AM146" i="19" s="1"/>
  <c r="M146" i="19" s="1"/>
  <c r="BC146" i="20"/>
  <c r="BM146" i="19"/>
  <c r="BK148" i="19"/>
  <c r="K148" i="18"/>
  <c r="AY148" i="20"/>
  <c r="V148" i="19"/>
  <c r="AI148" i="19" s="1"/>
  <c r="I148" i="19" s="1"/>
  <c r="I148" i="22" s="1"/>
  <c r="S148" i="22" s="1"/>
  <c r="BX148" i="19" s="1"/>
  <c r="BI148" i="19"/>
  <c r="AO149" i="18" s="1"/>
  <c r="Z149" i="18"/>
  <c r="Y149" i="18"/>
  <c r="U148" i="19"/>
  <c r="AH148" i="19" s="1"/>
  <c r="H148" i="19" s="1"/>
  <c r="H148" i="22" s="1"/>
  <c r="R148" i="22" s="1"/>
  <c r="BW148" i="19" s="1"/>
  <c r="AK149" i="18"/>
  <c r="G149" i="18" s="1"/>
  <c r="I149" i="18"/>
  <c r="AX149" i="20" s="1"/>
  <c r="AW148" i="20"/>
  <c r="BB150" i="19"/>
  <c r="B150" i="18"/>
  <c r="O150" i="19" s="1"/>
  <c r="AB150" i="19" s="1"/>
  <c r="B150" i="19" s="1"/>
  <c r="B150" i="22" s="1"/>
  <c r="L150" i="22" s="1"/>
  <c r="CE160" i="20"/>
  <c r="K161" i="20"/>
  <c r="AF148" i="19"/>
  <c r="F148" i="19" s="1"/>
  <c r="F148" i="22" s="1"/>
  <c r="P148" i="22" s="1"/>
  <c r="BU148" i="19" s="1"/>
  <c r="AL149" i="18" s="1"/>
  <c r="BP149" i="19"/>
  <c r="AG150" i="18" s="1"/>
  <c r="R150" i="18"/>
  <c r="BC149" i="19"/>
  <c r="P149" i="19"/>
  <c r="M148" i="22"/>
  <c r="BQ148" i="19"/>
  <c r="AH149" i="18" s="1"/>
  <c r="D149" i="18" s="1"/>
  <c r="AD148" i="19"/>
  <c r="D148" i="19" s="1"/>
  <c r="D148" i="22" s="1"/>
  <c r="N148" i="22" s="1"/>
  <c r="BS148" i="19" s="1"/>
  <c r="AJ149" i="18" s="1"/>
  <c r="E149" i="18"/>
  <c r="BR149" i="19"/>
  <c r="BN147" i="19" l="1"/>
  <c r="O147" i="18"/>
  <c r="AA147" i="19" s="1"/>
  <c r="AN147" i="19" s="1"/>
  <c r="N147" i="19" s="1"/>
  <c r="K147" i="22" s="1"/>
  <c r="U147" i="22" s="1"/>
  <c r="CA147" i="19" s="1"/>
  <c r="AS148" i="18" s="1"/>
  <c r="BB147" i="20"/>
  <c r="Y147" i="19"/>
  <c r="AL147" i="19" s="1"/>
  <c r="L147" i="19" s="1"/>
  <c r="J147" i="22" s="1"/>
  <c r="T147" i="22" s="1"/>
  <c r="BY147" i="19" s="1"/>
  <c r="AB148" i="18"/>
  <c r="BZ147" i="19"/>
  <c r="AR148" i="18" s="1"/>
  <c r="N147" i="18"/>
  <c r="P147" i="18"/>
  <c r="AQ148" i="18"/>
  <c r="BL147" i="19"/>
  <c r="K149" i="18"/>
  <c r="AA149" i="18"/>
  <c r="W148" i="19"/>
  <c r="AJ148" i="19" s="1"/>
  <c r="J148" i="19" s="1"/>
  <c r="BJ148" i="19"/>
  <c r="AP149" i="18" s="1"/>
  <c r="AZ148" i="20"/>
  <c r="J149" i="18"/>
  <c r="Y150" i="18" s="1"/>
  <c r="Z150" i="18"/>
  <c r="AZ149" i="20"/>
  <c r="W149" i="19"/>
  <c r="AJ149" i="19" s="1"/>
  <c r="J149" i="19" s="1"/>
  <c r="BJ149" i="19"/>
  <c r="H149" i="18"/>
  <c r="F149" i="18"/>
  <c r="V150" i="18" s="1"/>
  <c r="Q151" i="18"/>
  <c r="BD149" i="19"/>
  <c r="AI150" i="18" s="1"/>
  <c r="AL161" i="20"/>
  <c r="BV161" i="20"/>
  <c r="T150" i="18"/>
  <c r="BE149" i="19"/>
  <c r="R149" i="19"/>
  <c r="AE149" i="19" s="1"/>
  <c r="E149" i="19" s="1"/>
  <c r="E149" i="22" s="1"/>
  <c r="O149" i="22" s="1"/>
  <c r="BT149" i="19" s="1"/>
  <c r="U150" i="18"/>
  <c r="AC149" i="19"/>
  <c r="C149" i="19" s="1"/>
  <c r="C149" i="22" s="1"/>
  <c r="S150" i="18"/>
  <c r="Q149" i="19"/>
  <c r="AV149" i="20"/>
  <c r="BG149" i="19"/>
  <c r="T149" i="19"/>
  <c r="W150" i="18"/>
  <c r="C150" i="18"/>
  <c r="BO150" i="19"/>
  <c r="AF151" i="18" s="1"/>
  <c r="BN148" i="19" l="1"/>
  <c r="AE148" i="18"/>
  <c r="M148" i="18"/>
  <c r="AB149" i="18"/>
  <c r="BL148" i="19"/>
  <c r="Z147" i="19"/>
  <c r="AM147" i="19" s="1"/>
  <c r="M147" i="19" s="1"/>
  <c r="BM147" i="19"/>
  <c r="BC147" i="20"/>
  <c r="AD148" i="18"/>
  <c r="AC148" i="18"/>
  <c r="L149" i="18"/>
  <c r="AA150" i="18" s="1"/>
  <c r="X149" i="19"/>
  <c r="AK149" i="19" s="1"/>
  <c r="K149" i="19" s="1"/>
  <c r="BA149" i="20"/>
  <c r="AY149" i="20"/>
  <c r="V149" i="19"/>
  <c r="AI149" i="19" s="1"/>
  <c r="I149" i="19" s="1"/>
  <c r="I149" i="22" s="1"/>
  <c r="S149" i="22" s="1"/>
  <c r="BX149" i="19" s="1"/>
  <c r="AP150" i="18" s="1"/>
  <c r="BI149" i="19"/>
  <c r="AO150" i="18" s="1"/>
  <c r="X150" i="18"/>
  <c r="U149" i="19"/>
  <c r="AH149" i="19" s="1"/>
  <c r="H149" i="19" s="1"/>
  <c r="H149" i="22" s="1"/>
  <c r="R149" i="22" s="1"/>
  <c r="BW149" i="19" s="1"/>
  <c r="AW149" i="20"/>
  <c r="BH149" i="19"/>
  <c r="AM150" i="18" s="1"/>
  <c r="AU149" i="20"/>
  <c r="BF149" i="19"/>
  <c r="AK150" i="18" s="1"/>
  <c r="S149" i="19"/>
  <c r="AF149" i="19" s="1"/>
  <c r="F149" i="19" s="1"/>
  <c r="F149" i="22" s="1"/>
  <c r="P149" i="22" s="1"/>
  <c r="BU149" i="19" s="1"/>
  <c r="AL150" i="18" s="1"/>
  <c r="BB151" i="19"/>
  <c r="B151" i="18"/>
  <c r="AC161" i="20"/>
  <c r="M149" i="22"/>
  <c r="BQ149" i="19"/>
  <c r="AH150" i="18" s="1"/>
  <c r="D150" i="18" s="1"/>
  <c r="R151" i="18"/>
  <c r="BC150" i="19"/>
  <c r="P150" i="19"/>
  <c r="BR150" i="19"/>
  <c r="E150" i="18"/>
  <c r="AD149" i="19"/>
  <c r="D149" i="19" s="1"/>
  <c r="D149" i="22" s="1"/>
  <c r="N149" i="22" s="1"/>
  <c r="BS149" i="19" s="1"/>
  <c r="AJ150" i="18" s="1"/>
  <c r="AG149" i="19"/>
  <c r="G149" i="19" s="1"/>
  <c r="G149" i="22" s="1"/>
  <c r="Q149" i="22" s="1"/>
  <c r="BV149" i="19" s="1"/>
  <c r="AN150" i="18" s="1"/>
  <c r="BP150" i="19"/>
  <c r="AG151" i="18" s="1"/>
  <c r="P148" i="18" l="1"/>
  <c r="AT149" i="18"/>
  <c r="N148" i="18"/>
  <c r="BZ148" i="19"/>
  <c r="AR149" i="18" s="1"/>
  <c r="AC149" i="18"/>
  <c r="BB148" i="20"/>
  <c r="Y148" i="19"/>
  <c r="AL148" i="19" s="1"/>
  <c r="L148" i="19" s="1"/>
  <c r="J148" i="22" s="1"/>
  <c r="T148" i="22" s="1"/>
  <c r="BY148" i="19" s="1"/>
  <c r="AQ149" i="18" s="1"/>
  <c r="O148" i="18"/>
  <c r="AD149" i="18"/>
  <c r="L150" i="18"/>
  <c r="BK149" i="19"/>
  <c r="K150" i="18"/>
  <c r="AZ150" i="20"/>
  <c r="W150" i="19"/>
  <c r="AJ150" i="19" s="1"/>
  <c r="J150" i="19" s="1"/>
  <c r="BJ150" i="19"/>
  <c r="J150" i="18"/>
  <c r="BA150" i="20"/>
  <c r="X150" i="19"/>
  <c r="AK150" i="19" s="1"/>
  <c r="K150" i="19" s="1"/>
  <c r="BK150" i="19"/>
  <c r="I150" i="18"/>
  <c r="AX150" i="20" s="1"/>
  <c r="H150" i="18"/>
  <c r="G150" i="18"/>
  <c r="F150" i="18"/>
  <c r="S150" i="19" s="1"/>
  <c r="BD150" i="19"/>
  <c r="AI151" i="18" s="1"/>
  <c r="O151" i="19"/>
  <c r="AB151" i="19" s="1"/>
  <c r="B151" i="19" s="1"/>
  <c r="B151" i="22" s="1"/>
  <c r="L151" i="22" s="1"/>
  <c r="Q152" i="18"/>
  <c r="CE161" i="20"/>
  <c r="K162" i="20"/>
  <c r="S151" i="18"/>
  <c r="Q150" i="19"/>
  <c r="C151" i="18"/>
  <c r="BO151" i="19"/>
  <c r="AF152" i="18" s="1"/>
  <c r="T151" i="18"/>
  <c r="BE150" i="19"/>
  <c r="R150" i="19"/>
  <c r="AU150" i="20"/>
  <c r="BF150" i="19"/>
  <c r="AW150" i="20"/>
  <c r="BH150" i="19"/>
  <c r="AM151" i="18" s="1"/>
  <c r="U150" i="19"/>
  <c r="AC150" i="19"/>
  <c r="C150" i="19" s="1"/>
  <c r="C150" i="22" s="1"/>
  <c r="BZ149" i="19" l="1"/>
  <c r="AR150" i="18" s="1"/>
  <c r="N149" i="18"/>
  <c r="AA148" i="19"/>
  <c r="AN148" i="19" s="1"/>
  <c r="N148" i="19" s="1"/>
  <c r="K148" i="22" s="1"/>
  <c r="U148" i="22" s="1"/>
  <c r="CA148" i="19" s="1"/>
  <c r="AS149" i="18" s="1"/>
  <c r="AE149" i="18"/>
  <c r="P149" i="18" s="1"/>
  <c r="BL149" i="19"/>
  <c r="BC148" i="20"/>
  <c r="Z148" i="19"/>
  <c r="AM148" i="19" s="1"/>
  <c r="M148" i="19" s="1"/>
  <c r="BM148" i="19"/>
  <c r="M149" i="18"/>
  <c r="AA151" i="18"/>
  <c r="U151" i="18"/>
  <c r="AY150" i="20"/>
  <c r="V150" i="19"/>
  <c r="AI150" i="19" s="1"/>
  <c r="I150" i="19" s="1"/>
  <c r="I150" i="22" s="1"/>
  <c r="S150" i="22" s="1"/>
  <c r="BX150" i="19" s="1"/>
  <c r="AP151" i="18" s="1"/>
  <c r="BI150" i="19"/>
  <c r="Y151" i="18"/>
  <c r="Z151" i="18"/>
  <c r="X151" i="18"/>
  <c r="I151" i="18" s="1"/>
  <c r="AX151" i="20" s="1"/>
  <c r="BG150" i="19"/>
  <c r="T150" i="19"/>
  <c r="AG150" i="19" s="1"/>
  <c r="G150" i="19" s="1"/>
  <c r="G150" i="22" s="1"/>
  <c r="Q150" i="22" s="1"/>
  <c r="BV150" i="19" s="1"/>
  <c r="AN151" i="18" s="1"/>
  <c r="AV150" i="20"/>
  <c r="V151" i="18"/>
  <c r="W151" i="18"/>
  <c r="B152" i="18"/>
  <c r="O152" i="19" s="1"/>
  <c r="AB152" i="19" s="1"/>
  <c r="B152" i="19" s="1"/>
  <c r="B152" i="22" s="1"/>
  <c r="L152" i="22" s="1"/>
  <c r="BB152" i="19"/>
  <c r="BV162" i="20"/>
  <c r="AL162" i="20"/>
  <c r="BP151" i="19"/>
  <c r="AG152" i="18" s="1"/>
  <c r="M150" i="22"/>
  <c r="BQ150" i="19"/>
  <c r="AH151" i="18" s="1"/>
  <c r="D151" i="18" s="1"/>
  <c r="AE150" i="19"/>
  <c r="E150" i="19" s="1"/>
  <c r="E150" i="22" s="1"/>
  <c r="O150" i="22" s="1"/>
  <c r="BT150" i="19" s="1"/>
  <c r="AK151" i="18" s="1"/>
  <c r="R152" i="18"/>
  <c r="BC151" i="19"/>
  <c r="P151" i="19"/>
  <c r="BR151" i="19"/>
  <c r="E151" i="18"/>
  <c r="AH150" i="19"/>
  <c r="H150" i="19" s="1"/>
  <c r="H150" i="22" s="1"/>
  <c r="R150" i="22" s="1"/>
  <c r="BW150" i="19" s="1"/>
  <c r="AF150" i="19"/>
  <c r="F150" i="19" s="1"/>
  <c r="F150" i="22" s="1"/>
  <c r="P150" i="22" s="1"/>
  <c r="BU150" i="19" s="1"/>
  <c r="AD150" i="19"/>
  <c r="D150" i="19" s="1"/>
  <c r="D150" i="22" s="1"/>
  <c r="N150" i="22" s="1"/>
  <c r="BS150" i="19" s="1"/>
  <c r="AJ151" i="18" s="1"/>
  <c r="AT150" i="18" l="1"/>
  <c r="BN149" i="19"/>
  <c r="O149" i="18"/>
  <c r="AA149" i="19" s="1"/>
  <c r="AN149" i="19" s="1"/>
  <c r="N149" i="19" s="1"/>
  <c r="K149" i="22" s="1"/>
  <c r="U149" i="22" s="1"/>
  <c r="CA149" i="19" s="1"/>
  <c r="AS150" i="18" s="1"/>
  <c r="Y149" i="19"/>
  <c r="AL149" i="19" s="1"/>
  <c r="L149" i="19" s="1"/>
  <c r="J149" i="22" s="1"/>
  <c r="T149" i="22" s="1"/>
  <c r="BY149" i="19" s="1"/>
  <c r="AQ150" i="18" s="1"/>
  <c r="BB149" i="20"/>
  <c r="AB150" i="18"/>
  <c r="AC150" i="18"/>
  <c r="BC149" i="20"/>
  <c r="Z149" i="19"/>
  <c r="AM149" i="19" s="1"/>
  <c r="M149" i="19" s="1"/>
  <c r="BM149" i="19"/>
  <c r="L151" i="18"/>
  <c r="AO151" i="18"/>
  <c r="K151" i="18" s="1"/>
  <c r="J151" i="18"/>
  <c r="Y152" i="18" s="1"/>
  <c r="AL151" i="18"/>
  <c r="G151" i="18"/>
  <c r="AV151" i="20" s="1"/>
  <c r="F151" i="18"/>
  <c r="U152" i="18" s="1"/>
  <c r="Q153" i="18"/>
  <c r="BD151" i="19"/>
  <c r="AI152" i="18" s="1"/>
  <c r="AC162" i="20"/>
  <c r="BG151" i="19"/>
  <c r="T151" i="19"/>
  <c r="AC151" i="19"/>
  <c r="C151" i="19" s="1"/>
  <c r="C151" i="22" s="1"/>
  <c r="V152" i="18"/>
  <c r="T152" i="18"/>
  <c r="BE151" i="19"/>
  <c r="R151" i="19"/>
  <c r="AE151" i="19" s="1"/>
  <c r="E151" i="19" s="1"/>
  <c r="E151" i="22" s="1"/>
  <c r="O151" i="22" s="1"/>
  <c r="BT151" i="19" s="1"/>
  <c r="C152" i="18"/>
  <c r="BO152" i="19"/>
  <c r="AF153" i="18" s="1"/>
  <c r="S152" i="18"/>
  <c r="Q151" i="19"/>
  <c r="BN150" i="19" l="1"/>
  <c r="AE150" i="18"/>
  <c r="P150" i="18" s="1"/>
  <c r="AD150" i="18"/>
  <c r="BZ150" i="19"/>
  <c r="AR151" i="18" s="1"/>
  <c r="N150" i="18"/>
  <c r="M150" i="18"/>
  <c r="AB151" i="18"/>
  <c r="BL150" i="19"/>
  <c r="BK151" i="19"/>
  <c r="X151" i="19"/>
  <c r="AK151" i="19" s="1"/>
  <c r="K151" i="19" s="1"/>
  <c r="BA151" i="20"/>
  <c r="AU151" i="20"/>
  <c r="AY151" i="20"/>
  <c r="V151" i="19"/>
  <c r="AI151" i="19" s="1"/>
  <c r="I151" i="19" s="1"/>
  <c r="I151" i="22" s="1"/>
  <c r="S151" i="22" s="1"/>
  <c r="BX151" i="19" s="1"/>
  <c r="BI151" i="19"/>
  <c r="Z152" i="18"/>
  <c r="S151" i="19"/>
  <c r="AF151" i="19" s="1"/>
  <c r="F151" i="19" s="1"/>
  <c r="F151" i="22" s="1"/>
  <c r="P151" i="22" s="1"/>
  <c r="BU151" i="19" s="1"/>
  <c r="AL152" i="18" s="1"/>
  <c r="BF151" i="19"/>
  <c r="AZ151" i="20"/>
  <c r="W151" i="19"/>
  <c r="AJ151" i="19" s="1"/>
  <c r="J151" i="19" s="1"/>
  <c r="BJ151" i="19"/>
  <c r="AP152" i="18" s="1"/>
  <c r="AA152" i="18"/>
  <c r="AK152" i="18"/>
  <c r="G152" i="18" s="1"/>
  <c r="H151" i="18"/>
  <c r="BB153" i="19"/>
  <c r="B153" i="18"/>
  <c r="CE162" i="20"/>
  <c r="K163" i="20"/>
  <c r="BP152" i="19"/>
  <c r="AG153" i="18" s="1"/>
  <c r="E152" i="18"/>
  <c r="BR152" i="19"/>
  <c r="R153" i="18"/>
  <c r="BC152" i="19"/>
  <c r="P152" i="19"/>
  <c r="M151" i="22"/>
  <c r="BQ151" i="19"/>
  <c r="AH152" i="18" s="1"/>
  <c r="AD151" i="19"/>
  <c r="D151" i="19" s="1"/>
  <c r="D151" i="22" s="1"/>
  <c r="N151" i="22" s="1"/>
  <c r="BS151" i="19" s="1"/>
  <c r="AJ152" i="18" s="1"/>
  <c r="AG151" i="19"/>
  <c r="G151" i="19" s="1"/>
  <c r="G151" i="22" s="1"/>
  <c r="Q151" i="22" s="1"/>
  <c r="BV151" i="19" s="1"/>
  <c r="AN152" i="18" s="1"/>
  <c r="AT151" i="18" l="1"/>
  <c r="O150" i="18"/>
  <c r="AD151" i="18"/>
  <c r="AC151" i="18"/>
  <c r="BB150" i="20"/>
  <c r="Y150" i="19"/>
  <c r="AL150" i="19" s="1"/>
  <c r="L150" i="19" s="1"/>
  <c r="J150" i="22" s="1"/>
  <c r="T150" i="22" s="1"/>
  <c r="BY150" i="19" s="1"/>
  <c r="AQ151" i="18" s="1"/>
  <c r="BM150" i="19"/>
  <c r="Z150" i="19"/>
  <c r="AM150" i="19" s="1"/>
  <c r="M150" i="19" s="1"/>
  <c r="BC150" i="20"/>
  <c r="AA150" i="19"/>
  <c r="AN150" i="19" s="1"/>
  <c r="N150" i="19" s="1"/>
  <c r="K150" i="22" s="1"/>
  <c r="U150" i="22" s="1"/>
  <c r="CA150" i="19" s="1"/>
  <c r="AS151" i="18" s="1"/>
  <c r="AE151" i="18"/>
  <c r="L152" i="18"/>
  <c r="J152" i="18"/>
  <c r="X152" i="18"/>
  <c r="BH151" i="19"/>
  <c r="AM152" i="18" s="1"/>
  <c r="AW151" i="20"/>
  <c r="U151" i="19"/>
  <c r="AH151" i="19" s="1"/>
  <c r="H151" i="19" s="1"/>
  <c r="H151" i="22" s="1"/>
  <c r="R151" i="22" s="1"/>
  <c r="BW151" i="19" s="1"/>
  <c r="AO152" i="18" s="1"/>
  <c r="W152" i="18"/>
  <c r="H152" i="18" s="1"/>
  <c r="AW152" i="20" s="1"/>
  <c r="F152" i="18"/>
  <c r="U153" i="18" s="1"/>
  <c r="BD152" i="19"/>
  <c r="AI153" i="18" s="1"/>
  <c r="D152" i="18"/>
  <c r="O153" i="19"/>
  <c r="AB153" i="19" s="1"/>
  <c r="B153" i="19" s="1"/>
  <c r="B153" i="22" s="1"/>
  <c r="L153" i="22" s="1"/>
  <c r="Q154" i="18"/>
  <c r="AL163" i="20"/>
  <c r="BV163" i="20"/>
  <c r="AV152" i="20"/>
  <c r="BG152" i="19"/>
  <c r="T152" i="19"/>
  <c r="BH152" i="19"/>
  <c r="U152" i="19"/>
  <c r="T153" i="18"/>
  <c r="BE152" i="19"/>
  <c r="R152" i="19"/>
  <c r="AE152" i="19" s="1"/>
  <c r="E152" i="19" s="1"/>
  <c r="E152" i="22" s="1"/>
  <c r="O152" i="22" s="1"/>
  <c r="BT152" i="19" s="1"/>
  <c r="AC152" i="19"/>
  <c r="C152" i="19" s="1"/>
  <c r="C152" i="22" s="1"/>
  <c r="C153" i="18"/>
  <c r="BO153" i="19"/>
  <c r="AF154" i="18" s="1"/>
  <c r="W153" i="18"/>
  <c r="V153" i="18"/>
  <c r="S153" i="18"/>
  <c r="Q152" i="19"/>
  <c r="AT152" i="18" l="1"/>
  <c r="BN151" i="19"/>
  <c r="O151" i="18"/>
  <c r="AA151" i="19" s="1"/>
  <c r="AN151" i="19" s="1"/>
  <c r="N151" i="19" s="1"/>
  <c r="K151" i="22" s="1"/>
  <c r="U151" i="22" s="1"/>
  <c r="CA151" i="19" s="1"/>
  <c r="AS152" i="18" s="1"/>
  <c r="P151" i="18"/>
  <c r="BL151" i="19"/>
  <c r="M151" i="18"/>
  <c r="N151" i="18"/>
  <c r="AC152" i="18" s="1"/>
  <c r="BZ151" i="19"/>
  <c r="AR152" i="18" s="1"/>
  <c r="K152" i="18"/>
  <c r="Z153" i="18" s="1"/>
  <c r="AZ152" i="20"/>
  <c r="W152" i="19"/>
  <c r="AJ152" i="19" s="1"/>
  <c r="J152" i="19" s="1"/>
  <c r="BJ152" i="19"/>
  <c r="AP153" i="18" s="1"/>
  <c r="BA152" i="20"/>
  <c r="X152" i="19"/>
  <c r="AK152" i="19" s="1"/>
  <c r="K152" i="19" s="1"/>
  <c r="BK152" i="19"/>
  <c r="AY152" i="20"/>
  <c r="V152" i="19"/>
  <c r="AI152" i="19" s="1"/>
  <c r="I152" i="19" s="1"/>
  <c r="I152" i="22" s="1"/>
  <c r="S152" i="22" s="1"/>
  <c r="BX152" i="19" s="1"/>
  <c r="BI152" i="19"/>
  <c r="AO153" i="18" s="1"/>
  <c r="Y153" i="18"/>
  <c r="AM153" i="18"/>
  <c r="I152" i="18"/>
  <c r="BF152" i="19"/>
  <c r="AK153" i="18" s="1"/>
  <c r="G153" i="18" s="1"/>
  <c r="S152" i="19"/>
  <c r="AF152" i="19" s="1"/>
  <c r="F152" i="19" s="1"/>
  <c r="F152" i="22" s="1"/>
  <c r="P152" i="22" s="1"/>
  <c r="BU152" i="19" s="1"/>
  <c r="AL153" i="18" s="1"/>
  <c r="AU152" i="20"/>
  <c r="BB154" i="19"/>
  <c r="B154" i="18"/>
  <c r="O154" i="19" s="1"/>
  <c r="AB154" i="19" s="1"/>
  <c r="B154" i="19" s="1"/>
  <c r="B154" i="22" s="1"/>
  <c r="L154" i="22" s="1"/>
  <c r="AC163" i="20"/>
  <c r="M152" i="22"/>
  <c r="BQ152" i="19"/>
  <c r="AH153" i="18" s="1"/>
  <c r="D153" i="18" s="1"/>
  <c r="BP153" i="19"/>
  <c r="AG154" i="18" s="1"/>
  <c r="E153" i="18"/>
  <c r="BR153" i="19"/>
  <c r="AG152" i="19"/>
  <c r="G152" i="19" s="1"/>
  <c r="G152" i="22" s="1"/>
  <c r="Q152" i="22" s="1"/>
  <c r="BV152" i="19" s="1"/>
  <c r="AN153" i="18" s="1"/>
  <c r="R154" i="18"/>
  <c r="BC153" i="19"/>
  <c r="P153" i="19"/>
  <c r="AD152" i="19"/>
  <c r="D152" i="19" s="1"/>
  <c r="D152" i="22" s="1"/>
  <c r="N152" i="22" s="1"/>
  <c r="BS152" i="19" s="1"/>
  <c r="AJ153" i="18" s="1"/>
  <c r="AH152" i="19"/>
  <c r="H152" i="19" s="1"/>
  <c r="H152" i="22" s="1"/>
  <c r="R152" i="22" s="1"/>
  <c r="BW152" i="19" s="1"/>
  <c r="BN152" i="19" l="1"/>
  <c r="AE152" i="18"/>
  <c r="P152" i="18" s="1"/>
  <c r="AR153" i="18"/>
  <c r="BZ152" i="19"/>
  <c r="N152" i="18"/>
  <c r="BC151" i="20"/>
  <c r="Z151" i="19"/>
  <c r="AM151" i="19" s="1"/>
  <c r="M151" i="19" s="1"/>
  <c r="BM151" i="19"/>
  <c r="AD152" i="18"/>
  <c r="Y151" i="19"/>
  <c r="AL151" i="19" s="1"/>
  <c r="L151" i="19" s="1"/>
  <c r="J151" i="22" s="1"/>
  <c r="T151" i="22" s="1"/>
  <c r="BY151" i="19" s="1"/>
  <c r="AQ152" i="18" s="1"/>
  <c r="BB151" i="20"/>
  <c r="AB152" i="18"/>
  <c r="K153" i="18"/>
  <c r="AA153" i="18"/>
  <c r="AZ153" i="20"/>
  <c r="W153" i="19"/>
  <c r="AJ153" i="19" s="1"/>
  <c r="J153" i="19" s="1"/>
  <c r="BJ153" i="19"/>
  <c r="Y154" i="18"/>
  <c r="J153" i="18"/>
  <c r="AX152" i="20"/>
  <c r="X153" i="18"/>
  <c r="I153" i="18" s="1"/>
  <c r="AX153" i="20" s="1"/>
  <c r="H153" i="18"/>
  <c r="Q155" i="18"/>
  <c r="F153" i="18"/>
  <c r="V154" i="18" s="1"/>
  <c r="BD153" i="19"/>
  <c r="AI154" i="18" s="1"/>
  <c r="CE163" i="20"/>
  <c r="K164" i="20"/>
  <c r="AC153" i="19"/>
  <c r="C153" i="19" s="1"/>
  <c r="C153" i="22" s="1"/>
  <c r="AW153" i="20"/>
  <c r="U153" i="19"/>
  <c r="S154" i="18"/>
  <c r="Q153" i="19"/>
  <c r="BG153" i="19"/>
  <c r="T153" i="19"/>
  <c r="AV153" i="20"/>
  <c r="C154" i="18"/>
  <c r="BO154" i="19"/>
  <c r="AF155" i="18" s="1"/>
  <c r="W154" i="18"/>
  <c r="T154" i="18"/>
  <c r="BE153" i="19"/>
  <c r="R153" i="19"/>
  <c r="AE153" i="19" s="1"/>
  <c r="E153" i="19" s="1"/>
  <c r="E153" i="22" s="1"/>
  <c r="O153" i="22" s="1"/>
  <c r="BT153" i="19" s="1"/>
  <c r="AT153" i="18" l="1"/>
  <c r="BL152" i="19"/>
  <c r="O152" i="18"/>
  <c r="AD153" i="18"/>
  <c r="Z152" i="19"/>
  <c r="AM152" i="19" s="1"/>
  <c r="M152" i="19" s="1"/>
  <c r="BM152" i="19"/>
  <c r="BC152" i="20"/>
  <c r="M152" i="18"/>
  <c r="AB153" i="18" s="1"/>
  <c r="L153" i="18"/>
  <c r="AY153" i="20"/>
  <c r="BI153" i="19"/>
  <c r="V153" i="19"/>
  <c r="AI153" i="19" s="1"/>
  <c r="I153" i="19" s="1"/>
  <c r="I153" i="22" s="1"/>
  <c r="S153" i="22" s="1"/>
  <c r="BX153" i="19" s="1"/>
  <c r="AP154" i="18" s="1"/>
  <c r="Z154" i="18"/>
  <c r="X154" i="18"/>
  <c r="AM154" i="18"/>
  <c r="I154" i="18" s="1"/>
  <c r="AX154" i="20" s="1"/>
  <c r="BH153" i="19"/>
  <c r="U154" i="18"/>
  <c r="S153" i="19"/>
  <c r="AF153" i="19" s="1"/>
  <c r="F153" i="19" s="1"/>
  <c r="F153" i="22" s="1"/>
  <c r="P153" i="22" s="1"/>
  <c r="BU153" i="19" s="1"/>
  <c r="AL154" i="18" s="1"/>
  <c r="AU153" i="20"/>
  <c r="BF153" i="19"/>
  <c r="AK154" i="18" s="1"/>
  <c r="BB155" i="19"/>
  <c r="B155" i="18"/>
  <c r="BV164" i="20"/>
  <c r="AL164" i="20"/>
  <c r="M153" i="22"/>
  <c r="BQ153" i="19"/>
  <c r="AH154" i="18" s="1"/>
  <c r="D154" i="18" s="1"/>
  <c r="AH153" i="19"/>
  <c r="H153" i="19" s="1"/>
  <c r="H153" i="22" s="1"/>
  <c r="R153" i="22" s="1"/>
  <c r="BW153" i="19" s="1"/>
  <c r="AG153" i="19"/>
  <c r="G153" i="19" s="1"/>
  <c r="G153" i="22" s="1"/>
  <c r="Q153" i="22" s="1"/>
  <c r="BV153" i="19" s="1"/>
  <c r="AN154" i="18" s="1"/>
  <c r="BP154" i="19"/>
  <c r="AG155" i="18" s="1"/>
  <c r="R155" i="18"/>
  <c r="BC154" i="19"/>
  <c r="P154" i="19"/>
  <c r="E154" i="18"/>
  <c r="BR154" i="19"/>
  <c r="AD153" i="19"/>
  <c r="D153" i="19" s="1"/>
  <c r="D153" i="22" s="1"/>
  <c r="N153" i="22" s="1"/>
  <c r="BS153" i="19" s="1"/>
  <c r="AJ154" i="18" s="1"/>
  <c r="AA152" i="19" l="1"/>
  <c r="AN152" i="19" s="1"/>
  <c r="N152" i="19" s="1"/>
  <c r="K152" i="22" s="1"/>
  <c r="U152" i="22" s="1"/>
  <c r="CA152" i="19" s="1"/>
  <c r="AS153" i="18" s="1"/>
  <c r="AE153" i="18"/>
  <c r="AT154" i="18" s="1"/>
  <c r="BB152" i="20"/>
  <c r="Y152" i="19"/>
  <c r="AL152" i="19" s="1"/>
  <c r="L152" i="19" s="1"/>
  <c r="J152" i="22" s="1"/>
  <c r="T152" i="22" s="1"/>
  <c r="BY152" i="19" s="1"/>
  <c r="AQ153" i="18" s="1"/>
  <c r="AC153" i="18"/>
  <c r="AO154" i="18"/>
  <c r="K154" i="18" s="1"/>
  <c r="Z155" i="18" s="1"/>
  <c r="BA153" i="20"/>
  <c r="BK153" i="19"/>
  <c r="X153" i="19"/>
  <c r="AK153" i="19" s="1"/>
  <c r="K153" i="19" s="1"/>
  <c r="AA154" i="18"/>
  <c r="L154" i="18" s="1"/>
  <c r="J154" i="18"/>
  <c r="H154" i="18"/>
  <c r="AW154" i="20" s="1"/>
  <c r="G154" i="18"/>
  <c r="F154" i="18"/>
  <c r="U155" i="18" s="1"/>
  <c r="BD154" i="19"/>
  <c r="AI155" i="18" s="1"/>
  <c r="O155" i="19"/>
  <c r="AB155" i="19" s="1"/>
  <c r="B155" i="19" s="1"/>
  <c r="B155" i="22" s="1"/>
  <c r="L155" i="22" s="1"/>
  <c r="BO155" i="19" s="1"/>
  <c r="AF156" i="18" s="1"/>
  <c r="Q156" i="18"/>
  <c r="AC164" i="20"/>
  <c r="C155" i="18"/>
  <c r="X155" i="18"/>
  <c r="S155" i="18"/>
  <c r="Q154" i="19"/>
  <c r="AC154" i="19"/>
  <c r="C154" i="19" s="1"/>
  <c r="C154" i="22" s="1"/>
  <c r="T155" i="18"/>
  <c r="BE154" i="19"/>
  <c r="R154" i="19"/>
  <c r="BN153" i="19" l="1"/>
  <c r="O153" i="18"/>
  <c r="AA153" i="19" s="1"/>
  <c r="AN153" i="19" s="1"/>
  <c r="N153" i="19" s="1"/>
  <c r="K153" i="22" s="1"/>
  <c r="U153" i="22" s="1"/>
  <c r="CA153" i="19" s="1"/>
  <c r="AS154" i="18" s="1"/>
  <c r="AR154" i="18"/>
  <c r="BL153" i="19"/>
  <c r="P153" i="18"/>
  <c r="N153" i="18"/>
  <c r="AC154" i="18" s="1"/>
  <c r="BZ153" i="19"/>
  <c r="M153" i="18"/>
  <c r="BA154" i="20"/>
  <c r="BK154" i="19"/>
  <c r="X154" i="19"/>
  <c r="AK154" i="19" s="1"/>
  <c r="K154" i="19" s="1"/>
  <c r="U154" i="19"/>
  <c r="AY154" i="20"/>
  <c r="BI154" i="19"/>
  <c r="AO155" i="18" s="1"/>
  <c r="V154" i="19"/>
  <c r="AI154" i="19" s="1"/>
  <c r="I154" i="19" s="1"/>
  <c r="I154" i="22" s="1"/>
  <c r="S154" i="22" s="1"/>
  <c r="BX154" i="19" s="1"/>
  <c r="Y155" i="18"/>
  <c r="BH154" i="19"/>
  <c r="AM155" i="18" s="1"/>
  <c r="AZ154" i="20"/>
  <c r="W154" i="19"/>
  <c r="AJ154" i="19" s="1"/>
  <c r="J154" i="19" s="1"/>
  <c r="BJ154" i="19"/>
  <c r="AP155" i="18" s="1"/>
  <c r="AA155" i="18"/>
  <c r="AV154" i="20"/>
  <c r="T154" i="19"/>
  <c r="AG154" i="19" s="1"/>
  <c r="G154" i="19" s="1"/>
  <c r="G154" i="22" s="1"/>
  <c r="Q154" i="22" s="1"/>
  <c r="BV154" i="19" s="1"/>
  <c r="AN155" i="18" s="1"/>
  <c r="BG154" i="19"/>
  <c r="W155" i="18"/>
  <c r="S154" i="19"/>
  <c r="AF154" i="19" s="1"/>
  <c r="F154" i="19" s="1"/>
  <c r="F154" i="22" s="1"/>
  <c r="P154" i="22" s="1"/>
  <c r="BU154" i="19" s="1"/>
  <c r="AU154" i="20"/>
  <c r="V155" i="18"/>
  <c r="BF154" i="19"/>
  <c r="BB156" i="19"/>
  <c r="B156" i="18"/>
  <c r="O156" i="19" s="1"/>
  <c r="AB156" i="19" s="1"/>
  <c r="B156" i="19" s="1"/>
  <c r="B156" i="22" s="1"/>
  <c r="L156" i="22" s="1"/>
  <c r="CE164" i="20"/>
  <c r="K165" i="20"/>
  <c r="M154" i="22"/>
  <c r="BQ154" i="19"/>
  <c r="AH155" i="18" s="1"/>
  <c r="D155" i="18" s="1"/>
  <c r="AD154" i="19"/>
  <c r="D154" i="19" s="1"/>
  <c r="D154" i="22" s="1"/>
  <c r="N154" i="22" s="1"/>
  <c r="BS154" i="19" s="1"/>
  <c r="AJ155" i="18" s="1"/>
  <c r="I155" i="18"/>
  <c r="AX155" i="20" s="1"/>
  <c r="E155" i="18"/>
  <c r="BR155" i="19"/>
  <c r="BP155" i="19"/>
  <c r="AG156" i="18" s="1"/>
  <c r="AE154" i="19"/>
  <c r="E154" i="19" s="1"/>
  <c r="E154" i="22" s="1"/>
  <c r="O154" i="22" s="1"/>
  <c r="BT154" i="19" s="1"/>
  <c r="AH154" i="19"/>
  <c r="H154" i="19" s="1"/>
  <c r="H154" i="22" s="1"/>
  <c r="R154" i="22" s="1"/>
  <c r="BW154" i="19" s="1"/>
  <c r="R156" i="18"/>
  <c r="BC155" i="19"/>
  <c r="P155" i="19"/>
  <c r="BN154" i="19" l="1"/>
  <c r="AE154" i="18"/>
  <c r="AR155" i="18"/>
  <c r="BZ154" i="19"/>
  <c r="N154" i="18"/>
  <c r="Y153" i="19"/>
  <c r="AL153" i="19" s="1"/>
  <c r="L153" i="19" s="1"/>
  <c r="J153" i="22" s="1"/>
  <c r="T153" i="22" s="1"/>
  <c r="BY153" i="19" s="1"/>
  <c r="AQ154" i="18" s="1"/>
  <c r="BB153" i="20"/>
  <c r="AB154" i="18"/>
  <c r="BC153" i="20"/>
  <c r="Z153" i="19"/>
  <c r="AM153" i="19" s="1"/>
  <c r="M153" i="19" s="1"/>
  <c r="BM153" i="19"/>
  <c r="AD154" i="18"/>
  <c r="K155" i="18"/>
  <c r="AZ155" i="20" s="1"/>
  <c r="BJ155" i="19"/>
  <c r="L155" i="18"/>
  <c r="AA156" i="18"/>
  <c r="J155" i="18"/>
  <c r="Y156" i="18"/>
  <c r="Z156" i="18"/>
  <c r="AK155" i="18"/>
  <c r="G155" i="18" s="1"/>
  <c r="AL155" i="18"/>
  <c r="H155" i="18" s="1"/>
  <c r="F155" i="18"/>
  <c r="BD155" i="19"/>
  <c r="AI156" i="18" s="1"/>
  <c r="Q157" i="18"/>
  <c r="AL165" i="20"/>
  <c r="BV165" i="20"/>
  <c r="AU155" i="20"/>
  <c r="BF155" i="19"/>
  <c r="S155" i="19"/>
  <c r="AC155" i="19"/>
  <c r="C155" i="19" s="1"/>
  <c r="C155" i="22" s="1"/>
  <c r="S156" i="18"/>
  <c r="Q155" i="19"/>
  <c r="C156" i="18"/>
  <c r="BO156" i="19"/>
  <c r="AF157" i="18" s="1"/>
  <c r="T156" i="18"/>
  <c r="BE155" i="19"/>
  <c r="R155" i="19"/>
  <c r="AE155" i="19" s="1"/>
  <c r="E155" i="19" s="1"/>
  <c r="E155" i="22" s="1"/>
  <c r="O155" i="22" s="1"/>
  <c r="BT155" i="19" s="1"/>
  <c r="U156" i="18"/>
  <c r="P154" i="18" l="1"/>
  <c r="AT155" i="18"/>
  <c r="BL154" i="19"/>
  <c r="BM154" i="19"/>
  <c r="BC154" i="20"/>
  <c r="Z154" i="19"/>
  <c r="AM154" i="19" s="1"/>
  <c r="M154" i="19" s="1"/>
  <c r="O154" i="18"/>
  <c r="AD155" i="18" s="1"/>
  <c r="M154" i="18"/>
  <c r="AB155" i="18" s="1"/>
  <c r="W155" i="19"/>
  <c r="AJ155" i="19" s="1"/>
  <c r="J155" i="19" s="1"/>
  <c r="AK156" i="18"/>
  <c r="AY155" i="20"/>
  <c r="V155" i="19"/>
  <c r="AI155" i="19" s="1"/>
  <c r="I155" i="19" s="1"/>
  <c r="I155" i="22" s="1"/>
  <c r="S155" i="22" s="1"/>
  <c r="BX155" i="19" s="1"/>
  <c r="AP156" i="18" s="1"/>
  <c r="BI155" i="19"/>
  <c r="BA155" i="20"/>
  <c r="BK155" i="19"/>
  <c r="X155" i="19"/>
  <c r="AK155" i="19" s="1"/>
  <c r="K155" i="19" s="1"/>
  <c r="AW155" i="20"/>
  <c r="U155" i="19"/>
  <c r="AH155" i="19" s="1"/>
  <c r="H155" i="19" s="1"/>
  <c r="H155" i="22" s="1"/>
  <c r="R155" i="22" s="1"/>
  <c r="BW155" i="19" s="1"/>
  <c r="BH155" i="19"/>
  <c r="AM156" i="18" s="1"/>
  <c r="X156" i="18"/>
  <c r="V156" i="18"/>
  <c r="G156" i="18" s="1"/>
  <c r="BG155" i="19"/>
  <c r="T155" i="19"/>
  <c r="AG155" i="19" s="1"/>
  <c r="G155" i="19" s="1"/>
  <c r="G155" i="22" s="1"/>
  <c r="Q155" i="22" s="1"/>
  <c r="BV155" i="19" s="1"/>
  <c r="AN156" i="18" s="1"/>
  <c r="AV155" i="20"/>
  <c r="W156" i="18"/>
  <c r="BB157" i="19"/>
  <c r="B157" i="18"/>
  <c r="O157" i="19" s="1"/>
  <c r="AB157" i="19" s="1"/>
  <c r="B157" i="19" s="1"/>
  <c r="B157" i="22" s="1"/>
  <c r="L157" i="22" s="1"/>
  <c r="AC165" i="20"/>
  <c r="AF155" i="19"/>
  <c r="F155" i="19" s="1"/>
  <c r="F155" i="22" s="1"/>
  <c r="P155" i="22" s="1"/>
  <c r="BU155" i="19" s="1"/>
  <c r="BP156" i="19"/>
  <c r="AG157" i="18" s="1"/>
  <c r="M155" i="22"/>
  <c r="BQ155" i="19"/>
  <c r="AH156" i="18" s="1"/>
  <c r="D156" i="18" s="1"/>
  <c r="AD155" i="19"/>
  <c r="D155" i="19" s="1"/>
  <c r="D155" i="22" s="1"/>
  <c r="N155" i="22" s="1"/>
  <c r="BS155" i="19" s="1"/>
  <c r="AJ156" i="18" s="1"/>
  <c r="E156" i="18"/>
  <c r="BR156" i="19"/>
  <c r="R157" i="18"/>
  <c r="BC156" i="19"/>
  <c r="P156" i="19"/>
  <c r="AA154" i="19" l="1"/>
  <c r="AN154" i="19" s="1"/>
  <c r="N154" i="19" s="1"/>
  <c r="K154" i="22" s="1"/>
  <c r="U154" i="22" s="1"/>
  <c r="CA154" i="19" s="1"/>
  <c r="AS155" i="18" s="1"/>
  <c r="AE155" i="18"/>
  <c r="AT156" i="18" s="1"/>
  <c r="AC155" i="18"/>
  <c r="Y154" i="19"/>
  <c r="AL154" i="19" s="1"/>
  <c r="L154" i="19" s="1"/>
  <c r="J154" i="22" s="1"/>
  <c r="T154" i="22" s="1"/>
  <c r="BY154" i="19" s="1"/>
  <c r="AQ155" i="18" s="1"/>
  <c r="BB154" i="20"/>
  <c r="L156" i="18"/>
  <c r="BA156" i="20" s="1"/>
  <c r="AO156" i="18"/>
  <c r="X156" i="19"/>
  <c r="AK156" i="19" s="1"/>
  <c r="K156" i="19" s="1"/>
  <c r="J156" i="18"/>
  <c r="I156" i="18"/>
  <c r="AX156" i="20" s="1"/>
  <c r="AL156" i="18"/>
  <c r="H156" i="18" s="1"/>
  <c r="AV156" i="20"/>
  <c r="BG156" i="19"/>
  <c r="T156" i="19"/>
  <c r="AG156" i="19" s="1"/>
  <c r="G156" i="19" s="1"/>
  <c r="G156" i="22" s="1"/>
  <c r="Q156" i="22" s="1"/>
  <c r="BV156" i="19" s="1"/>
  <c r="AN157" i="18" s="1"/>
  <c r="F156" i="18"/>
  <c r="BD156" i="19"/>
  <c r="AI157" i="18" s="1"/>
  <c r="Q158" i="18"/>
  <c r="CE165" i="20"/>
  <c r="K166" i="20"/>
  <c r="AU156" i="20"/>
  <c r="BF156" i="19"/>
  <c r="S156" i="19"/>
  <c r="V157" i="18"/>
  <c r="S157" i="18"/>
  <c r="Q156" i="19"/>
  <c r="C157" i="18"/>
  <c r="BO157" i="19"/>
  <c r="AF158" i="18" s="1"/>
  <c r="AC156" i="19"/>
  <c r="C156" i="19" s="1"/>
  <c r="C156" i="22" s="1"/>
  <c r="T157" i="18"/>
  <c r="BE156" i="19"/>
  <c r="R156" i="19"/>
  <c r="AE156" i="19" s="1"/>
  <c r="E156" i="19" s="1"/>
  <c r="E156" i="22" s="1"/>
  <c r="O156" i="22" s="1"/>
  <c r="BT156" i="19" s="1"/>
  <c r="U157" i="18"/>
  <c r="BN155" i="19" l="1"/>
  <c r="O155" i="18"/>
  <c r="AA155" i="19" s="1"/>
  <c r="AN155" i="19" s="1"/>
  <c r="N155" i="19" s="1"/>
  <c r="K155" i="22" s="1"/>
  <c r="U155" i="22" s="1"/>
  <c r="CA155" i="19" s="1"/>
  <c r="AS156" i="18" s="1"/>
  <c r="BL155" i="19"/>
  <c r="BZ155" i="19"/>
  <c r="AR156" i="18" s="1"/>
  <c r="N155" i="18"/>
  <c r="P155" i="18"/>
  <c r="AE156" i="18" s="1"/>
  <c r="AT157" i="18" s="1"/>
  <c r="M155" i="18"/>
  <c r="BK156" i="19"/>
  <c r="K156" i="18"/>
  <c r="AY156" i="20"/>
  <c r="V156" i="19"/>
  <c r="AI156" i="19" s="1"/>
  <c r="I156" i="19" s="1"/>
  <c r="I156" i="22" s="1"/>
  <c r="S156" i="22" s="1"/>
  <c r="BX156" i="19" s="1"/>
  <c r="BI156" i="19"/>
  <c r="AO157" i="18" s="1"/>
  <c r="Y157" i="18"/>
  <c r="AK157" i="18"/>
  <c r="BH156" i="19"/>
  <c r="AM157" i="18" s="1"/>
  <c r="U156" i="19"/>
  <c r="AH156" i="19" s="1"/>
  <c r="H156" i="19" s="1"/>
  <c r="H156" i="22" s="1"/>
  <c r="R156" i="22" s="1"/>
  <c r="BW156" i="19" s="1"/>
  <c r="W157" i="18"/>
  <c r="AW156" i="20"/>
  <c r="X157" i="18"/>
  <c r="I157" i="18" s="1"/>
  <c r="AX157" i="20" s="1"/>
  <c r="BB158" i="19"/>
  <c r="B158" i="18"/>
  <c r="O158" i="19" s="1"/>
  <c r="AB158" i="19" s="1"/>
  <c r="B158" i="19" s="1"/>
  <c r="B158" i="22" s="1"/>
  <c r="L158" i="22" s="1"/>
  <c r="BV166" i="20"/>
  <c r="AL166" i="20"/>
  <c r="M156" i="22"/>
  <c r="BQ156" i="19"/>
  <c r="AH157" i="18" s="1"/>
  <c r="R158" i="18"/>
  <c r="BC157" i="19"/>
  <c r="P157" i="19"/>
  <c r="BP157" i="19"/>
  <c r="AG158" i="18" s="1"/>
  <c r="G157" i="18"/>
  <c r="E157" i="18"/>
  <c r="BR157" i="19"/>
  <c r="AF156" i="19"/>
  <c r="F156" i="19" s="1"/>
  <c r="F156" i="22" s="1"/>
  <c r="P156" i="22" s="1"/>
  <c r="BU156" i="19" s="1"/>
  <c r="AL157" i="18" s="1"/>
  <c r="AD156" i="19"/>
  <c r="D156" i="19" s="1"/>
  <c r="D156" i="22" s="1"/>
  <c r="N156" i="22" s="1"/>
  <c r="BS156" i="19" s="1"/>
  <c r="AJ157" i="18" s="1"/>
  <c r="BN156" i="19" l="1"/>
  <c r="P156" i="18"/>
  <c r="AC156" i="18"/>
  <c r="BM155" i="19"/>
  <c r="BC155" i="20"/>
  <c r="Z155" i="19"/>
  <c r="AM155" i="19" s="1"/>
  <c r="M155" i="19" s="1"/>
  <c r="AD156" i="18"/>
  <c r="Y155" i="19"/>
  <c r="AL155" i="19" s="1"/>
  <c r="L155" i="19" s="1"/>
  <c r="J155" i="22" s="1"/>
  <c r="T155" i="22" s="1"/>
  <c r="BY155" i="19" s="1"/>
  <c r="AQ156" i="18" s="1"/>
  <c r="BB155" i="20"/>
  <c r="AB156" i="18"/>
  <c r="AA157" i="18"/>
  <c r="W156" i="19"/>
  <c r="AJ156" i="19" s="1"/>
  <c r="J156" i="19" s="1"/>
  <c r="AZ156" i="20"/>
  <c r="BJ156" i="19"/>
  <c r="AP157" i="18" s="1"/>
  <c r="Z157" i="18"/>
  <c r="K157" i="18" s="1"/>
  <c r="W157" i="19" s="1"/>
  <c r="AJ157" i="19" s="1"/>
  <c r="J157" i="19" s="1"/>
  <c r="AZ157" i="20"/>
  <c r="BJ157" i="19"/>
  <c r="J157" i="18"/>
  <c r="Y158" i="18"/>
  <c r="H157" i="18"/>
  <c r="W158" i="18" s="1"/>
  <c r="F157" i="18"/>
  <c r="V158" i="18" s="1"/>
  <c r="BD157" i="19"/>
  <c r="AI158" i="18" s="1"/>
  <c r="D157" i="18"/>
  <c r="Q157" i="19" s="1"/>
  <c r="Q159" i="18"/>
  <c r="U158" i="18"/>
  <c r="AC166" i="20"/>
  <c r="C158" i="18"/>
  <c r="BO158" i="19"/>
  <c r="AF159" i="18" s="1"/>
  <c r="BE157" i="19"/>
  <c r="R157" i="19"/>
  <c r="AE157" i="19" s="1"/>
  <c r="E157" i="19" s="1"/>
  <c r="E157" i="22" s="1"/>
  <c r="O157" i="22" s="1"/>
  <c r="BT157" i="19" s="1"/>
  <c r="AV157" i="20"/>
  <c r="BG157" i="19"/>
  <c r="T157" i="19"/>
  <c r="S158" i="18"/>
  <c r="AC157" i="19"/>
  <c r="C157" i="19" s="1"/>
  <c r="C157" i="22" s="1"/>
  <c r="AU157" i="20"/>
  <c r="BF157" i="19"/>
  <c r="S157" i="19"/>
  <c r="BL156" i="19" l="1"/>
  <c r="O156" i="18"/>
  <c r="BZ156" i="19"/>
  <c r="AR157" i="18" s="1"/>
  <c r="N156" i="18"/>
  <c r="AC157" i="18" s="1"/>
  <c r="M156" i="18"/>
  <c r="L157" i="18"/>
  <c r="AA158" i="18" s="1"/>
  <c r="T158" i="18"/>
  <c r="AY157" i="20"/>
  <c r="V157" i="19"/>
  <c r="AI157" i="19" s="1"/>
  <c r="I157" i="19" s="1"/>
  <c r="I157" i="22" s="1"/>
  <c r="S157" i="22" s="1"/>
  <c r="BX157" i="19" s="1"/>
  <c r="AP158" i="18" s="1"/>
  <c r="BI157" i="19"/>
  <c r="AO158" i="18" s="1"/>
  <c r="Z158" i="18"/>
  <c r="U157" i="19"/>
  <c r="AH157" i="19" s="1"/>
  <c r="H157" i="19" s="1"/>
  <c r="H157" i="22" s="1"/>
  <c r="R157" i="22" s="1"/>
  <c r="BW157" i="19" s="1"/>
  <c r="X158" i="18"/>
  <c r="AW157" i="20"/>
  <c r="BH157" i="19"/>
  <c r="AM158" i="18" s="1"/>
  <c r="AK158" i="18"/>
  <c r="G158" i="18" s="1"/>
  <c r="B159" i="18"/>
  <c r="O159" i="19" s="1"/>
  <c r="AB159" i="19" s="1"/>
  <c r="B159" i="19" s="1"/>
  <c r="B159" i="22" s="1"/>
  <c r="L159" i="22" s="1"/>
  <c r="BB159" i="19"/>
  <c r="CE166" i="20"/>
  <c r="K167" i="20"/>
  <c r="M157" i="22"/>
  <c r="BQ157" i="19"/>
  <c r="AH158" i="18" s="1"/>
  <c r="D158" i="18" s="1"/>
  <c r="BP158" i="19"/>
  <c r="AG159" i="18" s="1"/>
  <c r="AD157" i="19"/>
  <c r="D157" i="19" s="1"/>
  <c r="D157" i="22" s="1"/>
  <c r="N157" i="22" s="1"/>
  <c r="BS157" i="19" s="1"/>
  <c r="AJ158" i="18" s="1"/>
  <c r="AG157" i="19"/>
  <c r="G157" i="19" s="1"/>
  <c r="G157" i="22" s="1"/>
  <c r="Q157" i="22" s="1"/>
  <c r="BV157" i="19" s="1"/>
  <c r="AN158" i="18" s="1"/>
  <c r="AF157" i="19"/>
  <c r="F157" i="19" s="1"/>
  <c r="F157" i="22" s="1"/>
  <c r="P157" i="22" s="1"/>
  <c r="BU157" i="19" s="1"/>
  <c r="AL158" i="18" s="1"/>
  <c r="E158" i="18"/>
  <c r="BR158" i="19"/>
  <c r="R159" i="18"/>
  <c r="BC158" i="19"/>
  <c r="P158" i="19"/>
  <c r="N157" i="18" l="1"/>
  <c r="BZ157" i="19"/>
  <c r="AR158" i="18" s="1"/>
  <c r="AB157" i="18"/>
  <c r="BB156" i="20"/>
  <c r="Y156" i="19"/>
  <c r="AL156" i="19" s="1"/>
  <c r="L156" i="19" s="1"/>
  <c r="J156" i="22" s="1"/>
  <c r="T156" i="22" s="1"/>
  <c r="BY156" i="19" s="1"/>
  <c r="AQ157" i="18" s="1"/>
  <c r="AD157" i="18"/>
  <c r="AA156" i="19"/>
  <c r="AN156" i="19" s="1"/>
  <c r="N156" i="19" s="1"/>
  <c r="K156" i="22" s="1"/>
  <c r="U156" i="22" s="1"/>
  <c r="CA156" i="19" s="1"/>
  <c r="AS157" i="18" s="1"/>
  <c r="AE157" i="18"/>
  <c r="AT158" i="18" s="1"/>
  <c r="Z156" i="19"/>
  <c r="AM156" i="19" s="1"/>
  <c r="M156" i="19" s="1"/>
  <c r="BM156" i="19"/>
  <c r="BC156" i="20"/>
  <c r="L158" i="18"/>
  <c r="BK157" i="19"/>
  <c r="BA157" i="20"/>
  <c r="X157" i="19"/>
  <c r="AK157" i="19" s="1"/>
  <c r="K157" i="19" s="1"/>
  <c r="K158" i="18"/>
  <c r="J158" i="18"/>
  <c r="I158" i="18"/>
  <c r="AX158" i="20" s="1"/>
  <c r="H158" i="18"/>
  <c r="F158" i="18"/>
  <c r="V159" i="18" s="1"/>
  <c r="BD158" i="19"/>
  <c r="AI159" i="18" s="1"/>
  <c r="Q160" i="18"/>
  <c r="BV167" i="20"/>
  <c r="AL167" i="20"/>
  <c r="AC158" i="19"/>
  <c r="C158" i="19" s="1"/>
  <c r="C158" i="22" s="1"/>
  <c r="T159" i="18"/>
  <c r="BE158" i="19"/>
  <c r="R158" i="19"/>
  <c r="S159" i="18"/>
  <c r="Q158" i="19"/>
  <c r="AW158" i="20"/>
  <c r="BH158" i="19"/>
  <c r="AM159" i="18" s="1"/>
  <c r="U158" i="19"/>
  <c r="X159" i="18"/>
  <c r="C159" i="18"/>
  <c r="BO159" i="19"/>
  <c r="AF160" i="18" s="1"/>
  <c r="W159" i="18"/>
  <c r="AV158" i="20"/>
  <c r="BG158" i="19"/>
  <c r="T158" i="19"/>
  <c r="BN157" i="19" l="1"/>
  <c r="P157" i="18"/>
  <c r="M157" i="18"/>
  <c r="O157" i="18"/>
  <c r="AA157" i="19" s="1"/>
  <c r="AN157" i="19" s="1"/>
  <c r="N157" i="19" s="1"/>
  <c r="K157" i="22" s="1"/>
  <c r="U157" i="22" s="1"/>
  <c r="CA157" i="19" s="1"/>
  <c r="AS158" i="18" s="1"/>
  <c r="BL157" i="19"/>
  <c r="AC158" i="18"/>
  <c r="BC157" i="20"/>
  <c r="Z157" i="19"/>
  <c r="AM157" i="19" s="1"/>
  <c r="M157" i="19" s="1"/>
  <c r="BM157" i="19"/>
  <c r="X158" i="19"/>
  <c r="AK158" i="19" s="1"/>
  <c r="K158" i="19" s="1"/>
  <c r="BK158" i="19"/>
  <c r="BA158" i="20"/>
  <c r="Y159" i="18"/>
  <c r="AY158" i="20"/>
  <c r="V158" i="19"/>
  <c r="AI158" i="19" s="1"/>
  <c r="I158" i="19" s="1"/>
  <c r="I158" i="22" s="1"/>
  <c r="S158" i="22" s="1"/>
  <c r="BX158" i="19" s="1"/>
  <c r="BI158" i="19"/>
  <c r="U159" i="18"/>
  <c r="AZ158" i="20"/>
  <c r="W158" i="19"/>
  <c r="AJ158" i="19" s="1"/>
  <c r="J158" i="19" s="1"/>
  <c r="BJ158" i="19"/>
  <c r="AP159" i="18" s="1"/>
  <c r="AA159" i="18"/>
  <c r="Z159" i="18"/>
  <c r="AU158" i="20"/>
  <c r="BF158" i="19"/>
  <c r="S158" i="19"/>
  <c r="AF158" i="19" s="1"/>
  <c r="F158" i="19" s="1"/>
  <c r="F158" i="22" s="1"/>
  <c r="P158" i="22" s="1"/>
  <c r="BU158" i="19" s="1"/>
  <c r="AL159" i="18" s="1"/>
  <c r="H159" i="18" s="1"/>
  <c r="B160" i="18"/>
  <c r="O160" i="19" s="1"/>
  <c r="AB160" i="19" s="1"/>
  <c r="B160" i="19" s="1"/>
  <c r="B160" i="22" s="1"/>
  <c r="L160" i="22" s="1"/>
  <c r="BB160" i="19"/>
  <c r="AC167" i="20"/>
  <c r="M158" i="22"/>
  <c r="BQ158" i="19"/>
  <c r="AH159" i="18" s="1"/>
  <c r="D159" i="18" s="1"/>
  <c r="R160" i="18"/>
  <c r="BC159" i="19"/>
  <c r="P159" i="19"/>
  <c r="I159" i="18"/>
  <c r="AX159" i="20" s="1"/>
  <c r="AD158" i="19"/>
  <c r="D158" i="19" s="1"/>
  <c r="D158" i="22" s="1"/>
  <c r="N158" i="22" s="1"/>
  <c r="BS158" i="19" s="1"/>
  <c r="AJ159" i="18" s="1"/>
  <c r="AE158" i="19"/>
  <c r="E158" i="19" s="1"/>
  <c r="E158" i="22" s="1"/>
  <c r="O158" i="22" s="1"/>
  <c r="BT158" i="19" s="1"/>
  <c r="AH158" i="19"/>
  <c r="H158" i="19" s="1"/>
  <c r="H158" i="22" s="1"/>
  <c r="R158" i="22" s="1"/>
  <c r="BW158" i="19" s="1"/>
  <c r="BP159" i="19"/>
  <c r="AG160" i="18" s="1"/>
  <c r="E159" i="18"/>
  <c r="BR159" i="19"/>
  <c r="AG158" i="19"/>
  <c r="G158" i="19" s="1"/>
  <c r="G158" i="22" s="1"/>
  <c r="Q158" i="22" s="1"/>
  <c r="BV158" i="19" s="1"/>
  <c r="AN159" i="18" s="1"/>
  <c r="BN158" i="19" l="1"/>
  <c r="AE158" i="18"/>
  <c r="AT159" i="18" s="1"/>
  <c r="AD158" i="18"/>
  <c r="O158" i="18" s="1"/>
  <c r="AA158" i="19" s="1"/>
  <c r="AN158" i="19" s="1"/>
  <c r="N158" i="19" s="1"/>
  <c r="K158" i="22" s="1"/>
  <c r="U158" i="22" s="1"/>
  <c r="CA158" i="19" s="1"/>
  <c r="BZ158" i="19"/>
  <c r="AR159" i="18" s="1"/>
  <c r="N158" i="18"/>
  <c r="BB157" i="20"/>
  <c r="Y157" i="19"/>
  <c r="AL157" i="19" s="1"/>
  <c r="L157" i="19" s="1"/>
  <c r="J157" i="22" s="1"/>
  <c r="T157" i="22" s="1"/>
  <c r="BY157" i="19" s="1"/>
  <c r="AQ158" i="18" s="1"/>
  <c r="AB158" i="18"/>
  <c r="L159" i="18"/>
  <c r="AA160" i="18" s="1"/>
  <c r="AO159" i="18"/>
  <c r="BA159" i="20"/>
  <c r="X159" i="19"/>
  <c r="AK159" i="19" s="1"/>
  <c r="K159" i="19" s="1"/>
  <c r="BK159" i="19"/>
  <c r="K159" i="18"/>
  <c r="J159" i="18"/>
  <c r="AK159" i="18"/>
  <c r="F159" i="18"/>
  <c r="U160" i="18" s="1"/>
  <c r="BD159" i="19"/>
  <c r="AI160" i="18" s="1"/>
  <c r="Q161" i="18"/>
  <c r="CE167" i="20"/>
  <c r="K168" i="20"/>
  <c r="X160" i="18"/>
  <c r="C160" i="18"/>
  <c r="BO160" i="19"/>
  <c r="AF161" i="18" s="1"/>
  <c r="T160" i="18"/>
  <c r="BE159" i="19"/>
  <c r="R159" i="19"/>
  <c r="AE159" i="19" s="1"/>
  <c r="E159" i="19" s="1"/>
  <c r="E159" i="22" s="1"/>
  <c r="O159" i="22" s="1"/>
  <c r="BT159" i="19" s="1"/>
  <c r="AW159" i="20"/>
  <c r="BH159" i="19"/>
  <c r="AM160" i="18" s="1"/>
  <c r="U159" i="19"/>
  <c r="S160" i="18"/>
  <c r="Q159" i="19"/>
  <c r="AU159" i="20"/>
  <c r="BF159" i="19"/>
  <c r="S159" i="19"/>
  <c r="AC159" i="19"/>
  <c r="C159" i="19" s="1"/>
  <c r="C159" i="22" s="1"/>
  <c r="AS159" i="18" l="1"/>
  <c r="P158" i="18"/>
  <c r="AE159" i="18" s="1"/>
  <c r="AT160" i="18" s="1"/>
  <c r="AD159" i="18"/>
  <c r="O159" i="18" s="1"/>
  <c r="AA159" i="19" s="1"/>
  <c r="AN159" i="19" s="1"/>
  <c r="N159" i="19" s="1"/>
  <c r="K159" i="22" s="1"/>
  <c r="U159" i="22" s="1"/>
  <c r="CA159" i="19" s="1"/>
  <c r="BC158" i="20"/>
  <c r="Z158" i="19"/>
  <c r="AM158" i="19" s="1"/>
  <c r="M158" i="19" s="1"/>
  <c r="BM158" i="19"/>
  <c r="M158" i="18"/>
  <c r="BL158" i="19"/>
  <c r="Y160" i="18"/>
  <c r="AY159" i="20"/>
  <c r="V159" i="19"/>
  <c r="AI159" i="19" s="1"/>
  <c r="I159" i="19" s="1"/>
  <c r="I159" i="22" s="1"/>
  <c r="S159" i="22" s="1"/>
  <c r="BX159" i="19" s="1"/>
  <c r="BI159" i="19"/>
  <c r="AO160" i="18" s="1"/>
  <c r="Z160" i="18"/>
  <c r="AZ159" i="20"/>
  <c r="W159" i="19"/>
  <c r="AJ159" i="19" s="1"/>
  <c r="J159" i="19" s="1"/>
  <c r="BJ159" i="19"/>
  <c r="AK160" i="18"/>
  <c r="G159" i="18"/>
  <c r="BB161" i="19"/>
  <c r="B161" i="18"/>
  <c r="O161" i="19" s="1"/>
  <c r="AB161" i="19" s="1"/>
  <c r="B161" i="19" s="1"/>
  <c r="B161" i="22" s="1"/>
  <c r="L161" i="22" s="1"/>
  <c r="AL168" i="20"/>
  <c r="BV168" i="20"/>
  <c r="R161" i="18"/>
  <c r="BC160" i="19"/>
  <c r="P160" i="19"/>
  <c r="M159" i="22"/>
  <c r="BQ159" i="19"/>
  <c r="AH160" i="18" s="1"/>
  <c r="D160" i="18" s="1"/>
  <c r="E160" i="18"/>
  <c r="BR160" i="19"/>
  <c r="AF159" i="19"/>
  <c r="F159" i="19" s="1"/>
  <c r="F159" i="22" s="1"/>
  <c r="P159" i="22" s="1"/>
  <c r="BU159" i="19" s="1"/>
  <c r="BP160" i="19"/>
  <c r="AG161" i="18" s="1"/>
  <c r="AH159" i="19"/>
  <c r="H159" i="19" s="1"/>
  <c r="H159" i="22" s="1"/>
  <c r="R159" i="22" s="1"/>
  <c r="BW159" i="19" s="1"/>
  <c r="I160" i="18"/>
  <c r="AX160" i="20" s="1"/>
  <c r="AD159" i="19"/>
  <c r="D159" i="19" s="1"/>
  <c r="D159" i="22" s="1"/>
  <c r="N159" i="22" s="1"/>
  <c r="BS159" i="19" s="1"/>
  <c r="AJ160" i="18" s="1"/>
  <c r="AS160" i="18" l="1"/>
  <c r="BN159" i="19"/>
  <c r="P159" i="18"/>
  <c r="AE160" i="18" s="1"/>
  <c r="AB159" i="18"/>
  <c r="Y158" i="19"/>
  <c r="AL158" i="19" s="1"/>
  <c r="L158" i="19" s="1"/>
  <c r="J158" i="22" s="1"/>
  <c r="T158" i="22" s="1"/>
  <c r="BY158" i="19" s="1"/>
  <c r="AQ159" i="18" s="1"/>
  <c r="AC159" i="18"/>
  <c r="BB158" i="20"/>
  <c r="AP160" i="18"/>
  <c r="K160" i="18"/>
  <c r="AV159" i="20"/>
  <c r="BG159" i="19"/>
  <c r="AL160" i="18" s="1"/>
  <c r="T159" i="19"/>
  <c r="AG159" i="19" s="1"/>
  <c r="G159" i="19" s="1"/>
  <c r="G159" i="22" s="1"/>
  <c r="Q159" i="22" s="1"/>
  <c r="BV159" i="19" s="1"/>
  <c r="AN160" i="18" s="1"/>
  <c r="W160" i="18"/>
  <c r="V160" i="18"/>
  <c r="G160" i="18" s="1"/>
  <c r="BG160" i="19" s="1"/>
  <c r="F160" i="18"/>
  <c r="V161" i="18" s="1"/>
  <c r="BD160" i="19"/>
  <c r="AI161" i="18" s="1"/>
  <c r="Q162" i="18"/>
  <c r="AC168" i="20"/>
  <c r="AC160" i="19"/>
  <c r="C160" i="19" s="1"/>
  <c r="C160" i="22" s="1"/>
  <c r="T160" i="19"/>
  <c r="AV160" i="20"/>
  <c r="S161" i="18"/>
  <c r="Q160" i="19"/>
  <c r="T161" i="18"/>
  <c r="BE160" i="19"/>
  <c r="R160" i="19"/>
  <c r="AE160" i="19" s="1"/>
  <c r="E160" i="19" s="1"/>
  <c r="E160" i="22" s="1"/>
  <c r="O160" i="22" s="1"/>
  <c r="BT160" i="19" s="1"/>
  <c r="C161" i="18"/>
  <c r="BO161" i="19"/>
  <c r="AF162" i="18" s="1"/>
  <c r="P160" i="18" l="1"/>
  <c r="AT161" i="18"/>
  <c r="BN160" i="19"/>
  <c r="N159" i="18"/>
  <c r="BZ159" i="19"/>
  <c r="AR160" i="18" s="1"/>
  <c r="BL159" i="19"/>
  <c r="M159" i="18"/>
  <c r="AB160" i="18" s="1"/>
  <c r="L160" i="18"/>
  <c r="J160" i="18"/>
  <c r="AZ160" i="20"/>
  <c r="W160" i="19"/>
  <c r="BJ160" i="19"/>
  <c r="AA161" i="18"/>
  <c r="H160" i="18"/>
  <c r="U160" i="19" s="1"/>
  <c r="AH160" i="19" s="1"/>
  <c r="H160" i="19" s="1"/>
  <c r="H160" i="22" s="1"/>
  <c r="R160" i="22" s="1"/>
  <c r="BW160" i="19" s="1"/>
  <c r="U161" i="18"/>
  <c r="AW160" i="20"/>
  <c r="BF160" i="19"/>
  <c r="AK161" i="18" s="1"/>
  <c r="S160" i="19"/>
  <c r="AF160" i="19" s="1"/>
  <c r="F160" i="19" s="1"/>
  <c r="F160" i="22" s="1"/>
  <c r="P160" i="22" s="1"/>
  <c r="BU160" i="19" s="1"/>
  <c r="AL161" i="18" s="1"/>
  <c r="AU160" i="20"/>
  <c r="BB162" i="19"/>
  <c r="B162" i="18"/>
  <c r="O162" i="19" s="1"/>
  <c r="AB162" i="19" s="1"/>
  <c r="B162" i="19" s="1"/>
  <c r="B162" i="22" s="1"/>
  <c r="L162" i="22" s="1"/>
  <c r="CE168" i="20"/>
  <c r="K169" i="20"/>
  <c r="BP161" i="19"/>
  <c r="AG162" i="18" s="1"/>
  <c r="R162" i="18"/>
  <c r="BC161" i="19"/>
  <c r="P161" i="19"/>
  <c r="AD160" i="19"/>
  <c r="D160" i="19" s="1"/>
  <c r="D160" i="22" s="1"/>
  <c r="N160" i="22" s="1"/>
  <c r="BS160" i="19" s="1"/>
  <c r="AJ161" i="18" s="1"/>
  <c r="M160" i="22"/>
  <c r="BQ160" i="19"/>
  <c r="AH161" i="18" s="1"/>
  <c r="D161" i="18" s="1"/>
  <c r="BR161" i="19"/>
  <c r="E161" i="18"/>
  <c r="AG160" i="19"/>
  <c r="G160" i="19" s="1"/>
  <c r="G160" i="22" s="1"/>
  <c r="Q160" i="22" s="1"/>
  <c r="BV160" i="19" s="1"/>
  <c r="AN161" i="18" s="1"/>
  <c r="BB159" i="20" l="1"/>
  <c r="Y159" i="19"/>
  <c r="AL159" i="19" s="1"/>
  <c r="L159" i="19" s="1"/>
  <c r="J159" i="22" s="1"/>
  <c r="T159" i="22" s="1"/>
  <c r="BY159" i="19" s="1"/>
  <c r="AQ160" i="18" s="1"/>
  <c r="AC160" i="18"/>
  <c r="Z159" i="19"/>
  <c r="AM159" i="19" s="1"/>
  <c r="M159" i="19" s="1"/>
  <c r="BC159" i="20"/>
  <c r="BM159" i="19"/>
  <c r="AD160" i="18"/>
  <c r="BA160" i="20"/>
  <c r="X160" i="19"/>
  <c r="AK160" i="19" s="1"/>
  <c r="K160" i="19" s="1"/>
  <c r="BK160" i="19"/>
  <c r="BH160" i="19"/>
  <c r="AM161" i="18" s="1"/>
  <c r="AJ160" i="19"/>
  <c r="J160" i="19" s="1"/>
  <c r="AY160" i="20"/>
  <c r="V160" i="19"/>
  <c r="AI160" i="19" s="1"/>
  <c r="I160" i="19" s="1"/>
  <c r="I160" i="22" s="1"/>
  <c r="S160" i="22" s="1"/>
  <c r="BX160" i="19" s="1"/>
  <c r="AP161" i="18" s="1"/>
  <c r="BI160" i="19"/>
  <c r="AO161" i="18" s="1"/>
  <c r="Y161" i="18"/>
  <c r="Z161" i="18"/>
  <c r="X161" i="18"/>
  <c r="I161" i="18" s="1"/>
  <c r="AX161" i="20" s="1"/>
  <c r="W161" i="18"/>
  <c r="H161" i="18" s="1"/>
  <c r="G161" i="18"/>
  <c r="AV161" i="20" s="1"/>
  <c r="F161" i="18"/>
  <c r="AU161" i="20" s="1"/>
  <c r="BD161" i="19"/>
  <c r="AI162" i="18" s="1"/>
  <c r="Q163" i="18"/>
  <c r="AL169" i="20"/>
  <c r="BV169" i="20"/>
  <c r="C162" i="18"/>
  <c r="BO162" i="19"/>
  <c r="AF163" i="18" s="1"/>
  <c r="AW161" i="20"/>
  <c r="BH161" i="19"/>
  <c r="U161" i="19"/>
  <c r="BG161" i="19"/>
  <c r="X162" i="18"/>
  <c r="T162" i="18"/>
  <c r="BE161" i="19"/>
  <c r="R161" i="19"/>
  <c r="AE161" i="19" s="1"/>
  <c r="E161" i="19" s="1"/>
  <c r="E161" i="22" s="1"/>
  <c r="O161" i="22" s="1"/>
  <c r="BT161" i="19" s="1"/>
  <c r="AC161" i="19"/>
  <c r="C161" i="19" s="1"/>
  <c r="C161" i="22" s="1"/>
  <c r="S162" i="18"/>
  <c r="Q161" i="19"/>
  <c r="O160" i="18" l="1"/>
  <c r="AD161" i="18" s="1"/>
  <c r="BZ160" i="19"/>
  <c r="AR161" i="18" s="1"/>
  <c r="N160" i="18"/>
  <c r="BL160" i="19"/>
  <c r="M160" i="18"/>
  <c r="L161" i="18"/>
  <c r="K161" i="18"/>
  <c r="U162" i="18"/>
  <c r="J161" i="18"/>
  <c r="Z162" i="18" s="1"/>
  <c r="BA161" i="20"/>
  <c r="X161" i="19"/>
  <c r="AK161" i="19" s="1"/>
  <c r="K161" i="19" s="1"/>
  <c r="BK161" i="19"/>
  <c r="BF161" i="19"/>
  <c r="AK162" i="18" s="1"/>
  <c r="S161" i="19"/>
  <c r="AN162" i="18"/>
  <c r="AM162" i="18"/>
  <c r="T161" i="19"/>
  <c r="AG161" i="19" s="1"/>
  <c r="G161" i="19" s="1"/>
  <c r="G161" i="22" s="1"/>
  <c r="Q161" i="22" s="1"/>
  <c r="BV161" i="19" s="1"/>
  <c r="W162" i="18"/>
  <c r="V162" i="18"/>
  <c r="BB163" i="19"/>
  <c r="B163" i="18"/>
  <c r="O163" i="19" s="1"/>
  <c r="AB163" i="19" s="1"/>
  <c r="B163" i="19" s="1"/>
  <c r="B163" i="22" s="1"/>
  <c r="L163" i="22" s="1"/>
  <c r="AC169" i="20"/>
  <c r="AD161" i="19"/>
  <c r="D161" i="19" s="1"/>
  <c r="D161" i="22" s="1"/>
  <c r="N161" i="22" s="1"/>
  <c r="BS161" i="19" s="1"/>
  <c r="AJ162" i="18" s="1"/>
  <c r="BP162" i="19"/>
  <c r="AG163" i="18" s="1"/>
  <c r="M161" i="22"/>
  <c r="BQ161" i="19"/>
  <c r="AH162" i="18" s="1"/>
  <c r="E162" i="18"/>
  <c r="BR162" i="19"/>
  <c r="AF161" i="19"/>
  <c r="F161" i="19" s="1"/>
  <c r="F161" i="22" s="1"/>
  <c r="P161" i="22" s="1"/>
  <c r="BU161" i="19" s="1"/>
  <c r="AL162" i="18" s="1"/>
  <c r="I162" i="18"/>
  <c r="AX162" i="20" s="1"/>
  <c r="AH161" i="19"/>
  <c r="H161" i="19" s="1"/>
  <c r="H161" i="22" s="1"/>
  <c r="R161" i="22" s="1"/>
  <c r="BW161" i="19" s="1"/>
  <c r="R163" i="18"/>
  <c r="BC162" i="19"/>
  <c r="P162" i="19"/>
  <c r="AC161" i="18" l="1"/>
  <c r="Z160" i="19"/>
  <c r="AM160" i="19" s="1"/>
  <c r="M160" i="19" s="1"/>
  <c r="BM160" i="19"/>
  <c r="BC160" i="20"/>
  <c r="BB160" i="20"/>
  <c r="Y160" i="19"/>
  <c r="AL160" i="19" s="1"/>
  <c r="L160" i="19" s="1"/>
  <c r="J160" i="22" s="1"/>
  <c r="T160" i="22" s="1"/>
  <c r="BY160" i="19" s="1"/>
  <c r="AQ161" i="18" s="1"/>
  <c r="AB161" i="18"/>
  <c r="AA160" i="19"/>
  <c r="AN160" i="19" s="1"/>
  <c r="N160" i="19" s="1"/>
  <c r="K160" i="22" s="1"/>
  <c r="U160" i="22" s="1"/>
  <c r="CA160" i="19" s="1"/>
  <c r="AS161" i="18" s="1"/>
  <c r="AE161" i="18"/>
  <c r="AT162" i="18" s="1"/>
  <c r="AY161" i="20"/>
  <c r="V161" i="19"/>
  <c r="AI161" i="19" s="1"/>
  <c r="I161" i="19" s="1"/>
  <c r="I161" i="22" s="1"/>
  <c r="S161" i="22" s="1"/>
  <c r="BX161" i="19" s="1"/>
  <c r="BI161" i="19"/>
  <c r="AO162" i="18" s="1"/>
  <c r="G162" i="18"/>
  <c r="Y162" i="18"/>
  <c r="AZ161" i="20"/>
  <c r="W161" i="19"/>
  <c r="AJ161" i="19" s="1"/>
  <c r="J161" i="19" s="1"/>
  <c r="BJ161" i="19"/>
  <c r="AP162" i="18" s="1"/>
  <c r="AA162" i="18"/>
  <c r="H162" i="18"/>
  <c r="F162" i="18"/>
  <c r="U163" i="18" s="1"/>
  <c r="BD162" i="19"/>
  <c r="AI163" i="18" s="1"/>
  <c r="D162" i="18"/>
  <c r="T163" i="18" s="1"/>
  <c r="Q164" i="18"/>
  <c r="CE169" i="20"/>
  <c r="K170" i="20"/>
  <c r="BE162" i="19"/>
  <c r="R162" i="19"/>
  <c r="BO163" i="19"/>
  <c r="AF164" i="18" s="1"/>
  <c r="C163" i="18"/>
  <c r="AC162" i="19"/>
  <c r="C162" i="19" s="1"/>
  <c r="C162" i="22" s="1"/>
  <c r="X163" i="18"/>
  <c r="BN161" i="19" l="1"/>
  <c r="O161" i="18"/>
  <c r="AA161" i="19" s="1"/>
  <c r="AN161" i="19" s="1"/>
  <c r="N161" i="19" s="1"/>
  <c r="K161" i="22" s="1"/>
  <c r="U161" i="22" s="1"/>
  <c r="CA161" i="19" s="1"/>
  <c r="AS162" i="18" s="1"/>
  <c r="AR162" i="18"/>
  <c r="BL161" i="19"/>
  <c r="P161" i="18"/>
  <c r="N161" i="18"/>
  <c r="BZ161" i="19"/>
  <c r="M161" i="18"/>
  <c r="AB162" i="18" s="1"/>
  <c r="K162" i="18"/>
  <c r="L162" i="18"/>
  <c r="AA163" i="18"/>
  <c r="J162" i="18"/>
  <c r="Y163" i="18"/>
  <c r="Q162" i="19"/>
  <c r="AD162" i="19" s="1"/>
  <c r="D162" i="19" s="1"/>
  <c r="D162" i="22" s="1"/>
  <c r="N162" i="22" s="1"/>
  <c r="BS162" i="19" s="1"/>
  <c r="AJ163" i="18" s="1"/>
  <c r="AV162" i="20"/>
  <c r="T162" i="19"/>
  <c r="AG162" i="19" s="1"/>
  <c r="G162" i="19" s="1"/>
  <c r="G162" i="22" s="1"/>
  <c r="Q162" i="22" s="1"/>
  <c r="BV162" i="19" s="1"/>
  <c r="BG162" i="19"/>
  <c r="W163" i="18"/>
  <c r="AN163" i="18"/>
  <c r="AZ162" i="20"/>
  <c r="BJ162" i="19"/>
  <c r="W162" i="19"/>
  <c r="AJ162" i="19" s="1"/>
  <c r="J162" i="19" s="1"/>
  <c r="AW162" i="20"/>
  <c r="BH162" i="19"/>
  <c r="AM163" i="18" s="1"/>
  <c r="U162" i="19"/>
  <c r="AH162" i="19" s="1"/>
  <c r="H162" i="19" s="1"/>
  <c r="H162" i="22" s="1"/>
  <c r="R162" i="22" s="1"/>
  <c r="BW162" i="19" s="1"/>
  <c r="BF162" i="19"/>
  <c r="S162" i="19"/>
  <c r="AF162" i="19" s="1"/>
  <c r="F162" i="19" s="1"/>
  <c r="F162" i="22" s="1"/>
  <c r="P162" i="22" s="1"/>
  <c r="BU162" i="19" s="1"/>
  <c r="AL163" i="18" s="1"/>
  <c r="V163" i="18"/>
  <c r="AU162" i="20"/>
  <c r="S163" i="18"/>
  <c r="BP163" i="19" s="1"/>
  <c r="AG164" i="18" s="1"/>
  <c r="BB164" i="19"/>
  <c r="B164" i="18"/>
  <c r="O164" i="19" s="1"/>
  <c r="AB164" i="19" s="1"/>
  <c r="B164" i="19" s="1"/>
  <c r="B164" i="22" s="1"/>
  <c r="L164" i="22" s="1"/>
  <c r="BV170" i="20"/>
  <c r="AL170" i="20"/>
  <c r="R164" i="18"/>
  <c r="BC163" i="19"/>
  <c r="P163" i="19"/>
  <c r="E163" i="18"/>
  <c r="BR163" i="19"/>
  <c r="I163" i="18"/>
  <c r="AX163" i="20" s="1"/>
  <c r="AE162" i="19"/>
  <c r="E162" i="19" s="1"/>
  <c r="E162" i="22" s="1"/>
  <c r="O162" i="22" s="1"/>
  <c r="BT162" i="19" s="1"/>
  <c r="M162" i="22"/>
  <c r="BQ162" i="19"/>
  <c r="AH163" i="18" s="1"/>
  <c r="D163" i="18" s="1"/>
  <c r="BN162" i="19" l="1"/>
  <c r="AD162" i="18"/>
  <c r="AE162" i="18"/>
  <c r="AC162" i="18"/>
  <c r="Y161" i="19"/>
  <c r="AL161" i="19" s="1"/>
  <c r="L161" i="19" s="1"/>
  <c r="J161" i="22" s="1"/>
  <c r="T161" i="22" s="1"/>
  <c r="BY161" i="19" s="1"/>
  <c r="AQ162" i="18" s="1"/>
  <c r="BB161" i="20"/>
  <c r="BC161" i="20"/>
  <c r="Z161" i="19"/>
  <c r="AM161" i="19" s="1"/>
  <c r="M161" i="19" s="1"/>
  <c r="BM161" i="19"/>
  <c r="J163" i="18"/>
  <c r="Y164" i="18"/>
  <c r="AY162" i="20"/>
  <c r="V162" i="19"/>
  <c r="AI162" i="19" s="1"/>
  <c r="I162" i="19" s="1"/>
  <c r="I162" i="22" s="1"/>
  <c r="S162" i="22" s="1"/>
  <c r="BX162" i="19" s="1"/>
  <c r="AP163" i="18" s="1"/>
  <c r="BI162" i="19"/>
  <c r="AO163" i="18" s="1"/>
  <c r="Z163" i="18"/>
  <c r="BA162" i="20"/>
  <c r="X162" i="19"/>
  <c r="AK162" i="19" s="1"/>
  <c r="K162" i="19" s="1"/>
  <c r="BK162" i="19"/>
  <c r="H163" i="18"/>
  <c r="AK163" i="18"/>
  <c r="F163" i="18"/>
  <c r="U164" i="18" s="1"/>
  <c r="BD163" i="19"/>
  <c r="AI164" i="18" s="1"/>
  <c r="Q165" i="18"/>
  <c r="AC170" i="20"/>
  <c r="X164" i="18"/>
  <c r="T164" i="18"/>
  <c r="BE163" i="19"/>
  <c r="R163" i="19"/>
  <c r="AE163" i="19" s="1"/>
  <c r="E163" i="19" s="1"/>
  <c r="E163" i="22" s="1"/>
  <c r="O163" i="22" s="1"/>
  <c r="BT163" i="19" s="1"/>
  <c r="BO164" i="19"/>
  <c r="AF165" i="18" s="1"/>
  <c r="C164" i="18"/>
  <c r="AC163" i="19"/>
  <c r="C163" i="19" s="1"/>
  <c r="C163" i="22" s="1"/>
  <c r="S164" i="18"/>
  <c r="Q163" i="19"/>
  <c r="P162" i="18" l="1"/>
  <c r="AT163" i="18"/>
  <c r="AT164" i="18" s="1"/>
  <c r="AE163" i="18"/>
  <c r="O162" i="18"/>
  <c r="AA162" i="19" s="1"/>
  <c r="AN162" i="19" s="1"/>
  <c r="N162" i="19" s="1"/>
  <c r="K162" i="22" s="1"/>
  <c r="U162" i="22" s="1"/>
  <c r="CA162" i="19" s="1"/>
  <c r="AS163" i="18" s="1"/>
  <c r="AR163" i="18"/>
  <c r="BZ162" i="19"/>
  <c r="N162" i="18"/>
  <c r="AC163" i="18"/>
  <c r="BL162" i="19"/>
  <c r="M162" i="18"/>
  <c r="AD163" i="18"/>
  <c r="L163" i="18"/>
  <c r="K163" i="18"/>
  <c r="Z164" i="18" s="1"/>
  <c r="BA163" i="20"/>
  <c r="X163" i="19"/>
  <c r="AK163" i="19" s="1"/>
  <c r="K163" i="19" s="1"/>
  <c r="BK163" i="19"/>
  <c r="AY163" i="20"/>
  <c r="V163" i="19"/>
  <c r="AI163" i="19" s="1"/>
  <c r="I163" i="19" s="1"/>
  <c r="I163" i="22" s="1"/>
  <c r="S163" i="22" s="1"/>
  <c r="BX163" i="19" s="1"/>
  <c r="BI163" i="19"/>
  <c r="AO164" i="18" s="1"/>
  <c r="U163" i="19"/>
  <c r="AH163" i="19" s="1"/>
  <c r="H163" i="19" s="1"/>
  <c r="H163" i="22" s="1"/>
  <c r="R163" i="22" s="1"/>
  <c r="BW163" i="19" s="1"/>
  <c r="AW163" i="20"/>
  <c r="BH163" i="19"/>
  <c r="AM164" i="18" s="1"/>
  <c r="G163" i="18"/>
  <c r="V164" i="18" s="1"/>
  <c r="AU163" i="20"/>
  <c r="BF163" i="19"/>
  <c r="AK164" i="18" s="1"/>
  <c r="S163" i="19"/>
  <c r="AF163" i="19" s="1"/>
  <c r="F163" i="19" s="1"/>
  <c r="F163" i="22" s="1"/>
  <c r="P163" i="22" s="1"/>
  <c r="BU163" i="19" s="1"/>
  <c r="BB165" i="19"/>
  <c r="B165" i="18"/>
  <c r="O165" i="19" s="1"/>
  <c r="AB165" i="19" s="1"/>
  <c r="B165" i="19" s="1"/>
  <c r="B165" i="22" s="1"/>
  <c r="L165" i="22" s="1"/>
  <c r="CE170" i="20"/>
  <c r="K171" i="20"/>
  <c r="M163" i="22"/>
  <c r="BQ163" i="19"/>
  <c r="AH164" i="18" s="1"/>
  <c r="D164" i="18" s="1"/>
  <c r="AD163" i="19"/>
  <c r="D163" i="19" s="1"/>
  <c r="D163" i="22" s="1"/>
  <c r="N163" i="22" s="1"/>
  <c r="BS163" i="19" s="1"/>
  <c r="AJ164" i="18" s="1"/>
  <c r="R165" i="18"/>
  <c r="BC164" i="19"/>
  <c r="P164" i="19"/>
  <c r="BR164" i="19"/>
  <c r="E164" i="18"/>
  <c r="BP164" i="19"/>
  <c r="AG165" i="18" s="1"/>
  <c r="P163" i="18" l="1"/>
  <c r="BN163" i="19"/>
  <c r="O163" i="18"/>
  <c r="AA163" i="19" s="1"/>
  <c r="AN163" i="19" s="1"/>
  <c r="N163" i="19" s="1"/>
  <c r="K163" i="22" s="1"/>
  <c r="U163" i="22" s="1"/>
  <c r="CA163" i="19" s="1"/>
  <c r="AS164" i="18" s="1"/>
  <c r="AR164" i="18"/>
  <c r="BZ163" i="19"/>
  <c r="N163" i="18"/>
  <c r="BB162" i="20"/>
  <c r="Y162" i="19"/>
  <c r="AL162" i="19" s="1"/>
  <c r="L162" i="19" s="1"/>
  <c r="J162" i="22" s="1"/>
  <c r="T162" i="22" s="1"/>
  <c r="BY162" i="19" s="1"/>
  <c r="AQ163" i="18" s="1"/>
  <c r="AB163" i="18"/>
  <c r="BC162" i="20"/>
  <c r="Z162" i="19"/>
  <c r="AM162" i="19" s="1"/>
  <c r="M162" i="19" s="1"/>
  <c r="BM162" i="19"/>
  <c r="AE164" i="18"/>
  <c r="P164" i="18" s="1"/>
  <c r="K164" i="18"/>
  <c r="AZ163" i="20"/>
  <c r="W163" i="19"/>
  <c r="AJ163" i="19" s="1"/>
  <c r="J163" i="19" s="1"/>
  <c r="BJ163" i="19"/>
  <c r="AP164" i="18" s="1"/>
  <c r="AA164" i="18"/>
  <c r="I164" i="18"/>
  <c r="AX164" i="20" s="1"/>
  <c r="G164" i="18"/>
  <c r="BG163" i="19"/>
  <c r="AL164" i="18" s="1"/>
  <c r="W164" i="18"/>
  <c r="T163" i="19"/>
  <c r="AG163" i="19" s="1"/>
  <c r="G163" i="19" s="1"/>
  <c r="G163" i="22" s="1"/>
  <c r="Q163" i="22" s="1"/>
  <c r="BV163" i="19" s="1"/>
  <c r="AN164" i="18" s="1"/>
  <c r="AV163" i="20"/>
  <c r="F164" i="18"/>
  <c r="BD164" i="19"/>
  <c r="AI165" i="18" s="1"/>
  <c r="Q166" i="18"/>
  <c r="BV171" i="20"/>
  <c r="AL171" i="20"/>
  <c r="T165" i="18"/>
  <c r="BE164" i="19"/>
  <c r="R164" i="19"/>
  <c r="AE164" i="19" s="1"/>
  <c r="E164" i="19" s="1"/>
  <c r="E164" i="22" s="1"/>
  <c r="O164" i="22" s="1"/>
  <c r="BT164" i="19" s="1"/>
  <c r="C165" i="18"/>
  <c r="BO165" i="19"/>
  <c r="AF166" i="18" s="1"/>
  <c r="S165" i="18"/>
  <c r="Q164" i="19"/>
  <c r="U165" i="18"/>
  <c r="AU164" i="20"/>
  <c r="S164" i="19"/>
  <c r="AC164" i="19"/>
  <c r="C164" i="19" s="1"/>
  <c r="C164" i="22" s="1"/>
  <c r="AT165" i="18" l="1"/>
  <c r="BN164" i="19"/>
  <c r="BL163" i="19"/>
  <c r="BM163" i="19"/>
  <c r="AD164" i="18"/>
  <c r="O164" i="18" s="1"/>
  <c r="BC163" i="20"/>
  <c r="Z163" i="19"/>
  <c r="AM163" i="19" s="1"/>
  <c r="M163" i="19" s="1"/>
  <c r="M163" i="18"/>
  <c r="J164" i="18"/>
  <c r="L164" i="18"/>
  <c r="AA165" i="18" s="1"/>
  <c r="V165" i="18"/>
  <c r="AZ164" i="20"/>
  <c r="W164" i="19"/>
  <c r="AJ164" i="19" s="1"/>
  <c r="J164" i="19" s="1"/>
  <c r="BJ164" i="19"/>
  <c r="BF164" i="19"/>
  <c r="AK165" i="18" s="1"/>
  <c r="G165" i="18" s="1"/>
  <c r="H164" i="18"/>
  <c r="W165" i="18" s="1"/>
  <c r="T164" i="19"/>
  <c r="AG164" i="19" s="1"/>
  <c r="G164" i="19" s="1"/>
  <c r="G164" i="22" s="1"/>
  <c r="Q164" i="22" s="1"/>
  <c r="BV164" i="19" s="1"/>
  <c r="AN165" i="18" s="1"/>
  <c r="BG164" i="19"/>
  <c r="AV164" i="20"/>
  <c r="BB166" i="19"/>
  <c r="B166" i="18"/>
  <c r="O166" i="19" s="1"/>
  <c r="AB166" i="19" s="1"/>
  <c r="B166" i="19" s="1"/>
  <c r="B166" i="22" s="1"/>
  <c r="L166" i="22" s="1"/>
  <c r="AC171" i="20"/>
  <c r="M164" i="22"/>
  <c r="BQ164" i="19"/>
  <c r="AH165" i="18" s="1"/>
  <c r="D165" i="18" s="1"/>
  <c r="BP165" i="19"/>
  <c r="AG166" i="18" s="1"/>
  <c r="AF164" i="19"/>
  <c r="F164" i="19" s="1"/>
  <c r="F164" i="22" s="1"/>
  <c r="P164" i="22" s="1"/>
  <c r="BU164" i="19" s="1"/>
  <c r="R166" i="18"/>
  <c r="BC165" i="19"/>
  <c r="P165" i="19"/>
  <c r="AD164" i="19"/>
  <c r="D164" i="19" s="1"/>
  <c r="D164" i="22" s="1"/>
  <c r="N164" i="22" s="1"/>
  <c r="BS164" i="19" s="1"/>
  <c r="AJ165" i="18" s="1"/>
  <c r="E165" i="18"/>
  <c r="BR165" i="19"/>
  <c r="AE165" i="18" l="1"/>
  <c r="P165" i="18" s="1"/>
  <c r="AA164" i="19"/>
  <c r="AN164" i="19" s="1"/>
  <c r="N164" i="19" s="1"/>
  <c r="K164" i="22" s="1"/>
  <c r="U164" i="22" s="1"/>
  <c r="CA164" i="19" s="1"/>
  <c r="AS165" i="18" s="1"/>
  <c r="AB164" i="18"/>
  <c r="AC164" i="18"/>
  <c r="Y163" i="19"/>
  <c r="BB163" i="20"/>
  <c r="AP165" i="18"/>
  <c r="L165" i="18"/>
  <c r="BA164" i="20"/>
  <c r="X164" i="19"/>
  <c r="AK164" i="19" s="1"/>
  <c r="K164" i="19" s="1"/>
  <c r="BK164" i="19"/>
  <c r="AY164" i="20"/>
  <c r="V164" i="19"/>
  <c r="AI164" i="19" s="1"/>
  <c r="I164" i="19" s="1"/>
  <c r="I164" i="22" s="1"/>
  <c r="S164" i="22" s="1"/>
  <c r="BX164" i="19" s="1"/>
  <c r="BI164" i="19"/>
  <c r="Y165" i="18"/>
  <c r="Z165" i="18"/>
  <c r="AL165" i="18"/>
  <c r="H165" i="18" s="1"/>
  <c r="AV165" i="20"/>
  <c r="BG165" i="19"/>
  <c r="T165" i="19"/>
  <c r="AW164" i="20"/>
  <c r="BH164" i="19"/>
  <c r="AM165" i="18" s="1"/>
  <c r="U164" i="19"/>
  <c r="AH164" i="19" s="1"/>
  <c r="H164" i="19" s="1"/>
  <c r="H164" i="22" s="1"/>
  <c r="R164" i="22" s="1"/>
  <c r="BW164" i="19" s="1"/>
  <c r="X165" i="18"/>
  <c r="F165" i="18"/>
  <c r="V166" i="18" s="1"/>
  <c r="BD165" i="19"/>
  <c r="AI166" i="18" s="1"/>
  <c r="Q167" i="18"/>
  <c r="CE171" i="20"/>
  <c r="K172" i="20"/>
  <c r="T166" i="18"/>
  <c r="BE165" i="19"/>
  <c r="R165" i="19"/>
  <c r="AE165" i="19" s="1"/>
  <c r="E165" i="19" s="1"/>
  <c r="E165" i="22" s="1"/>
  <c r="O165" i="22" s="1"/>
  <c r="BT165" i="19" s="1"/>
  <c r="AC165" i="19"/>
  <c r="C165" i="19" s="1"/>
  <c r="C165" i="22" s="1"/>
  <c r="AG165" i="19"/>
  <c r="G165" i="19" s="1"/>
  <c r="G165" i="22" s="1"/>
  <c r="Q165" i="22" s="1"/>
  <c r="BV165" i="19" s="1"/>
  <c r="BF165" i="19"/>
  <c r="AK166" i="18" s="1"/>
  <c r="S165" i="19"/>
  <c r="C166" i="18"/>
  <c r="BO166" i="19"/>
  <c r="AF167" i="18" s="1"/>
  <c r="S166" i="18"/>
  <c r="Q165" i="19"/>
  <c r="AT166" i="18" l="1"/>
  <c r="BN165" i="19"/>
  <c r="BZ164" i="19"/>
  <c r="AR165" i="18" s="1"/>
  <c r="N164" i="18"/>
  <c r="AL163" i="19"/>
  <c r="L163" i="19" s="1"/>
  <c r="J163" i="22" s="1"/>
  <c r="T163" i="22" s="1"/>
  <c r="BY163" i="19" s="1"/>
  <c r="AQ164" i="18" s="1"/>
  <c r="AO165" i="18"/>
  <c r="K165" i="18" s="1"/>
  <c r="J165" i="18"/>
  <c r="Y166" i="18"/>
  <c r="BA165" i="20"/>
  <c r="X165" i="19"/>
  <c r="AK165" i="19" s="1"/>
  <c r="K165" i="19" s="1"/>
  <c r="BK165" i="19"/>
  <c r="AN166" i="18"/>
  <c r="U165" i="19"/>
  <c r="AH165" i="19" s="1"/>
  <c r="H165" i="19" s="1"/>
  <c r="H165" i="22" s="1"/>
  <c r="R165" i="22" s="1"/>
  <c r="BW165" i="19" s="1"/>
  <c r="AW165" i="20"/>
  <c r="W166" i="18"/>
  <c r="BH165" i="19"/>
  <c r="AM166" i="18" s="1"/>
  <c r="AU165" i="20"/>
  <c r="I165" i="18"/>
  <c r="AX165" i="20" s="1"/>
  <c r="U166" i="18"/>
  <c r="G166" i="18"/>
  <c r="B167" i="18"/>
  <c r="O167" i="19" s="1"/>
  <c r="AB167" i="19" s="1"/>
  <c r="B167" i="19" s="1"/>
  <c r="B167" i="22" s="1"/>
  <c r="L167" i="22" s="1"/>
  <c r="BB167" i="19"/>
  <c r="AL172" i="20"/>
  <c r="BV172" i="20"/>
  <c r="AD165" i="19"/>
  <c r="D165" i="19" s="1"/>
  <c r="D165" i="22" s="1"/>
  <c r="N165" i="22" s="1"/>
  <c r="BS165" i="19" s="1"/>
  <c r="AJ166" i="18" s="1"/>
  <c r="AF165" i="19"/>
  <c r="F165" i="19" s="1"/>
  <c r="F165" i="22" s="1"/>
  <c r="P165" i="22" s="1"/>
  <c r="BU165" i="19" s="1"/>
  <c r="AL166" i="18" s="1"/>
  <c r="M165" i="22"/>
  <c r="BQ165" i="19"/>
  <c r="AH166" i="18" s="1"/>
  <c r="D166" i="18" s="1"/>
  <c r="BR166" i="19"/>
  <c r="E166" i="18"/>
  <c r="BP166" i="19"/>
  <c r="AG167" i="18" s="1"/>
  <c r="R167" i="18"/>
  <c r="BC166" i="19"/>
  <c r="P166" i="19"/>
  <c r="AV166" i="20"/>
  <c r="BG166" i="19"/>
  <c r="T166" i="19"/>
  <c r="BL164" i="19" l="1"/>
  <c r="M164" i="18"/>
  <c r="Z164" i="19"/>
  <c r="AM164" i="19" s="1"/>
  <c r="M164" i="19" s="1"/>
  <c r="BM164" i="19"/>
  <c r="AD165" i="18"/>
  <c r="AC165" i="18"/>
  <c r="BC164" i="20"/>
  <c r="BJ165" i="19"/>
  <c r="AA166" i="18"/>
  <c r="AZ165" i="20"/>
  <c r="W165" i="19"/>
  <c r="AJ165" i="19" s="1"/>
  <c r="J165" i="19" s="1"/>
  <c r="J166" i="18"/>
  <c r="Y167" i="18"/>
  <c r="X166" i="18"/>
  <c r="AY165" i="20"/>
  <c r="V165" i="19"/>
  <c r="AI165" i="19" s="1"/>
  <c r="I165" i="19" s="1"/>
  <c r="I165" i="22" s="1"/>
  <c r="S165" i="22" s="1"/>
  <c r="BX165" i="19" s="1"/>
  <c r="BI165" i="19"/>
  <c r="AO166" i="18" s="1"/>
  <c r="Z166" i="18"/>
  <c r="I166" i="18"/>
  <c r="AX166" i="20" s="1"/>
  <c r="H166" i="18"/>
  <c r="W167" i="18" s="1"/>
  <c r="F166" i="18"/>
  <c r="U167" i="18" s="1"/>
  <c r="BD166" i="19"/>
  <c r="AI167" i="18" s="1"/>
  <c r="Q168" i="18"/>
  <c r="AC172" i="20"/>
  <c r="BO167" i="19"/>
  <c r="AF168" i="18" s="1"/>
  <c r="C167" i="18"/>
  <c r="R168" i="18" s="1"/>
  <c r="AG166" i="19"/>
  <c r="G166" i="19" s="1"/>
  <c r="G166" i="22" s="1"/>
  <c r="Q166" i="22" s="1"/>
  <c r="BV166" i="19" s="1"/>
  <c r="AN167" i="18" s="1"/>
  <c r="AU166" i="20"/>
  <c r="BF166" i="19"/>
  <c r="S166" i="19"/>
  <c r="V167" i="18"/>
  <c r="T167" i="18"/>
  <c r="BE166" i="19"/>
  <c r="R166" i="19"/>
  <c r="AC166" i="19"/>
  <c r="C166" i="19" s="1"/>
  <c r="C166" i="22" s="1"/>
  <c r="S167" i="18"/>
  <c r="Q166" i="19"/>
  <c r="O165" i="18" l="1"/>
  <c r="AS166" i="18"/>
  <c r="BZ165" i="19"/>
  <c r="AR166" i="18" s="1"/>
  <c r="N165" i="18"/>
  <c r="BB164" i="20"/>
  <c r="Y164" i="19"/>
  <c r="AL164" i="19" s="1"/>
  <c r="L164" i="19" s="1"/>
  <c r="J164" i="22" s="1"/>
  <c r="T164" i="22" s="1"/>
  <c r="BY164" i="19" s="1"/>
  <c r="AQ165" i="18" s="1"/>
  <c r="AB165" i="18"/>
  <c r="AE166" i="18"/>
  <c r="AA165" i="19"/>
  <c r="AN165" i="19" s="1"/>
  <c r="N165" i="19" s="1"/>
  <c r="K165" i="22" s="1"/>
  <c r="U165" i="22" s="1"/>
  <c r="CA165" i="19" s="1"/>
  <c r="AP166" i="18"/>
  <c r="L166" i="18" s="1"/>
  <c r="K166" i="18"/>
  <c r="Z167" i="18"/>
  <c r="J167" i="18"/>
  <c r="AY166" i="20"/>
  <c r="V166" i="19"/>
  <c r="AI166" i="19" s="1"/>
  <c r="I166" i="19" s="1"/>
  <c r="I166" i="22" s="1"/>
  <c r="S166" i="22" s="1"/>
  <c r="BX166" i="19" s="1"/>
  <c r="BI166" i="19"/>
  <c r="AO167" i="18" s="1"/>
  <c r="X167" i="18"/>
  <c r="U166" i="19"/>
  <c r="AH166" i="19" s="1"/>
  <c r="H166" i="19" s="1"/>
  <c r="H166" i="22" s="1"/>
  <c r="R166" i="22" s="1"/>
  <c r="BW166" i="19" s="1"/>
  <c r="AW166" i="20"/>
  <c r="BH166" i="19"/>
  <c r="AM167" i="18" s="1"/>
  <c r="BB168" i="19"/>
  <c r="B168" i="18"/>
  <c r="O168" i="19" s="1"/>
  <c r="AB168" i="19" s="1"/>
  <c r="B168" i="19" s="1"/>
  <c r="B168" i="22" s="1"/>
  <c r="L168" i="22" s="1"/>
  <c r="BO168" i="19" s="1"/>
  <c r="AF169" i="18" s="1"/>
  <c r="CE172" i="20"/>
  <c r="K173" i="20"/>
  <c r="BR167" i="19"/>
  <c r="E167" i="18"/>
  <c r="AD166" i="19"/>
  <c r="D166" i="19" s="1"/>
  <c r="D166" i="22" s="1"/>
  <c r="N166" i="22" s="1"/>
  <c r="BS166" i="19" s="1"/>
  <c r="AJ167" i="18" s="1"/>
  <c r="AE166" i="19"/>
  <c r="E166" i="19" s="1"/>
  <c r="E166" i="22" s="1"/>
  <c r="O166" i="22" s="1"/>
  <c r="BT166" i="19" s="1"/>
  <c r="AK167" i="18" s="1"/>
  <c r="M166" i="22"/>
  <c r="BQ166" i="19"/>
  <c r="AH167" i="18" s="1"/>
  <c r="AF166" i="19"/>
  <c r="F166" i="19" s="1"/>
  <c r="F166" i="22" s="1"/>
  <c r="P166" i="22" s="1"/>
  <c r="BU166" i="19" s="1"/>
  <c r="AL167" i="18" s="1"/>
  <c r="BP167" i="19"/>
  <c r="AG168" i="18" s="1"/>
  <c r="C168" i="18" s="1"/>
  <c r="BC167" i="19"/>
  <c r="P167" i="19"/>
  <c r="P166" i="18" l="1"/>
  <c r="AT167" i="18"/>
  <c r="BN166" i="19"/>
  <c r="BL165" i="19"/>
  <c r="BM165" i="19"/>
  <c r="BC165" i="20"/>
  <c r="AD166" i="18"/>
  <c r="Z165" i="19"/>
  <c r="AM165" i="19" s="1"/>
  <c r="M165" i="19" s="1"/>
  <c r="M165" i="18"/>
  <c r="AB166" i="18"/>
  <c r="X166" i="19"/>
  <c r="AK166" i="19" s="1"/>
  <c r="K166" i="19" s="1"/>
  <c r="BA166" i="20"/>
  <c r="BK166" i="19"/>
  <c r="AY167" i="20"/>
  <c r="V167" i="19"/>
  <c r="AI167" i="19" s="1"/>
  <c r="I167" i="19" s="1"/>
  <c r="I167" i="22" s="1"/>
  <c r="S167" i="22" s="1"/>
  <c r="BI167" i="19"/>
  <c r="K167" i="18"/>
  <c r="Y168" i="18"/>
  <c r="AZ166" i="20"/>
  <c r="W166" i="19"/>
  <c r="AJ166" i="19" s="1"/>
  <c r="J166" i="19" s="1"/>
  <c r="BJ166" i="19"/>
  <c r="AP167" i="18" s="1"/>
  <c r="AA167" i="18"/>
  <c r="I167" i="18"/>
  <c r="AX167" i="20" s="1"/>
  <c r="H167" i="18"/>
  <c r="G167" i="18"/>
  <c r="BG167" i="19" s="1"/>
  <c r="F167" i="18"/>
  <c r="U168" i="18" s="1"/>
  <c r="BD167" i="19"/>
  <c r="AI168" i="18" s="1"/>
  <c r="D167" i="18"/>
  <c r="Q167" i="19" s="1"/>
  <c r="BB169" i="19"/>
  <c r="Q169" i="18"/>
  <c r="AL173" i="20"/>
  <c r="BV173" i="20"/>
  <c r="AV167" i="20"/>
  <c r="T167" i="19"/>
  <c r="R169" i="18"/>
  <c r="BC168" i="19"/>
  <c r="P168" i="19"/>
  <c r="BE167" i="19"/>
  <c r="R167" i="19"/>
  <c r="AE167" i="19" s="1"/>
  <c r="E167" i="19" s="1"/>
  <c r="E167" i="22" s="1"/>
  <c r="O167" i="22" s="1"/>
  <c r="BT167" i="19" s="1"/>
  <c r="AC167" i="19"/>
  <c r="C167" i="19" s="1"/>
  <c r="C167" i="22" s="1"/>
  <c r="BB165" i="20" l="1"/>
  <c r="Y165" i="19"/>
  <c r="AL165" i="19" s="1"/>
  <c r="L165" i="19" s="1"/>
  <c r="J165" i="22" s="1"/>
  <c r="T165" i="22" s="1"/>
  <c r="BY165" i="19" s="1"/>
  <c r="AQ166" i="18" s="1"/>
  <c r="AC166" i="18"/>
  <c r="O166" i="18"/>
  <c r="L167" i="18"/>
  <c r="V168" i="18"/>
  <c r="AA168" i="18"/>
  <c r="BA167" i="20"/>
  <c r="X167" i="19"/>
  <c r="AK167" i="19" s="1"/>
  <c r="K167" i="19" s="1"/>
  <c r="BK167" i="19"/>
  <c r="AZ167" i="20"/>
  <c r="W167" i="19"/>
  <c r="AJ167" i="19" s="1"/>
  <c r="J167" i="19" s="1"/>
  <c r="BJ167" i="19"/>
  <c r="AP168" i="18" s="1"/>
  <c r="BX167" i="19"/>
  <c r="Z168" i="18"/>
  <c r="W168" i="18"/>
  <c r="S168" i="18"/>
  <c r="T168" i="18"/>
  <c r="BR168" i="19" s="1"/>
  <c r="BH167" i="19"/>
  <c r="AM168" i="18" s="1"/>
  <c r="AW167" i="20"/>
  <c r="U167" i="19"/>
  <c r="AH167" i="19" s="1"/>
  <c r="H167" i="19" s="1"/>
  <c r="H167" i="22" s="1"/>
  <c r="R167" i="22" s="1"/>
  <c r="BW167" i="19" s="1"/>
  <c r="AO168" i="18" s="1"/>
  <c r="X168" i="18"/>
  <c r="BF167" i="19"/>
  <c r="AK168" i="18" s="1"/>
  <c r="G168" i="18" s="1"/>
  <c r="AU167" i="20"/>
  <c r="S167" i="19"/>
  <c r="AF167" i="19" s="1"/>
  <c r="F167" i="19" s="1"/>
  <c r="F167" i="22" s="1"/>
  <c r="P167" i="22" s="1"/>
  <c r="BU167" i="19" s="1"/>
  <c r="AL168" i="18" s="1"/>
  <c r="B169" i="18"/>
  <c r="O169" i="19" s="1"/>
  <c r="AB169" i="19" s="1"/>
  <c r="B169" i="19" s="1"/>
  <c r="B169" i="22" s="1"/>
  <c r="L169" i="22" s="1"/>
  <c r="BO169" i="19" s="1"/>
  <c r="AF170" i="18" s="1"/>
  <c r="E168" i="18"/>
  <c r="BE168" i="19" s="1"/>
  <c r="AC173" i="20"/>
  <c r="AG167" i="19"/>
  <c r="G167" i="19" s="1"/>
  <c r="G167" i="22" s="1"/>
  <c r="Q167" i="22" s="1"/>
  <c r="BV167" i="19" s="1"/>
  <c r="AN168" i="18" s="1"/>
  <c r="J168" i="18" s="1"/>
  <c r="AD167" i="19"/>
  <c r="D167" i="19" s="1"/>
  <c r="D167" i="22" s="1"/>
  <c r="N167" i="22" s="1"/>
  <c r="BS167" i="19" s="1"/>
  <c r="AJ168" i="18" s="1"/>
  <c r="M167" i="22"/>
  <c r="BQ167" i="19"/>
  <c r="AH168" i="18" s="1"/>
  <c r="D168" i="18" s="1"/>
  <c r="AC168" i="19"/>
  <c r="C168" i="19" s="1"/>
  <c r="C168" i="22" s="1"/>
  <c r="BP168" i="19"/>
  <c r="AG169" i="18" s="1"/>
  <c r="C169" i="18" s="1"/>
  <c r="BZ166" i="19" l="1"/>
  <c r="AR167" i="18" s="1"/>
  <c r="N166" i="18"/>
  <c r="BL166" i="19"/>
  <c r="M166" i="18"/>
  <c r="AE167" i="18"/>
  <c r="AT168" i="18" s="1"/>
  <c r="AA166" i="19"/>
  <c r="AN166" i="19" s="1"/>
  <c r="N166" i="19" s="1"/>
  <c r="K166" i="22" s="1"/>
  <c r="U166" i="22" s="1"/>
  <c r="CA166" i="19" s="1"/>
  <c r="AS167" i="18" s="1"/>
  <c r="K168" i="18"/>
  <c r="AY168" i="20"/>
  <c r="V168" i="19"/>
  <c r="AI168" i="19" s="1"/>
  <c r="I168" i="19" s="1"/>
  <c r="I168" i="22" s="1"/>
  <c r="S168" i="22" s="1"/>
  <c r="BX168" i="19" s="1"/>
  <c r="BI168" i="19"/>
  <c r="Y169" i="18"/>
  <c r="L168" i="18"/>
  <c r="AA169" i="18" s="1"/>
  <c r="Z169" i="18"/>
  <c r="AZ168" i="20"/>
  <c r="W168" i="19"/>
  <c r="AJ168" i="19" s="1"/>
  <c r="J168" i="19" s="1"/>
  <c r="BJ168" i="19"/>
  <c r="AP169" i="18" s="1"/>
  <c r="I168" i="18"/>
  <c r="AX168" i="20" s="1"/>
  <c r="H168" i="18"/>
  <c r="W169" i="18" s="1"/>
  <c r="R168" i="19"/>
  <c r="AE168" i="19" s="1"/>
  <c r="E168" i="19" s="1"/>
  <c r="E168" i="22" s="1"/>
  <c r="O168" i="22" s="1"/>
  <c r="BT168" i="19" s="1"/>
  <c r="F168" i="18"/>
  <c r="U169" i="18" s="1"/>
  <c r="BD168" i="19"/>
  <c r="AI169" i="18" s="1"/>
  <c r="Q170" i="18"/>
  <c r="B170" i="18" s="1"/>
  <c r="O170" i="19" s="1"/>
  <c r="AB170" i="19" s="1"/>
  <c r="B170" i="19" s="1"/>
  <c r="B170" i="22" s="1"/>
  <c r="L170" i="22" s="1"/>
  <c r="BB170" i="19"/>
  <c r="CE173" i="20"/>
  <c r="K174" i="20"/>
  <c r="M168" i="22"/>
  <c r="BQ168" i="19"/>
  <c r="AH169" i="18" s="1"/>
  <c r="R170" i="18"/>
  <c r="BC169" i="19"/>
  <c r="P169" i="19"/>
  <c r="S169" i="18"/>
  <c r="Q168" i="19"/>
  <c r="AW168" i="20"/>
  <c r="BH168" i="19"/>
  <c r="AM169" i="18" s="1"/>
  <c r="U168" i="19"/>
  <c r="X169" i="18"/>
  <c r="T169" i="18"/>
  <c r="AV168" i="20"/>
  <c r="BG168" i="19"/>
  <c r="T168" i="19"/>
  <c r="BN167" i="19" l="1"/>
  <c r="P167" i="18"/>
  <c r="AC167" i="18"/>
  <c r="BC166" i="20"/>
  <c r="Z166" i="19"/>
  <c r="AM166" i="19" s="1"/>
  <c r="M166" i="19" s="1"/>
  <c r="BM166" i="19"/>
  <c r="AD167" i="18"/>
  <c r="O167" i="18" s="1"/>
  <c r="BB166" i="20"/>
  <c r="Y166" i="19"/>
  <c r="AL166" i="19" s="1"/>
  <c r="L166" i="19" s="1"/>
  <c r="J166" i="22" s="1"/>
  <c r="T166" i="22" s="1"/>
  <c r="BY166" i="19" s="1"/>
  <c r="AQ167" i="18" s="1"/>
  <c r="AB167" i="18"/>
  <c r="L169" i="18"/>
  <c r="J169" i="18"/>
  <c r="BF168" i="19"/>
  <c r="BA168" i="20"/>
  <c r="BK168" i="19"/>
  <c r="X168" i="19"/>
  <c r="AK168" i="19" s="1"/>
  <c r="K168" i="19" s="1"/>
  <c r="V169" i="18"/>
  <c r="S168" i="19"/>
  <c r="AF168" i="19" s="1"/>
  <c r="F168" i="19" s="1"/>
  <c r="F168" i="22" s="1"/>
  <c r="P168" i="22" s="1"/>
  <c r="BU168" i="19" s="1"/>
  <c r="AL169" i="18" s="1"/>
  <c r="AU168" i="20"/>
  <c r="AK169" i="18"/>
  <c r="BD169" i="19"/>
  <c r="Q171" i="18"/>
  <c r="AL174" i="20"/>
  <c r="BV174" i="20"/>
  <c r="AH168" i="19"/>
  <c r="H168" i="19" s="1"/>
  <c r="H168" i="22" s="1"/>
  <c r="R168" i="22" s="1"/>
  <c r="BW168" i="19" s="1"/>
  <c r="AO169" i="18" s="1"/>
  <c r="D169" i="18"/>
  <c r="BP169" i="19"/>
  <c r="AG170" i="18" s="1"/>
  <c r="AC169" i="19"/>
  <c r="C169" i="19" s="1"/>
  <c r="C169" i="22" s="1"/>
  <c r="M169" i="22" s="1"/>
  <c r="E169" i="18"/>
  <c r="BR169" i="19"/>
  <c r="AG168" i="19"/>
  <c r="G168" i="19" s="1"/>
  <c r="G168" i="22" s="1"/>
  <c r="Q168" i="22" s="1"/>
  <c r="BV168" i="19" s="1"/>
  <c r="AN169" i="18" s="1"/>
  <c r="I169" i="18"/>
  <c r="AX169" i="20" s="1"/>
  <c r="AD168" i="19"/>
  <c r="D168" i="19" s="1"/>
  <c r="D168" i="22" s="1"/>
  <c r="N168" i="22" s="1"/>
  <c r="BS168" i="19" s="1"/>
  <c r="AJ169" i="18" s="1"/>
  <c r="BO170" i="19"/>
  <c r="AF171" i="18" s="1"/>
  <c r="AE168" i="18" l="1"/>
  <c r="AT169" i="18" s="1"/>
  <c r="AA167" i="19"/>
  <c r="AN167" i="19" s="1"/>
  <c r="N167" i="19" s="1"/>
  <c r="K167" i="22" s="1"/>
  <c r="U167" i="22" s="1"/>
  <c r="CA167" i="19" s="1"/>
  <c r="AS168" i="18" s="1"/>
  <c r="BZ167" i="19"/>
  <c r="AR168" i="18" s="1"/>
  <c r="N167" i="18"/>
  <c r="AD168" i="18" s="1"/>
  <c r="M167" i="18"/>
  <c r="BL167" i="19"/>
  <c r="K169" i="18"/>
  <c r="AY169" i="20"/>
  <c r="V169" i="19"/>
  <c r="AI169" i="19" s="1"/>
  <c r="I169" i="19" s="1"/>
  <c r="I169" i="22" s="1"/>
  <c r="S169" i="22" s="1"/>
  <c r="BX169" i="19" s="1"/>
  <c r="BI169" i="19"/>
  <c r="AZ169" i="20"/>
  <c r="W169" i="19"/>
  <c r="AJ169" i="19" s="1"/>
  <c r="J169" i="19" s="1"/>
  <c r="BJ169" i="19"/>
  <c r="AP170" i="18" s="1"/>
  <c r="G169" i="18"/>
  <c r="BG169" i="19" s="1"/>
  <c r="BA169" i="20"/>
  <c r="BK169" i="19"/>
  <c r="X169" i="19"/>
  <c r="AK169" i="19" s="1"/>
  <c r="K169" i="19" s="1"/>
  <c r="AA170" i="18"/>
  <c r="Y170" i="18"/>
  <c r="Z170" i="18"/>
  <c r="H169" i="18"/>
  <c r="W170" i="18" s="1"/>
  <c r="F169" i="18"/>
  <c r="AI170" i="18"/>
  <c r="C170" i="18"/>
  <c r="BC170" i="19" s="1"/>
  <c r="B171" i="18"/>
  <c r="O171" i="19" s="1"/>
  <c r="AB171" i="19" s="1"/>
  <c r="B171" i="19" s="1"/>
  <c r="B171" i="22" s="1"/>
  <c r="L171" i="22" s="1"/>
  <c r="BB171" i="19"/>
  <c r="AC174" i="20"/>
  <c r="BQ169" i="19"/>
  <c r="AH170" i="18" s="1"/>
  <c r="S170" i="18"/>
  <c r="Q169" i="19"/>
  <c r="T170" i="18"/>
  <c r="BE169" i="19"/>
  <c r="R169" i="19"/>
  <c r="AE169" i="19" s="1"/>
  <c r="E169" i="19" s="1"/>
  <c r="E169" i="22" s="1"/>
  <c r="O169" i="22" s="1"/>
  <c r="BT169" i="19" s="1"/>
  <c r="U170" i="18"/>
  <c r="P168" i="18" l="1"/>
  <c r="BN168" i="19"/>
  <c r="O168" i="18"/>
  <c r="AA168" i="19" s="1"/>
  <c r="AN168" i="19" s="1"/>
  <c r="N168" i="19" s="1"/>
  <c r="K168" i="22" s="1"/>
  <c r="U168" i="22" s="1"/>
  <c r="CA168" i="19" s="1"/>
  <c r="AS169" i="18" s="1"/>
  <c r="AE169" i="18"/>
  <c r="AT170" i="18" s="1"/>
  <c r="BB167" i="20"/>
  <c r="Y167" i="19"/>
  <c r="AL167" i="19" s="1"/>
  <c r="L167" i="19" s="1"/>
  <c r="J167" i="22" s="1"/>
  <c r="T167" i="22" s="1"/>
  <c r="BY167" i="19" s="1"/>
  <c r="AQ168" i="18" s="1"/>
  <c r="AC168" i="18"/>
  <c r="Z167" i="19"/>
  <c r="AM167" i="19" s="1"/>
  <c r="M167" i="19" s="1"/>
  <c r="BM167" i="19"/>
  <c r="BC167" i="20"/>
  <c r="AB168" i="18"/>
  <c r="R171" i="18"/>
  <c r="X170" i="18"/>
  <c r="T169" i="19"/>
  <c r="AG169" i="19" s="1"/>
  <c r="G169" i="19" s="1"/>
  <c r="G169" i="22" s="1"/>
  <c r="Q169" i="22" s="1"/>
  <c r="BV169" i="19" s="1"/>
  <c r="AN170" i="18" s="1"/>
  <c r="L170" i="18"/>
  <c r="AV169" i="20"/>
  <c r="P170" i="19"/>
  <c r="AC170" i="19" s="1"/>
  <c r="C170" i="19" s="1"/>
  <c r="C170" i="22" s="1"/>
  <c r="M170" i="22" s="1"/>
  <c r="U169" i="19"/>
  <c r="AH169" i="19" s="1"/>
  <c r="H169" i="19" s="1"/>
  <c r="H169" i="22" s="1"/>
  <c r="R169" i="22" s="1"/>
  <c r="BW169" i="19" s="1"/>
  <c r="AO170" i="18" s="1"/>
  <c r="AW169" i="20"/>
  <c r="BH169" i="19"/>
  <c r="AM170" i="18" s="1"/>
  <c r="AU169" i="20"/>
  <c r="BF169" i="19"/>
  <c r="AK170" i="18" s="1"/>
  <c r="V170" i="18"/>
  <c r="S169" i="19"/>
  <c r="AF169" i="19" s="1"/>
  <c r="F169" i="19" s="1"/>
  <c r="F169" i="22" s="1"/>
  <c r="P169" i="22" s="1"/>
  <c r="BU169" i="19" s="1"/>
  <c r="AL170" i="18" s="1"/>
  <c r="BD170" i="19"/>
  <c r="Q172" i="18"/>
  <c r="CE174" i="20"/>
  <c r="K175" i="20"/>
  <c r="D170" i="18"/>
  <c r="BP170" i="19"/>
  <c r="AG171" i="18" s="1"/>
  <c r="C171" i="18" s="1"/>
  <c r="R172" i="18" s="1"/>
  <c r="E170" i="18"/>
  <c r="BR170" i="19"/>
  <c r="AI171" i="18" s="1"/>
  <c r="BO171" i="19"/>
  <c r="AF172" i="18" s="1"/>
  <c r="AD169" i="19"/>
  <c r="D169" i="19" s="1"/>
  <c r="D169" i="22" s="1"/>
  <c r="N169" i="22" s="1"/>
  <c r="BS169" i="19" s="1"/>
  <c r="AJ170" i="18" s="1"/>
  <c r="BN169" i="19" l="1"/>
  <c r="M168" i="18"/>
  <c r="AB169" i="18" s="1"/>
  <c r="N168" i="18"/>
  <c r="AC169" i="18" s="1"/>
  <c r="BZ168" i="19"/>
  <c r="AR169" i="18" s="1"/>
  <c r="BL168" i="19"/>
  <c r="P169" i="18"/>
  <c r="K170" i="18"/>
  <c r="AA171" i="18"/>
  <c r="BA170" i="20"/>
  <c r="X170" i="19"/>
  <c r="AK170" i="19" s="1"/>
  <c r="K170" i="19" s="1"/>
  <c r="BK170" i="19"/>
  <c r="J170" i="18"/>
  <c r="G170" i="18"/>
  <c r="I170" i="18"/>
  <c r="AX170" i="20" s="1"/>
  <c r="H170" i="18"/>
  <c r="W171" i="18" s="1"/>
  <c r="F170" i="18"/>
  <c r="BG170" i="19"/>
  <c r="T170" i="19"/>
  <c r="AG170" i="19" s="1"/>
  <c r="G170" i="19" s="1"/>
  <c r="G170" i="22" s="1"/>
  <c r="Q170" i="22" s="1"/>
  <c r="BV170" i="19" s="1"/>
  <c r="AN171" i="18" s="1"/>
  <c r="AV170" i="20"/>
  <c r="B172" i="18"/>
  <c r="O172" i="19" s="1"/>
  <c r="AB172" i="19" s="1"/>
  <c r="B172" i="19" s="1"/>
  <c r="B172" i="22" s="1"/>
  <c r="L172" i="22" s="1"/>
  <c r="BO172" i="19" s="1"/>
  <c r="AF173" i="18" s="1"/>
  <c r="BB172" i="19"/>
  <c r="BV175" i="20"/>
  <c r="AL175" i="20"/>
  <c r="AU170" i="20"/>
  <c r="BF170" i="19"/>
  <c r="S170" i="19"/>
  <c r="V171" i="18"/>
  <c r="BC171" i="19"/>
  <c r="P171" i="19"/>
  <c r="T171" i="18"/>
  <c r="BE170" i="19"/>
  <c r="R170" i="19"/>
  <c r="BQ170" i="19"/>
  <c r="AH171" i="18" s="1"/>
  <c r="S171" i="18"/>
  <c r="Q170" i="19"/>
  <c r="U171" i="18"/>
  <c r="AD169" i="18" l="1"/>
  <c r="BM168" i="19"/>
  <c r="BC168" i="20"/>
  <c r="Z168" i="19"/>
  <c r="AM168" i="19" s="1"/>
  <c r="M168" i="19" s="1"/>
  <c r="BZ169" i="19"/>
  <c r="AR170" i="18" s="1"/>
  <c r="N169" i="18"/>
  <c r="Y168" i="19"/>
  <c r="AL168" i="19" s="1"/>
  <c r="L168" i="19" s="1"/>
  <c r="J168" i="22" s="1"/>
  <c r="T168" i="22" s="1"/>
  <c r="BY168" i="19" s="1"/>
  <c r="AQ169" i="18" s="1"/>
  <c r="BB168" i="20"/>
  <c r="BJ170" i="19"/>
  <c r="AZ170" i="20"/>
  <c r="W170" i="19"/>
  <c r="AJ170" i="19" s="1"/>
  <c r="J170" i="19" s="1"/>
  <c r="AY170" i="20"/>
  <c r="V170" i="19"/>
  <c r="AI170" i="19" s="1"/>
  <c r="I170" i="19" s="1"/>
  <c r="I170" i="22" s="1"/>
  <c r="S170" i="22" s="1"/>
  <c r="BX170" i="19" s="1"/>
  <c r="BI170" i="19"/>
  <c r="Z171" i="18"/>
  <c r="Y171" i="18"/>
  <c r="U170" i="19"/>
  <c r="AH170" i="19" s="1"/>
  <c r="H170" i="19" s="1"/>
  <c r="H170" i="22" s="1"/>
  <c r="R170" i="22" s="1"/>
  <c r="BW170" i="19" s="1"/>
  <c r="AW170" i="20"/>
  <c r="BH170" i="19"/>
  <c r="AM171" i="18" s="1"/>
  <c r="X171" i="18"/>
  <c r="BD171" i="19"/>
  <c r="BB173" i="19"/>
  <c r="Q173" i="18"/>
  <c r="AC175" i="20"/>
  <c r="AF170" i="19"/>
  <c r="F170" i="19" s="1"/>
  <c r="F170" i="22" s="1"/>
  <c r="P170" i="22" s="1"/>
  <c r="BU170" i="19" s="1"/>
  <c r="AL171" i="18" s="1"/>
  <c r="E171" i="18"/>
  <c r="BR171" i="19"/>
  <c r="AI172" i="18" s="1"/>
  <c r="AC171" i="19"/>
  <c r="C171" i="19" s="1"/>
  <c r="C171" i="22" s="1"/>
  <c r="D171" i="18"/>
  <c r="BP171" i="19"/>
  <c r="AG172" i="18" s="1"/>
  <c r="AE170" i="19"/>
  <c r="E170" i="19" s="1"/>
  <c r="E170" i="22" s="1"/>
  <c r="O170" i="22" s="1"/>
  <c r="BT170" i="19" s="1"/>
  <c r="AK171" i="18" s="1"/>
  <c r="AD170" i="19"/>
  <c r="D170" i="19" s="1"/>
  <c r="D170" i="22" s="1"/>
  <c r="N170" i="22" s="1"/>
  <c r="BS170" i="19" s="1"/>
  <c r="AJ171" i="18" s="1"/>
  <c r="BC169" i="20" l="1"/>
  <c r="Z169" i="19"/>
  <c r="AM169" i="19" s="1"/>
  <c r="M169" i="19" s="1"/>
  <c r="BM169" i="19"/>
  <c r="O169" i="18"/>
  <c r="AD170" i="18" s="1"/>
  <c r="BL169" i="19"/>
  <c r="M169" i="18"/>
  <c r="AC170" i="18"/>
  <c r="AP171" i="18"/>
  <c r="AO171" i="18"/>
  <c r="J171" i="18"/>
  <c r="Y172" i="18" s="1"/>
  <c r="K171" i="18"/>
  <c r="H171" i="18"/>
  <c r="I171" i="18"/>
  <c r="AX171" i="20" s="1"/>
  <c r="G171" i="18"/>
  <c r="F171" i="18"/>
  <c r="U172" i="18" s="1"/>
  <c r="C172" i="18"/>
  <c r="B173" i="18"/>
  <c r="O173" i="19" s="1"/>
  <c r="AB173" i="19" s="1"/>
  <c r="B173" i="19" s="1"/>
  <c r="B173" i="22" s="1"/>
  <c r="L173" i="22" s="1"/>
  <c r="CE175" i="20"/>
  <c r="K176" i="20"/>
  <c r="M171" i="22"/>
  <c r="BQ171" i="19"/>
  <c r="AH172" i="18" s="1"/>
  <c r="S172" i="18"/>
  <c r="Q171" i="19"/>
  <c r="T172" i="18"/>
  <c r="BE171" i="19"/>
  <c r="R171" i="19"/>
  <c r="AE171" i="19" s="1"/>
  <c r="E171" i="19" s="1"/>
  <c r="E171" i="22" s="1"/>
  <c r="O171" i="22" s="1"/>
  <c r="BT171" i="19" s="1"/>
  <c r="AU171" i="20"/>
  <c r="BF171" i="19"/>
  <c r="S171" i="19"/>
  <c r="AV171" i="20"/>
  <c r="Y169" i="19" l="1"/>
  <c r="AL169" i="19" s="1"/>
  <c r="L169" i="19" s="1"/>
  <c r="J169" i="22" s="1"/>
  <c r="T169" i="22" s="1"/>
  <c r="BY169" i="19" s="1"/>
  <c r="AQ170" i="18" s="1"/>
  <c r="BB169" i="20"/>
  <c r="AB170" i="18"/>
  <c r="AA169" i="19"/>
  <c r="AN169" i="19" s="1"/>
  <c r="N169" i="19" s="1"/>
  <c r="K169" i="22" s="1"/>
  <c r="U169" i="22" s="1"/>
  <c r="CA169" i="19" s="1"/>
  <c r="AS170" i="18" s="1"/>
  <c r="AE170" i="18"/>
  <c r="AT171" i="18" s="1"/>
  <c r="BZ170" i="19"/>
  <c r="AR171" i="18" s="1"/>
  <c r="N170" i="18"/>
  <c r="L171" i="18"/>
  <c r="AZ171" i="20"/>
  <c r="W171" i="19"/>
  <c r="AJ171" i="19" s="1"/>
  <c r="J171" i="19" s="1"/>
  <c r="BJ171" i="19"/>
  <c r="AP172" i="18" s="1"/>
  <c r="AA172" i="18"/>
  <c r="V172" i="18"/>
  <c r="Z172" i="18"/>
  <c r="AY171" i="20"/>
  <c r="V171" i="19"/>
  <c r="AI171" i="19" s="1"/>
  <c r="I171" i="19" s="1"/>
  <c r="I171" i="22" s="1"/>
  <c r="S171" i="22" s="1"/>
  <c r="BX171" i="19" s="1"/>
  <c r="BI171" i="19"/>
  <c r="AO172" i="18" s="1"/>
  <c r="X172" i="18"/>
  <c r="T171" i="19"/>
  <c r="W172" i="18"/>
  <c r="AK172" i="18"/>
  <c r="G172" i="18" s="1"/>
  <c r="BG171" i="19"/>
  <c r="U171" i="19"/>
  <c r="AH171" i="19" s="1"/>
  <c r="H171" i="19" s="1"/>
  <c r="H171" i="22" s="1"/>
  <c r="R171" i="22" s="1"/>
  <c r="BW171" i="19" s="1"/>
  <c r="AW171" i="20"/>
  <c r="BH171" i="19"/>
  <c r="AM172" i="18" s="1"/>
  <c r="BD172" i="19"/>
  <c r="R173" i="18"/>
  <c r="BO173" i="19" s="1"/>
  <c r="AF174" i="18" s="1"/>
  <c r="BB174" i="19" s="1"/>
  <c r="P172" i="19"/>
  <c r="AC172" i="19" s="1"/>
  <c r="C172" i="19" s="1"/>
  <c r="C172" i="22" s="1"/>
  <c r="M172" i="22" s="1"/>
  <c r="BC172" i="19"/>
  <c r="Q174" i="18"/>
  <c r="AL176" i="20"/>
  <c r="BV176" i="20"/>
  <c r="D172" i="18"/>
  <c r="BP172" i="19"/>
  <c r="AG173" i="18" s="1"/>
  <c r="AF171" i="19"/>
  <c r="F171" i="19" s="1"/>
  <c r="F171" i="22" s="1"/>
  <c r="P171" i="22" s="1"/>
  <c r="BU171" i="19" s="1"/>
  <c r="AG171" i="19"/>
  <c r="G171" i="19" s="1"/>
  <c r="G171" i="22" s="1"/>
  <c r="Q171" i="22" s="1"/>
  <c r="BV171" i="19" s="1"/>
  <c r="AN172" i="18" s="1"/>
  <c r="E172" i="18"/>
  <c r="BR172" i="19"/>
  <c r="AI173" i="18" s="1"/>
  <c r="AD171" i="19"/>
  <c r="D171" i="19" s="1"/>
  <c r="D171" i="22" s="1"/>
  <c r="N171" i="22" s="1"/>
  <c r="BS171" i="19" s="1"/>
  <c r="AJ172" i="18" s="1"/>
  <c r="BN170" i="19" l="1"/>
  <c r="O170" i="18"/>
  <c r="AA170" i="19" s="1"/>
  <c r="AN170" i="19" s="1"/>
  <c r="N170" i="19" s="1"/>
  <c r="K170" i="22" s="1"/>
  <c r="U170" i="22" s="1"/>
  <c r="CA170" i="19" s="1"/>
  <c r="AS171" i="18" s="1"/>
  <c r="P170" i="18"/>
  <c r="AE171" i="18" s="1"/>
  <c r="AT172" i="18" s="1"/>
  <c r="BM170" i="19"/>
  <c r="BC170" i="20"/>
  <c r="Z170" i="19"/>
  <c r="AM170" i="19" s="1"/>
  <c r="M170" i="19" s="1"/>
  <c r="M170" i="18"/>
  <c r="AB171" i="18" s="1"/>
  <c r="AD171" i="18"/>
  <c r="BL170" i="19"/>
  <c r="X171" i="19"/>
  <c r="AK171" i="19" s="1"/>
  <c r="K171" i="19" s="1"/>
  <c r="BK171" i="19"/>
  <c r="BA171" i="20"/>
  <c r="K172" i="18"/>
  <c r="L172" i="18"/>
  <c r="AA173" i="18"/>
  <c r="Z173" i="18"/>
  <c r="AZ172" i="20"/>
  <c r="W172" i="19"/>
  <c r="AJ172" i="19" s="1"/>
  <c r="J172" i="19" s="1"/>
  <c r="BJ172" i="19"/>
  <c r="J172" i="18"/>
  <c r="I172" i="18"/>
  <c r="AX172" i="20" s="1"/>
  <c r="AL172" i="18"/>
  <c r="F172" i="18"/>
  <c r="V173" i="18" s="1"/>
  <c r="BQ172" i="19"/>
  <c r="AH173" i="18" s="1"/>
  <c r="BD173" i="19" s="1"/>
  <c r="C173" i="18"/>
  <c r="B174" i="18"/>
  <c r="O174" i="19" s="1"/>
  <c r="AB174" i="19" s="1"/>
  <c r="B174" i="19" s="1"/>
  <c r="B174" i="22" s="1"/>
  <c r="L174" i="22" s="1"/>
  <c r="AC176" i="20"/>
  <c r="T173" i="18"/>
  <c r="BE172" i="19"/>
  <c r="R172" i="19"/>
  <c r="AE172" i="19" s="1"/>
  <c r="E172" i="19" s="1"/>
  <c r="E172" i="22" s="1"/>
  <c r="O172" i="22" s="1"/>
  <c r="BT172" i="19" s="1"/>
  <c r="S173" i="18"/>
  <c r="Q172" i="19"/>
  <c r="AV172" i="20"/>
  <c r="BG172" i="19"/>
  <c r="T172" i="19"/>
  <c r="BN171" i="19" l="1"/>
  <c r="O171" i="18"/>
  <c r="AA171" i="19" s="1"/>
  <c r="AN171" i="19" s="1"/>
  <c r="N171" i="19" s="1"/>
  <c r="K171" i="22" s="1"/>
  <c r="U171" i="22" s="1"/>
  <c r="CA171" i="19" s="1"/>
  <c r="AS172" i="18" s="1"/>
  <c r="BB170" i="20"/>
  <c r="Y170" i="19"/>
  <c r="AL170" i="19" s="1"/>
  <c r="L170" i="19" s="1"/>
  <c r="J170" i="22" s="1"/>
  <c r="T170" i="22" s="1"/>
  <c r="BY170" i="19" s="1"/>
  <c r="AQ171" i="18" s="1"/>
  <c r="AC171" i="18"/>
  <c r="P171" i="18"/>
  <c r="AE172" i="18" s="1"/>
  <c r="P172" i="18" s="1"/>
  <c r="U173" i="18"/>
  <c r="BA172" i="20"/>
  <c r="X172" i="19"/>
  <c r="AK172" i="19" s="1"/>
  <c r="K172" i="19" s="1"/>
  <c r="BK172" i="19"/>
  <c r="AY172" i="20"/>
  <c r="V172" i="19"/>
  <c r="AI172" i="19" s="1"/>
  <c r="I172" i="19" s="1"/>
  <c r="I172" i="22" s="1"/>
  <c r="S172" i="22" s="1"/>
  <c r="BX172" i="19" s="1"/>
  <c r="AP173" i="18" s="1"/>
  <c r="BI172" i="19"/>
  <c r="Y173" i="18"/>
  <c r="H172" i="18"/>
  <c r="AU172" i="20"/>
  <c r="BF172" i="19"/>
  <c r="AK173" i="18" s="1"/>
  <c r="S172" i="19"/>
  <c r="AF172" i="19" s="1"/>
  <c r="F172" i="19" s="1"/>
  <c r="F172" i="22" s="1"/>
  <c r="P172" i="22" s="1"/>
  <c r="BU172" i="19" s="1"/>
  <c r="AL173" i="18" s="1"/>
  <c r="R174" i="18"/>
  <c r="BC173" i="19"/>
  <c r="P173" i="19"/>
  <c r="AC173" i="19" s="1"/>
  <c r="C173" i="19" s="1"/>
  <c r="C173" i="22" s="1"/>
  <c r="M173" i="22" s="1"/>
  <c r="Q175" i="18"/>
  <c r="CE176" i="20"/>
  <c r="K177" i="20"/>
  <c r="AG172" i="19"/>
  <c r="G172" i="19" s="1"/>
  <c r="G172" i="22" s="1"/>
  <c r="Q172" i="22" s="1"/>
  <c r="BV172" i="19" s="1"/>
  <c r="AN173" i="18" s="1"/>
  <c r="AD172" i="19"/>
  <c r="D172" i="19" s="1"/>
  <c r="D172" i="22" s="1"/>
  <c r="N172" i="22" s="1"/>
  <c r="BS172" i="19" s="1"/>
  <c r="AJ173" i="18" s="1"/>
  <c r="BR173" i="19"/>
  <c r="AI174" i="18" s="1"/>
  <c r="E173" i="18"/>
  <c r="D173" i="18"/>
  <c r="BP173" i="19"/>
  <c r="AG174" i="18" s="1"/>
  <c r="AT173" i="18" l="1"/>
  <c r="BN172" i="19"/>
  <c r="BZ171" i="19"/>
  <c r="AR172" i="18" s="1"/>
  <c r="N171" i="18"/>
  <c r="AC172" i="18"/>
  <c r="BL171" i="19"/>
  <c r="M171" i="18"/>
  <c r="L173" i="18"/>
  <c r="J173" i="18"/>
  <c r="Y174" i="18" s="1"/>
  <c r="U172" i="19"/>
  <c r="AH172" i="19" s="1"/>
  <c r="H172" i="19" s="1"/>
  <c r="H172" i="22" s="1"/>
  <c r="R172" i="22" s="1"/>
  <c r="BW172" i="19" s="1"/>
  <c r="AO173" i="18" s="1"/>
  <c r="X173" i="18"/>
  <c r="BH172" i="19"/>
  <c r="AM173" i="18" s="1"/>
  <c r="W173" i="18"/>
  <c r="H173" i="18" s="1"/>
  <c r="AW172" i="20"/>
  <c r="BQ173" i="19"/>
  <c r="G173" i="18"/>
  <c r="F173" i="18"/>
  <c r="U174" i="18" s="1"/>
  <c r="AH174" i="18"/>
  <c r="BD174" i="19" s="1"/>
  <c r="C174" i="18"/>
  <c r="BO174" i="19"/>
  <c r="AF175" i="18" s="1"/>
  <c r="BB175" i="19" s="1"/>
  <c r="AL177" i="20"/>
  <c r="BV177" i="20"/>
  <c r="S174" i="18"/>
  <c r="Q173" i="19"/>
  <c r="AU173" i="20"/>
  <c r="T174" i="18"/>
  <c r="BE173" i="19"/>
  <c r="R173" i="19"/>
  <c r="AE173" i="19" s="1"/>
  <c r="E173" i="19" s="1"/>
  <c r="E173" i="22" s="1"/>
  <c r="O173" i="22" s="1"/>
  <c r="BT173" i="19" s="1"/>
  <c r="BZ172" i="19" l="1"/>
  <c r="AR173" i="18" s="1"/>
  <c r="N172" i="18"/>
  <c r="BB171" i="20"/>
  <c r="Y171" i="19"/>
  <c r="AL171" i="19" s="1"/>
  <c r="L171" i="19" s="1"/>
  <c r="J171" i="22" s="1"/>
  <c r="T171" i="22" s="1"/>
  <c r="BY171" i="19" s="1"/>
  <c r="AQ172" i="18" s="1"/>
  <c r="AB172" i="18"/>
  <c r="Z171" i="19"/>
  <c r="AM171" i="19" s="1"/>
  <c r="M171" i="19" s="1"/>
  <c r="BM171" i="19"/>
  <c r="BC171" i="20"/>
  <c r="AD172" i="18"/>
  <c r="BA173" i="20"/>
  <c r="X173" i="19"/>
  <c r="AK173" i="19" s="1"/>
  <c r="K173" i="19" s="1"/>
  <c r="BK173" i="19"/>
  <c r="K173" i="18"/>
  <c r="S173" i="19"/>
  <c r="AY173" i="20"/>
  <c r="V173" i="19"/>
  <c r="AI173" i="19" s="1"/>
  <c r="I173" i="19" s="1"/>
  <c r="I173" i="22" s="1"/>
  <c r="S173" i="22" s="1"/>
  <c r="BX173" i="19" s="1"/>
  <c r="BI173" i="19"/>
  <c r="AO174" i="18" s="1"/>
  <c r="BF173" i="19"/>
  <c r="I173" i="18"/>
  <c r="AK174" i="18"/>
  <c r="BH173" i="19"/>
  <c r="AM174" i="18" s="1"/>
  <c r="AW173" i="20"/>
  <c r="U173" i="19"/>
  <c r="AH173" i="19" s="1"/>
  <c r="H173" i="19" s="1"/>
  <c r="H173" i="22" s="1"/>
  <c r="R173" i="22" s="1"/>
  <c r="BW173" i="19" s="1"/>
  <c r="BG173" i="19"/>
  <c r="AV173" i="20"/>
  <c r="T173" i="19"/>
  <c r="AG173" i="19" s="1"/>
  <c r="G173" i="19" s="1"/>
  <c r="G173" i="22" s="1"/>
  <c r="Q173" i="22" s="1"/>
  <c r="BV173" i="19" s="1"/>
  <c r="AN174" i="18" s="1"/>
  <c r="W174" i="18"/>
  <c r="V174" i="18"/>
  <c r="G174" i="18" s="1"/>
  <c r="R175" i="18"/>
  <c r="P174" i="19"/>
  <c r="BC174" i="19"/>
  <c r="B175" i="18"/>
  <c r="AC177" i="20"/>
  <c r="BR174" i="19"/>
  <c r="AI175" i="18" s="1"/>
  <c r="E174" i="18"/>
  <c r="AD173" i="19"/>
  <c r="D173" i="19" s="1"/>
  <c r="D173" i="22" s="1"/>
  <c r="N173" i="22" s="1"/>
  <c r="BS173" i="19" s="1"/>
  <c r="AJ174" i="18" s="1"/>
  <c r="AF173" i="19"/>
  <c r="F173" i="19" s="1"/>
  <c r="F173" i="22" s="1"/>
  <c r="P173" i="22" s="1"/>
  <c r="BU173" i="19" s="1"/>
  <c r="AL174" i="18" s="1"/>
  <c r="BP174" i="19"/>
  <c r="AG175" i="18" s="1"/>
  <c r="D174" i="18"/>
  <c r="AV174" i="20"/>
  <c r="BG174" i="19"/>
  <c r="T174" i="19"/>
  <c r="BL172" i="19" l="1"/>
  <c r="BC172" i="20"/>
  <c r="Z172" i="19"/>
  <c r="AM172" i="19" s="1"/>
  <c r="M172" i="19" s="1"/>
  <c r="BM172" i="19"/>
  <c r="O172" i="18"/>
  <c r="M172" i="18"/>
  <c r="AB173" i="18" s="1"/>
  <c r="AA174" i="18"/>
  <c r="BJ173" i="19"/>
  <c r="AP174" i="18" s="1"/>
  <c r="AZ173" i="20"/>
  <c r="Z174" i="18"/>
  <c r="K174" i="18" s="1"/>
  <c r="W173" i="19"/>
  <c r="AJ173" i="19" s="1"/>
  <c r="J173" i="19" s="1"/>
  <c r="AZ174" i="20"/>
  <c r="W174" i="19"/>
  <c r="AJ174" i="19" s="1"/>
  <c r="J174" i="19" s="1"/>
  <c r="BJ174" i="19"/>
  <c r="J174" i="18"/>
  <c r="AX173" i="20"/>
  <c r="X174" i="18"/>
  <c r="I174" i="18" s="1"/>
  <c r="AX174" i="20" s="1"/>
  <c r="H174" i="18"/>
  <c r="W175" i="18" s="1"/>
  <c r="BH174" i="19"/>
  <c r="U174" i="19"/>
  <c r="AH174" i="19" s="1"/>
  <c r="H174" i="19" s="1"/>
  <c r="H174" i="22" s="1"/>
  <c r="R174" i="22" s="1"/>
  <c r="BW174" i="19" s="1"/>
  <c r="F174" i="18"/>
  <c r="O175" i="19"/>
  <c r="AB175" i="19" s="1"/>
  <c r="B175" i="19" s="1"/>
  <c r="B175" i="22" s="1"/>
  <c r="L175" i="22" s="1"/>
  <c r="BO175" i="19" s="1"/>
  <c r="AF176" i="18" s="1"/>
  <c r="BB176" i="19" s="1"/>
  <c r="Q176" i="18"/>
  <c r="C175" i="18"/>
  <c r="P175" i="19" s="1"/>
  <c r="AC175" i="19" s="1"/>
  <c r="C175" i="19" s="1"/>
  <c r="C175" i="22" s="1"/>
  <c r="M175" i="22" s="1"/>
  <c r="AC174" i="19"/>
  <c r="C174" i="19" s="1"/>
  <c r="C174" i="22" s="1"/>
  <c r="CE177" i="20"/>
  <c r="K178" i="20"/>
  <c r="S175" i="18"/>
  <c r="Q174" i="19"/>
  <c r="T175" i="18"/>
  <c r="BE174" i="19"/>
  <c r="R174" i="19"/>
  <c r="U175" i="18"/>
  <c r="AG174" i="19"/>
  <c r="G174" i="19" s="1"/>
  <c r="G174" i="22" s="1"/>
  <c r="Q174" i="22" s="1"/>
  <c r="BV174" i="19" s="1"/>
  <c r="AN175" i="18" s="1"/>
  <c r="AE173" i="18" l="1"/>
  <c r="AA172" i="19"/>
  <c r="AN172" i="19" s="1"/>
  <c r="N172" i="19" s="1"/>
  <c r="K172" i="22" s="1"/>
  <c r="U172" i="22" s="1"/>
  <c r="CA172" i="19" s="1"/>
  <c r="AS173" i="18" s="1"/>
  <c r="AD173" i="18"/>
  <c r="AC173" i="18"/>
  <c r="Y172" i="19"/>
  <c r="AL172" i="19" s="1"/>
  <c r="L172" i="19" s="1"/>
  <c r="J172" i="22" s="1"/>
  <c r="T172" i="22" s="1"/>
  <c r="BY172" i="19" s="1"/>
  <c r="AQ173" i="18" s="1"/>
  <c r="BB172" i="20"/>
  <c r="AP175" i="18"/>
  <c r="L174" i="18"/>
  <c r="X174" i="19"/>
  <c r="AK174" i="19" s="1"/>
  <c r="K174" i="19" s="1"/>
  <c r="BK174" i="19"/>
  <c r="BA174" i="20"/>
  <c r="AY174" i="20"/>
  <c r="V174" i="19"/>
  <c r="AI174" i="19" s="1"/>
  <c r="I174" i="19" s="1"/>
  <c r="I174" i="22" s="1"/>
  <c r="S174" i="22" s="1"/>
  <c r="BX174" i="19" s="1"/>
  <c r="BI174" i="19"/>
  <c r="AO175" i="18" s="1"/>
  <c r="Y175" i="18"/>
  <c r="Z175" i="18"/>
  <c r="X175" i="18"/>
  <c r="I175" i="18" s="1"/>
  <c r="AX175" i="20" s="1"/>
  <c r="AW174" i="20"/>
  <c r="AM175" i="18"/>
  <c r="AU174" i="20"/>
  <c r="BF174" i="19"/>
  <c r="S174" i="19"/>
  <c r="AF174" i="19" s="1"/>
  <c r="F174" i="19" s="1"/>
  <c r="F174" i="22" s="1"/>
  <c r="P174" i="22" s="1"/>
  <c r="BU174" i="19" s="1"/>
  <c r="AL175" i="18" s="1"/>
  <c r="V175" i="18"/>
  <c r="BC175" i="19"/>
  <c r="R176" i="18"/>
  <c r="M174" i="22"/>
  <c r="BQ174" i="19"/>
  <c r="AH175" i="18" s="1"/>
  <c r="B176" i="18"/>
  <c r="AL178" i="20"/>
  <c r="BV178" i="20"/>
  <c r="E175" i="18"/>
  <c r="BR175" i="19"/>
  <c r="AD174" i="19"/>
  <c r="D174" i="19" s="1"/>
  <c r="D174" i="22" s="1"/>
  <c r="N174" i="22" s="1"/>
  <c r="BS174" i="19" s="1"/>
  <c r="AJ175" i="18" s="1"/>
  <c r="AE174" i="19"/>
  <c r="E174" i="19" s="1"/>
  <c r="E174" i="22" s="1"/>
  <c r="O174" i="22" s="1"/>
  <c r="BT174" i="19" s="1"/>
  <c r="BP175" i="19"/>
  <c r="AG176" i="18" s="1"/>
  <c r="BQ175" i="19"/>
  <c r="P173" i="18" l="1"/>
  <c r="AT174" i="18"/>
  <c r="BN173" i="19"/>
  <c r="BL173" i="19"/>
  <c r="N173" i="18"/>
  <c r="BZ173" i="19"/>
  <c r="AR174" i="18" s="1"/>
  <c r="O173" i="18"/>
  <c r="AA173" i="19" s="1"/>
  <c r="AN173" i="19" s="1"/>
  <c r="N173" i="19" s="1"/>
  <c r="K173" i="22" s="1"/>
  <c r="U173" i="22" s="1"/>
  <c r="CA173" i="19" s="1"/>
  <c r="AS174" i="18" s="1"/>
  <c r="M173" i="18"/>
  <c r="AA175" i="18"/>
  <c r="L175" i="18" s="1"/>
  <c r="K175" i="18"/>
  <c r="AA176" i="18" s="1"/>
  <c r="AZ175" i="20"/>
  <c r="W175" i="19"/>
  <c r="AJ175" i="19" s="1"/>
  <c r="J175" i="19" s="1"/>
  <c r="BJ175" i="19"/>
  <c r="J175" i="18"/>
  <c r="Y176" i="18"/>
  <c r="BA175" i="20"/>
  <c r="X175" i="19"/>
  <c r="AK175" i="19" s="1"/>
  <c r="K175" i="19" s="1"/>
  <c r="BK175" i="19"/>
  <c r="H175" i="18"/>
  <c r="AK175" i="18"/>
  <c r="F175" i="18"/>
  <c r="U176" i="18" s="1"/>
  <c r="AH176" i="18"/>
  <c r="BD175" i="19"/>
  <c r="AI176" i="18" s="1"/>
  <c r="D175" i="18"/>
  <c r="S176" i="18" s="1"/>
  <c r="O176" i="19"/>
  <c r="AB176" i="19" s="1"/>
  <c r="B176" i="19" s="1"/>
  <c r="B176" i="22" s="1"/>
  <c r="L176" i="22" s="1"/>
  <c r="BO176" i="19" s="1"/>
  <c r="AF177" i="18" s="1"/>
  <c r="BB177" i="19" s="1"/>
  <c r="Q177" i="18"/>
  <c r="C176" i="18"/>
  <c r="BC176" i="19" s="1"/>
  <c r="X176" i="18"/>
  <c r="AC178" i="20"/>
  <c r="AU175" i="20"/>
  <c r="T176" i="18"/>
  <c r="BE175" i="19"/>
  <c r="R175" i="19"/>
  <c r="AE175" i="19" s="1"/>
  <c r="E175" i="19" s="1"/>
  <c r="E175" i="22" s="1"/>
  <c r="O175" i="22" s="1"/>
  <c r="BT175" i="19" s="1"/>
  <c r="BN174" i="19" l="1"/>
  <c r="AD174" i="18"/>
  <c r="O174" i="18" s="1"/>
  <c r="AA174" i="19" s="1"/>
  <c r="AN174" i="19" s="1"/>
  <c r="N174" i="19" s="1"/>
  <c r="K174" i="22" s="1"/>
  <c r="U174" i="22" s="1"/>
  <c r="CA174" i="19" s="1"/>
  <c r="Z173" i="19"/>
  <c r="AM173" i="19" s="1"/>
  <c r="M173" i="19" s="1"/>
  <c r="BM173" i="19"/>
  <c r="BC173" i="20"/>
  <c r="AE174" i="18"/>
  <c r="AT175" i="18" s="1"/>
  <c r="AC174" i="18"/>
  <c r="Y173" i="19"/>
  <c r="AL173" i="19" s="1"/>
  <c r="L173" i="19" s="1"/>
  <c r="J173" i="22" s="1"/>
  <c r="T173" i="22" s="1"/>
  <c r="BY173" i="19" s="1"/>
  <c r="AQ174" i="18" s="1"/>
  <c r="BB173" i="20"/>
  <c r="AB174" i="18"/>
  <c r="AP176" i="18"/>
  <c r="L176" i="18" s="1"/>
  <c r="AY175" i="20"/>
  <c r="V175" i="19"/>
  <c r="AI175" i="19" s="1"/>
  <c r="I175" i="19" s="1"/>
  <c r="I175" i="22" s="1"/>
  <c r="S175" i="22" s="1"/>
  <c r="BX175" i="19" s="1"/>
  <c r="BI175" i="19"/>
  <c r="Z176" i="18"/>
  <c r="Q175" i="19"/>
  <c r="S175" i="19"/>
  <c r="AW175" i="20"/>
  <c r="BH175" i="19"/>
  <c r="AM176" i="18" s="1"/>
  <c r="U175" i="19"/>
  <c r="AH175" i="19" s="1"/>
  <c r="H175" i="19" s="1"/>
  <c r="H175" i="22" s="1"/>
  <c r="R175" i="22" s="1"/>
  <c r="BW175" i="19" s="1"/>
  <c r="BF175" i="19"/>
  <c r="AK176" i="18"/>
  <c r="G175" i="18"/>
  <c r="BD176" i="19"/>
  <c r="R177" i="18"/>
  <c r="P176" i="19"/>
  <c r="AC176" i="19" s="1"/>
  <c r="C176" i="19" s="1"/>
  <c r="C176" i="22" s="1"/>
  <c r="M176" i="22" s="1"/>
  <c r="B177" i="18"/>
  <c r="CE178" i="20"/>
  <c r="K179" i="20"/>
  <c r="E176" i="18"/>
  <c r="BR176" i="19"/>
  <c r="AD175" i="19"/>
  <c r="D175" i="19" s="1"/>
  <c r="D175" i="22" s="1"/>
  <c r="N175" i="22" s="1"/>
  <c r="BS175" i="19" s="1"/>
  <c r="AJ176" i="18" s="1"/>
  <c r="D176" i="18"/>
  <c r="BP176" i="19"/>
  <c r="AG177" i="18" s="1"/>
  <c r="AF175" i="19"/>
  <c r="F175" i="19" s="1"/>
  <c r="F175" i="22" s="1"/>
  <c r="P175" i="22" s="1"/>
  <c r="BU175" i="19" s="1"/>
  <c r="AS175" i="18" l="1"/>
  <c r="AR175" i="18"/>
  <c r="BL174" i="19"/>
  <c r="BZ174" i="19"/>
  <c r="N174" i="18"/>
  <c r="AD175" i="18" s="1"/>
  <c r="M174" i="18"/>
  <c r="AB175" i="18" s="1"/>
  <c r="P174" i="18"/>
  <c r="AE175" i="18" s="1"/>
  <c r="AT176" i="18" s="1"/>
  <c r="BA176" i="20"/>
  <c r="BK176" i="19"/>
  <c r="X176" i="19"/>
  <c r="AK176" i="19" s="1"/>
  <c r="K176" i="19" s="1"/>
  <c r="AO176" i="18"/>
  <c r="K176" i="18"/>
  <c r="I176" i="18"/>
  <c r="AX176" i="20" s="1"/>
  <c r="W176" i="18"/>
  <c r="AV175" i="20"/>
  <c r="BG175" i="19"/>
  <c r="AL176" i="18" s="1"/>
  <c r="V176" i="18"/>
  <c r="G176" i="18" s="1"/>
  <c r="T175" i="19"/>
  <c r="AG175" i="19" s="1"/>
  <c r="G175" i="19" s="1"/>
  <c r="G175" i="22" s="1"/>
  <c r="Q175" i="22" s="1"/>
  <c r="BV175" i="19" s="1"/>
  <c r="AN176" i="18" s="1"/>
  <c r="F176" i="18"/>
  <c r="AI177" i="18"/>
  <c r="BQ176" i="19"/>
  <c r="AH177" i="18" s="1"/>
  <c r="O177" i="19"/>
  <c r="AB177" i="19" s="1"/>
  <c r="B177" i="19" s="1"/>
  <c r="B177" i="22" s="1"/>
  <c r="L177" i="22" s="1"/>
  <c r="BO177" i="19" s="1"/>
  <c r="AF178" i="18" s="1"/>
  <c r="BB178" i="19" s="1"/>
  <c r="Q178" i="18"/>
  <c r="C177" i="18"/>
  <c r="AL179" i="20"/>
  <c r="BV179" i="20"/>
  <c r="T177" i="18"/>
  <c r="BE176" i="19"/>
  <c r="R176" i="19"/>
  <c r="AE176" i="19" s="1"/>
  <c r="E176" i="19" s="1"/>
  <c r="E176" i="22" s="1"/>
  <c r="O176" i="22" s="1"/>
  <c r="U177" i="18"/>
  <c r="S177" i="18"/>
  <c r="Q176" i="19"/>
  <c r="T176" i="19"/>
  <c r="BN175" i="19" l="1"/>
  <c r="P175" i="18"/>
  <c r="AC175" i="18"/>
  <c r="BM174" i="19"/>
  <c r="BC174" i="20"/>
  <c r="Z174" i="19"/>
  <c r="AM174" i="19" s="1"/>
  <c r="M174" i="19" s="1"/>
  <c r="O175" i="18"/>
  <c r="AA175" i="19" s="1"/>
  <c r="AN175" i="19" s="1"/>
  <c r="N175" i="19" s="1"/>
  <c r="K175" i="22" s="1"/>
  <c r="U175" i="22" s="1"/>
  <c r="CA175" i="19" s="1"/>
  <c r="AS176" i="18" s="1"/>
  <c r="BB174" i="20"/>
  <c r="Y174" i="19"/>
  <c r="AL174" i="19" s="1"/>
  <c r="L174" i="19" s="1"/>
  <c r="J174" i="22" s="1"/>
  <c r="T174" i="22" s="1"/>
  <c r="BY174" i="19" s="1"/>
  <c r="AQ175" i="18" s="1"/>
  <c r="J176" i="18"/>
  <c r="AZ176" i="20"/>
  <c r="W176" i="19"/>
  <c r="AJ176" i="19" s="1"/>
  <c r="J176" i="19" s="1"/>
  <c r="BJ176" i="19"/>
  <c r="AA177" i="18"/>
  <c r="Z177" i="18"/>
  <c r="H176" i="18"/>
  <c r="W177" i="18" s="1"/>
  <c r="BG176" i="19"/>
  <c r="BT176" i="19"/>
  <c r="V177" i="18"/>
  <c r="AV176" i="20"/>
  <c r="X177" i="18"/>
  <c r="AW176" i="20"/>
  <c r="BH176" i="19"/>
  <c r="AM177" i="18" s="1"/>
  <c r="U176" i="19"/>
  <c r="AH176" i="19" s="1"/>
  <c r="H176" i="19" s="1"/>
  <c r="H176" i="22" s="1"/>
  <c r="R176" i="22" s="1"/>
  <c r="BW176" i="19" s="1"/>
  <c r="BF176" i="19"/>
  <c r="S176" i="19"/>
  <c r="AF176" i="19" s="1"/>
  <c r="F176" i="19" s="1"/>
  <c r="F176" i="22" s="1"/>
  <c r="P176" i="22" s="1"/>
  <c r="BU176" i="19" s="1"/>
  <c r="AU176" i="20"/>
  <c r="BD177" i="19"/>
  <c r="P177" i="19"/>
  <c r="AC177" i="19" s="1"/>
  <c r="C177" i="19" s="1"/>
  <c r="C177" i="22" s="1"/>
  <c r="M177" i="22" s="1"/>
  <c r="R178" i="18"/>
  <c r="B178" i="18"/>
  <c r="BC177" i="19"/>
  <c r="AC179" i="20"/>
  <c r="AG176" i="19"/>
  <c r="G176" i="19" s="1"/>
  <c r="G176" i="22" s="1"/>
  <c r="Q176" i="22" s="1"/>
  <c r="BV176" i="19" s="1"/>
  <c r="AN177" i="18" s="1"/>
  <c r="BR177" i="19"/>
  <c r="E177" i="18"/>
  <c r="AD176" i="19"/>
  <c r="D176" i="19" s="1"/>
  <c r="D176" i="22" s="1"/>
  <c r="N176" i="22" s="1"/>
  <c r="BS176" i="19" s="1"/>
  <c r="AJ177" i="18" s="1"/>
  <c r="D177" i="18"/>
  <c r="BQ177" i="19"/>
  <c r="BP177" i="19"/>
  <c r="AG178" i="18" s="1"/>
  <c r="BN176" i="19" l="1"/>
  <c r="BL175" i="19"/>
  <c r="AE176" i="18"/>
  <c r="AT177" i="18" s="1"/>
  <c r="BZ175" i="19"/>
  <c r="AR176" i="18" s="1"/>
  <c r="N175" i="18"/>
  <c r="AC176" i="18" s="1"/>
  <c r="M175" i="18"/>
  <c r="AK177" i="18"/>
  <c r="G177" i="18" s="1"/>
  <c r="AY176" i="20"/>
  <c r="V176" i="19"/>
  <c r="AI176" i="19" s="1"/>
  <c r="I176" i="19" s="1"/>
  <c r="I176" i="22" s="1"/>
  <c r="S176" i="22" s="1"/>
  <c r="BX176" i="19" s="1"/>
  <c r="AP177" i="18" s="1"/>
  <c r="BI176" i="19"/>
  <c r="AO177" i="18" s="1"/>
  <c r="Y177" i="18"/>
  <c r="I177" i="18"/>
  <c r="AX177" i="20" s="1"/>
  <c r="AL177" i="18"/>
  <c r="H177" i="18" s="1"/>
  <c r="AI178" i="18"/>
  <c r="F177" i="18"/>
  <c r="U178" i="18" s="1"/>
  <c r="AH178" i="18"/>
  <c r="BD178" i="19" s="1"/>
  <c r="O178" i="19"/>
  <c r="AB178" i="19" s="1"/>
  <c r="B178" i="19" s="1"/>
  <c r="B178" i="22" s="1"/>
  <c r="L178" i="22" s="1"/>
  <c r="BO178" i="19" s="1"/>
  <c r="AF179" i="18" s="1"/>
  <c r="BB179" i="19" s="1"/>
  <c r="Q179" i="18"/>
  <c r="C178" i="18"/>
  <c r="BC178" i="19" s="1"/>
  <c r="CE179" i="20"/>
  <c r="K180" i="20"/>
  <c r="V178" i="18"/>
  <c r="S178" i="18"/>
  <c r="Q177" i="19"/>
  <c r="T178" i="18"/>
  <c r="BE177" i="19"/>
  <c r="R177" i="19"/>
  <c r="AE177" i="19" s="1"/>
  <c r="E177" i="19" s="1"/>
  <c r="E177" i="22" s="1"/>
  <c r="O177" i="22" s="1"/>
  <c r="BT177" i="19" s="1"/>
  <c r="AV177" i="20"/>
  <c r="BG177" i="19"/>
  <c r="T177" i="19"/>
  <c r="BZ176" i="19" l="1"/>
  <c r="AR177" i="18" s="1"/>
  <c r="N176" i="18"/>
  <c r="BB175" i="20"/>
  <c r="Y175" i="19"/>
  <c r="AL175" i="19" s="1"/>
  <c r="L175" i="19" s="1"/>
  <c r="J175" i="22" s="1"/>
  <c r="T175" i="22" s="1"/>
  <c r="BY175" i="19" s="1"/>
  <c r="AQ176" i="18" s="1"/>
  <c r="AB176" i="18"/>
  <c r="AD176" i="18"/>
  <c r="P176" i="18"/>
  <c r="Z175" i="19"/>
  <c r="AM175" i="19" s="1"/>
  <c r="M175" i="19" s="1"/>
  <c r="BM175" i="19"/>
  <c r="BC175" i="20"/>
  <c r="L177" i="18"/>
  <c r="K177" i="18"/>
  <c r="AA178" i="18" s="1"/>
  <c r="J177" i="18"/>
  <c r="Y178" i="18"/>
  <c r="AZ177" i="20"/>
  <c r="AW177" i="20"/>
  <c r="BH177" i="19"/>
  <c r="AM178" i="18" s="1"/>
  <c r="W178" i="18"/>
  <c r="U177" i="19"/>
  <c r="X178" i="18"/>
  <c r="BF177" i="19"/>
  <c r="AK178" i="18" s="1"/>
  <c r="G178" i="18" s="1"/>
  <c r="AU177" i="20"/>
  <c r="S177" i="19"/>
  <c r="R179" i="18"/>
  <c r="P178" i="19"/>
  <c r="AC178" i="19" s="1"/>
  <c r="C178" i="19" s="1"/>
  <c r="C178" i="22" s="1"/>
  <c r="M178" i="22" s="1"/>
  <c r="B179" i="18"/>
  <c r="O179" i="19" s="1"/>
  <c r="AB179" i="19" s="1"/>
  <c r="B179" i="19" s="1"/>
  <c r="B179" i="22" s="1"/>
  <c r="L179" i="22" s="1"/>
  <c r="BV180" i="20"/>
  <c r="AL180" i="20"/>
  <c r="AF177" i="19"/>
  <c r="F177" i="19" s="1"/>
  <c r="F177" i="22" s="1"/>
  <c r="P177" i="22" s="1"/>
  <c r="BU177" i="19" s="1"/>
  <c r="AL178" i="18" s="1"/>
  <c r="AG177" i="19"/>
  <c r="G177" i="19" s="1"/>
  <c r="G177" i="22" s="1"/>
  <c r="Q177" i="22" s="1"/>
  <c r="BV177" i="19" s="1"/>
  <c r="AN178" i="18" s="1"/>
  <c r="D178" i="18"/>
  <c r="BQ178" i="19"/>
  <c r="AH179" i="18" s="1"/>
  <c r="BP178" i="19"/>
  <c r="AG179" i="18" s="1"/>
  <c r="E178" i="18"/>
  <c r="BR178" i="19"/>
  <c r="AI179" i="18" s="1"/>
  <c r="AH177" i="19"/>
  <c r="H177" i="19" s="1"/>
  <c r="H177" i="22" s="1"/>
  <c r="R177" i="22" s="1"/>
  <c r="BW177" i="19" s="1"/>
  <c r="I178" i="18"/>
  <c r="AX178" i="20" s="1"/>
  <c r="AD177" i="19"/>
  <c r="D177" i="19" s="1"/>
  <c r="D177" i="22" s="1"/>
  <c r="N177" i="22" s="1"/>
  <c r="BS177" i="19" s="1"/>
  <c r="AJ178" i="18" s="1"/>
  <c r="O176" i="18" l="1"/>
  <c r="AD177" i="18" s="1"/>
  <c r="M176" i="18"/>
  <c r="AB177" i="18"/>
  <c r="BC176" i="20"/>
  <c r="BM176" i="19"/>
  <c r="Z176" i="19"/>
  <c r="AM176" i="19" s="1"/>
  <c r="M176" i="19" s="1"/>
  <c r="BL176" i="19"/>
  <c r="BK177" i="19"/>
  <c r="X177" i="19"/>
  <c r="AK177" i="19" s="1"/>
  <c r="K177" i="19" s="1"/>
  <c r="BA177" i="20"/>
  <c r="BJ177" i="19"/>
  <c r="W177" i="19"/>
  <c r="AJ177" i="19" s="1"/>
  <c r="J177" i="19" s="1"/>
  <c r="J178" i="18"/>
  <c r="AY177" i="20"/>
  <c r="V177" i="19"/>
  <c r="AI177" i="19" s="1"/>
  <c r="I177" i="19" s="1"/>
  <c r="I177" i="22" s="1"/>
  <c r="S177" i="22" s="1"/>
  <c r="BX177" i="19" s="1"/>
  <c r="BI177" i="19"/>
  <c r="AO178" i="18" s="1"/>
  <c r="Z178" i="18"/>
  <c r="T178" i="19"/>
  <c r="AV178" i="20"/>
  <c r="BG178" i="19"/>
  <c r="H178" i="18"/>
  <c r="BO179" i="19"/>
  <c r="AF180" i="18" s="1"/>
  <c r="BB180" i="19" s="1"/>
  <c r="F178" i="18"/>
  <c r="U179" i="18" s="1"/>
  <c r="BD179" i="19"/>
  <c r="C179" i="18"/>
  <c r="Q180" i="18"/>
  <c r="AC180" i="20"/>
  <c r="X179" i="18"/>
  <c r="S179" i="18"/>
  <c r="Q178" i="19"/>
  <c r="AG178" i="19"/>
  <c r="G178" i="19" s="1"/>
  <c r="G178" i="22" s="1"/>
  <c r="Q178" i="22" s="1"/>
  <c r="BV178" i="19" s="1"/>
  <c r="AN179" i="18" s="1"/>
  <c r="T179" i="18"/>
  <c r="BE178" i="19"/>
  <c r="R178" i="19"/>
  <c r="Y176" i="19" l="1"/>
  <c r="AL176" i="19" s="1"/>
  <c r="L176" i="19" s="1"/>
  <c r="J176" i="22" s="1"/>
  <c r="T176" i="22" s="1"/>
  <c r="BY176" i="19" s="1"/>
  <c r="AQ177" i="18" s="1"/>
  <c r="BB176" i="20"/>
  <c r="AC177" i="18"/>
  <c r="AA176" i="19"/>
  <c r="AN176" i="19" s="1"/>
  <c r="N176" i="19" s="1"/>
  <c r="K176" i="22" s="1"/>
  <c r="U176" i="22" s="1"/>
  <c r="CA176" i="19" s="1"/>
  <c r="AS177" i="18" s="1"/>
  <c r="AE177" i="18"/>
  <c r="AT178" i="18" s="1"/>
  <c r="AP178" i="18"/>
  <c r="K178" i="18"/>
  <c r="AY178" i="20"/>
  <c r="V178" i="19"/>
  <c r="AI178" i="19" s="1"/>
  <c r="I178" i="19" s="1"/>
  <c r="I178" i="22" s="1"/>
  <c r="S178" i="22" s="1"/>
  <c r="BX178" i="19" s="1"/>
  <c r="BI178" i="19"/>
  <c r="AO179" i="18" s="1"/>
  <c r="Y179" i="18"/>
  <c r="B180" i="18"/>
  <c r="O180" i="19" s="1"/>
  <c r="AB180" i="19" s="1"/>
  <c r="B180" i="19" s="1"/>
  <c r="B180" i="22" s="1"/>
  <c r="L180" i="22" s="1"/>
  <c r="W179" i="18"/>
  <c r="U178" i="19"/>
  <c r="AH178" i="19" s="1"/>
  <c r="H178" i="19" s="1"/>
  <c r="H178" i="22" s="1"/>
  <c r="R178" i="22" s="1"/>
  <c r="BW178" i="19" s="1"/>
  <c r="AW178" i="20"/>
  <c r="BH178" i="19"/>
  <c r="AM179" i="18" s="1"/>
  <c r="V179" i="18"/>
  <c r="AU178" i="20"/>
  <c r="BF178" i="19"/>
  <c r="S178" i="19"/>
  <c r="AF178" i="19" s="1"/>
  <c r="F178" i="19" s="1"/>
  <c r="F178" i="22" s="1"/>
  <c r="P178" i="22" s="1"/>
  <c r="BU178" i="19" s="1"/>
  <c r="AL179" i="18" s="1"/>
  <c r="P179" i="19"/>
  <c r="AC179" i="19" s="1"/>
  <c r="C179" i="19" s="1"/>
  <c r="C179" i="22" s="1"/>
  <c r="M179" i="22" s="1"/>
  <c r="R180" i="18"/>
  <c r="BC179" i="19"/>
  <c r="CE180" i="20"/>
  <c r="K181" i="20"/>
  <c r="E179" i="18"/>
  <c r="BR179" i="19"/>
  <c r="AI180" i="18" s="1"/>
  <c r="AD178" i="19"/>
  <c r="D178" i="19" s="1"/>
  <c r="D178" i="22" s="1"/>
  <c r="N178" i="22" s="1"/>
  <c r="BS178" i="19" s="1"/>
  <c r="AJ179" i="18" s="1"/>
  <c r="AE178" i="19"/>
  <c r="E178" i="19" s="1"/>
  <c r="E178" i="22" s="1"/>
  <c r="O178" i="22" s="1"/>
  <c r="BT178" i="19" s="1"/>
  <c r="D179" i="18"/>
  <c r="BP179" i="19"/>
  <c r="AG180" i="18" s="1"/>
  <c r="BQ179" i="19"/>
  <c r="BN177" i="19" l="1"/>
  <c r="O177" i="18"/>
  <c r="AA177" i="19" s="1"/>
  <c r="AN177" i="19" s="1"/>
  <c r="N177" i="19" s="1"/>
  <c r="K177" i="22" s="1"/>
  <c r="U177" i="22" s="1"/>
  <c r="CA177" i="19" s="1"/>
  <c r="AS178" i="18" s="1"/>
  <c r="BL177" i="19"/>
  <c r="M177" i="18"/>
  <c r="P177" i="18"/>
  <c r="AE178" i="18" s="1"/>
  <c r="AT179" i="18" s="1"/>
  <c r="N177" i="18"/>
  <c r="AC178" i="18" s="1"/>
  <c r="BZ177" i="19"/>
  <c r="AR178" i="18" s="1"/>
  <c r="AP179" i="18"/>
  <c r="L178" i="18"/>
  <c r="AZ178" i="20"/>
  <c r="BJ178" i="19"/>
  <c r="W178" i="19"/>
  <c r="AJ178" i="19" s="1"/>
  <c r="J178" i="19" s="1"/>
  <c r="AA179" i="18"/>
  <c r="Q181" i="18"/>
  <c r="J179" i="18"/>
  <c r="Y180" i="18"/>
  <c r="Z179" i="18"/>
  <c r="I179" i="18"/>
  <c r="AX179" i="20" s="1"/>
  <c r="H179" i="18"/>
  <c r="AK179" i="18"/>
  <c r="G179" i="18" s="1"/>
  <c r="F179" i="18"/>
  <c r="U180" i="18" s="1"/>
  <c r="AH180" i="18"/>
  <c r="BD180" i="19" s="1"/>
  <c r="BO180" i="19"/>
  <c r="AF181" i="18" s="1"/>
  <c r="C180" i="18"/>
  <c r="BV181" i="20"/>
  <c r="AL181" i="20"/>
  <c r="S180" i="18"/>
  <c r="Q179" i="19"/>
  <c r="T180" i="18"/>
  <c r="BE179" i="19"/>
  <c r="R179" i="19"/>
  <c r="AE179" i="19" s="1"/>
  <c r="E179" i="19" s="1"/>
  <c r="E179" i="22" s="1"/>
  <c r="O179" i="22" s="1"/>
  <c r="BT179" i="19" s="1"/>
  <c r="BF179" i="19"/>
  <c r="BN178" i="19" l="1"/>
  <c r="AR179" i="18"/>
  <c r="BZ178" i="19"/>
  <c r="N178" i="18"/>
  <c r="P178" i="18"/>
  <c r="Z177" i="19"/>
  <c r="AM177" i="19" s="1"/>
  <c r="M177" i="19" s="1"/>
  <c r="BM177" i="19"/>
  <c r="BC177" i="20"/>
  <c r="AD178" i="18"/>
  <c r="BB177" i="20"/>
  <c r="Y177" i="19"/>
  <c r="AL177" i="19" s="1"/>
  <c r="L177" i="19" s="1"/>
  <c r="J177" i="22" s="1"/>
  <c r="T177" i="22" s="1"/>
  <c r="BY177" i="19" s="1"/>
  <c r="AQ178" i="18" s="1"/>
  <c r="AB178" i="18"/>
  <c r="BA178" i="20"/>
  <c r="BK178" i="19"/>
  <c r="X178" i="19"/>
  <c r="AK178" i="19" s="1"/>
  <c r="K178" i="19" s="1"/>
  <c r="K179" i="18"/>
  <c r="Z180" i="18" s="1"/>
  <c r="AU179" i="20"/>
  <c r="J180" i="18"/>
  <c r="L179" i="18"/>
  <c r="S179" i="19"/>
  <c r="AY179" i="20"/>
  <c r="BI179" i="19"/>
  <c r="AO180" i="18" s="1"/>
  <c r="V179" i="19"/>
  <c r="AI179" i="19" s="1"/>
  <c r="I179" i="19" s="1"/>
  <c r="I179" i="22" s="1"/>
  <c r="S179" i="22" s="1"/>
  <c r="BX179" i="19" s="1"/>
  <c r="U179" i="19"/>
  <c r="AH179" i="19" s="1"/>
  <c r="H179" i="19" s="1"/>
  <c r="H179" i="22" s="1"/>
  <c r="R179" i="22" s="1"/>
  <c r="BW179" i="19" s="1"/>
  <c r="AW179" i="20"/>
  <c r="BH179" i="19"/>
  <c r="AM180" i="18" s="1"/>
  <c r="X180" i="18"/>
  <c r="BG179" i="19"/>
  <c r="T179" i="19"/>
  <c r="AG179" i="19" s="1"/>
  <c r="G179" i="19" s="1"/>
  <c r="G179" i="22" s="1"/>
  <c r="Q179" i="22" s="1"/>
  <c r="BV179" i="19" s="1"/>
  <c r="AN180" i="18" s="1"/>
  <c r="W180" i="18"/>
  <c r="AV179" i="20"/>
  <c r="V180" i="18"/>
  <c r="AK180" i="18"/>
  <c r="BC180" i="19"/>
  <c r="P180" i="19"/>
  <c r="AC180" i="19" s="1"/>
  <c r="C180" i="19" s="1"/>
  <c r="C180" i="22" s="1"/>
  <c r="M180" i="22" s="1"/>
  <c r="R181" i="18"/>
  <c r="BB181" i="19"/>
  <c r="B181" i="18"/>
  <c r="AC181" i="20"/>
  <c r="E180" i="18"/>
  <c r="BR180" i="19"/>
  <c r="AI181" i="18" s="1"/>
  <c r="BP180" i="19"/>
  <c r="AG181" i="18" s="1"/>
  <c r="D180" i="18"/>
  <c r="AF179" i="19"/>
  <c r="F179" i="19" s="1"/>
  <c r="F179" i="22" s="1"/>
  <c r="P179" i="22" s="1"/>
  <c r="BU179" i="19" s="1"/>
  <c r="AD179" i="19"/>
  <c r="D179" i="19" s="1"/>
  <c r="D179" i="22" s="1"/>
  <c r="N179" i="22" s="1"/>
  <c r="BS179" i="19" s="1"/>
  <c r="AJ180" i="18" s="1"/>
  <c r="M178" i="18" l="1"/>
  <c r="BL178" i="19"/>
  <c r="BC178" i="20"/>
  <c r="Z178" i="19"/>
  <c r="AM178" i="19" s="1"/>
  <c r="M178" i="19" s="1"/>
  <c r="BM178" i="19"/>
  <c r="O178" i="18"/>
  <c r="AA178" i="19" s="1"/>
  <c r="AN178" i="19" s="1"/>
  <c r="N178" i="19" s="1"/>
  <c r="K178" i="22" s="1"/>
  <c r="U178" i="22" s="1"/>
  <c r="CA178" i="19" s="1"/>
  <c r="AS179" i="18" s="1"/>
  <c r="AD179" i="18"/>
  <c r="AA180" i="18"/>
  <c r="K180" i="18"/>
  <c r="Z181" i="18" s="1"/>
  <c r="Y181" i="18"/>
  <c r="AY180" i="20"/>
  <c r="BI180" i="19"/>
  <c r="V180" i="19"/>
  <c r="AI180" i="19" s="1"/>
  <c r="I180" i="19" s="1"/>
  <c r="I180" i="22" s="1"/>
  <c r="S180" i="22" s="1"/>
  <c r="BX180" i="19" s="1"/>
  <c r="BA179" i="20"/>
  <c r="X179" i="19"/>
  <c r="BK179" i="19"/>
  <c r="AZ179" i="20"/>
  <c r="BJ179" i="19"/>
  <c r="AP180" i="18" s="1"/>
  <c r="W179" i="19"/>
  <c r="AJ179" i="19" s="1"/>
  <c r="J179" i="19" s="1"/>
  <c r="I180" i="18"/>
  <c r="AX180" i="20" s="1"/>
  <c r="AL180" i="18"/>
  <c r="G180" i="18"/>
  <c r="F180" i="18"/>
  <c r="U181" i="18" s="1"/>
  <c r="BQ180" i="19"/>
  <c r="AH181" i="18" s="1"/>
  <c r="BD181" i="19" s="1"/>
  <c r="C181" i="18"/>
  <c r="P181" i="19" s="1"/>
  <c r="AC181" i="19" s="1"/>
  <c r="C181" i="19" s="1"/>
  <c r="C181" i="22" s="1"/>
  <c r="M181" i="22" s="1"/>
  <c r="O181" i="19"/>
  <c r="AB181" i="19" s="1"/>
  <c r="B181" i="19" s="1"/>
  <c r="B181" i="22" s="1"/>
  <c r="L181" i="22" s="1"/>
  <c r="BO181" i="19" s="1"/>
  <c r="Q182" i="18"/>
  <c r="B182" i="18" s="1"/>
  <c r="O182" i="19" s="1"/>
  <c r="AB182" i="19" s="1"/>
  <c r="B182" i="19" s="1"/>
  <c r="B182" i="22" s="1"/>
  <c r="L182" i="22" s="1"/>
  <c r="CE181" i="20"/>
  <c r="K182" i="20"/>
  <c r="BF180" i="19"/>
  <c r="S181" i="18"/>
  <c r="Q180" i="19"/>
  <c r="T181" i="18"/>
  <c r="BE180" i="19"/>
  <c r="R180" i="19"/>
  <c r="AE180" i="19" s="1"/>
  <c r="E180" i="19" s="1"/>
  <c r="E180" i="22" s="1"/>
  <c r="O180" i="22" s="1"/>
  <c r="BT180" i="19" s="1"/>
  <c r="V181" i="18"/>
  <c r="BN179" i="19" l="1"/>
  <c r="BB178" i="20"/>
  <c r="Y178" i="19"/>
  <c r="AL178" i="19" s="1"/>
  <c r="L178" i="19" s="1"/>
  <c r="J178" i="22" s="1"/>
  <c r="T178" i="22" s="1"/>
  <c r="BY178" i="19" s="1"/>
  <c r="AQ179" i="18" s="1"/>
  <c r="AB179" i="18"/>
  <c r="AC179" i="18"/>
  <c r="O179" i="18"/>
  <c r="AA179" i="19" s="1"/>
  <c r="AN179" i="19" s="1"/>
  <c r="N179" i="19" s="1"/>
  <c r="K179" i="22" s="1"/>
  <c r="U179" i="22" s="1"/>
  <c r="CA179" i="19" s="1"/>
  <c r="AS180" i="18" s="1"/>
  <c r="AE179" i="18"/>
  <c r="AP181" i="18"/>
  <c r="L181" i="18" s="1"/>
  <c r="L180" i="18"/>
  <c r="AA181" i="18" s="1"/>
  <c r="AZ180" i="20"/>
  <c r="W180" i="19"/>
  <c r="AJ180" i="19" s="1"/>
  <c r="J180" i="19" s="1"/>
  <c r="BJ180" i="19"/>
  <c r="BC181" i="19"/>
  <c r="AK179" i="19"/>
  <c r="K179" i="19" s="1"/>
  <c r="BA180" i="20"/>
  <c r="X180" i="19"/>
  <c r="AK180" i="19" s="1"/>
  <c r="K180" i="19" s="1"/>
  <c r="BK180" i="19"/>
  <c r="AK181" i="18"/>
  <c r="G181" i="18" s="1"/>
  <c r="S180" i="19"/>
  <c r="AU180" i="20"/>
  <c r="H180" i="18"/>
  <c r="BG180" i="19"/>
  <c r="T180" i="19"/>
  <c r="AG180" i="19" s="1"/>
  <c r="G180" i="19" s="1"/>
  <c r="G180" i="22" s="1"/>
  <c r="Q180" i="22" s="1"/>
  <c r="BV180" i="19" s="1"/>
  <c r="AN181" i="18" s="1"/>
  <c r="J181" i="18" s="1"/>
  <c r="AV180" i="20"/>
  <c r="R182" i="18"/>
  <c r="BV182" i="20"/>
  <c r="AL182" i="20"/>
  <c r="BP181" i="19"/>
  <c r="BQ181" i="19"/>
  <c r="D181" i="18"/>
  <c r="E181" i="18"/>
  <c r="BR181" i="19"/>
  <c r="AD180" i="19"/>
  <c r="D180" i="19" s="1"/>
  <c r="D180" i="22" s="1"/>
  <c r="N180" i="22" s="1"/>
  <c r="BS180" i="19" s="1"/>
  <c r="AJ181" i="18" s="1"/>
  <c r="F181" i="18" s="1"/>
  <c r="AF180" i="19"/>
  <c r="F180" i="19" s="1"/>
  <c r="F180" i="22" s="1"/>
  <c r="P180" i="22" s="1"/>
  <c r="BU180" i="19" s="1"/>
  <c r="P179" i="18" l="1"/>
  <c r="AE180" i="18" s="1"/>
  <c r="P180" i="18" s="1"/>
  <c r="AT180" i="18"/>
  <c r="AT181" i="18" s="1"/>
  <c r="BN180" i="19"/>
  <c r="BZ179" i="19"/>
  <c r="AR180" i="18" s="1"/>
  <c r="N179" i="18"/>
  <c r="AC180" i="18"/>
  <c r="M179" i="18"/>
  <c r="AB180" i="18"/>
  <c r="BL179" i="19"/>
  <c r="AY181" i="20"/>
  <c r="V181" i="19"/>
  <c r="AI181" i="19" s="1"/>
  <c r="I181" i="19" s="1"/>
  <c r="I181" i="22" s="1"/>
  <c r="S181" i="22" s="1"/>
  <c r="BX181" i="19" s="1"/>
  <c r="BI181" i="19"/>
  <c r="Y182" i="18"/>
  <c r="J182" i="18" s="1"/>
  <c r="BA181" i="20"/>
  <c r="X181" i="19"/>
  <c r="AK181" i="19" s="1"/>
  <c r="K181" i="19" s="1"/>
  <c r="BK181" i="19"/>
  <c r="AL181" i="18"/>
  <c r="AW180" i="20"/>
  <c r="BH180" i="19"/>
  <c r="AM181" i="18" s="1"/>
  <c r="U180" i="19"/>
  <c r="AH180" i="19" s="1"/>
  <c r="H180" i="19" s="1"/>
  <c r="H180" i="22" s="1"/>
  <c r="R180" i="22" s="1"/>
  <c r="BW180" i="19" s="1"/>
  <c r="AO181" i="18" s="1"/>
  <c r="K181" i="18" s="1"/>
  <c r="AZ181" i="20" s="1"/>
  <c r="X181" i="18"/>
  <c r="W181" i="18"/>
  <c r="AU181" i="20"/>
  <c r="BF181" i="19"/>
  <c r="S181" i="19"/>
  <c r="AF181" i="19" s="1"/>
  <c r="F181" i="19" s="1"/>
  <c r="F181" i="22" s="1"/>
  <c r="P181" i="22" s="1"/>
  <c r="BU181" i="19" s="1"/>
  <c r="C182" i="18"/>
  <c r="BO182" i="19"/>
  <c r="AC182" i="20"/>
  <c r="T182" i="18"/>
  <c r="BE181" i="19"/>
  <c r="R181" i="19"/>
  <c r="AE181" i="19" s="1"/>
  <c r="E181" i="19" s="1"/>
  <c r="E181" i="22" s="1"/>
  <c r="O181" i="22" s="1"/>
  <c r="BT181" i="19" s="1"/>
  <c r="U182" i="18"/>
  <c r="AV181" i="20"/>
  <c r="BG181" i="19"/>
  <c r="T181" i="19"/>
  <c r="S182" i="18"/>
  <c r="Q181" i="19"/>
  <c r="V182" i="18"/>
  <c r="AR181" i="18" l="1"/>
  <c r="BZ180" i="19"/>
  <c r="N180" i="18"/>
  <c r="Y179" i="19"/>
  <c r="AL179" i="19" s="1"/>
  <c r="L179" i="19" s="1"/>
  <c r="J179" i="22" s="1"/>
  <c r="T179" i="22" s="1"/>
  <c r="BY179" i="19" s="1"/>
  <c r="AQ180" i="18" s="1"/>
  <c r="BB179" i="20"/>
  <c r="BM179" i="19"/>
  <c r="BC179" i="20"/>
  <c r="Z179" i="19"/>
  <c r="AM179" i="19" s="1"/>
  <c r="M179" i="19" s="1"/>
  <c r="AD180" i="18"/>
  <c r="BJ181" i="19"/>
  <c r="Z182" i="18"/>
  <c r="K182" i="18" s="1"/>
  <c r="AZ182" i="20" s="1"/>
  <c r="AA182" i="18"/>
  <c r="L182" i="18" s="1"/>
  <c r="X182" i="19" s="1"/>
  <c r="AK182" i="19" s="1"/>
  <c r="K182" i="19" s="1"/>
  <c r="W181" i="19"/>
  <c r="AJ181" i="19" s="1"/>
  <c r="J181" i="19" s="1"/>
  <c r="BJ182" i="19"/>
  <c r="W182" i="19"/>
  <c r="AJ182" i="19" s="1"/>
  <c r="J182" i="19" s="1"/>
  <c r="AY182" i="20"/>
  <c r="V182" i="19"/>
  <c r="AI182" i="19" s="1"/>
  <c r="I182" i="19" s="1"/>
  <c r="I182" i="22" s="1"/>
  <c r="S182" i="22" s="1"/>
  <c r="BI182" i="19"/>
  <c r="H181" i="18"/>
  <c r="W182" i="18" s="1"/>
  <c r="H182" i="18" s="1"/>
  <c r="I181" i="18"/>
  <c r="AX181" i="20" s="1"/>
  <c r="AW181" i="20"/>
  <c r="BH181" i="19"/>
  <c r="U181" i="19"/>
  <c r="AH181" i="19" s="1"/>
  <c r="H181" i="19" s="1"/>
  <c r="H181" i="22" s="1"/>
  <c r="R181" i="22" s="1"/>
  <c r="BW181" i="19" s="1"/>
  <c r="CE182" i="20"/>
  <c r="P182" i="19"/>
  <c r="AC182" i="19" s="1"/>
  <c r="C182" i="19" s="1"/>
  <c r="C182" i="22" s="1"/>
  <c r="M182" i="22" s="1"/>
  <c r="BC182" i="19"/>
  <c r="F182" i="18"/>
  <c r="G182" i="18"/>
  <c r="AD181" i="19"/>
  <c r="D181" i="19" s="1"/>
  <c r="D181" i="22" s="1"/>
  <c r="N181" i="22" s="1"/>
  <c r="BS181" i="19" s="1"/>
  <c r="D182" i="18"/>
  <c r="Q182" i="19" s="1"/>
  <c r="BP182" i="19"/>
  <c r="AG181" i="19"/>
  <c r="G181" i="19" s="1"/>
  <c r="G181" i="22" s="1"/>
  <c r="Q181" i="22" s="1"/>
  <c r="BV181" i="19" s="1"/>
  <c r="E182" i="18"/>
  <c r="BR182" i="19"/>
  <c r="BL180" i="19" l="1"/>
  <c r="BM180" i="19"/>
  <c r="BC180" i="20"/>
  <c r="Z180" i="19"/>
  <c r="AM180" i="19" s="1"/>
  <c r="M180" i="19" s="1"/>
  <c r="O180" i="18"/>
  <c r="AD181" i="18" s="1"/>
  <c r="M180" i="18"/>
  <c r="AC181" i="18" s="1"/>
  <c r="BA182" i="20"/>
  <c r="BX182" i="19"/>
  <c r="BK182" i="19"/>
  <c r="X182" i="18"/>
  <c r="I182" i="18" s="1"/>
  <c r="AX182" i="20" s="1"/>
  <c r="BQ182" i="19"/>
  <c r="AW182" i="20"/>
  <c r="BH182" i="19"/>
  <c r="U182" i="19"/>
  <c r="BE182" i="19"/>
  <c r="R182" i="19"/>
  <c r="AD182" i="19"/>
  <c r="D182" i="19" s="1"/>
  <c r="D182" i="22" s="1"/>
  <c r="N182" i="22" s="1"/>
  <c r="BS182" i="19" s="1"/>
  <c r="AV182" i="20"/>
  <c r="BG182" i="19"/>
  <c r="T182" i="19"/>
  <c r="AU182" i="20"/>
  <c r="BF182" i="19"/>
  <c r="S182" i="19"/>
  <c r="BZ181" i="19" l="1"/>
  <c r="N181" i="18"/>
  <c r="AA180" i="19"/>
  <c r="AN180" i="19" s="1"/>
  <c r="N180" i="19" s="1"/>
  <c r="K180" i="22" s="1"/>
  <c r="U180" i="22" s="1"/>
  <c r="CA180" i="19" s="1"/>
  <c r="AS181" i="18" s="1"/>
  <c r="BN181" i="19" s="1"/>
  <c r="AE181" i="18"/>
  <c r="AB181" i="18"/>
  <c r="BB180" i="20"/>
  <c r="Y180" i="19"/>
  <c r="AL180" i="19" s="1"/>
  <c r="L180" i="19" s="1"/>
  <c r="J180" i="22" s="1"/>
  <c r="T180" i="22" s="1"/>
  <c r="BY180" i="19" s="1"/>
  <c r="AQ181" i="18" s="1"/>
  <c r="BL181" i="19" s="1"/>
  <c r="AH182" i="19"/>
  <c r="H182" i="19" s="1"/>
  <c r="H182" i="22" s="1"/>
  <c r="R182" i="22" s="1"/>
  <c r="BW182" i="19" s="1"/>
  <c r="AG182" i="19"/>
  <c r="G182" i="19" s="1"/>
  <c r="G182" i="22" s="1"/>
  <c r="Q182" i="22" s="1"/>
  <c r="BV182" i="19" s="1"/>
  <c r="AF182" i="19"/>
  <c r="F182" i="19" s="1"/>
  <c r="F182" i="22" s="1"/>
  <c r="P182" i="22" s="1"/>
  <c r="BU182" i="19" s="1"/>
  <c r="AE182" i="19"/>
  <c r="E182" i="19" s="1"/>
  <c r="E182" i="22" s="1"/>
  <c r="O182" i="22" s="1"/>
  <c r="BT182" i="19" s="1"/>
  <c r="O181" i="18" l="1"/>
  <c r="AA181" i="19" s="1"/>
  <c r="AN181" i="19" s="1"/>
  <c r="N181" i="19" s="1"/>
  <c r="K181" i="22" s="1"/>
  <c r="U181" i="22" s="1"/>
  <c r="CA181" i="19" s="1"/>
  <c r="M181" i="18"/>
  <c r="AD182" i="18"/>
  <c r="O182" i="18" s="1"/>
  <c r="AA182" i="19" s="1"/>
  <c r="AN182" i="19" s="1"/>
  <c r="N182" i="19" s="1"/>
  <c r="K182" i="22" s="1"/>
  <c r="U182" i="22" s="1"/>
  <c r="CA182" i="19" s="1"/>
  <c r="BC181" i="20"/>
  <c r="Z181" i="19"/>
  <c r="AM181" i="19" s="1"/>
  <c r="M181" i="19" s="1"/>
  <c r="BM181" i="19"/>
  <c r="P181" i="18"/>
  <c r="AE182" i="18" s="1"/>
  <c r="P182" i="18" s="1"/>
  <c r="AB182" i="18" l="1"/>
  <c r="M182" i="18" s="1"/>
  <c r="Y181" i="19"/>
  <c r="AL181" i="19" s="1"/>
  <c r="L181" i="19" s="1"/>
  <c r="J181" i="22" s="1"/>
  <c r="T181" i="22" s="1"/>
  <c r="BY181" i="19" s="1"/>
  <c r="BB181" i="20"/>
  <c r="AC182" i="18"/>
  <c r="BZ182" i="19" l="1"/>
  <c r="N182" i="18"/>
  <c r="Y182" i="19"/>
  <c r="AL182" i="19" s="1"/>
  <c r="L182" i="19" s="1"/>
  <c r="J182" i="22" s="1"/>
  <c r="T182" i="22" s="1"/>
  <c r="BY182" i="19" s="1"/>
  <c r="BB182" i="20"/>
  <c r="Z182" i="19" l="1"/>
  <c r="AM182" i="19" s="1"/>
  <c r="M182" i="19" s="1"/>
  <c r="BM182" i="19"/>
  <c r="BC182" i="20"/>
</calcChain>
</file>

<file path=xl/sharedStrings.xml><?xml version="1.0" encoding="utf-8"?>
<sst xmlns="http://schemas.openxmlformats.org/spreadsheetml/2006/main" count="417" uniqueCount="208">
  <si>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</si>
  <si>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</si>
  <si>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</si>
  <si>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</si>
  <si>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</si>
  <si>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</si>
  <si>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</si>
  <si>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</si>
  <si>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</si>
  <si>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</si>
  <si>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</si>
  <si>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</si>
  <si>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</si>
  <si>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</si>
  <si>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</si>
  <si>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</si>
  <si>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</si>
  <si>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</si>
  <si>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</si>
  <si>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</si>
  <si>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</si>
  <si>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</si>
  <si>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</si>
  <si>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</si>
  <si>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</si>
  <si>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</si>
  <si>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</si>
  <si>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</si>
  <si>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</si>
  <si>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</si>
  <si>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</si>
  <si>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</si>
  <si>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</si>
  <si>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</si>
  <si>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</si>
  <si>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</si>
  <si>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</si>
  <si>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</si>
  <si>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</si>
  <si>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</si>
  <si>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</si>
  <si>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</si>
  <si>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</si>
  <si>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</si>
  <si>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</si>
  <si>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</si>
  <si>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</si>
  <si>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</si>
  <si>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</si>
  <si>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</si>
  <si>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</si>
  <si>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</si>
  <si>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</si>
  <si>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</si>
  <si>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</si>
  <si>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</si>
  <si>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</si>
  <si>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</si>
  <si>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</si>
  <si>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</si>
  <si>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</si>
  <si>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</si>
  <si>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</si>
  <si>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</si>
  <si>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</si>
  <si>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</si>
  <si>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</si>
  <si>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</si>
  <si>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</si>
  <si>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</si>
  <si>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</si>
  <si>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</si>
  <si>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</si>
  <si>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</si>
  <si>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</si>
  <si>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</si>
  <si>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</si>
  <si>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</si>
  <si>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</si>
  <si>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</si>
  <si>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</si>
  <si>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</si>
  <si>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</si>
  <si>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</si>
  <si>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</si>
  <si>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</si>
  <si>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</si>
  <si>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</si>
  <si>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</si>
  <si>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</si>
  <si>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</si>
  <si>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</si>
  <si>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</si>
  <si>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</si>
  <si>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</si>
  <si>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</si>
  <si>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</si>
  <si>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</si>
  <si>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</si>
  <si>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</si>
  <si>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</si>
  <si>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</si>
  <si>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</si>
  <si>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</si>
  <si>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</si>
  <si>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</si>
  <si>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</si>
  <si>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</si>
  <si>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</si>
  <si>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</si>
  <si>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</si>
  <si>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</si>
  <si>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</si>
  <si>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</si>
  <si>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</si>
  <si>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</si>
  <si>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</si>
  <si>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</si>
  <si>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</si>
  <si>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</si>
  <si>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</si>
  <si>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</si>
  <si>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</si>
  <si>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</si>
  <si>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</si>
  <si>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</si>
  <si>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</si>
  <si>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</si>
  <si>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</si>
  <si>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</si>
  <si>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</si>
  <si>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</si>
  <si>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</si>
  <si>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</si>
  <si>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</si>
  <si>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</si>
  <si>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</si>
  <si>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</si>
  <si>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</si>
  <si>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</si>
  <si>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</si>
  <si>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</si>
  <si>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</si>
  <si>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</si>
  <si>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</si>
  <si>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</si>
  <si>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</si>
  <si>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</si>
  <si>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</si>
  <si>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</si>
  <si>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</si>
  <si>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</si>
  <si>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</si>
  <si>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</si>
  <si>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</si>
  <si>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</si>
  <si>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</si>
  <si>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</si>
  <si>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</si>
  <si>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</si>
  <si>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</si>
  <si>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</si>
  <si>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</si>
  <si>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</si>
  <si>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</si>
  <si>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</si>
  <si>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</si>
  <si>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</si>
  <si>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</si>
  <si>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</si>
  <si>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</si>
  <si>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</si>
  <si>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</si>
  <si>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</si>
  <si>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</si>
  <si>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</si>
  <si>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</si>
  <si>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</si>
  <si>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</si>
  <si>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</si>
  <si>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</si>
  <si>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</si>
  <si>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</si>
  <si>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</si>
  <si>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</si>
  <si>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</si>
  <si>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</si>
  <si>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</si>
  <si>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</si>
  <si>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</si>
  <si>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</si>
  <si>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</si>
  <si>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</si>
  <si>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</si>
  <si>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</si>
  <si>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</si>
  <si>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</si>
  <si>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</si>
  <si>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</si>
  <si>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</si>
  <si>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</si>
  <si>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</si>
  <si>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</si>
  <si>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</si>
  <si>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rho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</si>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</sst>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0" fillId="3" borderId="1" xfId="0" applyFill="1" applyBorder="1">
      <alignment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22" borderId="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8" borderId="4" xfId="0" applyFont="1" applyFill="1" applyBorder="1">
      <alignment vertical="center"/>
    </xf>
    <xf numFmtId="0" fontId="10" fillId="17" borderId="9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6" workbookViewId="0">
      <selection activeCell="D32" sqref="D32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67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67"/>
      <c r="B3" s="6" t="s">
        <v>25</v>
      </c>
      <c r="C3" s="7" t="s">
        <v>92</v>
      </c>
      <c r="D3" s="6" t="s">
        <v>38</v>
      </c>
    </row>
    <row r="4" spans="1:4" ht="14.25" x14ac:dyDescent="0.15">
      <c r="A4" s="67"/>
      <c r="B4" s="16" t="s">
        <v>26</v>
      </c>
      <c r="C4" s="17" t="s">
        <v>72</v>
      </c>
      <c r="D4" s="18"/>
    </row>
    <row r="5" spans="1:4" ht="14.25" x14ac:dyDescent="0.15">
      <c r="A5" s="67"/>
      <c r="B5" s="6" t="s">
        <v>31</v>
      </c>
      <c r="C5" s="7" t="s">
        <v>32</v>
      </c>
      <c r="D5" s="6" t="s">
        <v>40</v>
      </c>
    </row>
    <row r="6" spans="1:4" ht="14.25" x14ac:dyDescent="0.15">
      <c r="A6" s="67"/>
      <c r="B6" s="6" t="s">
        <v>51</v>
      </c>
      <c r="C6" s="7" t="s">
        <v>53</v>
      </c>
      <c r="D6" s="6" t="s">
        <v>40</v>
      </c>
    </row>
    <row r="7" spans="1:4" ht="14.25" x14ac:dyDescent="0.15">
      <c r="A7" s="67"/>
      <c r="B7" s="6" t="s">
        <v>52</v>
      </c>
      <c r="C7" s="7" t="s">
        <v>54</v>
      </c>
      <c r="D7" s="6" t="s">
        <v>40</v>
      </c>
    </row>
    <row r="8" spans="1:4" ht="14.25" x14ac:dyDescent="0.15">
      <c r="A8" s="67"/>
      <c r="B8" s="6" t="s">
        <v>55</v>
      </c>
      <c r="C8" s="7" t="s">
        <v>56</v>
      </c>
      <c r="D8" s="6" t="s">
        <v>40</v>
      </c>
    </row>
    <row r="9" spans="1:4" ht="14.25" x14ac:dyDescent="0.15">
      <c r="A9" s="67"/>
      <c r="B9" s="6" t="s">
        <v>63</v>
      </c>
      <c r="C9" s="14" t="s">
        <v>64</v>
      </c>
      <c r="D9" s="6" t="s">
        <v>65</v>
      </c>
    </row>
    <row r="10" spans="1:4" ht="14.25" x14ac:dyDescent="0.15">
      <c r="A10" s="67" t="s">
        <v>43</v>
      </c>
      <c r="B10" s="6" t="s">
        <v>60</v>
      </c>
      <c r="C10" s="7">
        <v>58</v>
      </c>
      <c r="D10" s="6"/>
    </row>
    <row r="11" spans="1:4" ht="14.25" x14ac:dyDescent="0.15">
      <c r="A11" s="67"/>
      <c r="B11" s="6" t="s">
        <v>35</v>
      </c>
      <c r="C11" s="7">
        <v>0</v>
      </c>
      <c r="D11" s="6" t="s">
        <v>36</v>
      </c>
    </row>
    <row r="12" spans="1:4" ht="14.25" x14ac:dyDescent="0.15">
      <c r="A12" s="67"/>
      <c r="B12" s="6" t="s">
        <v>61</v>
      </c>
      <c r="C12" s="15" t="s">
        <v>68</v>
      </c>
      <c r="D12" s="6" t="s">
        <v>37</v>
      </c>
    </row>
    <row r="13" spans="1:4" ht="14.25" x14ac:dyDescent="0.15">
      <c r="A13" s="67"/>
      <c r="B13" s="6" t="s">
        <v>69</v>
      </c>
      <c r="C13" s="7">
        <v>1800</v>
      </c>
      <c r="D13" s="6"/>
    </row>
    <row r="14" spans="1:4" ht="14.25" x14ac:dyDescent="0.15">
      <c r="A14" s="67"/>
      <c r="B14" s="16" t="s">
        <v>70</v>
      </c>
      <c r="C14" s="17" t="s">
        <v>71</v>
      </c>
      <c r="D14" s="16" t="s">
        <v>33</v>
      </c>
    </row>
    <row r="15" spans="1:4" ht="14.25" x14ac:dyDescent="0.15">
      <c r="A15" s="67"/>
      <c r="B15" s="6" t="s">
        <v>62</v>
      </c>
      <c r="C15" s="7">
        <v>2</v>
      </c>
      <c r="D15" s="6" t="s">
        <v>34</v>
      </c>
    </row>
    <row r="16" spans="1:4" ht="14.25" x14ac:dyDescent="0.15">
      <c r="A16" s="67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67"/>
      <c r="B17" s="6" t="s">
        <v>90</v>
      </c>
      <c r="C17" s="7">
        <v>450</v>
      </c>
      <c r="D17" s="6"/>
    </row>
    <row r="18" spans="1:4" ht="14.25" x14ac:dyDescent="0.15">
      <c r="A18" s="67"/>
      <c r="B18" s="6" t="s">
        <v>91</v>
      </c>
      <c r="C18" s="7" t="s">
        <v>99</v>
      </c>
      <c r="D18" s="6" t="s">
        <v>38</v>
      </c>
    </row>
    <row r="19" spans="1:4" ht="14.25" x14ac:dyDescent="0.15">
      <c r="A19" s="67"/>
      <c r="B19" s="6" t="s">
        <v>86</v>
      </c>
      <c r="C19" s="7">
        <v>0</v>
      </c>
      <c r="D19" s="6" t="s">
        <v>87</v>
      </c>
    </row>
    <row r="20" spans="1:4" ht="14.25" x14ac:dyDescent="0.15">
      <c r="A20" s="67"/>
      <c r="B20" s="6" t="s">
        <v>80</v>
      </c>
      <c r="C20" s="7"/>
      <c r="D20" s="6"/>
    </row>
    <row r="21" spans="1:4" ht="14.25" x14ac:dyDescent="0.15">
      <c r="A21" s="68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69"/>
      <c r="B22" s="6" t="s">
        <v>86</v>
      </c>
      <c r="C22" s="7">
        <v>0</v>
      </c>
      <c r="D22" s="6" t="s">
        <v>87</v>
      </c>
    </row>
    <row r="23" spans="1:4" ht="14.25" x14ac:dyDescent="0.15">
      <c r="A23" s="69"/>
      <c r="B23" s="6" t="s">
        <v>80</v>
      </c>
      <c r="C23" s="7"/>
      <c r="D23" s="6"/>
    </row>
    <row r="24" spans="1:4" ht="14.25" x14ac:dyDescent="0.15">
      <c r="A24" s="69"/>
      <c r="B24" s="6" t="s">
        <v>80</v>
      </c>
      <c r="C24" s="7"/>
      <c r="D24" s="6"/>
    </row>
    <row r="25" spans="1:4" ht="14.25" x14ac:dyDescent="0.15">
      <c r="A25" s="69"/>
      <c r="B25" s="6" t="s">
        <v>80</v>
      </c>
      <c r="C25" s="7"/>
      <c r="D25" s="6"/>
    </row>
    <row r="26" spans="1:4" ht="14.25" customHeight="1" x14ac:dyDescent="0.15">
      <c r="A26" s="64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65"/>
      <c r="B27" s="6" t="s">
        <v>91</v>
      </c>
      <c r="C27" s="7" t="s">
        <v>115</v>
      </c>
      <c r="D27" s="6" t="s">
        <v>116</v>
      </c>
    </row>
    <row r="28" spans="1:4" ht="14.25" x14ac:dyDescent="0.15">
      <c r="A28" s="65"/>
      <c r="B28" s="6" t="s">
        <v>77</v>
      </c>
      <c r="C28" s="7" t="s">
        <v>100</v>
      </c>
      <c r="D28" s="6" t="s">
        <v>101</v>
      </c>
    </row>
    <row r="29" spans="1:4" ht="14.25" x14ac:dyDescent="0.15">
      <c r="A29" s="65"/>
      <c r="B29" s="6" t="s">
        <v>86</v>
      </c>
      <c r="C29" s="7">
        <v>1</v>
      </c>
      <c r="D29" s="6" t="s">
        <v>87</v>
      </c>
    </row>
    <row r="30" spans="1:4" ht="28.5" x14ac:dyDescent="0.15">
      <c r="A30" s="65"/>
      <c r="B30" s="6" t="s">
        <v>70</v>
      </c>
      <c r="C30" s="7">
        <v>15</v>
      </c>
      <c r="D30" s="22" t="s">
        <v>131</v>
      </c>
    </row>
    <row r="31" spans="1:4" ht="14.25" x14ac:dyDescent="0.15">
      <c r="A31" s="66"/>
      <c r="B31" s="6" t="s">
        <v>127</v>
      </c>
      <c r="C31" s="7" t="s">
        <v>132</v>
      </c>
      <c r="D31" s="6"/>
    </row>
    <row r="32" spans="1:4" ht="14.25" x14ac:dyDescent="0.15">
      <c r="A32" s="64" t="s">
        <v>136</v>
      </c>
      <c r="B32" s="6" t="s">
        <v>137</v>
      </c>
      <c r="C32" s="7" t="s">
        <v>139</v>
      </c>
      <c r="D32" s="6"/>
    </row>
    <row r="33" spans="1:4" ht="14.25" x14ac:dyDescent="0.15">
      <c r="A33" s="65"/>
      <c r="B33" s="6" t="s">
        <v>133</v>
      </c>
      <c r="C33" s="7">
        <v>1</v>
      </c>
      <c r="D33" s="6"/>
    </row>
    <row r="34" spans="1:4" ht="14.25" x14ac:dyDescent="0.15">
      <c r="A34" s="65"/>
      <c r="B34" s="6" t="s">
        <v>134</v>
      </c>
      <c r="C34" s="7">
        <v>1</v>
      </c>
      <c r="D34" s="6"/>
    </row>
    <row r="35" spans="1:4" ht="14.25" x14ac:dyDescent="0.15">
      <c r="A35" s="65"/>
      <c r="B35" s="6" t="s">
        <v>135</v>
      </c>
      <c r="C35" s="7">
        <v>1</v>
      </c>
      <c r="D35" s="6"/>
    </row>
    <row r="36" spans="1:4" ht="14.25" x14ac:dyDescent="0.15">
      <c r="A36" s="65"/>
      <c r="B36" s="6" t="s">
        <v>138</v>
      </c>
      <c r="C36" s="7">
        <v>0</v>
      </c>
      <c r="D36" s="6" t="s">
        <v>87</v>
      </c>
    </row>
    <row r="37" spans="1:4" ht="14.25" x14ac:dyDescent="0.15">
      <c r="A37" s="66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1"/>
  <sheetViews>
    <sheetView workbookViewId="0">
      <selection activeCell="D13" sqref="D13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64" t="s">
        <v>42</v>
      </c>
      <c r="B2" s="6" t="s">
        <v>140</v>
      </c>
      <c r="C2" s="7" t="s">
        <v>144</v>
      </c>
      <c r="D2" s="6"/>
    </row>
    <row r="3" spans="1:4" ht="14.25" x14ac:dyDescent="0.15">
      <c r="A3" s="65"/>
      <c r="B3" s="6" t="s">
        <v>141</v>
      </c>
      <c r="C3" s="7" t="s">
        <v>143</v>
      </c>
      <c r="D3" s="6"/>
    </row>
    <row r="4" spans="1:4" ht="14.25" x14ac:dyDescent="0.15">
      <c r="A4" s="66"/>
      <c r="B4" s="6" t="s">
        <v>142</v>
      </c>
      <c r="C4" s="7" t="s">
        <v>159</v>
      </c>
      <c r="D4" s="6"/>
    </row>
    <row r="5" spans="1:4" ht="14.25" x14ac:dyDescent="0.15">
      <c r="A5" s="22" t="s">
        <v>175</v>
      </c>
      <c r="B5" s="6" t="s">
        <v>176</v>
      </c>
      <c r="C5" s="7">
        <v>10</v>
      </c>
      <c r="D5" s="6" t="s">
        <v>177</v>
      </c>
    </row>
    <row r="6" spans="1:4" ht="14.25" x14ac:dyDescent="0.15">
      <c r="A6" s="22"/>
      <c r="B6" s="6" t="s">
        <v>178</v>
      </c>
      <c r="C6" s="7">
        <v>700</v>
      </c>
      <c r="D6" s="6"/>
    </row>
    <row r="7" spans="1:4" ht="14.25" x14ac:dyDescent="0.15">
      <c r="A7" s="22"/>
      <c r="B7" s="6" t="s">
        <v>179</v>
      </c>
      <c r="C7" s="7">
        <v>800</v>
      </c>
      <c r="D7" s="6" t="s">
        <v>180</v>
      </c>
    </row>
    <row r="8" spans="1:4" ht="14.25" x14ac:dyDescent="0.15">
      <c r="A8" s="22"/>
      <c r="B8" s="6" t="s">
        <v>181</v>
      </c>
      <c r="C8" s="7"/>
      <c r="D8" s="6"/>
    </row>
    <row r="9" spans="1:4" ht="14.25" x14ac:dyDescent="0.15">
      <c r="A9" s="22"/>
      <c r="B9" s="6" t="s">
        <v>182</v>
      </c>
      <c r="C9" s="14"/>
      <c r="D9" s="6"/>
    </row>
    <row r="10" spans="1:4" ht="14.25" x14ac:dyDescent="0.15">
      <c r="B10" s="6" t="s">
        <v>184</v>
      </c>
      <c r="C10" s="14"/>
      <c r="D10" s="6"/>
    </row>
    <row r="11" spans="1:4" ht="14.25" x14ac:dyDescent="0.15">
      <c r="B11" s="6" t="s">
        <v>185</v>
      </c>
      <c r="C11" s="14"/>
      <c r="D11" s="6" t="s">
        <v>183</v>
      </c>
    </row>
  </sheetData>
  <mergeCells count="1">
    <mergeCell ref="A2:A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191"/>
  <sheetViews>
    <sheetView topLeftCell="Y1" zoomScale="70" zoomScaleNormal="70" workbookViewId="0">
      <selection activeCell="AT4" sqref="AT4:AT181"/>
    </sheetView>
  </sheetViews>
  <sheetFormatPr defaultRowHeight="13.5" x14ac:dyDescent="0.15"/>
  <sheetData>
    <row r="1" spans="1:121" ht="14.25" x14ac:dyDescent="0.15">
      <c r="A1" s="71" t="s">
        <v>190</v>
      </c>
      <c r="B1" s="73" t="s">
        <v>168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 t="s">
        <v>186</v>
      </c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 t="s">
        <v>187</v>
      </c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 t="s">
        <v>191</v>
      </c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 t="s">
        <v>188</v>
      </c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 t="s">
        <v>189</v>
      </c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 t="s">
        <v>192</v>
      </c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0" t="s">
        <v>194</v>
      </c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</row>
    <row r="2" spans="1:121" ht="14.25" x14ac:dyDescent="0.15">
      <c r="A2" s="72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11</v>
      </c>
      <c r="M2" s="42">
        <v>12</v>
      </c>
      <c r="N2" s="42">
        <v>13</v>
      </c>
      <c r="O2" s="42">
        <v>14</v>
      </c>
      <c r="P2" s="42">
        <v>15</v>
      </c>
      <c r="Q2" s="42">
        <v>1</v>
      </c>
      <c r="R2" s="42">
        <v>2</v>
      </c>
      <c r="S2" s="42">
        <v>3</v>
      </c>
      <c r="T2" s="42">
        <v>4</v>
      </c>
      <c r="U2" s="42">
        <v>5</v>
      </c>
      <c r="V2" s="42">
        <v>6</v>
      </c>
      <c r="W2" s="42">
        <v>7</v>
      </c>
      <c r="X2" s="42">
        <v>8</v>
      </c>
      <c r="Y2" s="42">
        <v>9</v>
      </c>
      <c r="Z2" s="42">
        <v>10</v>
      </c>
      <c r="AA2" s="42">
        <v>11</v>
      </c>
      <c r="AB2" s="42">
        <v>12</v>
      </c>
      <c r="AC2" s="42">
        <v>13</v>
      </c>
      <c r="AD2" s="42">
        <v>14</v>
      </c>
      <c r="AE2" s="42">
        <v>15</v>
      </c>
      <c r="AF2" s="42">
        <v>1</v>
      </c>
      <c r="AG2" s="42">
        <v>2</v>
      </c>
      <c r="AH2" s="42">
        <v>3</v>
      </c>
      <c r="AI2" s="42">
        <v>4</v>
      </c>
      <c r="AJ2" s="42">
        <v>5</v>
      </c>
      <c r="AK2" s="42">
        <v>6</v>
      </c>
      <c r="AL2" s="42">
        <v>7</v>
      </c>
      <c r="AM2" s="42">
        <v>8</v>
      </c>
      <c r="AN2" s="42">
        <v>9</v>
      </c>
      <c r="AO2" s="42">
        <v>10</v>
      </c>
      <c r="AP2" s="42">
        <v>11</v>
      </c>
      <c r="AQ2" s="42">
        <v>12</v>
      </c>
      <c r="AR2" s="42">
        <v>13</v>
      </c>
      <c r="AS2" s="42">
        <v>14</v>
      </c>
      <c r="AT2" s="42">
        <v>15</v>
      </c>
      <c r="AU2" s="42">
        <v>1</v>
      </c>
      <c r="AV2" s="42">
        <v>2</v>
      </c>
      <c r="AW2" s="42">
        <v>3</v>
      </c>
      <c r="AX2" s="42">
        <v>4</v>
      </c>
      <c r="AY2" s="42">
        <v>5</v>
      </c>
      <c r="AZ2" s="42">
        <v>6</v>
      </c>
      <c r="BA2" s="42">
        <v>7</v>
      </c>
      <c r="BB2" s="42">
        <v>8</v>
      </c>
      <c r="BC2" s="42">
        <v>9</v>
      </c>
      <c r="BD2" s="42">
        <v>10</v>
      </c>
      <c r="BE2" s="42">
        <v>11</v>
      </c>
      <c r="BF2" s="42">
        <v>12</v>
      </c>
      <c r="BG2" s="42">
        <v>13</v>
      </c>
      <c r="BH2" s="42">
        <v>14</v>
      </c>
      <c r="BI2" s="42">
        <v>15</v>
      </c>
      <c r="BJ2" s="42">
        <v>1</v>
      </c>
      <c r="BK2" s="42">
        <v>2</v>
      </c>
      <c r="BL2" s="42">
        <v>3</v>
      </c>
      <c r="BM2" s="42">
        <v>4</v>
      </c>
      <c r="BN2" s="42">
        <v>5</v>
      </c>
      <c r="BO2" s="42">
        <v>6</v>
      </c>
      <c r="BP2" s="42">
        <v>7</v>
      </c>
      <c r="BQ2" s="42">
        <v>8</v>
      </c>
      <c r="BR2" s="42">
        <v>9</v>
      </c>
      <c r="BS2" s="42">
        <v>10</v>
      </c>
      <c r="BT2" s="42">
        <v>11</v>
      </c>
      <c r="BU2" s="42">
        <v>12</v>
      </c>
      <c r="BV2" s="42">
        <v>13</v>
      </c>
      <c r="BW2" s="42">
        <v>14</v>
      </c>
      <c r="BX2" s="42">
        <v>15</v>
      </c>
      <c r="BY2" s="42">
        <v>1</v>
      </c>
      <c r="BZ2" s="42">
        <v>2</v>
      </c>
      <c r="CA2" s="42">
        <v>3</v>
      </c>
      <c r="CB2" s="42">
        <v>4</v>
      </c>
      <c r="CC2" s="42">
        <v>5</v>
      </c>
      <c r="CD2" s="42">
        <v>6</v>
      </c>
      <c r="CE2" s="42">
        <v>7</v>
      </c>
      <c r="CF2" s="42">
        <v>8</v>
      </c>
      <c r="CG2" s="42">
        <v>9</v>
      </c>
      <c r="CH2" s="42">
        <v>10</v>
      </c>
      <c r="CI2" s="42">
        <v>11</v>
      </c>
      <c r="CJ2" s="42">
        <v>12</v>
      </c>
      <c r="CK2" s="42">
        <v>13</v>
      </c>
      <c r="CL2" s="42">
        <v>14</v>
      </c>
      <c r="CM2" s="42">
        <v>15</v>
      </c>
      <c r="CN2" s="42">
        <v>1</v>
      </c>
      <c r="CO2" s="42">
        <v>2</v>
      </c>
      <c r="CP2" s="42">
        <v>3</v>
      </c>
      <c r="CQ2" s="42">
        <v>4</v>
      </c>
      <c r="CR2" s="42">
        <v>5</v>
      </c>
      <c r="CS2" s="42">
        <v>6</v>
      </c>
      <c r="CT2" s="42">
        <v>7</v>
      </c>
      <c r="CU2" s="42">
        <v>8</v>
      </c>
      <c r="CV2" s="42">
        <v>9</v>
      </c>
      <c r="CW2" s="42">
        <v>10</v>
      </c>
      <c r="CX2" s="42">
        <v>11</v>
      </c>
      <c r="CY2" s="42">
        <v>12</v>
      </c>
      <c r="CZ2" s="42">
        <v>13</v>
      </c>
      <c r="DA2" s="42">
        <v>14</v>
      </c>
      <c r="DB2" s="42">
        <v>15</v>
      </c>
      <c r="DC2" s="52">
        <v>1</v>
      </c>
      <c r="DD2" s="52">
        <v>2</v>
      </c>
      <c r="DE2" s="52">
        <v>3</v>
      </c>
      <c r="DF2" s="52">
        <v>4</v>
      </c>
      <c r="DG2" s="52">
        <v>5</v>
      </c>
      <c r="DH2" s="52">
        <v>6</v>
      </c>
      <c r="DI2" s="52">
        <v>7</v>
      </c>
      <c r="DJ2" s="52">
        <v>8</v>
      </c>
      <c r="DK2" s="52">
        <v>9</v>
      </c>
      <c r="DL2" s="52">
        <v>10</v>
      </c>
      <c r="DM2" s="52">
        <v>11</v>
      </c>
      <c r="DN2" s="52">
        <v>12</v>
      </c>
      <c r="DO2" s="52">
        <v>13</v>
      </c>
      <c r="DP2" s="52">
        <v>14</v>
      </c>
      <c r="DQ2" s="52">
        <v>15</v>
      </c>
    </row>
    <row r="3" spans="1:121" ht="14.25" x14ac:dyDescent="0.15">
      <c r="A3" s="49">
        <v>1</v>
      </c>
      <c r="B3" s="46">
        <f>Q3*AF3*B$191</f>
        <v>0</v>
      </c>
      <c r="C3" s="46">
        <f t="shared" ref="C3:P3" si="0">R3*AG3*C$191</f>
        <v>0</v>
      </c>
      <c r="D3" s="46">
        <f t="shared" si="0"/>
        <v>0</v>
      </c>
      <c r="E3" s="46">
        <f t="shared" si="0"/>
        <v>0</v>
      </c>
      <c r="F3" s="46">
        <f t="shared" si="0"/>
        <v>0</v>
      </c>
      <c r="G3" s="46">
        <f t="shared" si="0"/>
        <v>0</v>
      </c>
      <c r="H3" s="46">
        <f t="shared" si="0"/>
        <v>0</v>
      </c>
      <c r="I3" s="46">
        <f t="shared" si="0"/>
        <v>0</v>
      </c>
      <c r="J3" s="46">
        <f t="shared" si="0"/>
        <v>0</v>
      </c>
      <c r="K3" s="46">
        <f t="shared" si="0"/>
        <v>0</v>
      </c>
      <c r="L3" s="46">
        <f t="shared" si="0"/>
        <v>0</v>
      </c>
      <c r="M3" s="46">
        <f t="shared" si="0"/>
        <v>0</v>
      </c>
      <c r="N3" s="46">
        <f t="shared" si="0"/>
        <v>0</v>
      </c>
      <c r="O3" s="46">
        <f>Links!B3</f>
        <v>0</v>
      </c>
      <c r="P3" s="46">
        <f t="shared" si="0"/>
        <v>0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</row>
    <row r="4" spans="1:121" ht="14.25" x14ac:dyDescent="0.15">
      <c r="A4" s="49">
        <v>2</v>
      </c>
      <c r="B4" s="46" t="e">
        <f t="shared" ref="B4:B67" si="1">Q4*AF4*B$191</f>
        <v>#DIV/0!</v>
      </c>
      <c r="C4" s="46" t="e">
        <f t="shared" ref="C4:C67" si="2">R4*AG4*C$191</f>
        <v>#DIV/0!</v>
      </c>
      <c r="D4" s="46" t="e">
        <f t="shared" ref="D4:D67" si="3">S4*AH4*D$191</f>
        <v>#DIV/0!</v>
      </c>
      <c r="E4" s="46" t="e">
        <f t="shared" ref="E4:E67" si="4">T4*AI4*E$191</f>
        <v>#DIV/0!</v>
      </c>
      <c r="F4" s="46" t="e">
        <f t="shared" ref="F4:F67" si="5">U4*AJ4*F$191</f>
        <v>#DIV/0!</v>
      </c>
      <c r="G4" s="46" t="e">
        <f t="shared" ref="G4:G67" si="6">V4*AK4*G$191</f>
        <v>#DIV/0!</v>
      </c>
      <c r="H4" s="46" t="e">
        <f t="shared" ref="H4:H67" si="7">W4*AL4*H$191</f>
        <v>#DIV/0!</v>
      </c>
      <c r="I4" s="46" t="e">
        <f t="shared" ref="I4:I67" si="8">X4*AM4*I$191</f>
        <v>#DIV/0!</v>
      </c>
      <c r="J4" s="46" t="e">
        <f t="shared" ref="J4:J67" si="9">Y4*AN4*J$191</f>
        <v>#DIV/0!</v>
      </c>
      <c r="K4" s="46" t="e">
        <f t="shared" ref="K4:K67" si="10">Z4*AO4*K$191</f>
        <v>#DIV/0!</v>
      </c>
      <c r="L4" s="46" t="e">
        <f t="shared" ref="L4:L67" si="11">AA4*AP4*L$191</f>
        <v>#DIV/0!</v>
      </c>
      <c r="M4" s="46" t="e">
        <f t="shared" ref="M4:M67" si="12">AB4*AQ4*M$191</f>
        <v>#DIV/0!</v>
      </c>
      <c r="N4" s="46" t="e">
        <f t="shared" ref="N4:N67" si="13">AC4*AR4*N$191</f>
        <v>#DIV/0!</v>
      </c>
      <c r="O4" s="46" t="e">
        <f t="shared" ref="O4:O67" si="14">AD4*AS4*O$191</f>
        <v>#DIV/0!</v>
      </c>
      <c r="P4" s="46" t="e">
        <f t="shared" ref="P4:P67" si="15">AE4*AT4*P$191</f>
        <v>#DIV/0!</v>
      </c>
      <c r="Q4" s="56" t="e">
        <f>Q3+ATM_Conf!$C$5*(B3)/(Links!B$191*Links!Q$191)</f>
        <v>#DIV/0!</v>
      </c>
      <c r="R4" s="56" t="e">
        <f>R3+ATM_Conf!$C$5*(C3-B3)/(Links!C$191*Links!R$191)</f>
        <v>#DIV/0!</v>
      </c>
      <c r="S4" s="56" t="e">
        <f>S3+ATM_Conf!$C$5*(D3-C3)/(Links!D$191*Links!S$191)</f>
        <v>#DIV/0!</v>
      </c>
      <c r="T4" s="56" t="e">
        <f>T3+ATM_Conf!$C$5*(E3-D3)/(Links!E$191*Links!T$191)</f>
        <v>#DIV/0!</v>
      </c>
      <c r="U4" s="56" t="e">
        <f>U3+ATM_Conf!$C$5*(F3-E3)/(Links!F$191*Links!U$191)</f>
        <v>#DIV/0!</v>
      </c>
      <c r="V4" s="56" t="e">
        <f>V3+ATM_Conf!$C$5*(G3-F3)/(Links!G$191*Links!V$191)</f>
        <v>#DIV/0!</v>
      </c>
      <c r="W4" s="56" t="e">
        <f>W3+ATM_Conf!$C$5*(H3-G3)/(Links!H$191*Links!W$191)</f>
        <v>#DIV/0!</v>
      </c>
      <c r="X4" s="56" t="e">
        <f>X3+ATM_Conf!$C$5*(I3-H3)/(Links!I$191*Links!X$191)</f>
        <v>#DIV/0!</v>
      </c>
      <c r="Y4" s="56" t="e">
        <f>Y3+ATM_Conf!$C$5*(J3)/(Links!J$191*Links!Y$191)</f>
        <v>#DIV/0!</v>
      </c>
      <c r="Z4" s="56" t="e">
        <f>Z3+ATM_Conf!$C$5*(K3-J3)/(Links!K$191*Links!Z$191)</f>
        <v>#DIV/0!</v>
      </c>
      <c r="AA4" s="56" t="e">
        <f>AA3+ATM_Conf!$C$5*(L3-K3)/(Links!L$191*Links!AA$191)</f>
        <v>#DIV/0!</v>
      </c>
      <c r="AB4" s="56" t="e">
        <f>AB3+ATM_Conf!$C$5*(M3-L3)/(Links!M$191*Links!AB$191)</f>
        <v>#DIV/0!</v>
      </c>
      <c r="AC4" s="56" t="e">
        <f>AC3+ATM_Conf!$C$5*(N3-M3)/(Links!N$191*Links!AC$191)</f>
        <v>#DIV/0!</v>
      </c>
      <c r="AD4" s="56" t="e">
        <f>AD3+ATM_Conf!$C$5*(O3-N3)/(Links!O$191*Links!AD$191)</f>
        <v>#DIV/0!</v>
      </c>
      <c r="AE4" s="56" t="e">
        <f>AE3+ATM_Conf!$C$5*(P3-O3)/(Links!P$191*Links!AE$191)</f>
        <v>#DIV/0!</v>
      </c>
      <c r="AF4" s="46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6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6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6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6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6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6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6" t="e">
        <f>AM3+(ATM_Conf!$C$5/ATM_Conf!$C$8)*(Links!BB3*EXP((-(Links!X3/Links!BQ3)^Links!CF3)/Links!CF3)-Links!AM3)+(ATM_Conf!$C$5/Links!X$191)*Links!AM3*(Nodes!BH3-Links!AM3)</f>
        <v>#DIV/0!</v>
      </c>
      <c r="AN4" s="46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6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6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6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6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6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6" t="e">
        <f>AT3+(ATM_Conf!$C$5/ATM_Conf!$C$8)*(Links!BI3*EXP((-(Links!AE3/Links!BX3)^Links!CM3)/Links!CM3)-Links!AT3)+(ATM_Conf!$C$5/Links!AE$191)*Links!AT3*(Nodes!BN3-Links!AT3)</f>
        <v>#DIV/0!</v>
      </c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46">
        <f>CN$3</f>
        <v>0</v>
      </c>
      <c r="CO4" s="46">
        <f t="shared" ref="CO4:DB4" si="16">CO$3</f>
        <v>0</v>
      </c>
      <c r="CP4" s="46">
        <f t="shared" si="16"/>
        <v>0</v>
      </c>
      <c r="CQ4" s="46">
        <f t="shared" si="16"/>
        <v>0</v>
      </c>
      <c r="CR4" s="46">
        <f t="shared" si="16"/>
        <v>0</v>
      </c>
      <c r="CS4" s="46">
        <f t="shared" si="16"/>
        <v>0</v>
      </c>
      <c r="CT4" s="46">
        <f t="shared" si="16"/>
        <v>0</v>
      </c>
      <c r="CU4" s="46">
        <f t="shared" si="16"/>
        <v>0</v>
      </c>
      <c r="CV4" s="46">
        <f t="shared" si="16"/>
        <v>0</v>
      </c>
      <c r="CW4" s="46">
        <f t="shared" si="16"/>
        <v>0</v>
      </c>
      <c r="CX4" s="46">
        <f t="shared" si="16"/>
        <v>0</v>
      </c>
      <c r="CY4" s="46">
        <f t="shared" si="16"/>
        <v>0</v>
      </c>
      <c r="CZ4" s="46">
        <f t="shared" si="16"/>
        <v>0</v>
      </c>
      <c r="DA4" s="46">
        <f t="shared" si="16"/>
        <v>0</v>
      </c>
      <c r="DB4" s="46">
        <f t="shared" si="16"/>
        <v>0</v>
      </c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</row>
    <row r="5" spans="1:121" ht="14.25" x14ac:dyDescent="0.15">
      <c r="A5" s="49">
        <v>3</v>
      </c>
      <c r="B5" s="46" t="e">
        <f t="shared" si="1"/>
        <v>#DIV/0!</v>
      </c>
      <c r="C5" s="46" t="e">
        <f t="shared" si="2"/>
        <v>#DIV/0!</v>
      </c>
      <c r="D5" s="46" t="e">
        <f t="shared" si="3"/>
        <v>#DIV/0!</v>
      </c>
      <c r="E5" s="46" t="e">
        <f t="shared" si="4"/>
        <v>#DIV/0!</v>
      </c>
      <c r="F5" s="46" t="e">
        <f t="shared" si="5"/>
        <v>#DIV/0!</v>
      </c>
      <c r="G5" s="46" t="e">
        <f t="shared" si="6"/>
        <v>#DIV/0!</v>
      </c>
      <c r="H5" s="46" t="e">
        <f t="shared" si="7"/>
        <v>#DIV/0!</v>
      </c>
      <c r="I5" s="46" t="e">
        <f t="shared" si="8"/>
        <v>#DIV/0!</v>
      </c>
      <c r="J5" s="46" t="e">
        <f t="shared" si="9"/>
        <v>#DIV/0!</v>
      </c>
      <c r="K5" s="46" t="e">
        <f t="shared" si="10"/>
        <v>#DIV/0!</v>
      </c>
      <c r="L5" s="46" t="e">
        <f t="shared" si="11"/>
        <v>#DIV/0!</v>
      </c>
      <c r="M5" s="46" t="e">
        <f t="shared" si="12"/>
        <v>#DIV/0!</v>
      </c>
      <c r="N5" s="46" t="e">
        <f t="shared" si="13"/>
        <v>#DIV/0!</v>
      </c>
      <c r="O5" s="46" t="e">
        <f t="shared" si="14"/>
        <v>#DIV/0!</v>
      </c>
      <c r="P5" s="46" t="e">
        <f t="shared" si="15"/>
        <v>#DIV/0!</v>
      </c>
      <c r="Q5" s="56" t="e">
        <f>Q4+ATM_Conf!$C$5*(B4)/(Links!B$191*Links!Q$191)</f>
        <v>#DIV/0!</v>
      </c>
      <c r="R5" s="56" t="e">
        <f>R4+ATM_Conf!$C$5*(C4-B4)/(Links!C$191*Links!R$191)</f>
        <v>#DIV/0!</v>
      </c>
      <c r="S5" s="56" t="e">
        <f>S4+ATM_Conf!$C$5*(D4-C4)/(Links!D$191*Links!S$191)</f>
        <v>#DIV/0!</v>
      </c>
      <c r="T5" s="56" t="e">
        <f>T4+ATM_Conf!$C$5*(E4-D4)/(Links!E$191*Links!T$191)</f>
        <v>#DIV/0!</v>
      </c>
      <c r="U5" s="56" t="e">
        <f>U4+ATM_Conf!$C$5*(F4-E4)/(Links!F$191*Links!U$191)</f>
        <v>#DIV/0!</v>
      </c>
      <c r="V5" s="56" t="e">
        <f>V4+ATM_Conf!$C$5*(G4-F4)/(Links!G$191*Links!V$191)</f>
        <v>#DIV/0!</v>
      </c>
      <c r="W5" s="56" t="e">
        <f>W4+ATM_Conf!$C$5*(H4-G4)/(Links!H$191*Links!W$191)</f>
        <v>#DIV/0!</v>
      </c>
      <c r="X5" s="56" t="e">
        <f>X4+ATM_Conf!$C$5*(I4-H4)/(Links!I$191*Links!X$191)</f>
        <v>#DIV/0!</v>
      </c>
      <c r="Y5" s="56" t="e">
        <f>Y4+ATM_Conf!$C$5*(J4)/(Links!J$191*Links!Y$191)</f>
        <v>#DIV/0!</v>
      </c>
      <c r="Z5" s="56" t="e">
        <f>Z4+ATM_Conf!$C$5*(K4-J4)/(Links!K$191*Links!Z$191)</f>
        <v>#DIV/0!</v>
      </c>
      <c r="AA5" s="56" t="e">
        <f>AA4+ATM_Conf!$C$5*(L4-K4)/(Links!L$191*Links!AA$191)</f>
        <v>#DIV/0!</v>
      </c>
      <c r="AB5" s="56" t="e">
        <f>AB4+ATM_Conf!$C$5*(M4-L4)/(Links!M$191*Links!AB$191)</f>
        <v>#DIV/0!</v>
      </c>
      <c r="AC5" s="56" t="e">
        <f>AC4+ATM_Conf!$C$5*(N4-M4)/(Links!N$191*Links!AC$191)</f>
        <v>#DIV/0!</v>
      </c>
      <c r="AD5" s="56" t="e">
        <f>AD4+ATM_Conf!$C$5*(O4-N4)/(Links!O$191*Links!AD$191)</f>
        <v>#DIV/0!</v>
      </c>
      <c r="AE5" s="56" t="e">
        <f>AE4+ATM_Conf!$C$5*(P4-O4)/(Links!P$191*Links!AE$191)</f>
        <v>#DIV/0!</v>
      </c>
      <c r="AF5" s="46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6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6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6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6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6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6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6" t="e">
        <f>AM4+(ATM_Conf!$C$5/ATM_Conf!$C$8)*(Links!BB4*EXP((-(Links!X4/Links!BQ4)^Links!CF4)/Links!CF4)-Links!AM4)+(ATM_Conf!$C$5/Links!X$191)*Links!AM4*(Nodes!BH4-Links!AM4)</f>
        <v>#DIV/0!</v>
      </c>
      <c r="AN5" s="46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6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6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6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6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6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6" t="e">
        <f>AT4+(ATM_Conf!$C$5/ATM_Conf!$C$8)*(Links!BI4*EXP((-(Links!AE4/Links!BX4)^Links!CM4)/Links!CM4)-Links!AT4)+(ATM_Conf!$C$5/Links!AE$191)*Links!AT4*(Nodes!BN4-Links!AT4)</f>
        <v>#DIV/0!</v>
      </c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46">
        <f t="shared" ref="CN5:DB14" si="17">CN$3</f>
        <v>0</v>
      </c>
      <c r="CO5" s="46">
        <f t="shared" si="17"/>
        <v>0</v>
      </c>
      <c r="CP5" s="46">
        <f t="shared" si="17"/>
        <v>0</v>
      </c>
      <c r="CQ5" s="46">
        <f t="shared" si="17"/>
        <v>0</v>
      </c>
      <c r="CR5" s="46">
        <f t="shared" si="17"/>
        <v>0</v>
      </c>
      <c r="CS5" s="46">
        <f t="shared" si="17"/>
        <v>0</v>
      </c>
      <c r="CT5" s="46">
        <f t="shared" si="17"/>
        <v>0</v>
      </c>
      <c r="CU5" s="46">
        <f t="shared" si="17"/>
        <v>0</v>
      </c>
      <c r="CV5" s="46">
        <f t="shared" si="17"/>
        <v>0</v>
      </c>
      <c r="CW5" s="46">
        <f t="shared" si="17"/>
        <v>0</v>
      </c>
      <c r="CX5" s="46">
        <f t="shared" si="17"/>
        <v>0</v>
      </c>
      <c r="CY5" s="46">
        <f t="shared" si="17"/>
        <v>0</v>
      </c>
      <c r="CZ5" s="46">
        <f t="shared" si="17"/>
        <v>0</v>
      </c>
      <c r="DA5" s="46">
        <f t="shared" si="17"/>
        <v>0</v>
      </c>
      <c r="DB5" s="46">
        <f t="shared" si="17"/>
        <v>0</v>
      </c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/>
      <c r="DP5" s="54"/>
      <c r="DQ5" s="54"/>
    </row>
    <row r="6" spans="1:121" ht="14.25" x14ac:dyDescent="0.15">
      <c r="A6" s="49">
        <v>4</v>
      </c>
      <c r="B6" s="46" t="e">
        <f t="shared" si="1"/>
        <v>#DIV/0!</v>
      </c>
      <c r="C6" s="46" t="e">
        <f t="shared" si="2"/>
        <v>#DIV/0!</v>
      </c>
      <c r="D6" s="46" t="e">
        <f t="shared" si="3"/>
        <v>#DIV/0!</v>
      </c>
      <c r="E6" s="46" t="e">
        <f t="shared" si="4"/>
        <v>#DIV/0!</v>
      </c>
      <c r="F6" s="46" t="e">
        <f t="shared" si="5"/>
        <v>#DIV/0!</v>
      </c>
      <c r="G6" s="46" t="e">
        <f t="shared" si="6"/>
        <v>#DIV/0!</v>
      </c>
      <c r="H6" s="46" t="e">
        <f t="shared" si="7"/>
        <v>#DIV/0!</v>
      </c>
      <c r="I6" s="46" t="e">
        <f t="shared" si="8"/>
        <v>#DIV/0!</v>
      </c>
      <c r="J6" s="46" t="e">
        <f t="shared" si="9"/>
        <v>#DIV/0!</v>
      </c>
      <c r="K6" s="46" t="e">
        <f t="shared" si="10"/>
        <v>#DIV/0!</v>
      </c>
      <c r="L6" s="46" t="e">
        <f t="shared" si="11"/>
        <v>#DIV/0!</v>
      </c>
      <c r="M6" s="46" t="e">
        <f t="shared" si="12"/>
        <v>#DIV/0!</v>
      </c>
      <c r="N6" s="46" t="e">
        <f t="shared" si="13"/>
        <v>#DIV/0!</v>
      </c>
      <c r="O6" s="46" t="e">
        <f t="shared" si="14"/>
        <v>#DIV/0!</v>
      </c>
      <c r="P6" s="46" t="e">
        <f t="shared" si="15"/>
        <v>#DIV/0!</v>
      </c>
      <c r="Q6" s="56" t="e">
        <f>Q5+ATM_Conf!$C$5*(B5)/(Links!B$191*Links!Q$191)</f>
        <v>#DIV/0!</v>
      </c>
      <c r="R6" s="56" t="e">
        <f>R5+ATM_Conf!$C$5*(C5-B5)/(Links!C$191*Links!R$191)</f>
        <v>#DIV/0!</v>
      </c>
      <c r="S6" s="56" t="e">
        <f>S5+ATM_Conf!$C$5*(D5-C5)/(Links!D$191*Links!S$191)</f>
        <v>#DIV/0!</v>
      </c>
      <c r="T6" s="56" t="e">
        <f>T5+ATM_Conf!$C$5*(E5-D5)/(Links!E$191*Links!T$191)</f>
        <v>#DIV/0!</v>
      </c>
      <c r="U6" s="56" t="e">
        <f>U5+ATM_Conf!$C$5*(F5-E5)/(Links!F$191*Links!U$191)</f>
        <v>#DIV/0!</v>
      </c>
      <c r="V6" s="56" t="e">
        <f>V5+ATM_Conf!$C$5*(G5-F5)/(Links!G$191*Links!V$191)</f>
        <v>#DIV/0!</v>
      </c>
      <c r="W6" s="56" t="e">
        <f>W5+ATM_Conf!$C$5*(H5-G5)/(Links!H$191*Links!W$191)</f>
        <v>#DIV/0!</v>
      </c>
      <c r="X6" s="56" t="e">
        <f>X5+ATM_Conf!$C$5*(I5-H5)/(Links!I$191*Links!X$191)</f>
        <v>#DIV/0!</v>
      </c>
      <c r="Y6" s="56" t="e">
        <f>Y5+ATM_Conf!$C$5*(J5)/(Links!J$191*Links!Y$191)</f>
        <v>#DIV/0!</v>
      </c>
      <c r="Z6" s="56" t="e">
        <f>Z5+ATM_Conf!$C$5*(K5-J5)/(Links!K$191*Links!Z$191)</f>
        <v>#DIV/0!</v>
      </c>
      <c r="AA6" s="56" t="e">
        <f>AA5+ATM_Conf!$C$5*(L5-K5)/(Links!L$191*Links!AA$191)</f>
        <v>#DIV/0!</v>
      </c>
      <c r="AB6" s="56" t="e">
        <f>AB5+ATM_Conf!$C$5*(M5-L5)/(Links!M$191*Links!AB$191)</f>
        <v>#DIV/0!</v>
      </c>
      <c r="AC6" s="56" t="e">
        <f>AC5+ATM_Conf!$C$5*(N5-M5)/(Links!N$191*Links!AC$191)</f>
        <v>#DIV/0!</v>
      </c>
      <c r="AD6" s="56" t="e">
        <f>AD5+ATM_Conf!$C$5*(O5-N5)/(Links!O$191*Links!AD$191)</f>
        <v>#DIV/0!</v>
      </c>
      <c r="AE6" s="56" t="e">
        <f>AE5+ATM_Conf!$C$5*(P5-O5)/(Links!P$191*Links!AE$191)</f>
        <v>#DIV/0!</v>
      </c>
      <c r="AF6" s="46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6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6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6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6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6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6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6" t="e">
        <f>AM5+(ATM_Conf!$C$5/ATM_Conf!$C$8)*(Links!BB5*EXP((-(Links!X5/Links!BQ5)^Links!CF5)/Links!CF5)-Links!AM5)+(ATM_Conf!$C$5/Links!X$191)*Links!AM5*(Nodes!BH5-Links!AM5)</f>
        <v>#DIV/0!</v>
      </c>
      <c r="AN6" s="46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6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6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6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6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6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6" t="e">
        <f>AT5+(ATM_Conf!$C$5/ATM_Conf!$C$8)*(Links!BI5*EXP((-(Links!AE5/Links!BX5)^Links!CM5)/Links!CM5)-Links!AT5)+(ATM_Conf!$C$5/Links!AE$191)*Links!AT5*(Nodes!BN5-Links!AT5)</f>
        <v>#DIV/0!</v>
      </c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46">
        <f t="shared" si="17"/>
        <v>0</v>
      </c>
      <c r="CO6" s="46">
        <f t="shared" si="17"/>
        <v>0</v>
      </c>
      <c r="CP6" s="46">
        <f t="shared" si="17"/>
        <v>0</v>
      </c>
      <c r="CQ6" s="46">
        <f t="shared" si="17"/>
        <v>0</v>
      </c>
      <c r="CR6" s="46">
        <f t="shared" si="17"/>
        <v>0</v>
      </c>
      <c r="CS6" s="46">
        <f t="shared" si="17"/>
        <v>0</v>
      </c>
      <c r="CT6" s="46">
        <f t="shared" si="17"/>
        <v>0</v>
      </c>
      <c r="CU6" s="46">
        <f t="shared" si="17"/>
        <v>0</v>
      </c>
      <c r="CV6" s="46">
        <f t="shared" si="17"/>
        <v>0</v>
      </c>
      <c r="CW6" s="46">
        <f t="shared" si="17"/>
        <v>0</v>
      </c>
      <c r="CX6" s="46">
        <f t="shared" si="17"/>
        <v>0</v>
      </c>
      <c r="CY6" s="46">
        <f t="shared" si="17"/>
        <v>0</v>
      </c>
      <c r="CZ6" s="46">
        <f t="shared" si="17"/>
        <v>0</v>
      </c>
      <c r="DA6" s="46">
        <f t="shared" si="17"/>
        <v>0</v>
      </c>
      <c r="DB6" s="46">
        <f t="shared" si="17"/>
        <v>0</v>
      </c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</row>
    <row r="7" spans="1:121" ht="14.25" x14ac:dyDescent="0.15">
      <c r="A7" s="49">
        <v>5</v>
      </c>
      <c r="B7" s="46" t="e">
        <f t="shared" si="1"/>
        <v>#DIV/0!</v>
      </c>
      <c r="C7" s="46" t="e">
        <f t="shared" si="2"/>
        <v>#DIV/0!</v>
      </c>
      <c r="D7" s="46" t="e">
        <f t="shared" si="3"/>
        <v>#DIV/0!</v>
      </c>
      <c r="E7" s="46" t="e">
        <f t="shared" si="4"/>
        <v>#DIV/0!</v>
      </c>
      <c r="F7" s="46" t="e">
        <f t="shared" si="5"/>
        <v>#DIV/0!</v>
      </c>
      <c r="G7" s="46" t="e">
        <f t="shared" si="6"/>
        <v>#DIV/0!</v>
      </c>
      <c r="H7" s="46" t="e">
        <f t="shared" si="7"/>
        <v>#DIV/0!</v>
      </c>
      <c r="I7" s="46" t="e">
        <f t="shared" si="8"/>
        <v>#DIV/0!</v>
      </c>
      <c r="J7" s="46" t="e">
        <f t="shared" si="9"/>
        <v>#DIV/0!</v>
      </c>
      <c r="K7" s="46" t="e">
        <f t="shared" si="10"/>
        <v>#DIV/0!</v>
      </c>
      <c r="L7" s="46" t="e">
        <f t="shared" si="11"/>
        <v>#DIV/0!</v>
      </c>
      <c r="M7" s="46" t="e">
        <f t="shared" si="12"/>
        <v>#DIV/0!</v>
      </c>
      <c r="N7" s="46" t="e">
        <f t="shared" si="13"/>
        <v>#DIV/0!</v>
      </c>
      <c r="O7" s="46" t="e">
        <f t="shared" si="14"/>
        <v>#DIV/0!</v>
      </c>
      <c r="P7" s="46" t="e">
        <f t="shared" si="15"/>
        <v>#DIV/0!</v>
      </c>
      <c r="Q7" s="56" t="e">
        <f>Q6+ATM_Conf!$C$5*(B6)/(Links!B$191*Links!Q$191)</f>
        <v>#DIV/0!</v>
      </c>
      <c r="R7" s="56" t="e">
        <f>R6+ATM_Conf!$C$5*(C6-B6)/(Links!C$191*Links!R$191)</f>
        <v>#DIV/0!</v>
      </c>
      <c r="S7" s="56" t="e">
        <f>S6+ATM_Conf!$C$5*(D6-C6)/(Links!D$191*Links!S$191)</f>
        <v>#DIV/0!</v>
      </c>
      <c r="T7" s="56" t="e">
        <f>T6+ATM_Conf!$C$5*(E6-D6)/(Links!E$191*Links!T$191)</f>
        <v>#DIV/0!</v>
      </c>
      <c r="U7" s="56" t="e">
        <f>U6+ATM_Conf!$C$5*(F6-E6)/(Links!F$191*Links!U$191)</f>
        <v>#DIV/0!</v>
      </c>
      <c r="V7" s="56" t="e">
        <f>V6+ATM_Conf!$C$5*(G6-F6)/(Links!G$191*Links!V$191)</f>
        <v>#DIV/0!</v>
      </c>
      <c r="W7" s="56" t="e">
        <f>W6+ATM_Conf!$C$5*(H6-G6)/(Links!H$191*Links!W$191)</f>
        <v>#DIV/0!</v>
      </c>
      <c r="X7" s="56" t="e">
        <f>X6+ATM_Conf!$C$5*(I6-H6)/(Links!I$191*Links!X$191)</f>
        <v>#DIV/0!</v>
      </c>
      <c r="Y7" s="56" t="e">
        <f>Y6+ATM_Conf!$C$5*(J6)/(Links!J$191*Links!Y$191)</f>
        <v>#DIV/0!</v>
      </c>
      <c r="Z7" s="56" t="e">
        <f>Z6+ATM_Conf!$C$5*(K6-J6)/(Links!K$191*Links!Z$191)</f>
        <v>#DIV/0!</v>
      </c>
      <c r="AA7" s="56" t="e">
        <f>AA6+ATM_Conf!$C$5*(L6-K6)/(Links!L$191*Links!AA$191)</f>
        <v>#DIV/0!</v>
      </c>
      <c r="AB7" s="56" t="e">
        <f>AB6+ATM_Conf!$C$5*(M6-L6)/(Links!M$191*Links!AB$191)</f>
        <v>#DIV/0!</v>
      </c>
      <c r="AC7" s="56" t="e">
        <f>AC6+ATM_Conf!$C$5*(N6-M6)/(Links!N$191*Links!AC$191)</f>
        <v>#DIV/0!</v>
      </c>
      <c r="AD7" s="56" t="e">
        <f>AD6+ATM_Conf!$C$5*(O6-N6)/(Links!O$191*Links!AD$191)</f>
        <v>#DIV/0!</v>
      </c>
      <c r="AE7" s="56" t="e">
        <f>AE6+ATM_Conf!$C$5*(P6-O6)/(Links!P$191*Links!AE$191)</f>
        <v>#DIV/0!</v>
      </c>
      <c r="AF7" s="46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6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6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6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6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6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6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6" t="e">
        <f>AM6+(ATM_Conf!$C$5/ATM_Conf!$C$8)*(Links!BB6*EXP((-(Links!X6/Links!BQ6)^Links!CF6)/Links!CF6)-Links!AM6)+(ATM_Conf!$C$5/Links!X$191)*Links!AM6*(Nodes!BH6-Links!AM6)</f>
        <v>#DIV/0!</v>
      </c>
      <c r="AN7" s="46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6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6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6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6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6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6" t="e">
        <f>AT6+(ATM_Conf!$C$5/ATM_Conf!$C$8)*(Links!BI6*EXP((-(Links!AE6/Links!BX6)^Links!CM6)/Links!CM6)-Links!AT6)+(ATM_Conf!$C$5/Links!AE$191)*Links!AT6*(Nodes!BN6-Links!AT6)</f>
        <v>#DIV/0!</v>
      </c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46">
        <f t="shared" si="17"/>
        <v>0</v>
      </c>
      <c r="CO7" s="46">
        <f t="shared" si="17"/>
        <v>0</v>
      </c>
      <c r="CP7" s="46">
        <f t="shared" si="17"/>
        <v>0</v>
      </c>
      <c r="CQ7" s="46">
        <f t="shared" si="17"/>
        <v>0</v>
      </c>
      <c r="CR7" s="46">
        <f t="shared" si="17"/>
        <v>0</v>
      </c>
      <c r="CS7" s="46">
        <f t="shared" si="17"/>
        <v>0</v>
      </c>
      <c r="CT7" s="46">
        <f t="shared" si="17"/>
        <v>0</v>
      </c>
      <c r="CU7" s="46">
        <f t="shared" si="17"/>
        <v>0</v>
      </c>
      <c r="CV7" s="46">
        <f t="shared" si="17"/>
        <v>0</v>
      </c>
      <c r="CW7" s="46">
        <f t="shared" si="17"/>
        <v>0</v>
      </c>
      <c r="CX7" s="46">
        <f t="shared" si="17"/>
        <v>0</v>
      </c>
      <c r="CY7" s="46">
        <f t="shared" si="17"/>
        <v>0</v>
      </c>
      <c r="CZ7" s="46">
        <f t="shared" si="17"/>
        <v>0</v>
      </c>
      <c r="DA7" s="46">
        <f t="shared" si="17"/>
        <v>0</v>
      </c>
      <c r="DB7" s="46">
        <f t="shared" si="17"/>
        <v>0</v>
      </c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</row>
    <row r="8" spans="1:121" ht="14.25" x14ac:dyDescent="0.15">
      <c r="A8" s="49">
        <v>6</v>
      </c>
      <c r="B8" s="46" t="e">
        <f t="shared" si="1"/>
        <v>#DIV/0!</v>
      </c>
      <c r="C8" s="46" t="e">
        <f t="shared" si="2"/>
        <v>#DIV/0!</v>
      </c>
      <c r="D8" s="46" t="e">
        <f t="shared" si="3"/>
        <v>#DIV/0!</v>
      </c>
      <c r="E8" s="46" t="e">
        <f t="shared" si="4"/>
        <v>#DIV/0!</v>
      </c>
      <c r="F8" s="46" t="e">
        <f t="shared" si="5"/>
        <v>#DIV/0!</v>
      </c>
      <c r="G8" s="46" t="e">
        <f t="shared" si="6"/>
        <v>#DIV/0!</v>
      </c>
      <c r="H8" s="46" t="e">
        <f t="shared" si="7"/>
        <v>#DIV/0!</v>
      </c>
      <c r="I8" s="46" t="e">
        <f t="shared" si="8"/>
        <v>#DIV/0!</v>
      </c>
      <c r="J8" s="46" t="e">
        <f t="shared" si="9"/>
        <v>#DIV/0!</v>
      </c>
      <c r="K8" s="46" t="e">
        <f t="shared" si="10"/>
        <v>#DIV/0!</v>
      </c>
      <c r="L8" s="46" t="e">
        <f t="shared" si="11"/>
        <v>#DIV/0!</v>
      </c>
      <c r="M8" s="46" t="e">
        <f t="shared" si="12"/>
        <v>#DIV/0!</v>
      </c>
      <c r="N8" s="46" t="e">
        <f t="shared" si="13"/>
        <v>#DIV/0!</v>
      </c>
      <c r="O8" s="46" t="e">
        <f t="shared" si="14"/>
        <v>#DIV/0!</v>
      </c>
      <c r="P8" s="46" t="e">
        <f t="shared" si="15"/>
        <v>#DIV/0!</v>
      </c>
      <c r="Q8" s="56" t="e">
        <f>Q7+ATM_Conf!$C$5*(B7)/(Links!B$191*Links!Q$191)</f>
        <v>#DIV/0!</v>
      </c>
      <c r="R8" s="56" t="e">
        <f>R7+ATM_Conf!$C$5*(C7-B7)/(Links!C$191*Links!R$191)</f>
        <v>#DIV/0!</v>
      </c>
      <c r="S8" s="56" t="e">
        <f>S7+ATM_Conf!$C$5*(D7-C7)/(Links!D$191*Links!S$191)</f>
        <v>#DIV/0!</v>
      </c>
      <c r="T8" s="56" t="e">
        <f>T7+ATM_Conf!$C$5*(E7-D7)/(Links!E$191*Links!T$191)</f>
        <v>#DIV/0!</v>
      </c>
      <c r="U8" s="56" t="e">
        <f>U7+ATM_Conf!$C$5*(F7-E7)/(Links!F$191*Links!U$191)</f>
        <v>#DIV/0!</v>
      </c>
      <c r="V8" s="56" t="e">
        <f>V7+ATM_Conf!$C$5*(G7-F7)/(Links!G$191*Links!V$191)</f>
        <v>#DIV/0!</v>
      </c>
      <c r="W8" s="56" t="e">
        <f>W7+ATM_Conf!$C$5*(H7-G7)/(Links!H$191*Links!W$191)</f>
        <v>#DIV/0!</v>
      </c>
      <c r="X8" s="56" t="e">
        <f>X7+ATM_Conf!$C$5*(I7-H7)/(Links!I$191*Links!X$191)</f>
        <v>#DIV/0!</v>
      </c>
      <c r="Y8" s="56" t="e">
        <f>Y7+ATM_Conf!$C$5*(J7)/(Links!J$191*Links!Y$191)</f>
        <v>#DIV/0!</v>
      </c>
      <c r="Z8" s="56" t="e">
        <f>Z7+ATM_Conf!$C$5*(K7-J7)/(Links!K$191*Links!Z$191)</f>
        <v>#DIV/0!</v>
      </c>
      <c r="AA8" s="56" t="e">
        <f>AA7+ATM_Conf!$C$5*(L7-K7)/(Links!L$191*Links!AA$191)</f>
        <v>#DIV/0!</v>
      </c>
      <c r="AB8" s="56" t="e">
        <f>AB7+ATM_Conf!$C$5*(M7-L7)/(Links!M$191*Links!AB$191)</f>
        <v>#DIV/0!</v>
      </c>
      <c r="AC8" s="56" t="e">
        <f>AC7+ATM_Conf!$C$5*(N7-M7)/(Links!N$191*Links!AC$191)</f>
        <v>#DIV/0!</v>
      </c>
      <c r="AD8" s="56" t="e">
        <f>AD7+ATM_Conf!$C$5*(O7-N7)/(Links!O$191*Links!AD$191)</f>
        <v>#DIV/0!</v>
      </c>
      <c r="AE8" s="56" t="e">
        <f>AE7+ATM_Conf!$C$5*(P7-O7)/(Links!P$191*Links!AE$191)</f>
        <v>#DIV/0!</v>
      </c>
      <c r="AF8" s="46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6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6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6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6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6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6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6" t="e">
        <f>AM7+(ATM_Conf!$C$5/ATM_Conf!$C$8)*(Links!BB7*EXP((-(Links!X7/Links!BQ7)^Links!CF7)/Links!CF7)-Links!AM7)+(ATM_Conf!$C$5/Links!X$191)*Links!AM7*(Nodes!BH7-Links!AM7)</f>
        <v>#DIV/0!</v>
      </c>
      <c r="AN8" s="46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6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6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6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6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6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6" t="e">
        <f>AT7+(ATM_Conf!$C$5/ATM_Conf!$C$8)*(Links!BI7*EXP((-(Links!AE7/Links!BX7)^Links!CM7)/Links!CM7)-Links!AT7)+(ATM_Conf!$C$5/Links!AE$191)*Links!AT7*(Nodes!BN7-Links!AT7)</f>
        <v>#DIV/0!</v>
      </c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46">
        <f t="shared" si="17"/>
        <v>0</v>
      </c>
      <c r="CO8" s="46">
        <f t="shared" si="17"/>
        <v>0</v>
      </c>
      <c r="CP8" s="46">
        <f t="shared" si="17"/>
        <v>0</v>
      </c>
      <c r="CQ8" s="46">
        <f t="shared" si="17"/>
        <v>0</v>
      </c>
      <c r="CR8" s="46">
        <f t="shared" si="17"/>
        <v>0</v>
      </c>
      <c r="CS8" s="46">
        <f t="shared" si="17"/>
        <v>0</v>
      </c>
      <c r="CT8" s="46">
        <f t="shared" si="17"/>
        <v>0</v>
      </c>
      <c r="CU8" s="46">
        <f t="shared" si="17"/>
        <v>0</v>
      </c>
      <c r="CV8" s="46">
        <f t="shared" si="17"/>
        <v>0</v>
      </c>
      <c r="CW8" s="46">
        <f t="shared" si="17"/>
        <v>0</v>
      </c>
      <c r="CX8" s="46">
        <f t="shared" si="17"/>
        <v>0</v>
      </c>
      <c r="CY8" s="46">
        <f t="shared" si="17"/>
        <v>0</v>
      </c>
      <c r="CZ8" s="46">
        <f t="shared" si="17"/>
        <v>0</v>
      </c>
      <c r="DA8" s="46">
        <f t="shared" si="17"/>
        <v>0</v>
      </c>
      <c r="DB8" s="46">
        <f t="shared" si="17"/>
        <v>0</v>
      </c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</row>
    <row r="9" spans="1:121" ht="14.25" x14ac:dyDescent="0.15">
      <c r="A9" s="49">
        <v>7</v>
      </c>
      <c r="B9" s="46" t="e">
        <f t="shared" si="1"/>
        <v>#DIV/0!</v>
      </c>
      <c r="C9" s="46" t="e">
        <f t="shared" si="2"/>
        <v>#DIV/0!</v>
      </c>
      <c r="D9" s="46" t="e">
        <f t="shared" si="3"/>
        <v>#DIV/0!</v>
      </c>
      <c r="E9" s="46" t="e">
        <f t="shared" si="4"/>
        <v>#DIV/0!</v>
      </c>
      <c r="F9" s="46" t="e">
        <f t="shared" si="5"/>
        <v>#DIV/0!</v>
      </c>
      <c r="G9" s="46" t="e">
        <f t="shared" si="6"/>
        <v>#DIV/0!</v>
      </c>
      <c r="H9" s="46" t="e">
        <f t="shared" si="7"/>
        <v>#DIV/0!</v>
      </c>
      <c r="I9" s="46" t="e">
        <f t="shared" si="8"/>
        <v>#DIV/0!</v>
      </c>
      <c r="J9" s="46" t="e">
        <f t="shared" si="9"/>
        <v>#DIV/0!</v>
      </c>
      <c r="K9" s="46" t="e">
        <f t="shared" si="10"/>
        <v>#DIV/0!</v>
      </c>
      <c r="L9" s="46" t="e">
        <f t="shared" si="11"/>
        <v>#DIV/0!</v>
      </c>
      <c r="M9" s="46" t="e">
        <f t="shared" si="12"/>
        <v>#DIV/0!</v>
      </c>
      <c r="N9" s="46" t="e">
        <f t="shared" si="13"/>
        <v>#DIV/0!</v>
      </c>
      <c r="O9" s="46" t="e">
        <f t="shared" si="14"/>
        <v>#DIV/0!</v>
      </c>
      <c r="P9" s="46" t="e">
        <f t="shared" si="15"/>
        <v>#DIV/0!</v>
      </c>
      <c r="Q9" s="56" t="e">
        <f>Q8+ATM_Conf!$C$5*(B8)/(Links!B$191*Links!Q$191)</f>
        <v>#DIV/0!</v>
      </c>
      <c r="R9" s="56" t="e">
        <f>R8+ATM_Conf!$C$5*(C8-B8)/(Links!C$191*Links!R$191)</f>
        <v>#DIV/0!</v>
      </c>
      <c r="S9" s="56" t="e">
        <f>S8+ATM_Conf!$C$5*(D8-C8)/(Links!D$191*Links!S$191)</f>
        <v>#DIV/0!</v>
      </c>
      <c r="T9" s="56" t="e">
        <f>T8+ATM_Conf!$C$5*(E8-D8)/(Links!E$191*Links!T$191)</f>
        <v>#DIV/0!</v>
      </c>
      <c r="U9" s="56" t="e">
        <f>U8+ATM_Conf!$C$5*(F8-E8)/(Links!F$191*Links!U$191)</f>
        <v>#DIV/0!</v>
      </c>
      <c r="V9" s="56" t="e">
        <f>V8+ATM_Conf!$C$5*(G8-F8)/(Links!G$191*Links!V$191)</f>
        <v>#DIV/0!</v>
      </c>
      <c r="W9" s="56" t="e">
        <f>W8+ATM_Conf!$C$5*(H8-G8)/(Links!H$191*Links!W$191)</f>
        <v>#DIV/0!</v>
      </c>
      <c r="X9" s="56" t="e">
        <f>X8+ATM_Conf!$C$5*(I8-H8)/(Links!I$191*Links!X$191)</f>
        <v>#DIV/0!</v>
      </c>
      <c r="Y9" s="56" t="e">
        <f>Y8+ATM_Conf!$C$5*(J8)/(Links!J$191*Links!Y$191)</f>
        <v>#DIV/0!</v>
      </c>
      <c r="Z9" s="56" t="e">
        <f>Z8+ATM_Conf!$C$5*(K8-J8)/(Links!K$191*Links!Z$191)</f>
        <v>#DIV/0!</v>
      </c>
      <c r="AA9" s="56" t="e">
        <f>AA8+ATM_Conf!$C$5*(L8-K8)/(Links!L$191*Links!AA$191)</f>
        <v>#DIV/0!</v>
      </c>
      <c r="AB9" s="56" t="e">
        <f>AB8+ATM_Conf!$C$5*(M8-L8)/(Links!M$191*Links!AB$191)</f>
        <v>#DIV/0!</v>
      </c>
      <c r="AC9" s="56" t="e">
        <f>AC8+ATM_Conf!$C$5*(N8-M8)/(Links!N$191*Links!AC$191)</f>
        <v>#DIV/0!</v>
      </c>
      <c r="AD9" s="56" t="e">
        <f>AD8+ATM_Conf!$C$5*(O8-N8)/(Links!O$191*Links!AD$191)</f>
        <v>#DIV/0!</v>
      </c>
      <c r="AE9" s="56" t="e">
        <f>AE8+ATM_Conf!$C$5*(P8-O8)/(Links!P$191*Links!AE$191)</f>
        <v>#DIV/0!</v>
      </c>
      <c r="AF9" s="46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6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6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6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6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6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6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6" t="e">
        <f>AM8+(ATM_Conf!$C$5/ATM_Conf!$C$8)*(Links!BB8*EXP((-(Links!X8/Links!BQ8)^Links!CF8)/Links!CF8)-Links!AM8)+(ATM_Conf!$C$5/Links!X$191)*Links!AM8*(Nodes!BH8-Links!AM8)</f>
        <v>#DIV/0!</v>
      </c>
      <c r="AN9" s="46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6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6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6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6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6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6" t="e">
        <f>AT8+(ATM_Conf!$C$5/ATM_Conf!$C$8)*(Links!BI8*EXP((-(Links!AE8/Links!BX8)^Links!CM8)/Links!CM8)-Links!AT8)+(ATM_Conf!$C$5/Links!AE$191)*Links!AT8*(Nodes!BN8-Links!AT8)</f>
        <v>#DIV/0!</v>
      </c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46">
        <f t="shared" si="17"/>
        <v>0</v>
      </c>
      <c r="CO9" s="46">
        <f t="shared" si="17"/>
        <v>0</v>
      </c>
      <c r="CP9" s="46">
        <f t="shared" si="17"/>
        <v>0</v>
      </c>
      <c r="CQ9" s="46">
        <f t="shared" si="17"/>
        <v>0</v>
      </c>
      <c r="CR9" s="46">
        <f t="shared" si="17"/>
        <v>0</v>
      </c>
      <c r="CS9" s="46">
        <f t="shared" si="17"/>
        <v>0</v>
      </c>
      <c r="CT9" s="46">
        <f t="shared" si="17"/>
        <v>0</v>
      </c>
      <c r="CU9" s="46">
        <f t="shared" si="17"/>
        <v>0</v>
      </c>
      <c r="CV9" s="46">
        <f t="shared" si="17"/>
        <v>0</v>
      </c>
      <c r="CW9" s="46">
        <f t="shared" si="17"/>
        <v>0</v>
      </c>
      <c r="CX9" s="46">
        <f t="shared" si="17"/>
        <v>0</v>
      </c>
      <c r="CY9" s="46">
        <f t="shared" si="17"/>
        <v>0</v>
      </c>
      <c r="CZ9" s="46">
        <f t="shared" si="17"/>
        <v>0</v>
      </c>
      <c r="DA9" s="46">
        <f t="shared" si="17"/>
        <v>0</v>
      </c>
      <c r="DB9" s="46">
        <f t="shared" si="17"/>
        <v>0</v>
      </c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</row>
    <row r="10" spans="1:121" ht="14.25" x14ac:dyDescent="0.15">
      <c r="A10" s="49">
        <v>8</v>
      </c>
      <c r="B10" s="46" t="e">
        <f t="shared" si="1"/>
        <v>#DIV/0!</v>
      </c>
      <c r="C10" s="46" t="e">
        <f t="shared" si="2"/>
        <v>#DIV/0!</v>
      </c>
      <c r="D10" s="46" t="e">
        <f t="shared" si="3"/>
        <v>#DIV/0!</v>
      </c>
      <c r="E10" s="46" t="e">
        <f t="shared" si="4"/>
        <v>#DIV/0!</v>
      </c>
      <c r="F10" s="46" t="e">
        <f t="shared" si="5"/>
        <v>#DIV/0!</v>
      </c>
      <c r="G10" s="46" t="e">
        <f t="shared" si="6"/>
        <v>#DIV/0!</v>
      </c>
      <c r="H10" s="46" t="e">
        <f t="shared" si="7"/>
        <v>#DIV/0!</v>
      </c>
      <c r="I10" s="46" t="e">
        <f t="shared" si="8"/>
        <v>#DIV/0!</v>
      </c>
      <c r="J10" s="46" t="e">
        <f t="shared" si="9"/>
        <v>#DIV/0!</v>
      </c>
      <c r="K10" s="46" t="e">
        <f t="shared" si="10"/>
        <v>#DIV/0!</v>
      </c>
      <c r="L10" s="46" t="e">
        <f t="shared" si="11"/>
        <v>#DIV/0!</v>
      </c>
      <c r="M10" s="46" t="e">
        <f t="shared" si="12"/>
        <v>#DIV/0!</v>
      </c>
      <c r="N10" s="46" t="e">
        <f t="shared" si="13"/>
        <v>#DIV/0!</v>
      </c>
      <c r="O10" s="46" t="e">
        <f t="shared" si="14"/>
        <v>#DIV/0!</v>
      </c>
      <c r="P10" s="46" t="e">
        <f t="shared" si="15"/>
        <v>#DIV/0!</v>
      </c>
      <c r="Q10" s="56" t="e">
        <f>Q9+ATM_Conf!$C$5*(B9)/(Links!B$191*Links!Q$191)</f>
        <v>#DIV/0!</v>
      </c>
      <c r="R10" s="56" t="e">
        <f>R9+ATM_Conf!$C$5*(C9-B9)/(Links!C$191*Links!R$191)</f>
        <v>#DIV/0!</v>
      </c>
      <c r="S10" s="56" t="e">
        <f>S9+ATM_Conf!$C$5*(D9-C9)/(Links!D$191*Links!S$191)</f>
        <v>#DIV/0!</v>
      </c>
      <c r="T10" s="56" t="e">
        <f>T9+ATM_Conf!$C$5*(E9-D9)/(Links!E$191*Links!T$191)</f>
        <v>#DIV/0!</v>
      </c>
      <c r="U10" s="56" t="e">
        <f>U9+ATM_Conf!$C$5*(F9-E9)/(Links!F$191*Links!U$191)</f>
        <v>#DIV/0!</v>
      </c>
      <c r="V10" s="56" t="e">
        <f>V9+ATM_Conf!$C$5*(G9-F9)/(Links!G$191*Links!V$191)</f>
        <v>#DIV/0!</v>
      </c>
      <c r="W10" s="56" t="e">
        <f>W9+ATM_Conf!$C$5*(H9-G9)/(Links!H$191*Links!W$191)</f>
        <v>#DIV/0!</v>
      </c>
      <c r="X10" s="56" t="e">
        <f>X9+ATM_Conf!$C$5*(I9-H9)/(Links!I$191*Links!X$191)</f>
        <v>#DIV/0!</v>
      </c>
      <c r="Y10" s="56" t="e">
        <f>Y9+ATM_Conf!$C$5*(J9)/(Links!J$191*Links!Y$191)</f>
        <v>#DIV/0!</v>
      </c>
      <c r="Z10" s="56" t="e">
        <f>Z9+ATM_Conf!$C$5*(K9-J9)/(Links!K$191*Links!Z$191)</f>
        <v>#DIV/0!</v>
      </c>
      <c r="AA10" s="56" t="e">
        <f>AA9+ATM_Conf!$C$5*(L9-K9)/(Links!L$191*Links!AA$191)</f>
        <v>#DIV/0!</v>
      </c>
      <c r="AB10" s="56" t="e">
        <f>AB9+ATM_Conf!$C$5*(M9-L9)/(Links!M$191*Links!AB$191)</f>
        <v>#DIV/0!</v>
      </c>
      <c r="AC10" s="56" t="e">
        <f>AC9+ATM_Conf!$C$5*(N9-M9)/(Links!N$191*Links!AC$191)</f>
        <v>#DIV/0!</v>
      </c>
      <c r="AD10" s="56" t="e">
        <f>AD9+ATM_Conf!$C$5*(O9-N9)/(Links!O$191*Links!AD$191)</f>
        <v>#DIV/0!</v>
      </c>
      <c r="AE10" s="56" t="e">
        <f>AE9+ATM_Conf!$C$5*(P9-O9)/(Links!P$191*Links!AE$191)</f>
        <v>#DIV/0!</v>
      </c>
      <c r="AF10" s="46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6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6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6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6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6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6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6" t="e">
        <f>AM9+(ATM_Conf!$C$5/ATM_Conf!$C$8)*(Links!BB9*EXP((-(Links!X9/Links!BQ9)^Links!CF9)/Links!CF9)-Links!AM9)+(ATM_Conf!$C$5/Links!X$191)*Links!AM9*(Nodes!BH9-Links!AM9)</f>
        <v>#DIV/0!</v>
      </c>
      <c r="AN10" s="46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6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6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6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6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6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6" t="e">
        <f>AT9+(ATM_Conf!$C$5/ATM_Conf!$C$8)*(Links!BI9*EXP((-(Links!AE9/Links!BX9)^Links!CM9)/Links!CM9)-Links!AT9)+(ATM_Conf!$C$5/Links!AE$191)*Links!AT9*(Nodes!BN9-Links!AT9)</f>
        <v>#DIV/0!</v>
      </c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46">
        <f t="shared" si="17"/>
        <v>0</v>
      </c>
      <c r="CO10" s="46">
        <f t="shared" si="17"/>
        <v>0</v>
      </c>
      <c r="CP10" s="46">
        <f t="shared" si="17"/>
        <v>0</v>
      </c>
      <c r="CQ10" s="46">
        <f t="shared" si="17"/>
        <v>0</v>
      </c>
      <c r="CR10" s="46">
        <f t="shared" si="17"/>
        <v>0</v>
      </c>
      <c r="CS10" s="46">
        <f t="shared" si="17"/>
        <v>0</v>
      </c>
      <c r="CT10" s="46">
        <f t="shared" si="17"/>
        <v>0</v>
      </c>
      <c r="CU10" s="46">
        <f t="shared" si="17"/>
        <v>0</v>
      </c>
      <c r="CV10" s="46">
        <f t="shared" si="17"/>
        <v>0</v>
      </c>
      <c r="CW10" s="46">
        <f t="shared" si="17"/>
        <v>0</v>
      </c>
      <c r="CX10" s="46">
        <f t="shared" si="17"/>
        <v>0</v>
      </c>
      <c r="CY10" s="46">
        <f t="shared" si="17"/>
        <v>0</v>
      </c>
      <c r="CZ10" s="46">
        <f t="shared" si="17"/>
        <v>0</v>
      </c>
      <c r="DA10" s="46">
        <f t="shared" si="17"/>
        <v>0</v>
      </c>
      <c r="DB10" s="46">
        <f t="shared" si="17"/>
        <v>0</v>
      </c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</row>
    <row r="11" spans="1:121" ht="14.25" x14ac:dyDescent="0.15">
      <c r="A11" s="49">
        <v>9</v>
      </c>
      <c r="B11" s="46" t="e">
        <f t="shared" si="1"/>
        <v>#DIV/0!</v>
      </c>
      <c r="C11" s="46" t="e">
        <f t="shared" si="2"/>
        <v>#DIV/0!</v>
      </c>
      <c r="D11" s="46" t="e">
        <f t="shared" si="3"/>
        <v>#DIV/0!</v>
      </c>
      <c r="E11" s="46" t="e">
        <f t="shared" si="4"/>
        <v>#DIV/0!</v>
      </c>
      <c r="F11" s="46" t="e">
        <f t="shared" si="5"/>
        <v>#DIV/0!</v>
      </c>
      <c r="G11" s="46" t="e">
        <f t="shared" si="6"/>
        <v>#DIV/0!</v>
      </c>
      <c r="H11" s="46" t="e">
        <f t="shared" si="7"/>
        <v>#DIV/0!</v>
      </c>
      <c r="I11" s="46" t="e">
        <f t="shared" si="8"/>
        <v>#DIV/0!</v>
      </c>
      <c r="J11" s="46" t="e">
        <f t="shared" si="9"/>
        <v>#DIV/0!</v>
      </c>
      <c r="K11" s="46" t="e">
        <f t="shared" si="10"/>
        <v>#DIV/0!</v>
      </c>
      <c r="L11" s="46" t="e">
        <f t="shared" si="11"/>
        <v>#DIV/0!</v>
      </c>
      <c r="M11" s="46" t="e">
        <f t="shared" si="12"/>
        <v>#DIV/0!</v>
      </c>
      <c r="N11" s="46" t="e">
        <f t="shared" si="13"/>
        <v>#DIV/0!</v>
      </c>
      <c r="O11" s="46" t="e">
        <f t="shared" si="14"/>
        <v>#DIV/0!</v>
      </c>
      <c r="P11" s="46" t="e">
        <f t="shared" si="15"/>
        <v>#DIV/0!</v>
      </c>
      <c r="Q11" s="56" t="e">
        <f>Q10+ATM_Conf!$C$5*(B10)/(Links!B$191*Links!Q$191)</f>
        <v>#DIV/0!</v>
      </c>
      <c r="R11" s="56" t="e">
        <f>R10+ATM_Conf!$C$5*(C10-B10)/(Links!C$191*Links!R$191)</f>
        <v>#DIV/0!</v>
      </c>
      <c r="S11" s="56" t="e">
        <f>S10+ATM_Conf!$C$5*(D10-C10)/(Links!D$191*Links!S$191)</f>
        <v>#DIV/0!</v>
      </c>
      <c r="T11" s="56" t="e">
        <f>T10+ATM_Conf!$C$5*(E10-D10)/(Links!E$191*Links!T$191)</f>
        <v>#DIV/0!</v>
      </c>
      <c r="U11" s="56" t="e">
        <f>U10+ATM_Conf!$C$5*(F10-E10)/(Links!F$191*Links!U$191)</f>
        <v>#DIV/0!</v>
      </c>
      <c r="V11" s="56" t="e">
        <f>V10+ATM_Conf!$C$5*(G10-F10)/(Links!G$191*Links!V$191)</f>
        <v>#DIV/0!</v>
      </c>
      <c r="W11" s="56" t="e">
        <f>W10+ATM_Conf!$C$5*(H10-G10)/(Links!H$191*Links!W$191)</f>
        <v>#DIV/0!</v>
      </c>
      <c r="X11" s="56" t="e">
        <f>X10+ATM_Conf!$C$5*(I10-H10)/(Links!I$191*Links!X$191)</f>
        <v>#DIV/0!</v>
      </c>
      <c r="Y11" s="56" t="e">
        <f>Y10+ATM_Conf!$C$5*(J10)/(Links!J$191*Links!Y$191)</f>
        <v>#DIV/0!</v>
      </c>
      <c r="Z11" s="56" t="e">
        <f>Z10+ATM_Conf!$C$5*(K10-J10)/(Links!K$191*Links!Z$191)</f>
        <v>#DIV/0!</v>
      </c>
      <c r="AA11" s="56" t="e">
        <f>AA10+ATM_Conf!$C$5*(L10-K10)/(Links!L$191*Links!AA$191)</f>
        <v>#DIV/0!</v>
      </c>
      <c r="AB11" s="56" t="e">
        <f>AB10+ATM_Conf!$C$5*(M10-L10)/(Links!M$191*Links!AB$191)</f>
        <v>#DIV/0!</v>
      </c>
      <c r="AC11" s="56" t="e">
        <f>AC10+ATM_Conf!$C$5*(N10-M10)/(Links!N$191*Links!AC$191)</f>
        <v>#DIV/0!</v>
      </c>
      <c r="AD11" s="56" t="e">
        <f>AD10+ATM_Conf!$C$5*(O10-N10)/(Links!O$191*Links!AD$191)</f>
        <v>#DIV/0!</v>
      </c>
      <c r="AE11" s="56" t="e">
        <f>AE10+ATM_Conf!$C$5*(P10-O10)/(Links!P$191*Links!AE$191)</f>
        <v>#DIV/0!</v>
      </c>
      <c r="AF11" s="46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6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6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6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6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6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6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6" t="e">
        <f>AM10+(ATM_Conf!$C$5/ATM_Conf!$C$8)*(Links!BB10*EXP((-(Links!X10/Links!BQ10)^Links!CF10)/Links!CF10)-Links!AM10)+(ATM_Conf!$C$5/Links!X$191)*Links!AM10*(Nodes!BH10-Links!AM10)</f>
        <v>#DIV/0!</v>
      </c>
      <c r="AN11" s="46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6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6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6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6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6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6" t="e">
        <f>AT10+(ATM_Conf!$C$5/ATM_Conf!$C$8)*(Links!BI10*EXP((-(Links!AE10/Links!BX10)^Links!CM10)/Links!CM10)-Links!AT10)+(ATM_Conf!$C$5/Links!AE$191)*Links!AT10*(Nodes!BN10-Links!AT10)</f>
        <v>#DIV/0!</v>
      </c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46">
        <f t="shared" si="17"/>
        <v>0</v>
      </c>
      <c r="CO11" s="46">
        <f t="shared" si="17"/>
        <v>0</v>
      </c>
      <c r="CP11" s="46">
        <f t="shared" si="17"/>
        <v>0</v>
      </c>
      <c r="CQ11" s="46">
        <f t="shared" si="17"/>
        <v>0</v>
      </c>
      <c r="CR11" s="46">
        <f t="shared" si="17"/>
        <v>0</v>
      </c>
      <c r="CS11" s="46">
        <f t="shared" si="17"/>
        <v>0</v>
      </c>
      <c r="CT11" s="46">
        <f t="shared" si="17"/>
        <v>0</v>
      </c>
      <c r="CU11" s="46">
        <f t="shared" si="17"/>
        <v>0</v>
      </c>
      <c r="CV11" s="46">
        <f t="shared" si="17"/>
        <v>0</v>
      </c>
      <c r="CW11" s="46">
        <f t="shared" si="17"/>
        <v>0</v>
      </c>
      <c r="CX11" s="46">
        <f t="shared" si="17"/>
        <v>0</v>
      </c>
      <c r="CY11" s="46">
        <f t="shared" si="17"/>
        <v>0</v>
      </c>
      <c r="CZ11" s="46">
        <f t="shared" si="17"/>
        <v>0</v>
      </c>
      <c r="DA11" s="46">
        <f t="shared" si="17"/>
        <v>0</v>
      </c>
      <c r="DB11" s="46">
        <f t="shared" si="17"/>
        <v>0</v>
      </c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</row>
    <row r="12" spans="1:121" ht="14.25" x14ac:dyDescent="0.15">
      <c r="A12" s="49">
        <v>10</v>
      </c>
      <c r="B12" s="46" t="e">
        <f t="shared" si="1"/>
        <v>#DIV/0!</v>
      </c>
      <c r="C12" s="46" t="e">
        <f t="shared" si="2"/>
        <v>#DIV/0!</v>
      </c>
      <c r="D12" s="46" t="e">
        <f t="shared" si="3"/>
        <v>#DIV/0!</v>
      </c>
      <c r="E12" s="46" t="e">
        <f t="shared" si="4"/>
        <v>#DIV/0!</v>
      </c>
      <c r="F12" s="46" t="e">
        <f t="shared" si="5"/>
        <v>#DIV/0!</v>
      </c>
      <c r="G12" s="46" t="e">
        <f t="shared" si="6"/>
        <v>#DIV/0!</v>
      </c>
      <c r="H12" s="46" t="e">
        <f t="shared" si="7"/>
        <v>#DIV/0!</v>
      </c>
      <c r="I12" s="46" t="e">
        <f t="shared" si="8"/>
        <v>#DIV/0!</v>
      </c>
      <c r="J12" s="46" t="e">
        <f t="shared" si="9"/>
        <v>#DIV/0!</v>
      </c>
      <c r="K12" s="46" t="e">
        <f t="shared" si="10"/>
        <v>#DIV/0!</v>
      </c>
      <c r="L12" s="46" t="e">
        <f t="shared" si="11"/>
        <v>#DIV/0!</v>
      </c>
      <c r="M12" s="46" t="e">
        <f t="shared" si="12"/>
        <v>#DIV/0!</v>
      </c>
      <c r="N12" s="46" t="e">
        <f t="shared" si="13"/>
        <v>#DIV/0!</v>
      </c>
      <c r="O12" s="46" t="e">
        <f t="shared" si="14"/>
        <v>#DIV/0!</v>
      </c>
      <c r="P12" s="46" t="e">
        <f t="shared" si="15"/>
        <v>#DIV/0!</v>
      </c>
      <c r="Q12" s="56" t="e">
        <f>Q11+ATM_Conf!$C$5*(B11)/(Links!B$191*Links!Q$191)</f>
        <v>#DIV/0!</v>
      </c>
      <c r="R12" s="56" t="e">
        <f>R11+ATM_Conf!$C$5*(C11-B11)/(Links!C$191*Links!R$191)</f>
        <v>#DIV/0!</v>
      </c>
      <c r="S12" s="56" t="e">
        <f>S11+ATM_Conf!$C$5*(D11-C11)/(Links!D$191*Links!S$191)</f>
        <v>#DIV/0!</v>
      </c>
      <c r="T12" s="56" t="e">
        <f>T11+ATM_Conf!$C$5*(E11-D11)/(Links!E$191*Links!T$191)</f>
        <v>#DIV/0!</v>
      </c>
      <c r="U12" s="56" t="e">
        <f>U11+ATM_Conf!$C$5*(F11-E11)/(Links!F$191*Links!U$191)</f>
        <v>#DIV/0!</v>
      </c>
      <c r="V12" s="56" t="e">
        <f>V11+ATM_Conf!$C$5*(G11-F11)/(Links!G$191*Links!V$191)</f>
        <v>#DIV/0!</v>
      </c>
      <c r="W12" s="56" t="e">
        <f>W11+ATM_Conf!$C$5*(H11-G11)/(Links!H$191*Links!W$191)</f>
        <v>#DIV/0!</v>
      </c>
      <c r="X12" s="56" t="e">
        <f>X11+ATM_Conf!$C$5*(I11-H11)/(Links!I$191*Links!X$191)</f>
        <v>#DIV/0!</v>
      </c>
      <c r="Y12" s="56" t="e">
        <f>Y11+ATM_Conf!$C$5*(J11)/(Links!J$191*Links!Y$191)</f>
        <v>#DIV/0!</v>
      </c>
      <c r="Z12" s="56" t="e">
        <f>Z11+ATM_Conf!$C$5*(K11-J11)/(Links!K$191*Links!Z$191)</f>
        <v>#DIV/0!</v>
      </c>
      <c r="AA12" s="56" t="e">
        <f>AA11+ATM_Conf!$C$5*(L11-K11)/(Links!L$191*Links!AA$191)</f>
        <v>#DIV/0!</v>
      </c>
      <c r="AB12" s="56" t="e">
        <f>AB11+ATM_Conf!$C$5*(M11-L11)/(Links!M$191*Links!AB$191)</f>
        <v>#DIV/0!</v>
      </c>
      <c r="AC12" s="56" t="e">
        <f>AC11+ATM_Conf!$C$5*(N11-M11)/(Links!N$191*Links!AC$191)</f>
        <v>#DIV/0!</v>
      </c>
      <c r="AD12" s="56" t="e">
        <f>AD11+ATM_Conf!$C$5*(O11-N11)/(Links!O$191*Links!AD$191)</f>
        <v>#DIV/0!</v>
      </c>
      <c r="AE12" s="56" t="e">
        <f>AE11+ATM_Conf!$C$5*(P11-O11)/(Links!P$191*Links!AE$191)</f>
        <v>#DIV/0!</v>
      </c>
      <c r="AF12" s="46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6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6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6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6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6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6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6" t="e">
        <f>AM11+(ATM_Conf!$C$5/ATM_Conf!$C$8)*(Links!BB11*EXP((-(Links!X11/Links!BQ11)^Links!CF11)/Links!CF11)-Links!AM11)+(ATM_Conf!$C$5/Links!X$191)*Links!AM11*(Nodes!BH11-Links!AM11)</f>
        <v>#DIV/0!</v>
      </c>
      <c r="AN12" s="46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6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6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6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6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6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6" t="e">
        <f>AT11+(ATM_Conf!$C$5/ATM_Conf!$C$8)*(Links!BI11*EXP((-(Links!AE11/Links!BX11)^Links!CM11)/Links!CM11)-Links!AT11)+(ATM_Conf!$C$5/Links!AE$191)*Links!AT11*(Nodes!BN11-Links!AT11)</f>
        <v>#DIV/0!</v>
      </c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46">
        <f t="shared" si="17"/>
        <v>0</v>
      </c>
      <c r="CO12" s="46">
        <f t="shared" si="17"/>
        <v>0</v>
      </c>
      <c r="CP12" s="46">
        <f t="shared" si="17"/>
        <v>0</v>
      </c>
      <c r="CQ12" s="46">
        <f t="shared" si="17"/>
        <v>0</v>
      </c>
      <c r="CR12" s="46">
        <f t="shared" si="17"/>
        <v>0</v>
      </c>
      <c r="CS12" s="46">
        <f t="shared" si="17"/>
        <v>0</v>
      </c>
      <c r="CT12" s="46">
        <f t="shared" si="17"/>
        <v>0</v>
      </c>
      <c r="CU12" s="46">
        <f t="shared" si="17"/>
        <v>0</v>
      </c>
      <c r="CV12" s="46">
        <f t="shared" si="17"/>
        <v>0</v>
      </c>
      <c r="CW12" s="46">
        <f t="shared" si="17"/>
        <v>0</v>
      </c>
      <c r="CX12" s="46">
        <f t="shared" si="17"/>
        <v>0</v>
      </c>
      <c r="CY12" s="46">
        <f t="shared" si="17"/>
        <v>0</v>
      </c>
      <c r="CZ12" s="46">
        <f t="shared" si="17"/>
        <v>0</v>
      </c>
      <c r="DA12" s="46">
        <f t="shared" si="17"/>
        <v>0</v>
      </c>
      <c r="DB12" s="46">
        <f t="shared" si="17"/>
        <v>0</v>
      </c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</row>
    <row r="13" spans="1:121" ht="14.25" x14ac:dyDescent="0.15">
      <c r="A13" s="49">
        <v>11</v>
      </c>
      <c r="B13" s="46" t="e">
        <f t="shared" si="1"/>
        <v>#DIV/0!</v>
      </c>
      <c r="C13" s="46" t="e">
        <f t="shared" si="2"/>
        <v>#DIV/0!</v>
      </c>
      <c r="D13" s="46" t="e">
        <f t="shared" si="3"/>
        <v>#DIV/0!</v>
      </c>
      <c r="E13" s="46" t="e">
        <f t="shared" si="4"/>
        <v>#DIV/0!</v>
      </c>
      <c r="F13" s="46" t="e">
        <f t="shared" si="5"/>
        <v>#DIV/0!</v>
      </c>
      <c r="G13" s="46" t="e">
        <f t="shared" si="6"/>
        <v>#DIV/0!</v>
      </c>
      <c r="H13" s="46" t="e">
        <f t="shared" si="7"/>
        <v>#DIV/0!</v>
      </c>
      <c r="I13" s="46" t="e">
        <f t="shared" si="8"/>
        <v>#DIV/0!</v>
      </c>
      <c r="J13" s="46" t="e">
        <f t="shared" si="9"/>
        <v>#DIV/0!</v>
      </c>
      <c r="K13" s="46" t="e">
        <f t="shared" si="10"/>
        <v>#DIV/0!</v>
      </c>
      <c r="L13" s="46" t="e">
        <f t="shared" si="11"/>
        <v>#DIV/0!</v>
      </c>
      <c r="M13" s="46" t="e">
        <f t="shared" si="12"/>
        <v>#DIV/0!</v>
      </c>
      <c r="N13" s="46" t="e">
        <f t="shared" si="13"/>
        <v>#DIV/0!</v>
      </c>
      <c r="O13" s="46" t="e">
        <f t="shared" si="14"/>
        <v>#DIV/0!</v>
      </c>
      <c r="P13" s="46" t="e">
        <f t="shared" si="15"/>
        <v>#DIV/0!</v>
      </c>
      <c r="Q13" s="56" t="e">
        <f>Q12+ATM_Conf!$C$5*(B12)/(Links!B$191*Links!Q$191)</f>
        <v>#DIV/0!</v>
      </c>
      <c r="R13" s="56" t="e">
        <f>R12+ATM_Conf!$C$5*(C12-B12)/(Links!C$191*Links!R$191)</f>
        <v>#DIV/0!</v>
      </c>
      <c r="S13" s="56" t="e">
        <f>S12+ATM_Conf!$C$5*(D12-C12)/(Links!D$191*Links!S$191)</f>
        <v>#DIV/0!</v>
      </c>
      <c r="T13" s="56" t="e">
        <f>T12+ATM_Conf!$C$5*(E12-D12)/(Links!E$191*Links!T$191)</f>
        <v>#DIV/0!</v>
      </c>
      <c r="U13" s="56" t="e">
        <f>U12+ATM_Conf!$C$5*(F12-E12)/(Links!F$191*Links!U$191)</f>
        <v>#DIV/0!</v>
      </c>
      <c r="V13" s="56" t="e">
        <f>V12+ATM_Conf!$C$5*(G12-F12)/(Links!G$191*Links!V$191)</f>
        <v>#DIV/0!</v>
      </c>
      <c r="W13" s="56" t="e">
        <f>W12+ATM_Conf!$C$5*(H12-G12)/(Links!H$191*Links!W$191)</f>
        <v>#DIV/0!</v>
      </c>
      <c r="X13" s="56" t="e">
        <f>X12+ATM_Conf!$C$5*(I12-H12)/(Links!I$191*Links!X$191)</f>
        <v>#DIV/0!</v>
      </c>
      <c r="Y13" s="56" t="e">
        <f>Y12+ATM_Conf!$C$5*(J12)/(Links!J$191*Links!Y$191)</f>
        <v>#DIV/0!</v>
      </c>
      <c r="Z13" s="56" t="e">
        <f>Z12+ATM_Conf!$C$5*(K12-J12)/(Links!K$191*Links!Z$191)</f>
        <v>#DIV/0!</v>
      </c>
      <c r="AA13" s="56" t="e">
        <f>AA12+ATM_Conf!$C$5*(L12-K12)/(Links!L$191*Links!AA$191)</f>
        <v>#DIV/0!</v>
      </c>
      <c r="AB13" s="56" t="e">
        <f>AB12+ATM_Conf!$C$5*(M12-L12)/(Links!M$191*Links!AB$191)</f>
        <v>#DIV/0!</v>
      </c>
      <c r="AC13" s="56" t="e">
        <f>AC12+ATM_Conf!$C$5*(N12-M12)/(Links!N$191*Links!AC$191)</f>
        <v>#DIV/0!</v>
      </c>
      <c r="AD13" s="56" t="e">
        <f>AD12+ATM_Conf!$C$5*(O12-N12)/(Links!O$191*Links!AD$191)</f>
        <v>#DIV/0!</v>
      </c>
      <c r="AE13" s="56" t="e">
        <f>AE12+ATM_Conf!$C$5*(P12-O12)/(Links!P$191*Links!AE$191)</f>
        <v>#DIV/0!</v>
      </c>
      <c r="AF13" s="46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6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6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6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6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6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6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6" t="e">
        <f>AM12+(ATM_Conf!$C$5/ATM_Conf!$C$8)*(Links!BB12*EXP((-(Links!X12/Links!BQ12)^Links!CF12)/Links!CF12)-Links!AM12)+(ATM_Conf!$C$5/Links!X$191)*Links!AM12*(Nodes!BH12-Links!AM12)</f>
        <v>#DIV/0!</v>
      </c>
      <c r="AN13" s="46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6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6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6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6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6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6" t="e">
        <f>AT12+(ATM_Conf!$C$5/ATM_Conf!$C$8)*(Links!BI12*EXP((-(Links!AE12/Links!BX12)^Links!CM12)/Links!CM12)-Links!AT12)+(ATM_Conf!$C$5/Links!AE$191)*Links!AT12*(Nodes!BN12-Links!AT12)</f>
        <v>#DIV/0!</v>
      </c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46">
        <f t="shared" si="17"/>
        <v>0</v>
      </c>
      <c r="CO13" s="46">
        <f t="shared" si="17"/>
        <v>0</v>
      </c>
      <c r="CP13" s="46">
        <f t="shared" si="17"/>
        <v>0</v>
      </c>
      <c r="CQ13" s="46">
        <f t="shared" si="17"/>
        <v>0</v>
      </c>
      <c r="CR13" s="46">
        <f t="shared" si="17"/>
        <v>0</v>
      </c>
      <c r="CS13" s="46">
        <f t="shared" si="17"/>
        <v>0</v>
      </c>
      <c r="CT13" s="46">
        <f t="shared" si="17"/>
        <v>0</v>
      </c>
      <c r="CU13" s="46">
        <f t="shared" si="17"/>
        <v>0</v>
      </c>
      <c r="CV13" s="46">
        <f t="shared" si="17"/>
        <v>0</v>
      </c>
      <c r="CW13" s="46">
        <f t="shared" si="17"/>
        <v>0</v>
      </c>
      <c r="CX13" s="46">
        <f t="shared" si="17"/>
        <v>0</v>
      </c>
      <c r="CY13" s="46">
        <f t="shared" si="17"/>
        <v>0</v>
      </c>
      <c r="CZ13" s="46">
        <f t="shared" si="17"/>
        <v>0</v>
      </c>
      <c r="DA13" s="46">
        <f t="shared" si="17"/>
        <v>0</v>
      </c>
      <c r="DB13" s="46">
        <f t="shared" si="17"/>
        <v>0</v>
      </c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</row>
    <row r="14" spans="1:121" ht="14.25" x14ac:dyDescent="0.15">
      <c r="A14" s="49">
        <v>12</v>
      </c>
      <c r="B14" s="46" t="e">
        <f t="shared" si="1"/>
        <v>#DIV/0!</v>
      </c>
      <c r="C14" s="46" t="e">
        <f t="shared" si="2"/>
        <v>#DIV/0!</v>
      </c>
      <c r="D14" s="46" t="e">
        <f t="shared" si="3"/>
        <v>#DIV/0!</v>
      </c>
      <c r="E14" s="46" t="e">
        <f t="shared" si="4"/>
        <v>#DIV/0!</v>
      </c>
      <c r="F14" s="46" t="e">
        <f t="shared" si="5"/>
        <v>#DIV/0!</v>
      </c>
      <c r="G14" s="46" t="e">
        <f t="shared" si="6"/>
        <v>#DIV/0!</v>
      </c>
      <c r="H14" s="46" t="e">
        <f t="shared" si="7"/>
        <v>#DIV/0!</v>
      </c>
      <c r="I14" s="46" t="e">
        <f t="shared" si="8"/>
        <v>#DIV/0!</v>
      </c>
      <c r="J14" s="46" t="e">
        <f t="shared" si="9"/>
        <v>#DIV/0!</v>
      </c>
      <c r="K14" s="46" t="e">
        <f t="shared" si="10"/>
        <v>#DIV/0!</v>
      </c>
      <c r="L14" s="46" t="e">
        <f t="shared" si="11"/>
        <v>#DIV/0!</v>
      </c>
      <c r="M14" s="46" t="e">
        <f t="shared" si="12"/>
        <v>#DIV/0!</v>
      </c>
      <c r="N14" s="46" t="e">
        <f t="shared" si="13"/>
        <v>#DIV/0!</v>
      </c>
      <c r="O14" s="46" t="e">
        <f t="shared" si="14"/>
        <v>#DIV/0!</v>
      </c>
      <c r="P14" s="46" t="e">
        <f t="shared" si="15"/>
        <v>#DIV/0!</v>
      </c>
      <c r="Q14" s="56" t="e">
        <f>Q13+ATM_Conf!$C$5*(B13)/(Links!B$191*Links!Q$191)</f>
        <v>#DIV/0!</v>
      </c>
      <c r="R14" s="56" t="e">
        <f>R13+ATM_Conf!$C$5*(C13-B13)/(Links!C$191*Links!R$191)</f>
        <v>#DIV/0!</v>
      </c>
      <c r="S14" s="56" t="e">
        <f>S13+ATM_Conf!$C$5*(D13-C13)/(Links!D$191*Links!S$191)</f>
        <v>#DIV/0!</v>
      </c>
      <c r="T14" s="56" t="e">
        <f>T13+ATM_Conf!$C$5*(E13-D13)/(Links!E$191*Links!T$191)</f>
        <v>#DIV/0!</v>
      </c>
      <c r="U14" s="56" t="e">
        <f>U13+ATM_Conf!$C$5*(F13-E13)/(Links!F$191*Links!U$191)</f>
        <v>#DIV/0!</v>
      </c>
      <c r="V14" s="56" t="e">
        <f>V13+ATM_Conf!$C$5*(G13-F13)/(Links!G$191*Links!V$191)</f>
        <v>#DIV/0!</v>
      </c>
      <c r="W14" s="56" t="e">
        <f>W13+ATM_Conf!$C$5*(H13-G13)/(Links!H$191*Links!W$191)</f>
        <v>#DIV/0!</v>
      </c>
      <c r="X14" s="56" t="e">
        <f>X13+ATM_Conf!$C$5*(I13-H13)/(Links!I$191*Links!X$191)</f>
        <v>#DIV/0!</v>
      </c>
      <c r="Y14" s="56" t="e">
        <f>Y13+ATM_Conf!$C$5*(J13)/(Links!J$191*Links!Y$191)</f>
        <v>#DIV/0!</v>
      </c>
      <c r="Z14" s="56" t="e">
        <f>Z13+ATM_Conf!$C$5*(K13-J13)/(Links!K$191*Links!Z$191)</f>
        <v>#DIV/0!</v>
      </c>
      <c r="AA14" s="56" t="e">
        <f>AA13+ATM_Conf!$C$5*(L13-K13)/(Links!L$191*Links!AA$191)</f>
        <v>#DIV/0!</v>
      </c>
      <c r="AB14" s="56" t="e">
        <f>AB13+ATM_Conf!$C$5*(M13-L13)/(Links!M$191*Links!AB$191)</f>
        <v>#DIV/0!</v>
      </c>
      <c r="AC14" s="56" t="e">
        <f>AC13+ATM_Conf!$C$5*(N13-M13)/(Links!N$191*Links!AC$191)</f>
        <v>#DIV/0!</v>
      </c>
      <c r="AD14" s="56" t="e">
        <f>AD13+ATM_Conf!$C$5*(O13-N13)/(Links!O$191*Links!AD$191)</f>
        <v>#DIV/0!</v>
      </c>
      <c r="AE14" s="56" t="e">
        <f>AE13+ATM_Conf!$C$5*(P13-O13)/(Links!P$191*Links!AE$191)</f>
        <v>#DIV/0!</v>
      </c>
      <c r="AF14" s="46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6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6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6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6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6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6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6" t="e">
        <f>AM13+(ATM_Conf!$C$5/ATM_Conf!$C$8)*(Links!BB13*EXP((-(Links!X13/Links!BQ13)^Links!CF13)/Links!CF13)-Links!AM13)+(ATM_Conf!$C$5/Links!X$191)*Links!AM13*(Nodes!BH13-Links!AM13)</f>
        <v>#DIV/0!</v>
      </c>
      <c r="AN14" s="46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6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6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6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6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6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6" t="e">
        <f>AT13+(ATM_Conf!$C$5/ATM_Conf!$C$8)*(Links!BI13*EXP((-(Links!AE13/Links!BX13)^Links!CM13)/Links!CM13)-Links!AT13)+(ATM_Conf!$C$5/Links!AE$191)*Links!AT13*(Nodes!BN13-Links!AT13)</f>
        <v>#DIV/0!</v>
      </c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46">
        <f t="shared" si="17"/>
        <v>0</v>
      </c>
      <c r="CO14" s="46">
        <f t="shared" si="17"/>
        <v>0</v>
      </c>
      <c r="CP14" s="46">
        <f t="shared" si="17"/>
        <v>0</v>
      </c>
      <c r="CQ14" s="46">
        <f t="shared" si="17"/>
        <v>0</v>
      </c>
      <c r="CR14" s="46">
        <f t="shared" si="17"/>
        <v>0</v>
      </c>
      <c r="CS14" s="46">
        <f t="shared" si="17"/>
        <v>0</v>
      </c>
      <c r="CT14" s="46">
        <f t="shared" si="17"/>
        <v>0</v>
      </c>
      <c r="CU14" s="46">
        <f t="shared" si="17"/>
        <v>0</v>
      </c>
      <c r="CV14" s="46">
        <f t="shared" si="17"/>
        <v>0</v>
      </c>
      <c r="CW14" s="46">
        <f t="shared" si="17"/>
        <v>0</v>
      </c>
      <c r="CX14" s="46">
        <f t="shared" si="17"/>
        <v>0</v>
      </c>
      <c r="CY14" s="46">
        <f t="shared" si="17"/>
        <v>0</v>
      </c>
      <c r="CZ14" s="46">
        <f t="shared" si="17"/>
        <v>0</v>
      </c>
      <c r="DA14" s="46">
        <f t="shared" si="17"/>
        <v>0</v>
      </c>
      <c r="DB14" s="46">
        <f t="shared" si="17"/>
        <v>0</v>
      </c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</row>
    <row r="15" spans="1:121" ht="14.25" x14ac:dyDescent="0.15">
      <c r="A15" s="49">
        <v>13</v>
      </c>
      <c r="B15" s="46" t="e">
        <f t="shared" si="1"/>
        <v>#DIV/0!</v>
      </c>
      <c r="C15" s="46" t="e">
        <f t="shared" si="2"/>
        <v>#DIV/0!</v>
      </c>
      <c r="D15" s="46" t="e">
        <f t="shared" si="3"/>
        <v>#DIV/0!</v>
      </c>
      <c r="E15" s="46" t="e">
        <f t="shared" si="4"/>
        <v>#DIV/0!</v>
      </c>
      <c r="F15" s="46" t="e">
        <f t="shared" si="5"/>
        <v>#DIV/0!</v>
      </c>
      <c r="G15" s="46" t="e">
        <f t="shared" si="6"/>
        <v>#DIV/0!</v>
      </c>
      <c r="H15" s="46" t="e">
        <f t="shared" si="7"/>
        <v>#DIV/0!</v>
      </c>
      <c r="I15" s="46" t="e">
        <f t="shared" si="8"/>
        <v>#DIV/0!</v>
      </c>
      <c r="J15" s="46" t="e">
        <f t="shared" si="9"/>
        <v>#DIV/0!</v>
      </c>
      <c r="K15" s="46" t="e">
        <f t="shared" si="10"/>
        <v>#DIV/0!</v>
      </c>
      <c r="L15" s="46" t="e">
        <f t="shared" si="11"/>
        <v>#DIV/0!</v>
      </c>
      <c r="M15" s="46" t="e">
        <f t="shared" si="12"/>
        <v>#DIV/0!</v>
      </c>
      <c r="N15" s="46" t="e">
        <f t="shared" si="13"/>
        <v>#DIV/0!</v>
      </c>
      <c r="O15" s="46" t="e">
        <f t="shared" si="14"/>
        <v>#DIV/0!</v>
      </c>
      <c r="P15" s="46" t="e">
        <f t="shared" si="15"/>
        <v>#DIV/0!</v>
      </c>
      <c r="Q15" s="56" t="e">
        <f>Q14+ATM_Conf!$C$5*(B14)/(Links!B$191*Links!Q$191)</f>
        <v>#DIV/0!</v>
      </c>
      <c r="R15" s="56" t="e">
        <f>R14+ATM_Conf!$C$5*(C14-B14)/(Links!C$191*Links!R$191)</f>
        <v>#DIV/0!</v>
      </c>
      <c r="S15" s="56" t="e">
        <f>S14+ATM_Conf!$C$5*(D14-C14)/(Links!D$191*Links!S$191)</f>
        <v>#DIV/0!</v>
      </c>
      <c r="T15" s="56" t="e">
        <f>T14+ATM_Conf!$C$5*(E14-D14)/(Links!E$191*Links!T$191)</f>
        <v>#DIV/0!</v>
      </c>
      <c r="U15" s="56" t="e">
        <f>U14+ATM_Conf!$C$5*(F14-E14)/(Links!F$191*Links!U$191)</f>
        <v>#DIV/0!</v>
      </c>
      <c r="V15" s="56" t="e">
        <f>V14+ATM_Conf!$C$5*(G14-F14)/(Links!G$191*Links!V$191)</f>
        <v>#DIV/0!</v>
      </c>
      <c r="W15" s="56" t="e">
        <f>W14+ATM_Conf!$C$5*(H14-G14)/(Links!H$191*Links!W$191)</f>
        <v>#DIV/0!</v>
      </c>
      <c r="X15" s="56" t="e">
        <f>X14+ATM_Conf!$C$5*(I14-H14)/(Links!I$191*Links!X$191)</f>
        <v>#DIV/0!</v>
      </c>
      <c r="Y15" s="56" t="e">
        <f>Y14+ATM_Conf!$C$5*(J14)/(Links!J$191*Links!Y$191)</f>
        <v>#DIV/0!</v>
      </c>
      <c r="Z15" s="56" t="e">
        <f>Z14+ATM_Conf!$C$5*(K14-J14)/(Links!K$191*Links!Z$191)</f>
        <v>#DIV/0!</v>
      </c>
      <c r="AA15" s="56" t="e">
        <f>AA14+ATM_Conf!$C$5*(L14-K14)/(Links!L$191*Links!AA$191)</f>
        <v>#DIV/0!</v>
      </c>
      <c r="AB15" s="56" t="e">
        <f>AB14+ATM_Conf!$C$5*(M14-L14)/(Links!M$191*Links!AB$191)</f>
        <v>#DIV/0!</v>
      </c>
      <c r="AC15" s="56" t="e">
        <f>AC14+ATM_Conf!$C$5*(N14-M14)/(Links!N$191*Links!AC$191)</f>
        <v>#DIV/0!</v>
      </c>
      <c r="AD15" s="56" t="e">
        <f>AD14+ATM_Conf!$C$5*(O14-N14)/(Links!O$191*Links!AD$191)</f>
        <v>#DIV/0!</v>
      </c>
      <c r="AE15" s="56" t="e">
        <f>AE14+ATM_Conf!$C$5*(P14-O14)/(Links!P$191*Links!AE$191)</f>
        <v>#DIV/0!</v>
      </c>
      <c r="AF15" s="46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6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6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6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6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6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6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6" t="e">
        <f>AM14+(ATM_Conf!$C$5/ATM_Conf!$C$8)*(Links!BB14*EXP((-(Links!X14/Links!BQ14)^Links!CF14)/Links!CF14)-Links!AM14)+(ATM_Conf!$C$5/Links!X$191)*Links!AM14*(Nodes!BH14-Links!AM14)</f>
        <v>#DIV/0!</v>
      </c>
      <c r="AN15" s="46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6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6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6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6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6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6" t="e">
        <f>AT14+(ATM_Conf!$C$5/ATM_Conf!$C$8)*(Links!BI14*EXP((-(Links!AE14/Links!BX14)^Links!CM14)/Links!CM14)-Links!AT14)+(ATM_Conf!$C$5/Links!AE$191)*Links!AT14*(Nodes!BN14-Links!AT14)</f>
        <v>#DIV/0!</v>
      </c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54">
        <f>(CN15-CN3)^2</f>
        <v>0</v>
      </c>
      <c r="DD15" s="54">
        <f t="shared" ref="DD15:DQ15" si="18">(CO15-CO3)^2</f>
        <v>0</v>
      </c>
      <c r="DE15" s="54">
        <f t="shared" si="18"/>
        <v>0</v>
      </c>
      <c r="DF15" s="54">
        <f t="shared" si="18"/>
        <v>0</v>
      </c>
      <c r="DG15" s="54">
        <f t="shared" si="18"/>
        <v>0</v>
      </c>
      <c r="DH15" s="54">
        <f t="shared" si="18"/>
        <v>0</v>
      </c>
      <c r="DI15" s="54">
        <f t="shared" si="18"/>
        <v>0</v>
      </c>
      <c r="DJ15" s="54">
        <f t="shared" si="18"/>
        <v>0</v>
      </c>
      <c r="DK15" s="54">
        <f t="shared" si="18"/>
        <v>0</v>
      </c>
      <c r="DL15" s="54">
        <f t="shared" si="18"/>
        <v>0</v>
      </c>
      <c r="DM15" s="54">
        <f t="shared" si="18"/>
        <v>0</v>
      </c>
      <c r="DN15" s="54">
        <f t="shared" si="18"/>
        <v>0</v>
      </c>
      <c r="DO15" s="54">
        <f t="shared" si="18"/>
        <v>0</v>
      </c>
      <c r="DP15" s="54">
        <f t="shared" si="18"/>
        <v>0</v>
      </c>
      <c r="DQ15" s="54">
        <f t="shared" si="18"/>
        <v>0</v>
      </c>
    </row>
    <row r="16" spans="1:121" ht="14.25" x14ac:dyDescent="0.15">
      <c r="A16" s="49">
        <v>14</v>
      </c>
      <c r="B16" s="46" t="e">
        <f t="shared" si="1"/>
        <v>#DIV/0!</v>
      </c>
      <c r="C16" s="46" t="e">
        <f t="shared" si="2"/>
        <v>#DIV/0!</v>
      </c>
      <c r="D16" s="46" t="e">
        <f t="shared" si="3"/>
        <v>#DIV/0!</v>
      </c>
      <c r="E16" s="46" t="e">
        <f t="shared" si="4"/>
        <v>#DIV/0!</v>
      </c>
      <c r="F16" s="46" t="e">
        <f t="shared" si="5"/>
        <v>#DIV/0!</v>
      </c>
      <c r="G16" s="46" t="e">
        <f t="shared" si="6"/>
        <v>#DIV/0!</v>
      </c>
      <c r="H16" s="46" t="e">
        <f t="shared" si="7"/>
        <v>#DIV/0!</v>
      </c>
      <c r="I16" s="46" t="e">
        <f t="shared" si="8"/>
        <v>#DIV/0!</v>
      </c>
      <c r="J16" s="46" t="e">
        <f t="shared" si="9"/>
        <v>#DIV/0!</v>
      </c>
      <c r="K16" s="46" t="e">
        <f t="shared" si="10"/>
        <v>#DIV/0!</v>
      </c>
      <c r="L16" s="46" t="e">
        <f t="shared" si="11"/>
        <v>#DIV/0!</v>
      </c>
      <c r="M16" s="46" t="e">
        <f t="shared" si="12"/>
        <v>#DIV/0!</v>
      </c>
      <c r="N16" s="46" t="e">
        <f t="shared" si="13"/>
        <v>#DIV/0!</v>
      </c>
      <c r="O16" s="46" t="e">
        <f t="shared" si="14"/>
        <v>#DIV/0!</v>
      </c>
      <c r="P16" s="46" t="e">
        <f t="shared" si="15"/>
        <v>#DIV/0!</v>
      </c>
      <c r="Q16" s="56" t="e">
        <f>Q15+ATM_Conf!$C$5*(B15)/(Links!B$191*Links!Q$191)</f>
        <v>#DIV/0!</v>
      </c>
      <c r="R16" s="56" t="e">
        <f>R15+ATM_Conf!$C$5*(C15-B15)/(Links!C$191*Links!R$191)</f>
        <v>#DIV/0!</v>
      </c>
      <c r="S16" s="56" t="e">
        <f>S15+ATM_Conf!$C$5*(D15-C15)/(Links!D$191*Links!S$191)</f>
        <v>#DIV/0!</v>
      </c>
      <c r="T16" s="56" t="e">
        <f>T15+ATM_Conf!$C$5*(E15-D15)/(Links!E$191*Links!T$191)</f>
        <v>#DIV/0!</v>
      </c>
      <c r="U16" s="56" t="e">
        <f>U15+ATM_Conf!$C$5*(F15-E15)/(Links!F$191*Links!U$191)</f>
        <v>#DIV/0!</v>
      </c>
      <c r="V16" s="56" t="e">
        <f>V15+ATM_Conf!$C$5*(G15-F15)/(Links!G$191*Links!V$191)</f>
        <v>#DIV/0!</v>
      </c>
      <c r="W16" s="56" t="e">
        <f>W15+ATM_Conf!$C$5*(H15-G15)/(Links!H$191*Links!W$191)</f>
        <v>#DIV/0!</v>
      </c>
      <c r="X16" s="56" t="e">
        <f>X15+ATM_Conf!$C$5*(I15-H15)/(Links!I$191*Links!X$191)</f>
        <v>#DIV/0!</v>
      </c>
      <c r="Y16" s="56" t="e">
        <f>Y15+ATM_Conf!$C$5*(J15)/(Links!J$191*Links!Y$191)</f>
        <v>#DIV/0!</v>
      </c>
      <c r="Z16" s="56" t="e">
        <f>Z15+ATM_Conf!$C$5*(K15-J15)/(Links!K$191*Links!Z$191)</f>
        <v>#DIV/0!</v>
      </c>
      <c r="AA16" s="56" t="e">
        <f>AA15+ATM_Conf!$C$5*(L15-K15)/(Links!L$191*Links!AA$191)</f>
        <v>#DIV/0!</v>
      </c>
      <c r="AB16" s="56" t="e">
        <f>AB15+ATM_Conf!$C$5*(M15-L15)/(Links!M$191*Links!AB$191)</f>
        <v>#DIV/0!</v>
      </c>
      <c r="AC16" s="56" t="e">
        <f>AC15+ATM_Conf!$C$5*(N15-M15)/(Links!N$191*Links!AC$191)</f>
        <v>#DIV/0!</v>
      </c>
      <c r="AD16" s="56" t="e">
        <f>AD15+ATM_Conf!$C$5*(O15-N15)/(Links!O$191*Links!AD$191)</f>
        <v>#DIV/0!</v>
      </c>
      <c r="AE16" s="56" t="e">
        <f>AE15+ATM_Conf!$C$5*(P15-O15)/(Links!P$191*Links!AE$191)</f>
        <v>#DIV/0!</v>
      </c>
      <c r="AF16" s="46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6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6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6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6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6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6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6" t="e">
        <f>AM15+(ATM_Conf!$C$5/ATM_Conf!$C$8)*(Links!BB15*EXP((-(Links!X15/Links!BQ15)^Links!CF15)/Links!CF15)-Links!AM15)+(ATM_Conf!$C$5/Links!X$191)*Links!AM15*(Nodes!BH15-Links!AM15)</f>
        <v>#DIV/0!</v>
      </c>
      <c r="AN16" s="46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6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6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6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6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6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6" t="e">
        <f>AT15+(ATM_Conf!$C$5/ATM_Conf!$C$8)*(Links!BI15*EXP((-(Links!AE15/Links!BX15)^Links!CM15)/Links!CM15)-Links!AT15)+(ATM_Conf!$C$5/Links!AE$191)*Links!AT15*(Nodes!BN15-Links!AT15)</f>
        <v>#DIV/0!</v>
      </c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46">
        <f>CN$15</f>
        <v>0</v>
      </c>
      <c r="CO16" s="46">
        <f t="shared" ref="CO16:DB16" si="19">CO$15</f>
        <v>0</v>
      </c>
      <c r="CP16" s="46">
        <f t="shared" si="19"/>
        <v>0</v>
      </c>
      <c r="CQ16" s="46">
        <f t="shared" si="19"/>
        <v>0</v>
      </c>
      <c r="CR16" s="46">
        <f t="shared" si="19"/>
        <v>0</v>
      </c>
      <c r="CS16" s="46">
        <f t="shared" si="19"/>
        <v>0</v>
      </c>
      <c r="CT16" s="46">
        <f t="shared" si="19"/>
        <v>0</v>
      </c>
      <c r="CU16" s="46">
        <f t="shared" si="19"/>
        <v>0</v>
      </c>
      <c r="CV16" s="46">
        <f t="shared" si="19"/>
        <v>0</v>
      </c>
      <c r="CW16" s="46">
        <f t="shared" si="19"/>
        <v>0</v>
      </c>
      <c r="CX16" s="46">
        <f t="shared" si="19"/>
        <v>0</v>
      </c>
      <c r="CY16" s="46">
        <f t="shared" si="19"/>
        <v>0</v>
      </c>
      <c r="CZ16" s="46">
        <f t="shared" si="19"/>
        <v>0</v>
      </c>
      <c r="DA16" s="46">
        <f t="shared" si="19"/>
        <v>0</v>
      </c>
      <c r="DB16" s="46">
        <f t="shared" si="19"/>
        <v>0</v>
      </c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</row>
    <row r="17" spans="1:121" ht="14.25" x14ac:dyDescent="0.15">
      <c r="A17" s="49">
        <v>15</v>
      </c>
      <c r="B17" s="46" t="e">
        <f t="shared" si="1"/>
        <v>#DIV/0!</v>
      </c>
      <c r="C17" s="46" t="e">
        <f t="shared" si="2"/>
        <v>#DIV/0!</v>
      </c>
      <c r="D17" s="46" t="e">
        <f t="shared" si="3"/>
        <v>#DIV/0!</v>
      </c>
      <c r="E17" s="46" t="e">
        <f t="shared" si="4"/>
        <v>#DIV/0!</v>
      </c>
      <c r="F17" s="46" t="e">
        <f t="shared" si="5"/>
        <v>#DIV/0!</v>
      </c>
      <c r="G17" s="46" t="e">
        <f t="shared" si="6"/>
        <v>#DIV/0!</v>
      </c>
      <c r="H17" s="46" t="e">
        <f t="shared" si="7"/>
        <v>#DIV/0!</v>
      </c>
      <c r="I17" s="46" t="e">
        <f t="shared" si="8"/>
        <v>#DIV/0!</v>
      </c>
      <c r="J17" s="46" t="e">
        <f t="shared" si="9"/>
        <v>#DIV/0!</v>
      </c>
      <c r="K17" s="46" t="e">
        <f t="shared" si="10"/>
        <v>#DIV/0!</v>
      </c>
      <c r="L17" s="46" t="e">
        <f t="shared" si="11"/>
        <v>#DIV/0!</v>
      </c>
      <c r="M17" s="46" t="e">
        <f t="shared" si="12"/>
        <v>#DIV/0!</v>
      </c>
      <c r="N17" s="46" t="e">
        <f t="shared" si="13"/>
        <v>#DIV/0!</v>
      </c>
      <c r="O17" s="46" t="e">
        <f t="shared" si="14"/>
        <v>#DIV/0!</v>
      </c>
      <c r="P17" s="46" t="e">
        <f t="shared" si="15"/>
        <v>#DIV/0!</v>
      </c>
      <c r="Q17" s="56" t="e">
        <f>Q16+ATM_Conf!$C$5*(B16)/(Links!B$191*Links!Q$191)</f>
        <v>#DIV/0!</v>
      </c>
      <c r="R17" s="56" t="e">
        <f>R16+ATM_Conf!$C$5*(C16-B16)/(Links!C$191*Links!R$191)</f>
        <v>#DIV/0!</v>
      </c>
      <c r="S17" s="56" t="e">
        <f>S16+ATM_Conf!$C$5*(D16-C16)/(Links!D$191*Links!S$191)</f>
        <v>#DIV/0!</v>
      </c>
      <c r="T17" s="56" t="e">
        <f>T16+ATM_Conf!$C$5*(E16-D16)/(Links!E$191*Links!T$191)</f>
        <v>#DIV/0!</v>
      </c>
      <c r="U17" s="56" t="e">
        <f>U16+ATM_Conf!$C$5*(F16-E16)/(Links!F$191*Links!U$191)</f>
        <v>#DIV/0!</v>
      </c>
      <c r="V17" s="56" t="e">
        <f>V16+ATM_Conf!$C$5*(G16-F16)/(Links!G$191*Links!V$191)</f>
        <v>#DIV/0!</v>
      </c>
      <c r="W17" s="56" t="e">
        <f>W16+ATM_Conf!$C$5*(H16-G16)/(Links!H$191*Links!W$191)</f>
        <v>#DIV/0!</v>
      </c>
      <c r="X17" s="56" t="e">
        <f>X16+ATM_Conf!$C$5*(I16-H16)/(Links!I$191*Links!X$191)</f>
        <v>#DIV/0!</v>
      </c>
      <c r="Y17" s="56" t="e">
        <f>Y16+ATM_Conf!$C$5*(J16)/(Links!J$191*Links!Y$191)</f>
        <v>#DIV/0!</v>
      </c>
      <c r="Z17" s="56" t="e">
        <f>Z16+ATM_Conf!$C$5*(K16-J16)/(Links!K$191*Links!Z$191)</f>
        <v>#DIV/0!</v>
      </c>
      <c r="AA17" s="56" t="e">
        <f>AA16+ATM_Conf!$C$5*(L16-K16)/(Links!L$191*Links!AA$191)</f>
        <v>#DIV/0!</v>
      </c>
      <c r="AB17" s="56" t="e">
        <f>AB16+ATM_Conf!$C$5*(M16-L16)/(Links!M$191*Links!AB$191)</f>
        <v>#DIV/0!</v>
      </c>
      <c r="AC17" s="56" t="e">
        <f>AC16+ATM_Conf!$C$5*(N16-M16)/(Links!N$191*Links!AC$191)</f>
        <v>#DIV/0!</v>
      </c>
      <c r="AD17" s="56" t="e">
        <f>AD16+ATM_Conf!$C$5*(O16-N16)/(Links!O$191*Links!AD$191)</f>
        <v>#DIV/0!</v>
      </c>
      <c r="AE17" s="56" t="e">
        <f>AE16+ATM_Conf!$C$5*(P16-O16)/(Links!P$191*Links!AE$191)</f>
        <v>#DIV/0!</v>
      </c>
      <c r="AF17" s="46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6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6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6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6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6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6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6" t="e">
        <f>AM16+(ATM_Conf!$C$5/ATM_Conf!$C$8)*(Links!BB16*EXP((-(Links!X16/Links!BQ16)^Links!CF16)/Links!CF16)-Links!AM16)+(ATM_Conf!$C$5/Links!X$191)*Links!AM16*(Nodes!BH16-Links!AM16)</f>
        <v>#DIV/0!</v>
      </c>
      <c r="AN17" s="46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6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6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6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6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6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6" t="e">
        <f>AT16+(ATM_Conf!$C$5/ATM_Conf!$C$8)*(Links!BI16*EXP((-(Links!AE16/Links!BX16)^Links!CM16)/Links!CM16)-Links!AT16)+(ATM_Conf!$C$5/Links!AE$191)*Links!AT16*(Nodes!BN16-Links!AT16)</f>
        <v>#DIV/0!</v>
      </c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46">
        <f t="shared" ref="CN17:DB26" si="20">CN$15</f>
        <v>0</v>
      </c>
      <c r="CO17" s="46">
        <f t="shared" si="20"/>
        <v>0</v>
      </c>
      <c r="CP17" s="46">
        <f t="shared" si="20"/>
        <v>0</v>
      </c>
      <c r="CQ17" s="46">
        <f t="shared" si="20"/>
        <v>0</v>
      </c>
      <c r="CR17" s="46">
        <f t="shared" si="20"/>
        <v>0</v>
      </c>
      <c r="CS17" s="46">
        <f t="shared" si="20"/>
        <v>0</v>
      </c>
      <c r="CT17" s="46">
        <f t="shared" si="20"/>
        <v>0</v>
      </c>
      <c r="CU17" s="46">
        <f t="shared" si="20"/>
        <v>0</v>
      </c>
      <c r="CV17" s="46">
        <f t="shared" si="20"/>
        <v>0</v>
      </c>
      <c r="CW17" s="46">
        <f t="shared" si="20"/>
        <v>0</v>
      </c>
      <c r="CX17" s="46">
        <f t="shared" si="20"/>
        <v>0</v>
      </c>
      <c r="CY17" s="46">
        <f t="shared" si="20"/>
        <v>0</v>
      </c>
      <c r="CZ17" s="46">
        <f t="shared" si="20"/>
        <v>0</v>
      </c>
      <c r="DA17" s="46">
        <f t="shared" si="20"/>
        <v>0</v>
      </c>
      <c r="DB17" s="46">
        <f t="shared" si="20"/>
        <v>0</v>
      </c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</row>
    <row r="18" spans="1:121" ht="14.25" x14ac:dyDescent="0.15">
      <c r="A18" s="49">
        <v>16</v>
      </c>
      <c r="B18" s="46" t="e">
        <f t="shared" si="1"/>
        <v>#DIV/0!</v>
      </c>
      <c r="C18" s="46" t="e">
        <f t="shared" si="2"/>
        <v>#DIV/0!</v>
      </c>
      <c r="D18" s="46" t="e">
        <f t="shared" si="3"/>
        <v>#DIV/0!</v>
      </c>
      <c r="E18" s="46" t="e">
        <f t="shared" si="4"/>
        <v>#DIV/0!</v>
      </c>
      <c r="F18" s="46" t="e">
        <f t="shared" si="5"/>
        <v>#DIV/0!</v>
      </c>
      <c r="G18" s="46" t="e">
        <f t="shared" si="6"/>
        <v>#DIV/0!</v>
      </c>
      <c r="H18" s="46" t="e">
        <f t="shared" si="7"/>
        <v>#DIV/0!</v>
      </c>
      <c r="I18" s="46" t="e">
        <f t="shared" si="8"/>
        <v>#DIV/0!</v>
      </c>
      <c r="J18" s="46" t="e">
        <f t="shared" si="9"/>
        <v>#DIV/0!</v>
      </c>
      <c r="K18" s="46" t="e">
        <f t="shared" si="10"/>
        <v>#DIV/0!</v>
      </c>
      <c r="L18" s="46" t="e">
        <f t="shared" si="11"/>
        <v>#DIV/0!</v>
      </c>
      <c r="M18" s="46" t="e">
        <f t="shared" si="12"/>
        <v>#DIV/0!</v>
      </c>
      <c r="N18" s="46" t="e">
        <f t="shared" si="13"/>
        <v>#DIV/0!</v>
      </c>
      <c r="O18" s="46" t="e">
        <f t="shared" si="14"/>
        <v>#DIV/0!</v>
      </c>
      <c r="P18" s="46" t="e">
        <f t="shared" si="15"/>
        <v>#DIV/0!</v>
      </c>
      <c r="Q18" s="56" t="e">
        <f>Q17+ATM_Conf!$C$5*(B17)/(Links!B$191*Links!Q$191)</f>
        <v>#DIV/0!</v>
      </c>
      <c r="R18" s="56" t="e">
        <f>R17+ATM_Conf!$C$5*(C17-B17)/(Links!C$191*Links!R$191)</f>
        <v>#DIV/0!</v>
      </c>
      <c r="S18" s="56" t="e">
        <f>S17+ATM_Conf!$C$5*(D17-C17)/(Links!D$191*Links!S$191)</f>
        <v>#DIV/0!</v>
      </c>
      <c r="T18" s="56" t="e">
        <f>T17+ATM_Conf!$C$5*(E17-D17)/(Links!E$191*Links!T$191)</f>
        <v>#DIV/0!</v>
      </c>
      <c r="U18" s="56" t="e">
        <f>U17+ATM_Conf!$C$5*(F17-E17)/(Links!F$191*Links!U$191)</f>
        <v>#DIV/0!</v>
      </c>
      <c r="V18" s="56" t="e">
        <f>V17+ATM_Conf!$C$5*(G17-F17)/(Links!G$191*Links!V$191)</f>
        <v>#DIV/0!</v>
      </c>
      <c r="W18" s="56" t="e">
        <f>W17+ATM_Conf!$C$5*(H17-G17)/(Links!H$191*Links!W$191)</f>
        <v>#DIV/0!</v>
      </c>
      <c r="X18" s="56" t="e">
        <f>X17+ATM_Conf!$C$5*(I17-H17)/(Links!I$191*Links!X$191)</f>
        <v>#DIV/0!</v>
      </c>
      <c r="Y18" s="56" t="e">
        <f>Y17+ATM_Conf!$C$5*(J17)/(Links!J$191*Links!Y$191)</f>
        <v>#DIV/0!</v>
      </c>
      <c r="Z18" s="56" t="e">
        <f>Z17+ATM_Conf!$C$5*(K17-J17)/(Links!K$191*Links!Z$191)</f>
        <v>#DIV/0!</v>
      </c>
      <c r="AA18" s="56" t="e">
        <f>AA17+ATM_Conf!$C$5*(L17-K17)/(Links!L$191*Links!AA$191)</f>
        <v>#DIV/0!</v>
      </c>
      <c r="AB18" s="56" t="e">
        <f>AB17+ATM_Conf!$C$5*(M17-L17)/(Links!M$191*Links!AB$191)</f>
        <v>#DIV/0!</v>
      </c>
      <c r="AC18" s="56" t="e">
        <f>AC17+ATM_Conf!$C$5*(N17-M17)/(Links!N$191*Links!AC$191)</f>
        <v>#DIV/0!</v>
      </c>
      <c r="AD18" s="56" t="e">
        <f>AD17+ATM_Conf!$C$5*(O17-N17)/(Links!O$191*Links!AD$191)</f>
        <v>#DIV/0!</v>
      </c>
      <c r="AE18" s="56" t="e">
        <f>AE17+ATM_Conf!$C$5*(P17-O17)/(Links!P$191*Links!AE$191)</f>
        <v>#DIV/0!</v>
      </c>
      <c r="AF18" s="46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6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6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6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6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6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6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6" t="e">
        <f>AM17+(ATM_Conf!$C$5/ATM_Conf!$C$8)*(Links!BB17*EXP((-(Links!X17/Links!BQ17)^Links!CF17)/Links!CF17)-Links!AM17)+(ATM_Conf!$C$5/Links!X$191)*Links!AM17*(Nodes!BH17-Links!AM17)</f>
        <v>#DIV/0!</v>
      </c>
      <c r="AN18" s="46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6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6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6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6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6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6" t="e">
        <f>AT17+(ATM_Conf!$C$5/ATM_Conf!$C$8)*(Links!BI17*EXP((-(Links!AE17/Links!BX17)^Links!CM17)/Links!CM17)-Links!AT17)+(ATM_Conf!$C$5/Links!AE$191)*Links!AT17*(Nodes!BN17-Links!AT17)</f>
        <v>#DIV/0!</v>
      </c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46">
        <f t="shared" si="20"/>
        <v>0</v>
      </c>
      <c r="CO18" s="46">
        <f t="shared" si="20"/>
        <v>0</v>
      </c>
      <c r="CP18" s="46">
        <f t="shared" si="20"/>
        <v>0</v>
      </c>
      <c r="CQ18" s="46">
        <f t="shared" si="20"/>
        <v>0</v>
      </c>
      <c r="CR18" s="46">
        <f t="shared" si="20"/>
        <v>0</v>
      </c>
      <c r="CS18" s="46">
        <f t="shared" si="20"/>
        <v>0</v>
      </c>
      <c r="CT18" s="46">
        <f t="shared" si="20"/>
        <v>0</v>
      </c>
      <c r="CU18" s="46">
        <f t="shared" si="20"/>
        <v>0</v>
      </c>
      <c r="CV18" s="46">
        <f t="shared" si="20"/>
        <v>0</v>
      </c>
      <c r="CW18" s="46">
        <f t="shared" si="20"/>
        <v>0</v>
      </c>
      <c r="CX18" s="46">
        <f t="shared" si="20"/>
        <v>0</v>
      </c>
      <c r="CY18" s="46">
        <f t="shared" si="20"/>
        <v>0</v>
      </c>
      <c r="CZ18" s="46">
        <f t="shared" si="20"/>
        <v>0</v>
      </c>
      <c r="DA18" s="46">
        <f t="shared" si="20"/>
        <v>0</v>
      </c>
      <c r="DB18" s="46">
        <f t="shared" si="20"/>
        <v>0</v>
      </c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</row>
    <row r="19" spans="1:121" ht="14.25" x14ac:dyDescent="0.15">
      <c r="A19" s="49">
        <v>17</v>
      </c>
      <c r="B19" s="46" t="e">
        <f t="shared" si="1"/>
        <v>#DIV/0!</v>
      </c>
      <c r="C19" s="46" t="e">
        <f t="shared" si="2"/>
        <v>#DIV/0!</v>
      </c>
      <c r="D19" s="46" t="e">
        <f t="shared" si="3"/>
        <v>#DIV/0!</v>
      </c>
      <c r="E19" s="46" t="e">
        <f t="shared" si="4"/>
        <v>#DIV/0!</v>
      </c>
      <c r="F19" s="46" t="e">
        <f t="shared" si="5"/>
        <v>#DIV/0!</v>
      </c>
      <c r="G19" s="46" t="e">
        <f t="shared" si="6"/>
        <v>#DIV/0!</v>
      </c>
      <c r="H19" s="46" t="e">
        <f t="shared" si="7"/>
        <v>#DIV/0!</v>
      </c>
      <c r="I19" s="46" t="e">
        <f t="shared" si="8"/>
        <v>#DIV/0!</v>
      </c>
      <c r="J19" s="46" t="e">
        <f t="shared" si="9"/>
        <v>#DIV/0!</v>
      </c>
      <c r="K19" s="46" t="e">
        <f t="shared" si="10"/>
        <v>#DIV/0!</v>
      </c>
      <c r="L19" s="46" t="e">
        <f t="shared" si="11"/>
        <v>#DIV/0!</v>
      </c>
      <c r="M19" s="46" t="e">
        <f t="shared" si="12"/>
        <v>#DIV/0!</v>
      </c>
      <c r="N19" s="46" t="e">
        <f t="shared" si="13"/>
        <v>#DIV/0!</v>
      </c>
      <c r="O19" s="46" t="e">
        <f t="shared" si="14"/>
        <v>#DIV/0!</v>
      </c>
      <c r="P19" s="46" t="e">
        <f t="shared" si="15"/>
        <v>#DIV/0!</v>
      </c>
      <c r="Q19" s="56" t="e">
        <f>Q18+ATM_Conf!$C$5*(B18)/(Links!B$191*Links!Q$191)</f>
        <v>#DIV/0!</v>
      </c>
      <c r="R19" s="56" t="e">
        <f>R18+ATM_Conf!$C$5*(C18-B18)/(Links!C$191*Links!R$191)</f>
        <v>#DIV/0!</v>
      </c>
      <c r="S19" s="56" t="e">
        <f>S18+ATM_Conf!$C$5*(D18-C18)/(Links!D$191*Links!S$191)</f>
        <v>#DIV/0!</v>
      </c>
      <c r="T19" s="56" t="e">
        <f>T18+ATM_Conf!$C$5*(E18-D18)/(Links!E$191*Links!T$191)</f>
        <v>#DIV/0!</v>
      </c>
      <c r="U19" s="56" t="e">
        <f>U18+ATM_Conf!$C$5*(F18-E18)/(Links!F$191*Links!U$191)</f>
        <v>#DIV/0!</v>
      </c>
      <c r="V19" s="56" t="e">
        <f>V18+ATM_Conf!$C$5*(G18-F18)/(Links!G$191*Links!V$191)</f>
        <v>#DIV/0!</v>
      </c>
      <c r="W19" s="56" t="e">
        <f>W18+ATM_Conf!$C$5*(H18-G18)/(Links!H$191*Links!W$191)</f>
        <v>#DIV/0!</v>
      </c>
      <c r="X19" s="56" t="e">
        <f>X18+ATM_Conf!$C$5*(I18-H18)/(Links!I$191*Links!X$191)</f>
        <v>#DIV/0!</v>
      </c>
      <c r="Y19" s="56" t="e">
        <f>Y18+ATM_Conf!$C$5*(J18)/(Links!J$191*Links!Y$191)</f>
        <v>#DIV/0!</v>
      </c>
      <c r="Z19" s="56" t="e">
        <f>Z18+ATM_Conf!$C$5*(K18-J18)/(Links!K$191*Links!Z$191)</f>
        <v>#DIV/0!</v>
      </c>
      <c r="AA19" s="56" t="e">
        <f>AA18+ATM_Conf!$C$5*(L18-K18)/(Links!L$191*Links!AA$191)</f>
        <v>#DIV/0!</v>
      </c>
      <c r="AB19" s="56" t="e">
        <f>AB18+ATM_Conf!$C$5*(M18-L18)/(Links!M$191*Links!AB$191)</f>
        <v>#DIV/0!</v>
      </c>
      <c r="AC19" s="56" t="e">
        <f>AC18+ATM_Conf!$C$5*(N18-M18)/(Links!N$191*Links!AC$191)</f>
        <v>#DIV/0!</v>
      </c>
      <c r="AD19" s="56" t="e">
        <f>AD18+ATM_Conf!$C$5*(O18-N18)/(Links!O$191*Links!AD$191)</f>
        <v>#DIV/0!</v>
      </c>
      <c r="AE19" s="56" t="e">
        <f>AE18+ATM_Conf!$C$5*(P18-O18)/(Links!P$191*Links!AE$191)</f>
        <v>#DIV/0!</v>
      </c>
      <c r="AF19" s="46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6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6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6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6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6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6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6" t="e">
        <f>AM18+(ATM_Conf!$C$5/ATM_Conf!$C$8)*(Links!BB18*EXP((-(Links!X18/Links!BQ18)^Links!CF18)/Links!CF18)-Links!AM18)+(ATM_Conf!$C$5/Links!X$191)*Links!AM18*(Nodes!BH18-Links!AM18)</f>
        <v>#DIV/0!</v>
      </c>
      <c r="AN19" s="46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6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6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6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6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6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6" t="e">
        <f>AT18+(ATM_Conf!$C$5/ATM_Conf!$C$8)*(Links!BI18*EXP((-(Links!AE18/Links!BX18)^Links!CM18)/Links!CM18)-Links!AT18)+(ATM_Conf!$C$5/Links!AE$191)*Links!AT18*(Nodes!BN18-Links!AT18)</f>
        <v>#DIV/0!</v>
      </c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46">
        <f t="shared" si="20"/>
        <v>0</v>
      </c>
      <c r="CO19" s="46">
        <f t="shared" si="20"/>
        <v>0</v>
      </c>
      <c r="CP19" s="46">
        <f t="shared" si="20"/>
        <v>0</v>
      </c>
      <c r="CQ19" s="46">
        <f t="shared" si="20"/>
        <v>0</v>
      </c>
      <c r="CR19" s="46">
        <f t="shared" si="20"/>
        <v>0</v>
      </c>
      <c r="CS19" s="46">
        <f t="shared" si="20"/>
        <v>0</v>
      </c>
      <c r="CT19" s="46">
        <f t="shared" si="20"/>
        <v>0</v>
      </c>
      <c r="CU19" s="46">
        <f t="shared" si="20"/>
        <v>0</v>
      </c>
      <c r="CV19" s="46">
        <f t="shared" si="20"/>
        <v>0</v>
      </c>
      <c r="CW19" s="46">
        <f t="shared" si="20"/>
        <v>0</v>
      </c>
      <c r="CX19" s="46">
        <f t="shared" si="20"/>
        <v>0</v>
      </c>
      <c r="CY19" s="46">
        <f t="shared" si="20"/>
        <v>0</v>
      </c>
      <c r="CZ19" s="46">
        <f t="shared" si="20"/>
        <v>0</v>
      </c>
      <c r="DA19" s="46">
        <f t="shared" si="20"/>
        <v>0</v>
      </c>
      <c r="DB19" s="46">
        <f t="shared" si="20"/>
        <v>0</v>
      </c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4"/>
      <c r="DP19" s="54"/>
      <c r="DQ19" s="54"/>
    </row>
    <row r="20" spans="1:121" ht="14.25" x14ac:dyDescent="0.15">
      <c r="A20" s="49">
        <v>18</v>
      </c>
      <c r="B20" s="46" t="e">
        <f t="shared" si="1"/>
        <v>#DIV/0!</v>
      </c>
      <c r="C20" s="46" t="e">
        <f t="shared" si="2"/>
        <v>#DIV/0!</v>
      </c>
      <c r="D20" s="46" t="e">
        <f t="shared" si="3"/>
        <v>#DIV/0!</v>
      </c>
      <c r="E20" s="46" t="e">
        <f t="shared" si="4"/>
        <v>#DIV/0!</v>
      </c>
      <c r="F20" s="46" t="e">
        <f t="shared" si="5"/>
        <v>#DIV/0!</v>
      </c>
      <c r="G20" s="46" t="e">
        <f t="shared" si="6"/>
        <v>#DIV/0!</v>
      </c>
      <c r="H20" s="46" t="e">
        <f t="shared" si="7"/>
        <v>#DIV/0!</v>
      </c>
      <c r="I20" s="46" t="e">
        <f t="shared" si="8"/>
        <v>#DIV/0!</v>
      </c>
      <c r="J20" s="46" t="e">
        <f t="shared" si="9"/>
        <v>#DIV/0!</v>
      </c>
      <c r="K20" s="46" t="e">
        <f t="shared" si="10"/>
        <v>#DIV/0!</v>
      </c>
      <c r="L20" s="46" t="e">
        <f t="shared" si="11"/>
        <v>#DIV/0!</v>
      </c>
      <c r="M20" s="46" t="e">
        <f t="shared" si="12"/>
        <v>#DIV/0!</v>
      </c>
      <c r="N20" s="46" t="e">
        <f t="shared" si="13"/>
        <v>#DIV/0!</v>
      </c>
      <c r="O20" s="46" t="e">
        <f t="shared" si="14"/>
        <v>#DIV/0!</v>
      </c>
      <c r="P20" s="46" t="e">
        <f t="shared" si="15"/>
        <v>#DIV/0!</v>
      </c>
      <c r="Q20" s="56" t="e">
        <f>Q19+ATM_Conf!$C$5*(B19)/(Links!B$191*Links!Q$191)</f>
        <v>#DIV/0!</v>
      </c>
      <c r="R20" s="56" t="e">
        <f>R19+ATM_Conf!$C$5*(C19-B19)/(Links!C$191*Links!R$191)</f>
        <v>#DIV/0!</v>
      </c>
      <c r="S20" s="56" t="e">
        <f>S19+ATM_Conf!$C$5*(D19-C19)/(Links!D$191*Links!S$191)</f>
        <v>#DIV/0!</v>
      </c>
      <c r="T20" s="56" t="e">
        <f>T19+ATM_Conf!$C$5*(E19-D19)/(Links!E$191*Links!T$191)</f>
        <v>#DIV/0!</v>
      </c>
      <c r="U20" s="56" t="e">
        <f>U19+ATM_Conf!$C$5*(F19-E19)/(Links!F$191*Links!U$191)</f>
        <v>#DIV/0!</v>
      </c>
      <c r="V20" s="56" t="e">
        <f>V19+ATM_Conf!$C$5*(G19-F19)/(Links!G$191*Links!V$191)</f>
        <v>#DIV/0!</v>
      </c>
      <c r="W20" s="56" t="e">
        <f>W19+ATM_Conf!$C$5*(H19-G19)/(Links!H$191*Links!W$191)</f>
        <v>#DIV/0!</v>
      </c>
      <c r="X20" s="56" t="e">
        <f>X19+ATM_Conf!$C$5*(I19-H19)/(Links!I$191*Links!X$191)</f>
        <v>#DIV/0!</v>
      </c>
      <c r="Y20" s="56" t="e">
        <f>Y19+ATM_Conf!$C$5*(J19)/(Links!J$191*Links!Y$191)</f>
        <v>#DIV/0!</v>
      </c>
      <c r="Z20" s="56" t="e">
        <f>Z19+ATM_Conf!$C$5*(K19-J19)/(Links!K$191*Links!Z$191)</f>
        <v>#DIV/0!</v>
      </c>
      <c r="AA20" s="56" t="e">
        <f>AA19+ATM_Conf!$C$5*(L19-K19)/(Links!L$191*Links!AA$191)</f>
        <v>#DIV/0!</v>
      </c>
      <c r="AB20" s="56" t="e">
        <f>AB19+ATM_Conf!$C$5*(M19-L19)/(Links!M$191*Links!AB$191)</f>
        <v>#DIV/0!</v>
      </c>
      <c r="AC20" s="56" t="e">
        <f>AC19+ATM_Conf!$C$5*(N19-M19)/(Links!N$191*Links!AC$191)</f>
        <v>#DIV/0!</v>
      </c>
      <c r="AD20" s="56" t="e">
        <f>AD19+ATM_Conf!$C$5*(O19-N19)/(Links!O$191*Links!AD$191)</f>
        <v>#DIV/0!</v>
      </c>
      <c r="AE20" s="56" t="e">
        <f>AE19+ATM_Conf!$C$5*(P19-O19)/(Links!P$191*Links!AE$191)</f>
        <v>#DIV/0!</v>
      </c>
      <c r="AF20" s="46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6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6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6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6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6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6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6" t="e">
        <f>AM19+(ATM_Conf!$C$5/ATM_Conf!$C$8)*(Links!BB19*EXP((-(Links!X19/Links!BQ19)^Links!CF19)/Links!CF19)-Links!AM19)+(ATM_Conf!$C$5/Links!X$191)*Links!AM19*(Nodes!BH19-Links!AM19)</f>
        <v>#DIV/0!</v>
      </c>
      <c r="AN20" s="46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6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6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6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6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6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6" t="e">
        <f>AT19+(ATM_Conf!$C$5/ATM_Conf!$C$8)*(Links!BI19*EXP((-(Links!AE19/Links!BX19)^Links!CM19)/Links!CM19)-Links!AT19)+(ATM_Conf!$C$5/Links!AE$191)*Links!AT19*(Nodes!BN19-Links!AT19)</f>
        <v>#DIV/0!</v>
      </c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46">
        <f t="shared" si="20"/>
        <v>0</v>
      </c>
      <c r="CO20" s="46">
        <f t="shared" si="20"/>
        <v>0</v>
      </c>
      <c r="CP20" s="46">
        <f t="shared" si="20"/>
        <v>0</v>
      </c>
      <c r="CQ20" s="46">
        <f t="shared" si="20"/>
        <v>0</v>
      </c>
      <c r="CR20" s="46">
        <f t="shared" si="20"/>
        <v>0</v>
      </c>
      <c r="CS20" s="46">
        <f t="shared" si="20"/>
        <v>0</v>
      </c>
      <c r="CT20" s="46">
        <f t="shared" si="20"/>
        <v>0</v>
      </c>
      <c r="CU20" s="46">
        <f t="shared" si="20"/>
        <v>0</v>
      </c>
      <c r="CV20" s="46">
        <f t="shared" si="20"/>
        <v>0</v>
      </c>
      <c r="CW20" s="46">
        <f t="shared" si="20"/>
        <v>0</v>
      </c>
      <c r="CX20" s="46">
        <f t="shared" si="20"/>
        <v>0</v>
      </c>
      <c r="CY20" s="46">
        <f t="shared" si="20"/>
        <v>0</v>
      </c>
      <c r="CZ20" s="46">
        <f t="shared" si="20"/>
        <v>0</v>
      </c>
      <c r="DA20" s="46">
        <f t="shared" si="20"/>
        <v>0</v>
      </c>
      <c r="DB20" s="46">
        <f t="shared" si="20"/>
        <v>0</v>
      </c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</row>
    <row r="21" spans="1:121" ht="14.25" x14ac:dyDescent="0.15">
      <c r="A21" s="49">
        <v>19</v>
      </c>
      <c r="B21" s="46" t="e">
        <f t="shared" si="1"/>
        <v>#DIV/0!</v>
      </c>
      <c r="C21" s="46" t="e">
        <f t="shared" si="2"/>
        <v>#DIV/0!</v>
      </c>
      <c r="D21" s="46" t="e">
        <f t="shared" si="3"/>
        <v>#DIV/0!</v>
      </c>
      <c r="E21" s="46" t="e">
        <f t="shared" si="4"/>
        <v>#DIV/0!</v>
      </c>
      <c r="F21" s="46" t="e">
        <f t="shared" si="5"/>
        <v>#DIV/0!</v>
      </c>
      <c r="G21" s="46" t="e">
        <f t="shared" si="6"/>
        <v>#DIV/0!</v>
      </c>
      <c r="H21" s="46" t="e">
        <f t="shared" si="7"/>
        <v>#DIV/0!</v>
      </c>
      <c r="I21" s="46" t="e">
        <f t="shared" si="8"/>
        <v>#DIV/0!</v>
      </c>
      <c r="J21" s="46" t="e">
        <f t="shared" si="9"/>
        <v>#DIV/0!</v>
      </c>
      <c r="K21" s="46" t="e">
        <f t="shared" si="10"/>
        <v>#DIV/0!</v>
      </c>
      <c r="L21" s="46" t="e">
        <f t="shared" si="11"/>
        <v>#DIV/0!</v>
      </c>
      <c r="M21" s="46" t="e">
        <f t="shared" si="12"/>
        <v>#DIV/0!</v>
      </c>
      <c r="N21" s="46" t="e">
        <f t="shared" si="13"/>
        <v>#DIV/0!</v>
      </c>
      <c r="O21" s="46" t="e">
        <f t="shared" si="14"/>
        <v>#DIV/0!</v>
      </c>
      <c r="P21" s="46" t="e">
        <f t="shared" si="15"/>
        <v>#DIV/0!</v>
      </c>
      <c r="Q21" s="56" t="e">
        <f>Q20+ATM_Conf!$C$5*(B20)/(Links!B$191*Links!Q$191)</f>
        <v>#DIV/0!</v>
      </c>
      <c r="R21" s="56" t="e">
        <f>R20+ATM_Conf!$C$5*(C20-B20)/(Links!C$191*Links!R$191)</f>
        <v>#DIV/0!</v>
      </c>
      <c r="S21" s="56" t="e">
        <f>S20+ATM_Conf!$C$5*(D20-C20)/(Links!D$191*Links!S$191)</f>
        <v>#DIV/0!</v>
      </c>
      <c r="T21" s="56" t="e">
        <f>T20+ATM_Conf!$C$5*(E20-D20)/(Links!E$191*Links!T$191)</f>
        <v>#DIV/0!</v>
      </c>
      <c r="U21" s="56" t="e">
        <f>U20+ATM_Conf!$C$5*(F20-E20)/(Links!F$191*Links!U$191)</f>
        <v>#DIV/0!</v>
      </c>
      <c r="V21" s="56" t="e">
        <f>V20+ATM_Conf!$C$5*(G20-F20)/(Links!G$191*Links!V$191)</f>
        <v>#DIV/0!</v>
      </c>
      <c r="W21" s="56" t="e">
        <f>W20+ATM_Conf!$C$5*(H20-G20)/(Links!H$191*Links!W$191)</f>
        <v>#DIV/0!</v>
      </c>
      <c r="X21" s="56" t="e">
        <f>X20+ATM_Conf!$C$5*(I20-H20)/(Links!I$191*Links!X$191)</f>
        <v>#DIV/0!</v>
      </c>
      <c r="Y21" s="56" t="e">
        <f>Y20+ATM_Conf!$C$5*(J20)/(Links!J$191*Links!Y$191)</f>
        <v>#DIV/0!</v>
      </c>
      <c r="Z21" s="56" t="e">
        <f>Z20+ATM_Conf!$C$5*(K20-J20)/(Links!K$191*Links!Z$191)</f>
        <v>#DIV/0!</v>
      </c>
      <c r="AA21" s="56" t="e">
        <f>AA20+ATM_Conf!$C$5*(L20-K20)/(Links!L$191*Links!AA$191)</f>
        <v>#DIV/0!</v>
      </c>
      <c r="AB21" s="56" t="e">
        <f>AB20+ATM_Conf!$C$5*(M20-L20)/(Links!M$191*Links!AB$191)</f>
        <v>#DIV/0!</v>
      </c>
      <c r="AC21" s="56" t="e">
        <f>AC20+ATM_Conf!$C$5*(N20-M20)/(Links!N$191*Links!AC$191)</f>
        <v>#DIV/0!</v>
      </c>
      <c r="AD21" s="56" t="e">
        <f>AD20+ATM_Conf!$C$5*(O20-N20)/(Links!O$191*Links!AD$191)</f>
        <v>#DIV/0!</v>
      </c>
      <c r="AE21" s="56" t="e">
        <f>AE20+ATM_Conf!$C$5*(P20-O20)/(Links!P$191*Links!AE$191)</f>
        <v>#DIV/0!</v>
      </c>
      <c r="AF21" s="46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6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6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6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6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6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6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6" t="e">
        <f>AM20+(ATM_Conf!$C$5/ATM_Conf!$C$8)*(Links!BB20*EXP((-(Links!X20/Links!BQ20)^Links!CF20)/Links!CF20)-Links!AM20)+(ATM_Conf!$C$5/Links!X$191)*Links!AM20*(Nodes!BH20-Links!AM20)</f>
        <v>#DIV/0!</v>
      </c>
      <c r="AN21" s="46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6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6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6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6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6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6" t="e">
        <f>AT20+(ATM_Conf!$C$5/ATM_Conf!$C$8)*(Links!BI20*EXP((-(Links!AE20/Links!BX20)^Links!CM20)/Links!CM20)-Links!AT20)+(ATM_Conf!$C$5/Links!AE$191)*Links!AT20*(Nodes!BN20-Links!AT20)</f>
        <v>#DIV/0!</v>
      </c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46">
        <f t="shared" si="20"/>
        <v>0</v>
      </c>
      <c r="CO21" s="46">
        <f t="shared" si="20"/>
        <v>0</v>
      </c>
      <c r="CP21" s="46">
        <f t="shared" si="20"/>
        <v>0</v>
      </c>
      <c r="CQ21" s="46">
        <f t="shared" si="20"/>
        <v>0</v>
      </c>
      <c r="CR21" s="46">
        <f t="shared" si="20"/>
        <v>0</v>
      </c>
      <c r="CS21" s="46">
        <f t="shared" si="20"/>
        <v>0</v>
      </c>
      <c r="CT21" s="46">
        <f t="shared" si="20"/>
        <v>0</v>
      </c>
      <c r="CU21" s="46">
        <f t="shared" si="20"/>
        <v>0</v>
      </c>
      <c r="CV21" s="46">
        <f t="shared" si="20"/>
        <v>0</v>
      </c>
      <c r="CW21" s="46">
        <f t="shared" si="20"/>
        <v>0</v>
      </c>
      <c r="CX21" s="46">
        <f t="shared" si="20"/>
        <v>0</v>
      </c>
      <c r="CY21" s="46">
        <f t="shared" si="20"/>
        <v>0</v>
      </c>
      <c r="CZ21" s="46">
        <f t="shared" si="20"/>
        <v>0</v>
      </c>
      <c r="DA21" s="46">
        <f t="shared" si="20"/>
        <v>0</v>
      </c>
      <c r="DB21" s="46">
        <f t="shared" si="20"/>
        <v>0</v>
      </c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</row>
    <row r="22" spans="1:121" ht="14.25" x14ac:dyDescent="0.15">
      <c r="A22" s="49">
        <v>20</v>
      </c>
      <c r="B22" s="46" t="e">
        <f t="shared" si="1"/>
        <v>#DIV/0!</v>
      </c>
      <c r="C22" s="46" t="e">
        <f t="shared" si="2"/>
        <v>#DIV/0!</v>
      </c>
      <c r="D22" s="46" t="e">
        <f t="shared" si="3"/>
        <v>#DIV/0!</v>
      </c>
      <c r="E22" s="46" t="e">
        <f t="shared" si="4"/>
        <v>#DIV/0!</v>
      </c>
      <c r="F22" s="46" t="e">
        <f t="shared" si="5"/>
        <v>#DIV/0!</v>
      </c>
      <c r="G22" s="46" t="e">
        <f t="shared" si="6"/>
        <v>#DIV/0!</v>
      </c>
      <c r="H22" s="46" t="e">
        <f t="shared" si="7"/>
        <v>#DIV/0!</v>
      </c>
      <c r="I22" s="46" t="e">
        <f t="shared" si="8"/>
        <v>#DIV/0!</v>
      </c>
      <c r="J22" s="46" t="e">
        <f t="shared" si="9"/>
        <v>#DIV/0!</v>
      </c>
      <c r="K22" s="46" t="e">
        <f t="shared" si="10"/>
        <v>#DIV/0!</v>
      </c>
      <c r="L22" s="46" t="e">
        <f t="shared" si="11"/>
        <v>#DIV/0!</v>
      </c>
      <c r="M22" s="46" t="e">
        <f t="shared" si="12"/>
        <v>#DIV/0!</v>
      </c>
      <c r="N22" s="46" t="e">
        <f t="shared" si="13"/>
        <v>#DIV/0!</v>
      </c>
      <c r="O22" s="46" t="e">
        <f t="shared" si="14"/>
        <v>#DIV/0!</v>
      </c>
      <c r="P22" s="46" t="e">
        <f t="shared" si="15"/>
        <v>#DIV/0!</v>
      </c>
      <c r="Q22" s="56" t="e">
        <f>Q21+ATM_Conf!$C$5*(B21)/(Links!B$191*Links!Q$191)</f>
        <v>#DIV/0!</v>
      </c>
      <c r="R22" s="56" t="e">
        <f>R21+ATM_Conf!$C$5*(C21-B21)/(Links!C$191*Links!R$191)</f>
        <v>#DIV/0!</v>
      </c>
      <c r="S22" s="56" t="e">
        <f>S21+ATM_Conf!$C$5*(D21-C21)/(Links!D$191*Links!S$191)</f>
        <v>#DIV/0!</v>
      </c>
      <c r="T22" s="56" t="e">
        <f>T21+ATM_Conf!$C$5*(E21-D21)/(Links!E$191*Links!T$191)</f>
        <v>#DIV/0!</v>
      </c>
      <c r="U22" s="56" t="e">
        <f>U21+ATM_Conf!$C$5*(F21-E21)/(Links!F$191*Links!U$191)</f>
        <v>#DIV/0!</v>
      </c>
      <c r="V22" s="56" t="e">
        <f>V21+ATM_Conf!$C$5*(G21-F21)/(Links!G$191*Links!V$191)</f>
        <v>#DIV/0!</v>
      </c>
      <c r="W22" s="56" t="e">
        <f>W21+ATM_Conf!$C$5*(H21-G21)/(Links!H$191*Links!W$191)</f>
        <v>#DIV/0!</v>
      </c>
      <c r="X22" s="56" t="e">
        <f>X21+ATM_Conf!$C$5*(I21-H21)/(Links!I$191*Links!X$191)</f>
        <v>#DIV/0!</v>
      </c>
      <c r="Y22" s="56" t="e">
        <f>Y21+ATM_Conf!$C$5*(J21)/(Links!J$191*Links!Y$191)</f>
        <v>#DIV/0!</v>
      </c>
      <c r="Z22" s="56" t="e">
        <f>Z21+ATM_Conf!$C$5*(K21-J21)/(Links!K$191*Links!Z$191)</f>
        <v>#DIV/0!</v>
      </c>
      <c r="AA22" s="56" t="e">
        <f>AA21+ATM_Conf!$C$5*(L21-K21)/(Links!L$191*Links!AA$191)</f>
        <v>#DIV/0!</v>
      </c>
      <c r="AB22" s="56" t="e">
        <f>AB21+ATM_Conf!$C$5*(M21-L21)/(Links!M$191*Links!AB$191)</f>
        <v>#DIV/0!</v>
      </c>
      <c r="AC22" s="56" t="e">
        <f>AC21+ATM_Conf!$C$5*(N21-M21)/(Links!N$191*Links!AC$191)</f>
        <v>#DIV/0!</v>
      </c>
      <c r="AD22" s="56" t="e">
        <f>AD21+ATM_Conf!$C$5*(O21-N21)/(Links!O$191*Links!AD$191)</f>
        <v>#DIV/0!</v>
      </c>
      <c r="AE22" s="56" t="e">
        <f>AE21+ATM_Conf!$C$5*(P21-O21)/(Links!P$191*Links!AE$191)</f>
        <v>#DIV/0!</v>
      </c>
      <c r="AF22" s="46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6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6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6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6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6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6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6" t="e">
        <f>AM21+(ATM_Conf!$C$5/ATM_Conf!$C$8)*(Links!BB21*EXP((-(Links!X21/Links!BQ21)^Links!CF21)/Links!CF21)-Links!AM21)+(ATM_Conf!$C$5/Links!X$191)*Links!AM21*(Nodes!BH21-Links!AM21)</f>
        <v>#DIV/0!</v>
      </c>
      <c r="AN22" s="46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6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6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6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6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6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6" t="e">
        <f>AT21+(ATM_Conf!$C$5/ATM_Conf!$C$8)*(Links!BI21*EXP((-(Links!AE21/Links!BX21)^Links!CM21)/Links!CM21)-Links!AT21)+(ATM_Conf!$C$5/Links!AE$191)*Links!AT21*(Nodes!BN21-Links!AT21)</f>
        <v>#DIV/0!</v>
      </c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46">
        <f t="shared" si="20"/>
        <v>0</v>
      </c>
      <c r="CO22" s="46">
        <f t="shared" si="20"/>
        <v>0</v>
      </c>
      <c r="CP22" s="46">
        <f t="shared" si="20"/>
        <v>0</v>
      </c>
      <c r="CQ22" s="46">
        <f t="shared" si="20"/>
        <v>0</v>
      </c>
      <c r="CR22" s="46">
        <f t="shared" si="20"/>
        <v>0</v>
      </c>
      <c r="CS22" s="46">
        <f t="shared" si="20"/>
        <v>0</v>
      </c>
      <c r="CT22" s="46">
        <f t="shared" si="20"/>
        <v>0</v>
      </c>
      <c r="CU22" s="46">
        <f t="shared" si="20"/>
        <v>0</v>
      </c>
      <c r="CV22" s="46">
        <f t="shared" si="20"/>
        <v>0</v>
      </c>
      <c r="CW22" s="46">
        <f t="shared" si="20"/>
        <v>0</v>
      </c>
      <c r="CX22" s="46">
        <f t="shared" si="20"/>
        <v>0</v>
      </c>
      <c r="CY22" s="46">
        <f t="shared" si="20"/>
        <v>0</v>
      </c>
      <c r="CZ22" s="46">
        <f t="shared" si="20"/>
        <v>0</v>
      </c>
      <c r="DA22" s="46">
        <f t="shared" si="20"/>
        <v>0</v>
      </c>
      <c r="DB22" s="46">
        <f t="shared" si="20"/>
        <v>0</v>
      </c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  <c r="DO22" s="54"/>
      <c r="DP22" s="54"/>
      <c r="DQ22" s="54"/>
    </row>
    <row r="23" spans="1:121" ht="14.25" x14ac:dyDescent="0.15">
      <c r="A23" s="49">
        <v>21</v>
      </c>
      <c r="B23" s="46" t="e">
        <f t="shared" si="1"/>
        <v>#DIV/0!</v>
      </c>
      <c r="C23" s="46" t="e">
        <f t="shared" si="2"/>
        <v>#DIV/0!</v>
      </c>
      <c r="D23" s="46" t="e">
        <f t="shared" si="3"/>
        <v>#DIV/0!</v>
      </c>
      <c r="E23" s="46" t="e">
        <f t="shared" si="4"/>
        <v>#DIV/0!</v>
      </c>
      <c r="F23" s="46" t="e">
        <f t="shared" si="5"/>
        <v>#DIV/0!</v>
      </c>
      <c r="G23" s="46" t="e">
        <f t="shared" si="6"/>
        <v>#DIV/0!</v>
      </c>
      <c r="H23" s="46" t="e">
        <f t="shared" si="7"/>
        <v>#DIV/0!</v>
      </c>
      <c r="I23" s="46" t="e">
        <f t="shared" si="8"/>
        <v>#DIV/0!</v>
      </c>
      <c r="J23" s="46" t="e">
        <f t="shared" si="9"/>
        <v>#DIV/0!</v>
      </c>
      <c r="K23" s="46" t="e">
        <f t="shared" si="10"/>
        <v>#DIV/0!</v>
      </c>
      <c r="L23" s="46" t="e">
        <f t="shared" si="11"/>
        <v>#DIV/0!</v>
      </c>
      <c r="M23" s="46" t="e">
        <f t="shared" si="12"/>
        <v>#DIV/0!</v>
      </c>
      <c r="N23" s="46" t="e">
        <f t="shared" si="13"/>
        <v>#DIV/0!</v>
      </c>
      <c r="O23" s="46" t="e">
        <f t="shared" si="14"/>
        <v>#DIV/0!</v>
      </c>
      <c r="P23" s="46" t="e">
        <f t="shared" si="15"/>
        <v>#DIV/0!</v>
      </c>
      <c r="Q23" s="56" t="e">
        <f>Q22+ATM_Conf!$C$5*(B22)/(Links!B$191*Links!Q$191)</f>
        <v>#DIV/0!</v>
      </c>
      <c r="R23" s="56" t="e">
        <f>R22+ATM_Conf!$C$5*(C22-B22)/(Links!C$191*Links!R$191)</f>
        <v>#DIV/0!</v>
      </c>
      <c r="S23" s="56" t="e">
        <f>S22+ATM_Conf!$C$5*(D22-C22)/(Links!D$191*Links!S$191)</f>
        <v>#DIV/0!</v>
      </c>
      <c r="T23" s="56" t="e">
        <f>T22+ATM_Conf!$C$5*(E22-D22)/(Links!E$191*Links!T$191)</f>
        <v>#DIV/0!</v>
      </c>
      <c r="U23" s="56" t="e">
        <f>U22+ATM_Conf!$C$5*(F22-E22)/(Links!F$191*Links!U$191)</f>
        <v>#DIV/0!</v>
      </c>
      <c r="V23" s="56" t="e">
        <f>V22+ATM_Conf!$C$5*(G22-F22)/(Links!G$191*Links!V$191)</f>
        <v>#DIV/0!</v>
      </c>
      <c r="W23" s="56" t="e">
        <f>W22+ATM_Conf!$C$5*(H22-G22)/(Links!H$191*Links!W$191)</f>
        <v>#DIV/0!</v>
      </c>
      <c r="X23" s="56" t="e">
        <f>X22+ATM_Conf!$C$5*(I22-H22)/(Links!I$191*Links!X$191)</f>
        <v>#DIV/0!</v>
      </c>
      <c r="Y23" s="56" t="e">
        <f>Y22+ATM_Conf!$C$5*(J22)/(Links!J$191*Links!Y$191)</f>
        <v>#DIV/0!</v>
      </c>
      <c r="Z23" s="56" t="e">
        <f>Z22+ATM_Conf!$C$5*(K22-J22)/(Links!K$191*Links!Z$191)</f>
        <v>#DIV/0!</v>
      </c>
      <c r="AA23" s="56" t="e">
        <f>AA22+ATM_Conf!$C$5*(L22-K22)/(Links!L$191*Links!AA$191)</f>
        <v>#DIV/0!</v>
      </c>
      <c r="AB23" s="56" t="e">
        <f>AB22+ATM_Conf!$C$5*(M22-L22)/(Links!M$191*Links!AB$191)</f>
        <v>#DIV/0!</v>
      </c>
      <c r="AC23" s="56" t="e">
        <f>AC22+ATM_Conf!$C$5*(N22-M22)/(Links!N$191*Links!AC$191)</f>
        <v>#DIV/0!</v>
      </c>
      <c r="AD23" s="56" t="e">
        <f>AD22+ATM_Conf!$C$5*(O22-N22)/(Links!O$191*Links!AD$191)</f>
        <v>#DIV/0!</v>
      </c>
      <c r="AE23" s="56" t="e">
        <f>AE22+ATM_Conf!$C$5*(P22-O22)/(Links!P$191*Links!AE$191)</f>
        <v>#DIV/0!</v>
      </c>
      <c r="AF23" s="46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6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6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6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6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6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6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6" t="e">
        <f>AM22+(ATM_Conf!$C$5/ATM_Conf!$C$8)*(Links!BB22*EXP((-(Links!X22/Links!BQ22)^Links!CF22)/Links!CF22)-Links!AM22)+(ATM_Conf!$C$5/Links!X$191)*Links!AM22*(Nodes!BH22-Links!AM22)</f>
        <v>#DIV/0!</v>
      </c>
      <c r="AN23" s="46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6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6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6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6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6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6" t="e">
        <f>AT22+(ATM_Conf!$C$5/ATM_Conf!$C$8)*(Links!BI22*EXP((-(Links!AE22/Links!BX22)^Links!CM22)/Links!CM22)-Links!AT22)+(ATM_Conf!$C$5/Links!AE$191)*Links!AT22*(Nodes!BN22-Links!AT22)</f>
        <v>#DIV/0!</v>
      </c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46">
        <f t="shared" si="20"/>
        <v>0</v>
      </c>
      <c r="CO23" s="46">
        <f t="shared" si="20"/>
        <v>0</v>
      </c>
      <c r="CP23" s="46">
        <f t="shared" si="20"/>
        <v>0</v>
      </c>
      <c r="CQ23" s="46">
        <f t="shared" si="20"/>
        <v>0</v>
      </c>
      <c r="CR23" s="46">
        <f t="shared" si="20"/>
        <v>0</v>
      </c>
      <c r="CS23" s="46">
        <f t="shared" si="20"/>
        <v>0</v>
      </c>
      <c r="CT23" s="46">
        <f t="shared" si="20"/>
        <v>0</v>
      </c>
      <c r="CU23" s="46">
        <f t="shared" si="20"/>
        <v>0</v>
      </c>
      <c r="CV23" s="46">
        <f t="shared" si="20"/>
        <v>0</v>
      </c>
      <c r="CW23" s="46">
        <f t="shared" si="20"/>
        <v>0</v>
      </c>
      <c r="CX23" s="46">
        <f t="shared" si="20"/>
        <v>0</v>
      </c>
      <c r="CY23" s="46">
        <f t="shared" si="20"/>
        <v>0</v>
      </c>
      <c r="CZ23" s="46">
        <f t="shared" si="20"/>
        <v>0</v>
      </c>
      <c r="DA23" s="46">
        <f t="shared" si="20"/>
        <v>0</v>
      </c>
      <c r="DB23" s="46">
        <f t="shared" si="20"/>
        <v>0</v>
      </c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  <c r="DO23" s="54"/>
      <c r="DP23" s="54"/>
      <c r="DQ23" s="54"/>
    </row>
    <row r="24" spans="1:121" ht="14.25" x14ac:dyDescent="0.15">
      <c r="A24" s="49">
        <v>22</v>
      </c>
      <c r="B24" s="46" t="e">
        <f t="shared" si="1"/>
        <v>#DIV/0!</v>
      </c>
      <c r="C24" s="46" t="e">
        <f t="shared" si="2"/>
        <v>#DIV/0!</v>
      </c>
      <c r="D24" s="46" t="e">
        <f t="shared" si="3"/>
        <v>#DIV/0!</v>
      </c>
      <c r="E24" s="46" t="e">
        <f t="shared" si="4"/>
        <v>#DIV/0!</v>
      </c>
      <c r="F24" s="46" t="e">
        <f t="shared" si="5"/>
        <v>#DIV/0!</v>
      </c>
      <c r="G24" s="46" t="e">
        <f t="shared" si="6"/>
        <v>#DIV/0!</v>
      </c>
      <c r="H24" s="46" t="e">
        <f t="shared" si="7"/>
        <v>#DIV/0!</v>
      </c>
      <c r="I24" s="46" t="e">
        <f t="shared" si="8"/>
        <v>#DIV/0!</v>
      </c>
      <c r="J24" s="46" t="e">
        <f t="shared" si="9"/>
        <v>#DIV/0!</v>
      </c>
      <c r="K24" s="46" t="e">
        <f t="shared" si="10"/>
        <v>#DIV/0!</v>
      </c>
      <c r="L24" s="46" t="e">
        <f t="shared" si="11"/>
        <v>#DIV/0!</v>
      </c>
      <c r="M24" s="46" t="e">
        <f t="shared" si="12"/>
        <v>#DIV/0!</v>
      </c>
      <c r="N24" s="46" t="e">
        <f t="shared" si="13"/>
        <v>#DIV/0!</v>
      </c>
      <c r="O24" s="46" t="e">
        <f t="shared" si="14"/>
        <v>#DIV/0!</v>
      </c>
      <c r="P24" s="46" t="e">
        <f t="shared" si="15"/>
        <v>#DIV/0!</v>
      </c>
      <c r="Q24" s="56" t="e">
        <f>Q23+ATM_Conf!$C$5*(B23)/(Links!B$191*Links!Q$191)</f>
        <v>#DIV/0!</v>
      </c>
      <c r="R24" s="56" t="e">
        <f>R23+ATM_Conf!$C$5*(C23-B23)/(Links!C$191*Links!R$191)</f>
        <v>#DIV/0!</v>
      </c>
      <c r="S24" s="56" t="e">
        <f>S23+ATM_Conf!$C$5*(D23-C23)/(Links!D$191*Links!S$191)</f>
        <v>#DIV/0!</v>
      </c>
      <c r="T24" s="56" t="e">
        <f>T23+ATM_Conf!$C$5*(E23-D23)/(Links!E$191*Links!T$191)</f>
        <v>#DIV/0!</v>
      </c>
      <c r="U24" s="56" t="e">
        <f>U23+ATM_Conf!$C$5*(F23-E23)/(Links!F$191*Links!U$191)</f>
        <v>#DIV/0!</v>
      </c>
      <c r="V24" s="56" t="e">
        <f>V23+ATM_Conf!$C$5*(G23-F23)/(Links!G$191*Links!V$191)</f>
        <v>#DIV/0!</v>
      </c>
      <c r="W24" s="56" t="e">
        <f>W23+ATM_Conf!$C$5*(H23-G23)/(Links!H$191*Links!W$191)</f>
        <v>#DIV/0!</v>
      </c>
      <c r="X24" s="56" t="e">
        <f>X23+ATM_Conf!$C$5*(I23-H23)/(Links!I$191*Links!X$191)</f>
        <v>#DIV/0!</v>
      </c>
      <c r="Y24" s="56" t="e">
        <f>Y23+ATM_Conf!$C$5*(J23)/(Links!J$191*Links!Y$191)</f>
        <v>#DIV/0!</v>
      </c>
      <c r="Z24" s="56" t="e">
        <f>Z23+ATM_Conf!$C$5*(K23-J23)/(Links!K$191*Links!Z$191)</f>
        <v>#DIV/0!</v>
      </c>
      <c r="AA24" s="56" t="e">
        <f>AA23+ATM_Conf!$C$5*(L23-K23)/(Links!L$191*Links!AA$191)</f>
        <v>#DIV/0!</v>
      </c>
      <c r="AB24" s="56" t="e">
        <f>AB23+ATM_Conf!$C$5*(M23-L23)/(Links!M$191*Links!AB$191)</f>
        <v>#DIV/0!</v>
      </c>
      <c r="AC24" s="56" t="e">
        <f>AC23+ATM_Conf!$C$5*(N23-M23)/(Links!N$191*Links!AC$191)</f>
        <v>#DIV/0!</v>
      </c>
      <c r="AD24" s="56" t="e">
        <f>AD23+ATM_Conf!$C$5*(O23-N23)/(Links!O$191*Links!AD$191)</f>
        <v>#DIV/0!</v>
      </c>
      <c r="AE24" s="56" t="e">
        <f>AE23+ATM_Conf!$C$5*(P23-O23)/(Links!P$191*Links!AE$191)</f>
        <v>#DIV/0!</v>
      </c>
      <c r="AF24" s="46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6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6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6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6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6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6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6" t="e">
        <f>AM23+(ATM_Conf!$C$5/ATM_Conf!$C$8)*(Links!BB23*EXP((-(Links!X23/Links!BQ23)^Links!CF23)/Links!CF23)-Links!AM23)+(ATM_Conf!$C$5/Links!X$191)*Links!AM23*(Nodes!BH23-Links!AM23)</f>
        <v>#DIV/0!</v>
      </c>
      <c r="AN24" s="46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6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6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6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6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6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6" t="e">
        <f>AT23+(ATM_Conf!$C$5/ATM_Conf!$C$8)*(Links!BI23*EXP((-(Links!AE23/Links!BX23)^Links!CM23)/Links!CM23)-Links!AT23)+(ATM_Conf!$C$5/Links!AE$191)*Links!AT23*(Nodes!BN23-Links!AT23)</f>
        <v>#DIV/0!</v>
      </c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46">
        <f t="shared" si="20"/>
        <v>0</v>
      </c>
      <c r="CO24" s="46">
        <f t="shared" si="20"/>
        <v>0</v>
      </c>
      <c r="CP24" s="46">
        <f t="shared" si="20"/>
        <v>0</v>
      </c>
      <c r="CQ24" s="46">
        <f t="shared" si="20"/>
        <v>0</v>
      </c>
      <c r="CR24" s="46">
        <f t="shared" si="20"/>
        <v>0</v>
      </c>
      <c r="CS24" s="46">
        <f t="shared" si="20"/>
        <v>0</v>
      </c>
      <c r="CT24" s="46">
        <f t="shared" si="20"/>
        <v>0</v>
      </c>
      <c r="CU24" s="46">
        <f t="shared" si="20"/>
        <v>0</v>
      </c>
      <c r="CV24" s="46">
        <f t="shared" si="20"/>
        <v>0</v>
      </c>
      <c r="CW24" s="46">
        <f t="shared" si="20"/>
        <v>0</v>
      </c>
      <c r="CX24" s="46">
        <f t="shared" si="20"/>
        <v>0</v>
      </c>
      <c r="CY24" s="46">
        <f t="shared" si="20"/>
        <v>0</v>
      </c>
      <c r="CZ24" s="46">
        <f t="shared" si="20"/>
        <v>0</v>
      </c>
      <c r="DA24" s="46">
        <f t="shared" si="20"/>
        <v>0</v>
      </c>
      <c r="DB24" s="46">
        <f t="shared" si="20"/>
        <v>0</v>
      </c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  <c r="DO24" s="54"/>
      <c r="DP24" s="54"/>
      <c r="DQ24" s="54"/>
    </row>
    <row r="25" spans="1:121" ht="14.25" x14ac:dyDescent="0.15">
      <c r="A25" s="49">
        <v>23</v>
      </c>
      <c r="B25" s="46" t="e">
        <f t="shared" si="1"/>
        <v>#DIV/0!</v>
      </c>
      <c r="C25" s="46" t="e">
        <f t="shared" si="2"/>
        <v>#DIV/0!</v>
      </c>
      <c r="D25" s="46" t="e">
        <f t="shared" si="3"/>
        <v>#DIV/0!</v>
      </c>
      <c r="E25" s="46" t="e">
        <f t="shared" si="4"/>
        <v>#DIV/0!</v>
      </c>
      <c r="F25" s="46" t="e">
        <f t="shared" si="5"/>
        <v>#DIV/0!</v>
      </c>
      <c r="G25" s="46" t="e">
        <f t="shared" si="6"/>
        <v>#DIV/0!</v>
      </c>
      <c r="H25" s="46" t="e">
        <f t="shared" si="7"/>
        <v>#DIV/0!</v>
      </c>
      <c r="I25" s="46" t="e">
        <f t="shared" si="8"/>
        <v>#DIV/0!</v>
      </c>
      <c r="J25" s="46" t="e">
        <f t="shared" si="9"/>
        <v>#DIV/0!</v>
      </c>
      <c r="K25" s="46" t="e">
        <f t="shared" si="10"/>
        <v>#DIV/0!</v>
      </c>
      <c r="L25" s="46" t="e">
        <f t="shared" si="11"/>
        <v>#DIV/0!</v>
      </c>
      <c r="M25" s="46" t="e">
        <f t="shared" si="12"/>
        <v>#DIV/0!</v>
      </c>
      <c r="N25" s="46" t="e">
        <f t="shared" si="13"/>
        <v>#DIV/0!</v>
      </c>
      <c r="O25" s="46" t="e">
        <f t="shared" si="14"/>
        <v>#DIV/0!</v>
      </c>
      <c r="P25" s="46" t="e">
        <f t="shared" si="15"/>
        <v>#DIV/0!</v>
      </c>
      <c r="Q25" s="56" t="e">
        <f>Q24+ATM_Conf!$C$5*(B24)/(Links!B$191*Links!Q$191)</f>
        <v>#DIV/0!</v>
      </c>
      <c r="R25" s="56" t="e">
        <f>R24+ATM_Conf!$C$5*(C24-B24)/(Links!C$191*Links!R$191)</f>
        <v>#DIV/0!</v>
      </c>
      <c r="S25" s="56" t="e">
        <f>S24+ATM_Conf!$C$5*(D24-C24)/(Links!D$191*Links!S$191)</f>
        <v>#DIV/0!</v>
      </c>
      <c r="T25" s="56" t="e">
        <f>T24+ATM_Conf!$C$5*(E24-D24)/(Links!E$191*Links!T$191)</f>
        <v>#DIV/0!</v>
      </c>
      <c r="U25" s="56" t="e">
        <f>U24+ATM_Conf!$C$5*(F24-E24)/(Links!F$191*Links!U$191)</f>
        <v>#DIV/0!</v>
      </c>
      <c r="V25" s="56" t="e">
        <f>V24+ATM_Conf!$C$5*(G24-F24)/(Links!G$191*Links!V$191)</f>
        <v>#DIV/0!</v>
      </c>
      <c r="W25" s="56" t="e">
        <f>W24+ATM_Conf!$C$5*(H24-G24)/(Links!H$191*Links!W$191)</f>
        <v>#DIV/0!</v>
      </c>
      <c r="X25" s="56" t="e">
        <f>X24+ATM_Conf!$C$5*(I24-H24)/(Links!I$191*Links!X$191)</f>
        <v>#DIV/0!</v>
      </c>
      <c r="Y25" s="56" t="e">
        <f>Y24+ATM_Conf!$C$5*(J24)/(Links!J$191*Links!Y$191)</f>
        <v>#DIV/0!</v>
      </c>
      <c r="Z25" s="56" t="e">
        <f>Z24+ATM_Conf!$C$5*(K24-J24)/(Links!K$191*Links!Z$191)</f>
        <v>#DIV/0!</v>
      </c>
      <c r="AA25" s="56" t="e">
        <f>AA24+ATM_Conf!$C$5*(L24-K24)/(Links!L$191*Links!AA$191)</f>
        <v>#DIV/0!</v>
      </c>
      <c r="AB25" s="56" t="e">
        <f>AB24+ATM_Conf!$C$5*(M24-L24)/(Links!M$191*Links!AB$191)</f>
        <v>#DIV/0!</v>
      </c>
      <c r="AC25" s="56" t="e">
        <f>AC24+ATM_Conf!$C$5*(N24-M24)/(Links!N$191*Links!AC$191)</f>
        <v>#DIV/0!</v>
      </c>
      <c r="AD25" s="56" t="e">
        <f>AD24+ATM_Conf!$C$5*(O24-N24)/(Links!O$191*Links!AD$191)</f>
        <v>#DIV/0!</v>
      </c>
      <c r="AE25" s="56" t="e">
        <f>AE24+ATM_Conf!$C$5*(P24-O24)/(Links!P$191*Links!AE$191)</f>
        <v>#DIV/0!</v>
      </c>
      <c r="AF25" s="46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6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6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6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6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6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6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6" t="e">
        <f>AM24+(ATM_Conf!$C$5/ATM_Conf!$C$8)*(Links!BB24*EXP((-(Links!X24/Links!BQ24)^Links!CF24)/Links!CF24)-Links!AM24)+(ATM_Conf!$C$5/Links!X$191)*Links!AM24*(Nodes!BH24-Links!AM24)</f>
        <v>#DIV/0!</v>
      </c>
      <c r="AN25" s="46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6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6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6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6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6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6" t="e">
        <f>AT24+(ATM_Conf!$C$5/ATM_Conf!$C$8)*(Links!BI24*EXP((-(Links!AE24/Links!BX24)^Links!CM24)/Links!CM24)-Links!AT24)+(ATM_Conf!$C$5/Links!AE$191)*Links!AT24*(Nodes!BN24-Links!AT24)</f>
        <v>#DIV/0!</v>
      </c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56"/>
      <c r="BZ25" s="56"/>
      <c r="CA25" s="56"/>
      <c r="CB25" s="56"/>
      <c r="CC25" s="56"/>
      <c r="CD25" s="56"/>
      <c r="CE25" s="56"/>
      <c r="CF25" s="56"/>
      <c r="CG25" s="56"/>
      <c r="CH25" s="56"/>
      <c r="CI25" s="56"/>
      <c r="CJ25" s="56"/>
      <c r="CK25" s="56"/>
      <c r="CL25" s="56"/>
      <c r="CM25" s="56"/>
      <c r="CN25" s="46">
        <f t="shared" si="20"/>
        <v>0</v>
      </c>
      <c r="CO25" s="46">
        <f t="shared" si="20"/>
        <v>0</v>
      </c>
      <c r="CP25" s="46">
        <f t="shared" si="20"/>
        <v>0</v>
      </c>
      <c r="CQ25" s="46">
        <f t="shared" si="20"/>
        <v>0</v>
      </c>
      <c r="CR25" s="46">
        <f t="shared" si="20"/>
        <v>0</v>
      </c>
      <c r="CS25" s="46">
        <f t="shared" si="20"/>
        <v>0</v>
      </c>
      <c r="CT25" s="46">
        <f t="shared" si="20"/>
        <v>0</v>
      </c>
      <c r="CU25" s="46">
        <f t="shared" si="20"/>
        <v>0</v>
      </c>
      <c r="CV25" s="46">
        <f t="shared" si="20"/>
        <v>0</v>
      </c>
      <c r="CW25" s="46">
        <f t="shared" si="20"/>
        <v>0</v>
      </c>
      <c r="CX25" s="46">
        <f t="shared" si="20"/>
        <v>0</v>
      </c>
      <c r="CY25" s="46">
        <f t="shared" si="20"/>
        <v>0</v>
      </c>
      <c r="CZ25" s="46">
        <f t="shared" si="20"/>
        <v>0</v>
      </c>
      <c r="DA25" s="46">
        <f t="shared" si="20"/>
        <v>0</v>
      </c>
      <c r="DB25" s="46">
        <f t="shared" si="20"/>
        <v>0</v>
      </c>
      <c r="DC25" s="54"/>
      <c r="DD25" s="54"/>
      <c r="DE25" s="54"/>
      <c r="DF25" s="54"/>
      <c r="DG25" s="54"/>
      <c r="DH25" s="54"/>
      <c r="DI25" s="54"/>
      <c r="DJ25" s="54"/>
      <c r="DK25" s="54"/>
      <c r="DL25" s="54"/>
      <c r="DM25" s="54"/>
      <c r="DN25" s="54"/>
      <c r="DO25" s="54"/>
      <c r="DP25" s="54"/>
      <c r="DQ25" s="54"/>
    </row>
    <row r="26" spans="1:121" ht="14.25" x14ac:dyDescent="0.15">
      <c r="A26" s="49">
        <v>24</v>
      </c>
      <c r="B26" s="46" t="e">
        <f t="shared" si="1"/>
        <v>#DIV/0!</v>
      </c>
      <c r="C26" s="46" t="e">
        <f t="shared" si="2"/>
        <v>#DIV/0!</v>
      </c>
      <c r="D26" s="46" t="e">
        <f t="shared" si="3"/>
        <v>#DIV/0!</v>
      </c>
      <c r="E26" s="46" t="e">
        <f t="shared" si="4"/>
        <v>#DIV/0!</v>
      </c>
      <c r="F26" s="46" t="e">
        <f t="shared" si="5"/>
        <v>#DIV/0!</v>
      </c>
      <c r="G26" s="46" t="e">
        <f t="shared" si="6"/>
        <v>#DIV/0!</v>
      </c>
      <c r="H26" s="46" t="e">
        <f t="shared" si="7"/>
        <v>#DIV/0!</v>
      </c>
      <c r="I26" s="46" t="e">
        <f t="shared" si="8"/>
        <v>#DIV/0!</v>
      </c>
      <c r="J26" s="46" t="e">
        <f t="shared" si="9"/>
        <v>#DIV/0!</v>
      </c>
      <c r="K26" s="46" t="e">
        <f t="shared" si="10"/>
        <v>#DIV/0!</v>
      </c>
      <c r="L26" s="46" t="e">
        <f t="shared" si="11"/>
        <v>#DIV/0!</v>
      </c>
      <c r="M26" s="46" t="e">
        <f t="shared" si="12"/>
        <v>#DIV/0!</v>
      </c>
      <c r="N26" s="46" t="e">
        <f t="shared" si="13"/>
        <v>#DIV/0!</v>
      </c>
      <c r="O26" s="46" t="e">
        <f t="shared" si="14"/>
        <v>#DIV/0!</v>
      </c>
      <c r="P26" s="46" t="e">
        <f t="shared" si="15"/>
        <v>#DIV/0!</v>
      </c>
      <c r="Q26" s="56" t="e">
        <f>Q25+ATM_Conf!$C$5*(B25)/(Links!B$191*Links!Q$191)</f>
        <v>#DIV/0!</v>
      </c>
      <c r="R26" s="56" t="e">
        <f>R25+ATM_Conf!$C$5*(C25-B25)/(Links!C$191*Links!R$191)</f>
        <v>#DIV/0!</v>
      </c>
      <c r="S26" s="56" t="e">
        <f>S25+ATM_Conf!$C$5*(D25-C25)/(Links!D$191*Links!S$191)</f>
        <v>#DIV/0!</v>
      </c>
      <c r="T26" s="56" t="e">
        <f>T25+ATM_Conf!$C$5*(E25-D25)/(Links!E$191*Links!T$191)</f>
        <v>#DIV/0!</v>
      </c>
      <c r="U26" s="56" t="e">
        <f>U25+ATM_Conf!$C$5*(F25-E25)/(Links!F$191*Links!U$191)</f>
        <v>#DIV/0!</v>
      </c>
      <c r="V26" s="56" t="e">
        <f>V25+ATM_Conf!$C$5*(G25-F25)/(Links!G$191*Links!V$191)</f>
        <v>#DIV/0!</v>
      </c>
      <c r="W26" s="56" t="e">
        <f>W25+ATM_Conf!$C$5*(H25-G25)/(Links!H$191*Links!W$191)</f>
        <v>#DIV/0!</v>
      </c>
      <c r="X26" s="56" t="e">
        <f>X25+ATM_Conf!$C$5*(I25-H25)/(Links!I$191*Links!X$191)</f>
        <v>#DIV/0!</v>
      </c>
      <c r="Y26" s="56" t="e">
        <f>Y25+ATM_Conf!$C$5*(J25)/(Links!J$191*Links!Y$191)</f>
        <v>#DIV/0!</v>
      </c>
      <c r="Z26" s="56" t="e">
        <f>Z25+ATM_Conf!$C$5*(K25-J25)/(Links!K$191*Links!Z$191)</f>
        <v>#DIV/0!</v>
      </c>
      <c r="AA26" s="56" t="e">
        <f>AA25+ATM_Conf!$C$5*(L25-K25)/(Links!L$191*Links!AA$191)</f>
        <v>#DIV/0!</v>
      </c>
      <c r="AB26" s="56" t="e">
        <f>AB25+ATM_Conf!$C$5*(M25-L25)/(Links!M$191*Links!AB$191)</f>
        <v>#DIV/0!</v>
      </c>
      <c r="AC26" s="56" t="e">
        <f>AC25+ATM_Conf!$C$5*(N25-M25)/(Links!N$191*Links!AC$191)</f>
        <v>#DIV/0!</v>
      </c>
      <c r="AD26" s="56" t="e">
        <f>AD25+ATM_Conf!$C$5*(O25-N25)/(Links!O$191*Links!AD$191)</f>
        <v>#DIV/0!</v>
      </c>
      <c r="AE26" s="56" t="e">
        <f>AE25+ATM_Conf!$C$5*(P25-O25)/(Links!P$191*Links!AE$191)</f>
        <v>#DIV/0!</v>
      </c>
      <c r="AF26" s="46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6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6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6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6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6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6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6" t="e">
        <f>AM25+(ATM_Conf!$C$5/ATM_Conf!$C$8)*(Links!BB25*EXP((-(Links!X25/Links!BQ25)^Links!CF25)/Links!CF25)-Links!AM25)+(ATM_Conf!$C$5/Links!X$191)*Links!AM25*(Nodes!BH25-Links!AM25)</f>
        <v>#DIV/0!</v>
      </c>
      <c r="AN26" s="46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6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6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6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6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6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6" t="e">
        <f>AT25+(ATM_Conf!$C$5/ATM_Conf!$C$8)*(Links!BI25*EXP((-(Links!AE25/Links!BX25)^Links!CM25)/Links!CM25)-Links!AT25)+(ATM_Conf!$C$5/Links!AE$191)*Links!AT25*(Nodes!BN25-Links!AT25)</f>
        <v>#DIV/0!</v>
      </c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56"/>
      <c r="BZ26" s="56"/>
      <c r="CA26" s="56"/>
      <c r="CB26" s="56"/>
      <c r="CC26" s="56"/>
      <c r="CD26" s="56"/>
      <c r="CE26" s="56"/>
      <c r="CF26" s="56"/>
      <c r="CG26" s="56"/>
      <c r="CH26" s="56"/>
      <c r="CI26" s="56"/>
      <c r="CJ26" s="56"/>
      <c r="CK26" s="56"/>
      <c r="CL26" s="56"/>
      <c r="CM26" s="56"/>
      <c r="CN26" s="46">
        <f t="shared" si="20"/>
        <v>0</v>
      </c>
      <c r="CO26" s="46">
        <f t="shared" si="20"/>
        <v>0</v>
      </c>
      <c r="CP26" s="46">
        <f t="shared" si="20"/>
        <v>0</v>
      </c>
      <c r="CQ26" s="46">
        <f t="shared" si="20"/>
        <v>0</v>
      </c>
      <c r="CR26" s="46">
        <f t="shared" si="20"/>
        <v>0</v>
      </c>
      <c r="CS26" s="46">
        <f t="shared" si="20"/>
        <v>0</v>
      </c>
      <c r="CT26" s="46">
        <f t="shared" si="20"/>
        <v>0</v>
      </c>
      <c r="CU26" s="46">
        <f t="shared" si="20"/>
        <v>0</v>
      </c>
      <c r="CV26" s="46">
        <f t="shared" si="20"/>
        <v>0</v>
      </c>
      <c r="CW26" s="46">
        <f t="shared" si="20"/>
        <v>0</v>
      </c>
      <c r="CX26" s="46">
        <f t="shared" si="20"/>
        <v>0</v>
      </c>
      <c r="CY26" s="46">
        <f t="shared" si="20"/>
        <v>0</v>
      </c>
      <c r="CZ26" s="46">
        <f t="shared" si="20"/>
        <v>0</v>
      </c>
      <c r="DA26" s="46">
        <f t="shared" si="20"/>
        <v>0</v>
      </c>
      <c r="DB26" s="46">
        <f t="shared" si="20"/>
        <v>0</v>
      </c>
      <c r="DC26" s="54"/>
      <c r="DD26" s="54"/>
      <c r="DE26" s="54"/>
      <c r="DF26" s="54"/>
      <c r="DG26" s="54"/>
      <c r="DH26" s="54"/>
      <c r="DI26" s="54"/>
      <c r="DJ26" s="54"/>
      <c r="DK26" s="54"/>
      <c r="DL26" s="54"/>
      <c r="DM26" s="54"/>
      <c r="DN26" s="54"/>
      <c r="DO26" s="54"/>
      <c r="DP26" s="54"/>
      <c r="DQ26" s="54"/>
    </row>
    <row r="27" spans="1:121" ht="14.25" x14ac:dyDescent="0.15">
      <c r="A27" s="49">
        <v>25</v>
      </c>
      <c r="B27" s="46" t="e">
        <f t="shared" si="1"/>
        <v>#DIV/0!</v>
      </c>
      <c r="C27" s="46" t="e">
        <f t="shared" si="2"/>
        <v>#DIV/0!</v>
      </c>
      <c r="D27" s="46" t="e">
        <f t="shared" si="3"/>
        <v>#DIV/0!</v>
      </c>
      <c r="E27" s="46" t="e">
        <f t="shared" si="4"/>
        <v>#DIV/0!</v>
      </c>
      <c r="F27" s="46" t="e">
        <f t="shared" si="5"/>
        <v>#DIV/0!</v>
      </c>
      <c r="G27" s="46" t="e">
        <f t="shared" si="6"/>
        <v>#DIV/0!</v>
      </c>
      <c r="H27" s="46" t="e">
        <f t="shared" si="7"/>
        <v>#DIV/0!</v>
      </c>
      <c r="I27" s="46" t="e">
        <f t="shared" si="8"/>
        <v>#DIV/0!</v>
      </c>
      <c r="J27" s="46" t="e">
        <f t="shared" si="9"/>
        <v>#DIV/0!</v>
      </c>
      <c r="K27" s="46" t="e">
        <f t="shared" si="10"/>
        <v>#DIV/0!</v>
      </c>
      <c r="L27" s="46" t="e">
        <f t="shared" si="11"/>
        <v>#DIV/0!</v>
      </c>
      <c r="M27" s="46" t="e">
        <f t="shared" si="12"/>
        <v>#DIV/0!</v>
      </c>
      <c r="N27" s="46" t="e">
        <f t="shared" si="13"/>
        <v>#DIV/0!</v>
      </c>
      <c r="O27" s="46" t="e">
        <f t="shared" si="14"/>
        <v>#DIV/0!</v>
      </c>
      <c r="P27" s="46" t="e">
        <f t="shared" si="15"/>
        <v>#DIV/0!</v>
      </c>
      <c r="Q27" s="56" t="e">
        <f>Q26+ATM_Conf!$C$5*(B26)/(Links!B$191*Links!Q$191)</f>
        <v>#DIV/0!</v>
      </c>
      <c r="R27" s="56" t="e">
        <f>R26+ATM_Conf!$C$5*(C26-B26)/(Links!C$191*Links!R$191)</f>
        <v>#DIV/0!</v>
      </c>
      <c r="S27" s="56" t="e">
        <f>S26+ATM_Conf!$C$5*(D26-C26)/(Links!D$191*Links!S$191)</f>
        <v>#DIV/0!</v>
      </c>
      <c r="T27" s="56" t="e">
        <f>T26+ATM_Conf!$C$5*(E26-D26)/(Links!E$191*Links!T$191)</f>
        <v>#DIV/0!</v>
      </c>
      <c r="U27" s="56" t="e">
        <f>U26+ATM_Conf!$C$5*(F26-E26)/(Links!F$191*Links!U$191)</f>
        <v>#DIV/0!</v>
      </c>
      <c r="V27" s="56" t="e">
        <f>V26+ATM_Conf!$C$5*(G26-F26)/(Links!G$191*Links!V$191)</f>
        <v>#DIV/0!</v>
      </c>
      <c r="W27" s="56" t="e">
        <f>W26+ATM_Conf!$C$5*(H26-G26)/(Links!H$191*Links!W$191)</f>
        <v>#DIV/0!</v>
      </c>
      <c r="X27" s="56" t="e">
        <f>X26+ATM_Conf!$C$5*(I26-H26)/(Links!I$191*Links!X$191)</f>
        <v>#DIV/0!</v>
      </c>
      <c r="Y27" s="56" t="e">
        <f>Y26+ATM_Conf!$C$5*(J26)/(Links!J$191*Links!Y$191)</f>
        <v>#DIV/0!</v>
      </c>
      <c r="Z27" s="56" t="e">
        <f>Z26+ATM_Conf!$C$5*(K26-J26)/(Links!K$191*Links!Z$191)</f>
        <v>#DIV/0!</v>
      </c>
      <c r="AA27" s="56" t="e">
        <f>AA26+ATM_Conf!$C$5*(L26-K26)/(Links!L$191*Links!AA$191)</f>
        <v>#DIV/0!</v>
      </c>
      <c r="AB27" s="56" t="e">
        <f>AB26+ATM_Conf!$C$5*(M26-L26)/(Links!M$191*Links!AB$191)</f>
        <v>#DIV/0!</v>
      </c>
      <c r="AC27" s="56" t="e">
        <f>AC26+ATM_Conf!$C$5*(N26-M26)/(Links!N$191*Links!AC$191)</f>
        <v>#DIV/0!</v>
      </c>
      <c r="AD27" s="56" t="e">
        <f>AD26+ATM_Conf!$C$5*(O26-N26)/(Links!O$191*Links!AD$191)</f>
        <v>#DIV/0!</v>
      </c>
      <c r="AE27" s="56" t="e">
        <f>AE26+ATM_Conf!$C$5*(P26-O26)/(Links!P$191*Links!AE$191)</f>
        <v>#DIV/0!</v>
      </c>
      <c r="AF27" s="46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6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6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6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6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6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6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6" t="e">
        <f>AM26+(ATM_Conf!$C$5/ATM_Conf!$C$8)*(Links!BB26*EXP((-(Links!X26/Links!BQ26)^Links!CF26)/Links!CF26)-Links!AM26)+(ATM_Conf!$C$5/Links!X$191)*Links!AM26*(Nodes!BH26-Links!AM26)</f>
        <v>#DIV/0!</v>
      </c>
      <c r="AN27" s="46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6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6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6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6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6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6" t="e">
        <f>AT26+(ATM_Conf!$C$5/ATM_Conf!$C$8)*(Links!BI26*EXP((-(Links!AE26/Links!BX26)^Links!CM26)/Links!CM26)-Links!AT26)+(ATM_Conf!$C$5/Links!AE$191)*Links!AT26*(Nodes!BN26-Links!AT26)</f>
        <v>#DIV/0!</v>
      </c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56"/>
      <c r="BZ27" s="56"/>
      <c r="CA27" s="56"/>
      <c r="CB27" s="56"/>
      <c r="CC27" s="56"/>
      <c r="CD27" s="56"/>
      <c r="CE27" s="56"/>
      <c r="CF27" s="56"/>
      <c r="CG27" s="56"/>
      <c r="CH27" s="56"/>
      <c r="CI27" s="56"/>
      <c r="CJ27" s="56"/>
      <c r="CK27" s="56"/>
      <c r="CL27" s="56"/>
      <c r="CM27" s="56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54">
        <f>(CN27-CN15)^2</f>
        <v>0</v>
      </c>
      <c r="DD27" s="54">
        <f t="shared" ref="DD27:DQ27" si="21">(CO27-CO15)^2</f>
        <v>0</v>
      </c>
      <c r="DE27" s="54">
        <f t="shared" si="21"/>
        <v>0</v>
      </c>
      <c r="DF27" s="54">
        <f t="shared" si="21"/>
        <v>0</v>
      </c>
      <c r="DG27" s="54">
        <f t="shared" si="21"/>
        <v>0</v>
      </c>
      <c r="DH27" s="54">
        <f t="shared" si="21"/>
        <v>0</v>
      </c>
      <c r="DI27" s="54">
        <f t="shared" si="21"/>
        <v>0</v>
      </c>
      <c r="DJ27" s="54">
        <f t="shared" si="21"/>
        <v>0</v>
      </c>
      <c r="DK27" s="54">
        <f t="shared" si="21"/>
        <v>0</v>
      </c>
      <c r="DL27" s="54">
        <f t="shared" si="21"/>
        <v>0</v>
      </c>
      <c r="DM27" s="54">
        <f t="shared" si="21"/>
        <v>0</v>
      </c>
      <c r="DN27" s="54">
        <f t="shared" si="21"/>
        <v>0</v>
      </c>
      <c r="DO27" s="54">
        <f t="shared" si="21"/>
        <v>0</v>
      </c>
      <c r="DP27" s="54">
        <f t="shared" si="21"/>
        <v>0</v>
      </c>
      <c r="DQ27" s="54">
        <f t="shared" si="21"/>
        <v>0</v>
      </c>
    </row>
    <row r="28" spans="1:121" ht="14.25" x14ac:dyDescent="0.15">
      <c r="A28" s="49">
        <v>26</v>
      </c>
      <c r="B28" s="46" t="e">
        <f t="shared" si="1"/>
        <v>#DIV/0!</v>
      </c>
      <c r="C28" s="46" t="e">
        <f t="shared" si="2"/>
        <v>#DIV/0!</v>
      </c>
      <c r="D28" s="46" t="e">
        <f t="shared" si="3"/>
        <v>#DIV/0!</v>
      </c>
      <c r="E28" s="46" t="e">
        <f t="shared" si="4"/>
        <v>#DIV/0!</v>
      </c>
      <c r="F28" s="46" t="e">
        <f t="shared" si="5"/>
        <v>#DIV/0!</v>
      </c>
      <c r="G28" s="46" t="e">
        <f t="shared" si="6"/>
        <v>#DIV/0!</v>
      </c>
      <c r="H28" s="46" t="e">
        <f t="shared" si="7"/>
        <v>#DIV/0!</v>
      </c>
      <c r="I28" s="46" t="e">
        <f t="shared" si="8"/>
        <v>#DIV/0!</v>
      </c>
      <c r="J28" s="46" t="e">
        <f t="shared" si="9"/>
        <v>#DIV/0!</v>
      </c>
      <c r="K28" s="46" t="e">
        <f t="shared" si="10"/>
        <v>#DIV/0!</v>
      </c>
      <c r="L28" s="46" t="e">
        <f t="shared" si="11"/>
        <v>#DIV/0!</v>
      </c>
      <c r="M28" s="46" t="e">
        <f t="shared" si="12"/>
        <v>#DIV/0!</v>
      </c>
      <c r="N28" s="46" t="e">
        <f t="shared" si="13"/>
        <v>#DIV/0!</v>
      </c>
      <c r="O28" s="46" t="e">
        <f t="shared" si="14"/>
        <v>#DIV/0!</v>
      </c>
      <c r="P28" s="46" t="e">
        <f t="shared" si="15"/>
        <v>#DIV/0!</v>
      </c>
      <c r="Q28" s="56" t="e">
        <f>Q27+ATM_Conf!$C$5*(B27)/(Links!B$191*Links!Q$191)</f>
        <v>#DIV/0!</v>
      </c>
      <c r="R28" s="56" t="e">
        <f>R27+ATM_Conf!$C$5*(C27-B27)/(Links!C$191*Links!R$191)</f>
        <v>#DIV/0!</v>
      </c>
      <c r="S28" s="56" t="e">
        <f>S27+ATM_Conf!$C$5*(D27-C27)/(Links!D$191*Links!S$191)</f>
        <v>#DIV/0!</v>
      </c>
      <c r="T28" s="56" t="e">
        <f>T27+ATM_Conf!$C$5*(E27-D27)/(Links!E$191*Links!T$191)</f>
        <v>#DIV/0!</v>
      </c>
      <c r="U28" s="56" t="e">
        <f>U27+ATM_Conf!$C$5*(F27-E27)/(Links!F$191*Links!U$191)</f>
        <v>#DIV/0!</v>
      </c>
      <c r="V28" s="56" t="e">
        <f>V27+ATM_Conf!$C$5*(G27-F27)/(Links!G$191*Links!V$191)</f>
        <v>#DIV/0!</v>
      </c>
      <c r="W28" s="56" t="e">
        <f>W27+ATM_Conf!$C$5*(H27-G27)/(Links!H$191*Links!W$191)</f>
        <v>#DIV/0!</v>
      </c>
      <c r="X28" s="56" t="e">
        <f>X27+ATM_Conf!$C$5*(I27-H27)/(Links!I$191*Links!X$191)</f>
        <v>#DIV/0!</v>
      </c>
      <c r="Y28" s="56" t="e">
        <f>Y27+ATM_Conf!$C$5*(J27)/(Links!J$191*Links!Y$191)</f>
        <v>#DIV/0!</v>
      </c>
      <c r="Z28" s="56" t="e">
        <f>Z27+ATM_Conf!$C$5*(K27-J27)/(Links!K$191*Links!Z$191)</f>
        <v>#DIV/0!</v>
      </c>
      <c r="AA28" s="56" t="e">
        <f>AA27+ATM_Conf!$C$5*(L27-K27)/(Links!L$191*Links!AA$191)</f>
        <v>#DIV/0!</v>
      </c>
      <c r="AB28" s="56" t="e">
        <f>AB27+ATM_Conf!$C$5*(M27-L27)/(Links!M$191*Links!AB$191)</f>
        <v>#DIV/0!</v>
      </c>
      <c r="AC28" s="56" t="e">
        <f>AC27+ATM_Conf!$C$5*(N27-M27)/(Links!N$191*Links!AC$191)</f>
        <v>#DIV/0!</v>
      </c>
      <c r="AD28" s="56" t="e">
        <f>AD27+ATM_Conf!$C$5*(O27-N27)/(Links!O$191*Links!AD$191)</f>
        <v>#DIV/0!</v>
      </c>
      <c r="AE28" s="56" t="e">
        <f>AE27+ATM_Conf!$C$5*(P27-O27)/(Links!P$191*Links!AE$191)</f>
        <v>#DIV/0!</v>
      </c>
      <c r="AF28" s="46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6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6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6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6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6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6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6" t="e">
        <f>AM27+(ATM_Conf!$C$5/ATM_Conf!$C$8)*(Links!BB27*EXP((-(Links!X27/Links!BQ27)^Links!CF27)/Links!CF27)-Links!AM27)+(ATM_Conf!$C$5/Links!X$191)*Links!AM27*(Nodes!BH27-Links!AM27)</f>
        <v>#DIV/0!</v>
      </c>
      <c r="AN28" s="46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6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6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6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6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6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6" t="e">
        <f>AT27+(ATM_Conf!$C$5/ATM_Conf!$C$8)*(Links!BI27*EXP((-(Links!AE27/Links!BX27)^Links!CM27)/Links!CM27)-Links!AT27)+(ATM_Conf!$C$5/Links!AE$191)*Links!AT27*(Nodes!BN27-Links!AT27)</f>
        <v>#DIV/0!</v>
      </c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56"/>
      <c r="BZ28" s="56"/>
      <c r="CA28" s="56"/>
      <c r="CB28" s="56"/>
      <c r="CC28" s="56"/>
      <c r="CD28" s="56"/>
      <c r="CE28" s="56"/>
      <c r="CF28" s="56"/>
      <c r="CG28" s="56"/>
      <c r="CH28" s="56"/>
      <c r="CI28" s="56"/>
      <c r="CJ28" s="56"/>
      <c r="CK28" s="56"/>
      <c r="CL28" s="56"/>
      <c r="CM28" s="56"/>
      <c r="CN28" s="46">
        <f>CN$27</f>
        <v>0</v>
      </c>
      <c r="CO28" s="46">
        <f t="shared" ref="CO28:DB28" si="22">CO$27</f>
        <v>0</v>
      </c>
      <c r="CP28" s="46">
        <f t="shared" si="22"/>
        <v>0</v>
      </c>
      <c r="CQ28" s="46">
        <f t="shared" si="22"/>
        <v>0</v>
      </c>
      <c r="CR28" s="46">
        <f t="shared" si="22"/>
        <v>0</v>
      </c>
      <c r="CS28" s="46">
        <f t="shared" si="22"/>
        <v>0</v>
      </c>
      <c r="CT28" s="46">
        <f t="shared" si="22"/>
        <v>0</v>
      </c>
      <c r="CU28" s="46">
        <f t="shared" si="22"/>
        <v>0</v>
      </c>
      <c r="CV28" s="46">
        <f t="shared" si="22"/>
        <v>0</v>
      </c>
      <c r="CW28" s="46">
        <f t="shared" si="22"/>
        <v>0</v>
      </c>
      <c r="CX28" s="46">
        <f t="shared" si="22"/>
        <v>0</v>
      </c>
      <c r="CY28" s="46">
        <f t="shared" si="22"/>
        <v>0</v>
      </c>
      <c r="CZ28" s="46">
        <f t="shared" si="22"/>
        <v>0</v>
      </c>
      <c r="DA28" s="46">
        <f t="shared" si="22"/>
        <v>0</v>
      </c>
      <c r="DB28" s="46">
        <f t="shared" si="22"/>
        <v>0</v>
      </c>
      <c r="DC28" s="54"/>
      <c r="DD28" s="54"/>
      <c r="DE28" s="54"/>
      <c r="DF28" s="54"/>
      <c r="DG28" s="54"/>
      <c r="DH28" s="54"/>
      <c r="DI28" s="54"/>
      <c r="DJ28" s="54"/>
      <c r="DK28" s="54"/>
      <c r="DL28" s="54"/>
      <c r="DM28" s="54"/>
      <c r="DN28" s="54"/>
      <c r="DO28" s="54"/>
      <c r="DP28" s="54"/>
      <c r="DQ28" s="54"/>
    </row>
    <row r="29" spans="1:121" ht="14.25" x14ac:dyDescent="0.15">
      <c r="A29" s="49">
        <v>27</v>
      </c>
      <c r="B29" s="46" t="e">
        <f t="shared" si="1"/>
        <v>#DIV/0!</v>
      </c>
      <c r="C29" s="46" t="e">
        <f t="shared" si="2"/>
        <v>#DIV/0!</v>
      </c>
      <c r="D29" s="46" t="e">
        <f t="shared" si="3"/>
        <v>#DIV/0!</v>
      </c>
      <c r="E29" s="46" t="e">
        <f t="shared" si="4"/>
        <v>#DIV/0!</v>
      </c>
      <c r="F29" s="46" t="e">
        <f t="shared" si="5"/>
        <v>#DIV/0!</v>
      </c>
      <c r="G29" s="46" t="e">
        <f t="shared" si="6"/>
        <v>#DIV/0!</v>
      </c>
      <c r="H29" s="46" t="e">
        <f t="shared" si="7"/>
        <v>#DIV/0!</v>
      </c>
      <c r="I29" s="46" t="e">
        <f t="shared" si="8"/>
        <v>#DIV/0!</v>
      </c>
      <c r="J29" s="46" t="e">
        <f t="shared" si="9"/>
        <v>#DIV/0!</v>
      </c>
      <c r="K29" s="46" t="e">
        <f t="shared" si="10"/>
        <v>#DIV/0!</v>
      </c>
      <c r="L29" s="46" t="e">
        <f t="shared" si="11"/>
        <v>#DIV/0!</v>
      </c>
      <c r="M29" s="46" t="e">
        <f t="shared" si="12"/>
        <v>#DIV/0!</v>
      </c>
      <c r="N29" s="46" t="e">
        <f t="shared" si="13"/>
        <v>#DIV/0!</v>
      </c>
      <c r="O29" s="46" t="e">
        <f t="shared" si="14"/>
        <v>#DIV/0!</v>
      </c>
      <c r="P29" s="46" t="e">
        <f t="shared" si="15"/>
        <v>#DIV/0!</v>
      </c>
      <c r="Q29" s="56" t="e">
        <f>Q28+ATM_Conf!$C$5*(B28)/(Links!B$191*Links!Q$191)</f>
        <v>#DIV/0!</v>
      </c>
      <c r="R29" s="56" t="e">
        <f>R28+ATM_Conf!$C$5*(C28-B28)/(Links!C$191*Links!R$191)</f>
        <v>#DIV/0!</v>
      </c>
      <c r="S29" s="56" t="e">
        <f>S28+ATM_Conf!$C$5*(D28-C28)/(Links!D$191*Links!S$191)</f>
        <v>#DIV/0!</v>
      </c>
      <c r="T29" s="56" t="e">
        <f>T28+ATM_Conf!$C$5*(E28-D28)/(Links!E$191*Links!T$191)</f>
        <v>#DIV/0!</v>
      </c>
      <c r="U29" s="56" t="e">
        <f>U28+ATM_Conf!$C$5*(F28-E28)/(Links!F$191*Links!U$191)</f>
        <v>#DIV/0!</v>
      </c>
      <c r="V29" s="56" t="e">
        <f>V28+ATM_Conf!$C$5*(G28-F28)/(Links!G$191*Links!V$191)</f>
        <v>#DIV/0!</v>
      </c>
      <c r="W29" s="56" t="e">
        <f>W28+ATM_Conf!$C$5*(H28-G28)/(Links!H$191*Links!W$191)</f>
        <v>#DIV/0!</v>
      </c>
      <c r="X29" s="56" t="e">
        <f>X28+ATM_Conf!$C$5*(I28-H28)/(Links!I$191*Links!X$191)</f>
        <v>#DIV/0!</v>
      </c>
      <c r="Y29" s="56" t="e">
        <f>Y28+ATM_Conf!$C$5*(J28)/(Links!J$191*Links!Y$191)</f>
        <v>#DIV/0!</v>
      </c>
      <c r="Z29" s="56" t="e">
        <f>Z28+ATM_Conf!$C$5*(K28-J28)/(Links!K$191*Links!Z$191)</f>
        <v>#DIV/0!</v>
      </c>
      <c r="AA29" s="56" t="e">
        <f>AA28+ATM_Conf!$C$5*(L28-K28)/(Links!L$191*Links!AA$191)</f>
        <v>#DIV/0!</v>
      </c>
      <c r="AB29" s="56" t="e">
        <f>AB28+ATM_Conf!$C$5*(M28-L28)/(Links!M$191*Links!AB$191)</f>
        <v>#DIV/0!</v>
      </c>
      <c r="AC29" s="56" t="e">
        <f>AC28+ATM_Conf!$C$5*(N28-M28)/(Links!N$191*Links!AC$191)</f>
        <v>#DIV/0!</v>
      </c>
      <c r="AD29" s="56" t="e">
        <f>AD28+ATM_Conf!$C$5*(O28-N28)/(Links!O$191*Links!AD$191)</f>
        <v>#DIV/0!</v>
      </c>
      <c r="AE29" s="56" t="e">
        <f>AE28+ATM_Conf!$C$5*(P28-O28)/(Links!P$191*Links!AE$191)</f>
        <v>#DIV/0!</v>
      </c>
      <c r="AF29" s="46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6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6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6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6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6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6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6" t="e">
        <f>AM28+(ATM_Conf!$C$5/ATM_Conf!$C$8)*(Links!BB28*EXP((-(Links!X28/Links!BQ28)^Links!CF28)/Links!CF28)-Links!AM28)+(ATM_Conf!$C$5/Links!X$191)*Links!AM28*(Nodes!BH28-Links!AM28)</f>
        <v>#DIV/0!</v>
      </c>
      <c r="AN29" s="46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6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6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6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6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6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6" t="e">
        <f>AT28+(ATM_Conf!$C$5/ATM_Conf!$C$8)*(Links!BI28*EXP((-(Links!AE28/Links!BX28)^Links!CM28)/Links!CM28)-Links!AT28)+(ATM_Conf!$C$5/Links!AE$191)*Links!AT28*(Nodes!BN28-Links!AT28)</f>
        <v>#DIV/0!</v>
      </c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56"/>
      <c r="BZ29" s="56"/>
      <c r="CA29" s="56"/>
      <c r="CB29" s="56"/>
      <c r="CC29" s="56"/>
      <c r="CD29" s="56"/>
      <c r="CE29" s="56"/>
      <c r="CF29" s="56"/>
      <c r="CG29" s="56"/>
      <c r="CH29" s="56"/>
      <c r="CI29" s="56"/>
      <c r="CJ29" s="56"/>
      <c r="CK29" s="56"/>
      <c r="CL29" s="56"/>
      <c r="CM29" s="56"/>
      <c r="CN29" s="46">
        <f t="shared" ref="CN29:DB38" si="23">CN$27</f>
        <v>0</v>
      </c>
      <c r="CO29" s="46">
        <f t="shared" si="23"/>
        <v>0</v>
      </c>
      <c r="CP29" s="46">
        <f t="shared" si="23"/>
        <v>0</v>
      </c>
      <c r="CQ29" s="46">
        <f t="shared" si="23"/>
        <v>0</v>
      </c>
      <c r="CR29" s="46">
        <f t="shared" si="23"/>
        <v>0</v>
      </c>
      <c r="CS29" s="46">
        <f t="shared" si="23"/>
        <v>0</v>
      </c>
      <c r="CT29" s="46">
        <f t="shared" si="23"/>
        <v>0</v>
      </c>
      <c r="CU29" s="46">
        <f t="shared" si="23"/>
        <v>0</v>
      </c>
      <c r="CV29" s="46">
        <f t="shared" si="23"/>
        <v>0</v>
      </c>
      <c r="CW29" s="46">
        <f t="shared" si="23"/>
        <v>0</v>
      </c>
      <c r="CX29" s="46">
        <f t="shared" si="23"/>
        <v>0</v>
      </c>
      <c r="CY29" s="46">
        <f t="shared" si="23"/>
        <v>0</v>
      </c>
      <c r="CZ29" s="46">
        <f t="shared" si="23"/>
        <v>0</v>
      </c>
      <c r="DA29" s="46">
        <f t="shared" si="23"/>
        <v>0</v>
      </c>
      <c r="DB29" s="46">
        <f t="shared" si="23"/>
        <v>0</v>
      </c>
      <c r="DC29" s="54"/>
      <c r="DD29" s="54"/>
      <c r="DE29" s="54"/>
      <c r="DF29" s="54"/>
      <c r="DG29" s="54"/>
      <c r="DH29" s="54"/>
      <c r="DI29" s="54"/>
      <c r="DJ29" s="54"/>
      <c r="DK29" s="54"/>
      <c r="DL29" s="54"/>
      <c r="DM29" s="54"/>
      <c r="DN29" s="54"/>
      <c r="DO29" s="54"/>
      <c r="DP29" s="54"/>
      <c r="DQ29" s="54"/>
    </row>
    <row r="30" spans="1:121" ht="14.25" x14ac:dyDescent="0.15">
      <c r="A30" s="49">
        <v>28</v>
      </c>
      <c r="B30" s="46" t="e">
        <f t="shared" si="1"/>
        <v>#DIV/0!</v>
      </c>
      <c r="C30" s="46" t="e">
        <f t="shared" si="2"/>
        <v>#DIV/0!</v>
      </c>
      <c r="D30" s="46" t="e">
        <f t="shared" si="3"/>
        <v>#DIV/0!</v>
      </c>
      <c r="E30" s="46" t="e">
        <f t="shared" si="4"/>
        <v>#DIV/0!</v>
      </c>
      <c r="F30" s="46" t="e">
        <f t="shared" si="5"/>
        <v>#DIV/0!</v>
      </c>
      <c r="G30" s="46" t="e">
        <f t="shared" si="6"/>
        <v>#DIV/0!</v>
      </c>
      <c r="H30" s="46" t="e">
        <f t="shared" si="7"/>
        <v>#DIV/0!</v>
      </c>
      <c r="I30" s="46" t="e">
        <f t="shared" si="8"/>
        <v>#DIV/0!</v>
      </c>
      <c r="J30" s="46" t="e">
        <f t="shared" si="9"/>
        <v>#DIV/0!</v>
      </c>
      <c r="K30" s="46" t="e">
        <f t="shared" si="10"/>
        <v>#DIV/0!</v>
      </c>
      <c r="L30" s="46" t="e">
        <f t="shared" si="11"/>
        <v>#DIV/0!</v>
      </c>
      <c r="M30" s="46" t="e">
        <f t="shared" si="12"/>
        <v>#DIV/0!</v>
      </c>
      <c r="N30" s="46" t="e">
        <f t="shared" si="13"/>
        <v>#DIV/0!</v>
      </c>
      <c r="O30" s="46" t="e">
        <f t="shared" si="14"/>
        <v>#DIV/0!</v>
      </c>
      <c r="P30" s="46" t="e">
        <f t="shared" si="15"/>
        <v>#DIV/0!</v>
      </c>
      <c r="Q30" s="56" t="e">
        <f>Q29+ATM_Conf!$C$5*(B29)/(Links!B$191*Links!Q$191)</f>
        <v>#DIV/0!</v>
      </c>
      <c r="R30" s="56" t="e">
        <f>R29+ATM_Conf!$C$5*(C29-B29)/(Links!C$191*Links!R$191)</f>
        <v>#DIV/0!</v>
      </c>
      <c r="S30" s="56" t="e">
        <f>S29+ATM_Conf!$C$5*(D29-C29)/(Links!D$191*Links!S$191)</f>
        <v>#DIV/0!</v>
      </c>
      <c r="T30" s="56" t="e">
        <f>T29+ATM_Conf!$C$5*(E29-D29)/(Links!E$191*Links!T$191)</f>
        <v>#DIV/0!</v>
      </c>
      <c r="U30" s="56" t="e">
        <f>U29+ATM_Conf!$C$5*(F29-E29)/(Links!F$191*Links!U$191)</f>
        <v>#DIV/0!</v>
      </c>
      <c r="V30" s="56" t="e">
        <f>V29+ATM_Conf!$C$5*(G29-F29)/(Links!G$191*Links!V$191)</f>
        <v>#DIV/0!</v>
      </c>
      <c r="W30" s="56" t="e">
        <f>W29+ATM_Conf!$C$5*(H29-G29)/(Links!H$191*Links!W$191)</f>
        <v>#DIV/0!</v>
      </c>
      <c r="X30" s="56" t="e">
        <f>X29+ATM_Conf!$C$5*(I29-H29)/(Links!I$191*Links!X$191)</f>
        <v>#DIV/0!</v>
      </c>
      <c r="Y30" s="56" t="e">
        <f>Y29+ATM_Conf!$C$5*(J29)/(Links!J$191*Links!Y$191)</f>
        <v>#DIV/0!</v>
      </c>
      <c r="Z30" s="56" t="e">
        <f>Z29+ATM_Conf!$C$5*(K29-J29)/(Links!K$191*Links!Z$191)</f>
        <v>#DIV/0!</v>
      </c>
      <c r="AA30" s="56" t="e">
        <f>AA29+ATM_Conf!$C$5*(L29-K29)/(Links!L$191*Links!AA$191)</f>
        <v>#DIV/0!</v>
      </c>
      <c r="AB30" s="56" t="e">
        <f>AB29+ATM_Conf!$C$5*(M29-L29)/(Links!M$191*Links!AB$191)</f>
        <v>#DIV/0!</v>
      </c>
      <c r="AC30" s="56" t="e">
        <f>AC29+ATM_Conf!$C$5*(N29-M29)/(Links!N$191*Links!AC$191)</f>
        <v>#DIV/0!</v>
      </c>
      <c r="AD30" s="56" t="e">
        <f>AD29+ATM_Conf!$C$5*(O29-N29)/(Links!O$191*Links!AD$191)</f>
        <v>#DIV/0!</v>
      </c>
      <c r="AE30" s="56" t="e">
        <f>AE29+ATM_Conf!$C$5*(P29-O29)/(Links!P$191*Links!AE$191)</f>
        <v>#DIV/0!</v>
      </c>
      <c r="AF30" s="46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6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6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6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6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6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6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6" t="e">
        <f>AM29+(ATM_Conf!$C$5/ATM_Conf!$C$8)*(Links!BB29*EXP((-(Links!X29/Links!BQ29)^Links!CF29)/Links!CF29)-Links!AM29)+(ATM_Conf!$C$5/Links!X$191)*Links!AM29*(Nodes!BH29-Links!AM29)</f>
        <v>#DIV/0!</v>
      </c>
      <c r="AN30" s="46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6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6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6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6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6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6" t="e">
        <f>AT29+(ATM_Conf!$C$5/ATM_Conf!$C$8)*(Links!BI29*EXP((-(Links!AE29/Links!BX29)^Links!CM29)/Links!CM29)-Links!AT29)+(ATM_Conf!$C$5/Links!AE$191)*Links!AT29*(Nodes!BN29-Links!AT29)</f>
        <v>#DIV/0!</v>
      </c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6"/>
      <c r="CJ30" s="56"/>
      <c r="CK30" s="56"/>
      <c r="CL30" s="56"/>
      <c r="CM30" s="56"/>
      <c r="CN30" s="46">
        <f t="shared" si="23"/>
        <v>0</v>
      </c>
      <c r="CO30" s="46">
        <f t="shared" si="23"/>
        <v>0</v>
      </c>
      <c r="CP30" s="46">
        <f t="shared" si="23"/>
        <v>0</v>
      </c>
      <c r="CQ30" s="46">
        <f t="shared" si="23"/>
        <v>0</v>
      </c>
      <c r="CR30" s="46">
        <f t="shared" si="23"/>
        <v>0</v>
      </c>
      <c r="CS30" s="46">
        <f t="shared" si="23"/>
        <v>0</v>
      </c>
      <c r="CT30" s="46">
        <f t="shared" si="23"/>
        <v>0</v>
      </c>
      <c r="CU30" s="46">
        <f t="shared" si="23"/>
        <v>0</v>
      </c>
      <c r="CV30" s="46">
        <f t="shared" si="23"/>
        <v>0</v>
      </c>
      <c r="CW30" s="46">
        <f t="shared" si="23"/>
        <v>0</v>
      </c>
      <c r="CX30" s="46">
        <f t="shared" si="23"/>
        <v>0</v>
      </c>
      <c r="CY30" s="46">
        <f t="shared" si="23"/>
        <v>0</v>
      </c>
      <c r="CZ30" s="46">
        <f t="shared" si="23"/>
        <v>0</v>
      </c>
      <c r="DA30" s="46">
        <f t="shared" si="23"/>
        <v>0</v>
      </c>
      <c r="DB30" s="46">
        <f t="shared" si="23"/>
        <v>0</v>
      </c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54"/>
      <c r="DP30" s="54"/>
      <c r="DQ30" s="54"/>
    </row>
    <row r="31" spans="1:121" ht="14.25" x14ac:dyDescent="0.15">
      <c r="A31" s="49">
        <v>29</v>
      </c>
      <c r="B31" s="46" t="e">
        <f t="shared" si="1"/>
        <v>#DIV/0!</v>
      </c>
      <c r="C31" s="46" t="e">
        <f t="shared" si="2"/>
        <v>#DIV/0!</v>
      </c>
      <c r="D31" s="46" t="e">
        <f t="shared" si="3"/>
        <v>#DIV/0!</v>
      </c>
      <c r="E31" s="46" t="e">
        <f t="shared" si="4"/>
        <v>#DIV/0!</v>
      </c>
      <c r="F31" s="46" t="e">
        <f t="shared" si="5"/>
        <v>#DIV/0!</v>
      </c>
      <c r="G31" s="46" t="e">
        <f t="shared" si="6"/>
        <v>#DIV/0!</v>
      </c>
      <c r="H31" s="46" t="e">
        <f t="shared" si="7"/>
        <v>#DIV/0!</v>
      </c>
      <c r="I31" s="46" t="e">
        <f t="shared" si="8"/>
        <v>#DIV/0!</v>
      </c>
      <c r="J31" s="46" t="e">
        <f t="shared" si="9"/>
        <v>#DIV/0!</v>
      </c>
      <c r="K31" s="46" t="e">
        <f t="shared" si="10"/>
        <v>#DIV/0!</v>
      </c>
      <c r="L31" s="46" t="e">
        <f t="shared" si="11"/>
        <v>#DIV/0!</v>
      </c>
      <c r="M31" s="46" t="e">
        <f t="shared" si="12"/>
        <v>#DIV/0!</v>
      </c>
      <c r="N31" s="46" t="e">
        <f t="shared" si="13"/>
        <v>#DIV/0!</v>
      </c>
      <c r="O31" s="46" t="e">
        <f t="shared" si="14"/>
        <v>#DIV/0!</v>
      </c>
      <c r="P31" s="46" t="e">
        <f t="shared" si="15"/>
        <v>#DIV/0!</v>
      </c>
      <c r="Q31" s="56" t="e">
        <f>Q30+ATM_Conf!$C$5*(B30)/(Links!B$191*Links!Q$191)</f>
        <v>#DIV/0!</v>
      </c>
      <c r="R31" s="56" t="e">
        <f>R30+ATM_Conf!$C$5*(C30-B30)/(Links!C$191*Links!R$191)</f>
        <v>#DIV/0!</v>
      </c>
      <c r="S31" s="56" t="e">
        <f>S30+ATM_Conf!$C$5*(D30-C30)/(Links!D$191*Links!S$191)</f>
        <v>#DIV/0!</v>
      </c>
      <c r="T31" s="56" t="e">
        <f>T30+ATM_Conf!$C$5*(E30-D30)/(Links!E$191*Links!T$191)</f>
        <v>#DIV/0!</v>
      </c>
      <c r="U31" s="56" t="e">
        <f>U30+ATM_Conf!$C$5*(F30-E30)/(Links!F$191*Links!U$191)</f>
        <v>#DIV/0!</v>
      </c>
      <c r="V31" s="56" t="e">
        <f>V30+ATM_Conf!$C$5*(G30-F30)/(Links!G$191*Links!V$191)</f>
        <v>#DIV/0!</v>
      </c>
      <c r="W31" s="56" t="e">
        <f>W30+ATM_Conf!$C$5*(H30-G30)/(Links!H$191*Links!W$191)</f>
        <v>#DIV/0!</v>
      </c>
      <c r="X31" s="56" t="e">
        <f>X30+ATM_Conf!$C$5*(I30-H30)/(Links!I$191*Links!X$191)</f>
        <v>#DIV/0!</v>
      </c>
      <c r="Y31" s="56" t="e">
        <f>Y30+ATM_Conf!$C$5*(J30)/(Links!J$191*Links!Y$191)</f>
        <v>#DIV/0!</v>
      </c>
      <c r="Z31" s="56" t="e">
        <f>Z30+ATM_Conf!$C$5*(K30-J30)/(Links!K$191*Links!Z$191)</f>
        <v>#DIV/0!</v>
      </c>
      <c r="AA31" s="56" t="e">
        <f>AA30+ATM_Conf!$C$5*(L30-K30)/(Links!L$191*Links!AA$191)</f>
        <v>#DIV/0!</v>
      </c>
      <c r="AB31" s="56" t="e">
        <f>AB30+ATM_Conf!$C$5*(M30-L30)/(Links!M$191*Links!AB$191)</f>
        <v>#DIV/0!</v>
      </c>
      <c r="AC31" s="56" t="e">
        <f>AC30+ATM_Conf!$C$5*(N30-M30)/(Links!N$191*Links!AC$191)</f>
        <v>#DIV/0!</v>
      </c>
      <c r="AD31" s="56" t="e">
        <f>AD30+ATM_Conf!$C$5*(O30-N30)/(Links!O$191*Links!AD$191)</f>
        <v>#DIV/0!</v>
      </c>
      <c r="AE31" s="56" t="e">
        <f>AE30+ATM_Conf!$C$5*(P30-O30)/(Links!P$191*Links!AE$191)</f>
        <v>#DIV/0!</v>
      </c>
      <c r="AF31" s="46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6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6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6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6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6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6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6" t="e">
        <f>AM30+(ATM_Conf!$C$5/ATM_Conf!$C$8)*(Links!BB30*EXP((-(Links!X30/Links!BQ30)^Links!CF30)/Links!CF30)-Links!AM30)+(ATM_Conf!$C$5/Links!X$191)*Links!AM30*(Nodes!BH30-Links!AM30)</f>
        <v>#DIV/0!</v>
      </c>
      <c r="AN31" s="46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6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6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6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6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6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6" t="e">
        <f>AT30+(ATM_Conf!$C$5/ATM_Conf!$C$8)*(Links!BI30*EXP((-(Links!AE30/Links!BX30)^Links!CM30)/Links!CM30)-Links!AT30)+(ATM_Conf!$C$5/Links!AE$191)*Links!AT30*(Nodes!BN30-Links!AT30)</f>
        <v>#DIV/0!</v>
      </c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56"/>
      <c r="BZ31" s="56"/>
      <c r="CA31" s="56"/>
      <c r="CB31" s="56"/>
      <c r="CC31" s="56"/>
      <c r="CD31" s="56"/>
      <c r="CE31" s="56"/>
      <c r="CF31" s="56"/>
      <c r="CG31" s="56"/>
      <c r="CH31" s="56"/>
      <c r="CI31" s="56"/>
      <c r="CJ31" s="56"/>
      <c r="CK31" s="56"/>
      <c r="CL31" s="56"/>
      <c r="CM31" s="56"/>
      <c r="CN31" s="46">
        <f t="shared" si="23"/>
        <v>0</v>
      </c>
      <c r="CO31" s="46">
        <f t="shared" si="23"/>
        <v>0</v>
      </c>
      <c r="CP31" s="46">
        <f t="shared" si="23"/>
        <v>0</v>
      </c>
      <c r="CQ31" s="46">
        <f t="shared" si="23"/>
        <v>0</v>
      </c>
      <c r="CR31" s="46">
        <f t="shared" si="23"/>
        <v>0</v>
      </c>
      <c r="CS31" s="46">
        <f t="shared" si="23"/>
        <v>0</v>
      </c>
      <c r="CT31" s="46">
        <f t="shared" si="23"/>
        <v>0</v>
      </c>
      <c r="CU31" s="46">
        <f t="shared" si="23"/>
        <v>0</v>
      </c>
      <c r="CV31" s="46">
        <f t="shared" si="23"/>
        <v>0</v>
      </c>
      <c r="CW31" s="46">
        <f t="shared" si="23"/>
        <v>0</v>
      </c>
      <c r="CX31" s="46">
        <f t="shared" si="23"/>
        <v>0</v>
      </c>
      <c r="CY31" s="46">
        <f t="shared" si="23"/>
        <v>0</v>
      </c>
      <c r="CZ31" s="46">
        <f t="shared" si="23"/>
        <v>0</v>
      </c>
      <c r="DA31" s="46">
        <f t="shared" si="23"/>
        <v>0</v>
      </c>
      <c r="DB31" s="46">
        <f t="shared" si="23"/>
        <v>0</v>
      </c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54"/>
      <c r="DP31" s="54"/>
      <c r="DQ31" s="54"/>
    </row>
    <row r="32" spans="1:121" ht="14.25" x14ac:dyDescent="0.15">
      <c r="A32" s="49">
        <v>30</v>
      </c>
      <c r="B32" s="46" t="e">
        <f t="shared" si="1"/>
        <v>#DIV/0!</v>
      </c>
      <c r="C32" s="46" t="e">
        <f t="shared" si="2"/>
        <v>#DIV/0!</v>
      </c>
      <c r="D32" s="46" t="e">
        <f t="shared" si="3"/>
        <v>#DIV/0!</v>
      </c>
      <c r="E32" s="46" t="e">
        <f t="shared" si="4"/>
        <v>#DIV/0!</v>
      </c>
      <c r="F32" s="46" t="e">
        <f t="shared" si="5"/>
        <v>#DIV/0!</v>
      </c>
      <c r="G32" s="46" t="e">
        <f t="shared" si="6"/>
        <v>#DIV/0!</v>
      </c>
      <c r="H32" s="46" t="e">
        <f t="shared" si="7"/>
        <v>#DIV/0!</v>
      </c>
      <c r="I32" s="46" t="e">
        <f t="shared" si="8"/>
        <v>#DIV/0!</v>
      </c>
      <c r="J32" s="46" t="e">
        <f t="shared" si="9"/>
        <v>#DIV/0!</v>
      </c>
      <c r="K32" s="46" t="e">
        <f t="shared" si="10"/>
        <v>#DIV/0!</v>
      </c>
      <c r="L32" s="46" t="e">
        <f t="shared" si="11"/>
        <v>#DIV/0!</v>
      </c>
      <c r="M32" s="46" t="e">
        <f t="shared" si="12"/>
        <v>#DIV/0!</v>
      </c>
      <c r="N32" s="46" t="e">
        <f t="shared" si="13"/>
        <v>#DIV/0!</v>
      </c>
      <c r="O32" s="46" t="e">
        <f t="shared" si="14"/>
        <v>#DIV/0!</v>
      </c>
      <c r="P32" s="46" t="e">
        <f t="shared" si="15"/>
        <v>#DIV/0!</v>
      </c>
      <c r="Q32" s="56" t="e">
        <f>Q31+ATM_Conf!$C$5*(B31)/(Links!B$191*Links!Q$191)</f>
        <v>#DIV/0!</v>
      </c>
      <c r="R32" s="56" t="e">
        <f>R31+ATM_Conf!$C$5*(C31-B31)/(Links!C$191*Links!R$191)</f>
        <v>#DIV/0!</v>
      </c>
      <c r="S32" s="56" t="e">
        <f>S31+ATM_Conf!$C$5*(D31-C31)/(Links!D$191*Links!S$191)</f>
        <v>#DIV/0!</v>
      </c>
      <c r="T32" s="56" t="e">
        <f>T31+ATM_Conf!$C$5*(E31-D31)/(Links!E$191*Links!T$191)</f>
        <v>#DIV/0!</v>
      </c>
      <c r="U32" s="56" t="e">
        <f>U31+ATM_Conf!$C$5*(F31-E31)/(Links!F$191*Links!U$191)</f>
        <v>#DIV/0!</v>
      </c>
      <c r="V32" s="56" t="e">
        <f>V31+ATM_Conf!$C$5*(G31-F31)/(Links!G$191*Links!V$191)</f>
        <v>#DIV/0!</v>
      </c>
      <c r="W32" s="56" t="e">
        <f>W31+ATM_Conf!$C$5*(H31-G31)/(Links!H$191*Links!W$191)</f>
        <v>#DIV/0!</v>
      </c>
      <c r="X32" s="56" t="e">
        <f>X31+ATM_Conf!$C$5*(I31-H31)/(Links!I$191*Links!X$191)</f>
        <v>#DIV/0!</v>
      </c>
      <c r="Y32" s="56" t="e">
        <f>Y31+ATM_Conf!$C$5*(J31)/(Links!J$191*Links!Y$191)</f>
        <v>#DIV/0!</v>
      </c>
      <c r="Z32" s="56" t="e">
        <f>Z31+ATM_Conf!$C$5*(K31-J31)/(Links!K$191*Links!Z$191)</f>
        <v>#DIV/0!</v>
      </c>
      <c r="AA32" s="56" t="e">
        <f>AA31+ATM_Conf!$C$5*(L31-K31)/(Links!L$191*Links!AA$191)</f>
        <v>#DIV/0!</v>
      </c>
      <c r="AB32" s="56" t="e">
        <f>AB31+ATM_Conf!$C$5*(M31-L31)/(Links!M$191*Links!AB$191)</f>
        <v>#DIV/0!</v>
      </c>
      <c r="AC32" s="56" t="e">
        <f>AC31+ATM_Conf!$C$5*(N31-M31)/(Links!N$191*Links!AC$191)</f>
        <v>#DIV/0!</v>
      </c>
      <c r="AD32" s="56" t="e">
        <f>AD31+ATM_Conf!$C$5*(O31-N31)/(Links!O$191*Links!AD$191)</f>
        <v>#DIV/0!</v>
      </c>
      <c r="AE32" s="56" t="e">
        <f>AE31+ATM_Conf!$C$5*(P31-O31)/(Links!P$191*Links!AE$191)</f>
        <v>#DIV/0!</v>
      </c>
      <c r="AF32" s="46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6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6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6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6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6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6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6" t="e">
        <f>AM31+(ATM_Conf!$C$5/ATM_Conf!$C$8)*(Links!BB31*EXP((-(Links!X31/Links!BQ31)^Links!CF31)/Links!CF31)-Links!AM31)+(ATM_Conf!$C$5/Links!X$191)*Links!AM31*(Nodes!BH31-Links!AM31)</f>
        <v>#DIV/0!</v>
      </c>
      <c r="AN32" s="46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6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6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6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6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6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6" t="e">
        <f>AT31+(ATM_Conf!$C$5/ATM_Conf!$C$8)*(Links!BI31*EXP((-(Links!AE31/Links!BX31)^Links!CM31)/Links!CM31)-Links!AT31)+(ATM_Conf!$C$5/Links!AE$191)*Links!AT31*(Nodes!BN31-Links!AT31)</f>
        <v>#DIV/0!</v>
      </c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56"/>
      <c r="BZ32" s="56"/>
      <c r="CA32" s="56"/>
      <c r="CB32" s="56"/>
      <c r="CC32" s="56"/>
      <c r="CD32" s="56"/>
      <c r="CE32" s="56"/>
      <c r="CF32" s="56"/>
      <c r="CG32" s="56"/>
      <c r="CH32" s="56"/>
      <c r="CI32" s="56"/>
      <c r="CJ32" s="56"/>
      <c r="CK32" s="56"/>
      <c r="CL32" s="56"/>
      <c r="CM32" s="56"/>
      <c r="CN32" s="46">
        <f t="shared" si="23"/>
        <v>0</v>
      </c>
      <c r="CO32" s="46">
        <f t="shared" si="23"/>
        <v>0</v>
      </c>
      <c r="CP32" s="46">
        <f t="shared" si="23"/>
        <v>0</v>
      </c>
      <c r="CQ32" s="46">
        <f t="shared" si="23"/>
        <v>0</v>
      </c>
      <c r="CR32" s="46">
        <f t="shared" si="23"/>
        <v>0</v>
      </c>
      <c r="CS32" s="46">
        <f t="shared" si="23"/>
        <v>0</v>
      </c>
      <c r="CT32" s="46">
        <f t="shared" si="23"/>
        <v>0</v>
      </c>
      <c r="CU32" s="46">
        <f t="shared" si="23"/>
        <v>0</v>
      </c>
      <c r="CV32" s="46">
        <f t="shared" si="23"/>
        <v>0</v>
      </c>
      <c r="CW32" s="46">
        <f t="shared" si="23"/>
        <v>0</v>
      </c>
      <c r="CX32" s="46">
        <f t="shared" si="23"/>
        <v>0</v>
      </c>
      <c r="CY32" s="46">
        <f t="shared" si="23"/>
        <v>0</v>
      </c>
      <c r="CZ32" s="46">
        <f t="shared" si="23"/>
        <v>0</v>
      </c>
      <c r="DA32" s="46">
        <f t="shared" si="23"/>
        <v>0</v>
      </c>
      <c r="DB32" s="46">
        <f t="shared" si="23"/>
        <v>0</v>
      </c>
      <c r="DC32" s="54"/>
      <c r="DD32" s="54"/>
      <c r="DE32" s="54"/>
      <c r="DF32" s="54"/>
      <c r="DG32" s="54"/>
      <c r="DH32" s="54"/>
      <c r="DI32" s="54"/>
      <c r="DJ32" s="54"/>
      <c r="DK32" s="54"/>
      <c r="DL32" s="54"/>
      <c r="DM32" s="54"/>
      <c r="DN32" s="54"/>
      <c r="DO32" s="54"/>
      <c r="DP32" s="54"/>
      <c r="DQ32" s="54"/>
    </row>
    <row r="33" spans="1:121" ht="14.25" x14ac:dyDescent="0.15">
      <c r="A33" s="49">
        <v>31</v>
      </c>
      <c r="B33" s="46" t="e">
        <f t="shared" si="1"/>
        <v>#DIV/0!</v>
      </c>
      <c r="C33" s="46" t="e">
        <f t="shared" si="2"/>
        <v>#DIV/0!</v>
      </c>
      <c r="D33" s="46" t="e">
        <f t="shared" si="3"/>
        <v>#DIV/0!</v>
      </c>
      <c r="E33" s="46" t="e">
        <f t="shared" si="4"/>
        <v>#DIV/0!</v>
      </c>
      <c r="F33" s="46" t="e">
        <f t="shared" si="5"/>
        <v>#DIV/0!</v>
      </c>
      <c r="G33" s="46" t="e">
        <f t="shared" si="6"/>
        <v>#DIV/0!</v>
      </c>
      <c r="H33" s="46" t="e">
        <f t="shared" si="7"/>
        <v>#DIV/0!</v>
      </c>
      <c r="I33" s="46" t="e">
        <f t="shared" si="8"/>
        <v>#DIV/0!</v>
      </c>
      <c r="J33" s="46" t="e">
        <f t="shared" si="9"/>
        <v>#DIV/0!</v>
      </c>
      <c r="K33" s="46" t="e">
        <f t="shared" si="10"/>
        <v>#DIV/0!</v>
      </c>
      <c r="L33" s="46" t="e">
        <f t="shared" si="11"/>
        <v>#DIV/0!</v>
      </c>
      <c r="M33" s="46" t="e">
        <f t="shared" si="12"/>
        <v>#DIV/0!</v>
      </c>
      <c r="N33" s="46" t="e">
        <f t="shared" si="13"/>
        <v>#DIV/0!</v>
      </c>
      <c r="O33" s="46" t="e">
        <f t="shared" si="14"/>
        <v>#DIV/0!</v>
      </c>
      <c r="P33" s="46" t="e">
        <f t="shared" si="15"/>
        <v>#DIV/0!</v>
      </c>
      <c r="Q33" s="56" t="e">
        <f>Q32+ATM_Conf!$C$5*(B32)/(Links!B$191*Links!Q$191)</f>
        <v>#DIV/0!</v>
      </c>
      <c r="R33" s="56" t="e">
        <f>R32+ATM_Conf!$C$5*(C32-B32)/(Links!C$191*Links!R$191)</f>
        <v>#DIV/0!</v>
      </c>
      <c r="S33" s="56" t="e">
        <f>S32+ATM_Conf!$C$5*(D32-C32)/(Links!D$191*Links!S$191)</f>
        <v>#DIV/0!</v>
      </c>
      <c r="T33" s="56" t="e">
        <f>T32+ATM_Conf!$C$5*(E32-D32)/(Links!E$191*Links!T$191)</f>
        <v>#DIV/0!</v>
      </c>
      <c r="U33" s="56" t="e">
        <f>U32+ATM_Conf!$C$5*(F32-E32)/(Links!F$191*Links!U$191)</f>
        <v>#DIV/0!</v>
      </c>
      <c r="V33" s="56" t="e">
        <f>V32+ATM_Conf!$C$5*(G32-F32)/(Links!G$191*Links!V$191)</f>
        <v>#DIV/0!</v>
      </c>
      <c r="W33" s="56" t="e">
        <f>W32+ATM_Conf!$C$5*(H32-G32)/(Links!H$191*Links!W$191)</f>
        <v>#DIV/0!</v>
      </c>
      <c r="X33" s="56" t="e">
        <f>X32+ATM_Conf!$C$5*(I32-H32)/(Links!I$191*Links!X$191)</f>
        <v>#DIV/0!</v>
      </c>
      <c r="Y33" s="56" t="e">
        <f>Y32+ATM_Conf!$C$5*(J32)/(Links!J$191*Links!Y$191)</f>
        <v>#DIV/0!</v>
      </c>
      <c r="Z33" s="56" t="e">
        <f>Z32+ATM_Conf!$C$5*(K32-J32)/(Links!K$191*Links!Z$191)</f>
        <v>#DIV/0!</v>
      </c>
      <c r="AA33" s="56" t="e">
        <f>AA32+ATM_Conf!$C$5*(L32-K32)/(Links!L$191*Links!AA$191)</f>
        <v>#DIV/0!</v>
      </c>
      <c r="AB33" s="56" t="e">
        <f>AB32+ATM_Conf!$C$5*(M32-L32)/(Links!M$191*Links!AB$191)</f>
        <v>#DIV/0!</v>
      </c>
      <c r="AC33" s="56" t="e">
        <f>AC32+ATM_Conf!$C$5*(N32-M32)/(Links!N$191*Links!AC$191)</f>
        <v>#DIV/0!</v>
      </c>
      <c r="AD33" s="56" t="e">
        <f>AD32+ATM_Conf!$C$5*(O32-N32)/(Links!O$191*Links!AD$191)</f>
        <v>#DIV/0!</v>
      </c>
      <c r="AE33" s="56" t="e">
        <f>AE32+ATM_Conf!$C$5*(P32-O32)/(Links!P$191*Links!AE$191)</f>
        <v>#DIV/0!</v>
      </c>
      <c r="AF33" s="46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6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6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6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6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6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6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6" t="e">
        <f>AM32+(ATM_Conf!$C$5/ATM_Conf!$C$8)*(Links!BB32*EXP((-(Links!X32/Links!BQ32)^Links!CF32)/Links!CF32)-Links!AM32)+(ATM_Conf!$C$5/Links!X$191)*Links!AM32*(Nodes!BH32-Links!AM32)</f>
        <v>#DIV/0!</v>
      </c>
      <c r="AN33" s="46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6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6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6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6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6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6" t="e">
        <f>AT32+(ATM_Conf!$C$5/ATM_Conf!$C$8)*(Links!BI32*EXP((-(Links!AE32/Links!BX32)^Links!CM32)/Links!CM32)-Links!AT32)+(ATM_Conf!$C$5/Links!AE$191)*Links!AT32*(Nodes!BN32-Links!AT32)</f>
        <v>#DIV/0!</v>
      </c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46">
        <f t="shared" si="23"/>
        <v>0</v>
      </c>
      <c r="CO33" s="46">
        <f t="shared" si="23"/>
        <v>0</v>
      </c>
      <c r="CP33" s="46">
        <f t="shared" si="23"/>
        <v>0</v>
      </c>
      <c r="CQ33" s="46">
        <f t="shared" si="23"/>
        <v>0</v>
      </c>
      <c r="CR33" s="46">
        <f t="shared" si="23"/>
        <v>0</v>
      </c>
      <c r="CS33" s="46">
        <f t="shared" si="23"/>
        <v>0</v>
      </c>
      <c r="CT33" s="46">
        <f t="shared" si="23"/>
        <v>0</v>
      </c>
      <c r="CU33" s="46">
        <f t="shared" si="23"/>
        <v>0</v>
      </c>
      <c r="CV33" s="46">
        <f t="shared" si="23"/>
        <v>0</v>
      </c>
      <c r="CW33" s="46">
        <f t="shared" si="23"/>
        <v>0</v>
      </c>
      <c r="CX33" s="46">
        <f t="shared" si="23"/>
        <v>0</v>
      </c>
      <c r="CY33" s="46">
        <f t="shared" si="23"/>
        <v>0</v>
      </c>
      <c r="CZ33" s="46">
        <f t="shared" si="23"/>
        <v>0</v>
      </c>
      <c r="DA33" s="46">
        <f t="shared" si="23"/>
        <v>0</v>
      </c>
      <c r="DB33" s="46">
        <f t="shared" si="23"/>
        <v>0</v>
      </c>
      <c r="DC33" s="54"/>
      <c r="DD33" s="54"/>
      <c r="DE33" s="54"/>
      <c r="DF33" s="54"/>
      <c r="DG33" s="54"/>
      <c r="DH33" s="54"/>
      <c r="DI33" s="54"/>
      <c r="DJ33" s="54"/>
      <c r="DK33" s="54"/>
      <c r="DL33" s="54"/>
      <c r="DM33" s="54"/>
      <c r="DN33" s="54"/>
      <c r="DO33" s="54"/>
      <c r="DP33" s="54"/>
      <c r="DQ33" s="54"/>
    </row>
    <row r="34" spans="1:121" ht="14.25" x14ac:dyDescent="0.15">
      <c r="A34" s="49">
        <v>32</v>
      </c>
      <c r="B34" s="46" t="e">
        <f t="shared" si="1"/>
        <v>#DIV/0!</v>
      </c>
      <c r="C34" s="46" t="e">
        <f t="shared" si="2"/>
        <v>#DIV/0!</v>
      </c>
      <c r="D34" s="46" t="e">
        <f t="shared" si="3"/>
        <v>#DIV/0!</v>
      </c>
      <c r="E34" s="46" t="e">
        <f t="shared" si="4"/>
        <v>#DIV/0!</v>
      </c>
      <c r="F34" s="46" t="e">
        <f t="shared" si="5"/>
        <v>#DIV/0!</v>
      </c>
      <c r="G34" s="46" t="e">
        <f t="shared" si="6"/>
        <v>#DIV/0!</v>
      </c>
      <c r="H34" s="46" t="e">
        <f t="shared" si="7"/>
        <v>#DIV/0!</v>
      </c>
      <c r="I34" s="46" t="e">
        <f t="shared" si="8"/>
        <v>#DIV/0!</v>
      </c>
      <c r="J34" s="46" t="e">
        <f t="shared" si="9"/>
        <v>#DIV/0!</v>
      </c>
      <c r="K34" s="46" t="e">
        <f t="shared" si="10"/>
        <v>#DIV/0!</v>
      </c>
      <c r="L34" s="46" t="e">
        <f t="shared" si="11"/>
        <v>#DIV/0!</v>
      </c>
      <c r="M34" s="46" t="e">
        <f t="shared" si="12"/>
        <v>#DIV/0!</v>
      </c>
      <c r="N34" s="46" t="e">
        <f t="shared" si="13"/>
        <v>#DIV/0!</v>
      </c>
      <c r="O34" s="46" t="e">
        <f t="shared" si="14"/>
        <v>#DIV/0!</v>
      </c>
      <c r="P34" s="46" t="e">
        <f t="shared" si="15"/>
        <v>#DIV/0!</v>
      </c>
      <c r="Q34" s="56" t="e">
        <f>Q33+ATM_Conf!$C$5*(B33)/(Links!B$191*Links!Q$191)</f>
        <v>#DIV/0!</v>
      </c>
      <c r="R34" s="56" t="e">
        <f>R33+ATM_Conf!$C$5*(C33-B33)/(Links!C$191*Links!R$191)</f>
        <v>#DIV/0!</v>
      </c>
      <c r="S34" s="56" t="e">
        <f>S33+ATM_Conf!$C$5*(D33-C33)/(Links!D$191*Links!S$191)</f>
        <v>#DIV/0!</v>
      </c>
      <c r="T34" s="56" t="e">
        <f>T33+ATM_Conf!$C$5*(E33-D33)/(Links!E$191*Links!T$191)</f>
        <v>#DIV/0!</v>
      </c>
      <c r="U34" s="56" t="e">
        <f>U33+ATM_Conf!$C$5*(F33-E33)/(Links!F$191*Links!U$191)</f>
        <v>#DIV/0!</v>
      </c>
      <c r="V34" s="56" t="e">
        <f>V33+ATM_Conf!$C$5*(G33-F33)/(Links!G$191*Links!V$191)</f>
        <v>#DIV/0!</v>
      </c>
      <c r="W34" s="56" t="e">
        <f>W33+ATM_Conf!$C$5*(H33-G33)/(Links!H$191*Links!W$191)</f>
        <v>#DIV/0!</v>
      </c>
      <c r="X34" s="56" t="e">
        <f>X33+ATM_Conf!$C$5*(I33-H33)/(Links!I$191*Links!X$191)</f>
        <v>#DIV/0!</v>
      </c>
      <c r="Y34" s="56" t="e">
        <f>Y33+ATM_Conf!$C$5*(J33)/(Links!J$191*Links!Y$191)</f>
        <v>#DIV/0!</v>
      </c>
      <c r="Z34" s="56" t="e">
        <f>Z33+ATM_Conf!$C$5*(K33-J33)/(Links!K$191*Links!Z$191)</f>
        <v>#DIV/0!</v>
      </c>
      <c r="AA34" s="56" t="e">
        <f>AA33+ATM_Conf!$C$5*(L33-K33)/(Links!L$191*Links!AA$191)</f>
        <v>#DIV/0!</v>
      </c>
      <c r="AB34" s="56" t="e">
        <f>AB33+ATM_Conf!$C$5*(M33-L33)/(Links!M$191*Links!AB$191)</f>
        <v>#DIV/0!</v>
      </c>
      <c r="AC34" s="56" t="e">
        <f>AC33+ATM_Conf!$C$5*(N33-M33)/(Links!N$191*Links!AC$191)</f>
        <v>#DIV/0!</v>
      </c>
      <c r="AD34" s="56" t="e">
        <f>AD33+ATM_Conf!$C$5*(O33-N33)/(Links!O$191*Links!AD$191)</f>
        <v>#DIV/0!</v>
      </c>
      <c r="AE34" s="56" t="e">
        <f>AE33+ATM_Conf!$C$5*(P33-O33)/(Links!P$191*Links!AE$191)</f>
        <v>#DIV/0!</v>
      </c>
      <c r="AF34" s="46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6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6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6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6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6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6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6" t="e">
        <f>AM33+(ATM_Conf!$C$5/ATM_Conf!$C$8)*(Links!BB33*EXP((-(Links!X33/Links!BQ33)^Links!CF33)/Links!CF33)-Links!AM33)+(ATM_Conf!$C$5/Links!X$191)*Links!AM33*(Nodes!BH33-Links!AM33)</f>
        <v>#DIV/0!</v>
      </c>
      <c r="AN34" s="46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6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6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6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6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6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6" t="e">
        <f>AT33+(ATM_Conf!$C$5/ATM_Conf!$C$8)*(Links!BI33*EXP((-(Links!AE33/Links!BX33)^Links!CM33)/Links!CM33)-Links!AT33)+(ATM_Conf!$C$5/Links!AE$191)*Links!AT33*(Nodes!BN33-Links!AT33)</f>
        <v>#DIV/0!</v>
      </c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46">
        <f t="shared" si="23"/>
        <v>0</v>
      </c>
      <c r="CO34" s="46">
        <f t="shared" si="23"/>
        <v>0</v>
      </c>
      <c r="CP34" s="46">
        <f t="shared" si="23"/>
        <v>0</v>
      </c>
      <c r="CQ34" s="46">
        <f t="shared" si="23"/>
        <v>0</v>
      </c>
      <c r="CR34" s="46">
        <f t="shared" si="23"/>
        <v>0</v>
      </c>
      <c r="CS34" s="46">
        <f t="shared" si="23"/>
        <v>0</v>
      </c>
      <c r="CT34" s="46">
        <f t="shared" si="23"/>
        <v>0</v>
      </c>
      <c r="CU34" s="46">
        <f t="shared" si="23"/>
        <v>0</v>
      </c>
      <c r="CV34" s="46">
        <f t="shared" si="23"/>
        <v>0</v>
      </c>
      <c r="CW34" s="46">
        <f t="shared" si="23"/>
        <v>0</v>
      </c>
      <c r="CX34" s="46">
        <f t="shared" si="23"/>
        <v>0</v>
      </c>
      <c r="CY34" s="46">
        <f t="shared" si="23"/>
        <v>0</v>
      </c>
      <c r="CZ34" s="46">
        <f t="shared" si="23"/>
        <v>0</v>
      </c>
      <c r="DA34" s="46">
        <f t="shared" si="23"/>
        <v>0</v>
      </c>
      <c r="DB34" s="46">
        <f t="shared" si="23"/>
        <v>0</v>
      </c>
      <c r="DC34" s="54"/>
      <c r="DD34" s="54"/>
      <c r="DE34" s="54"/>
      <c r="DF34" s="54"/>
      <c r="DG34" s="54"/>
      <c r="DH34" s="54"/>
      <c r="DI34" s="54"/>
      <c r="DJ34" s="54"/>
      <c r="DK34" s="54"/>
      <c r="DL34" s="54"/>
      <c r="DM34" s="54"/>
      <c r="DN34" s="54"/>
      <c r="DO34" s="54"/>
      <c r="DP34" s="54"/>
      <c r="DQ34" s="54"/>
    </row>
    <row r="35" spans="1:121" ht="14.25" x14ac:dyDescent="0.15">
      <c r="A35" s="49">
        <v>33</v>
      </c>
      <c r="B35" s="46" t="e">
        <f t="shared" si="1"/>
        <v>#DIV/0!</v>
      </c>
      <c r="C35" s="46" t="e">
        <f t="shared" si="2"/>
        <v>#DIV/0!</v>
      </c>
      <c r="D35" s="46" t="e">
        <f t="shared" si="3"/>
        <v>#DIV/0!</v>
      </c>
      <c r="E35" s="46" t="e">
        <f t="shared" si="4"/>
        <v>#DIV/0!</v>
      </c>
      <c r="F35" s="46" t="e">
        <f t="shared" si="5"/>
        <v>#DIV/0!</v>
      </c>
      <c r="G35" s="46" t="e">
        <f t="shared" si="6"/>
        <v>#DIV/0!</v>
      </c>
      <c r="H35" s="46" t="e">
        <f t="shared" si="7"/>
        <v>#DIV/0!</v>
      </c>
      <c r="I35" s="46" t="e">
        <f t="shared" si="8"/>
        <v>#DIV/0!</v>
      </c>
      <c r="J35" s="46" t="e">
        <f t="shared" si="9"/>
        <v>#DIV/0!</v>
      </c>
      <c r="K35" s="46" t="e">
        <f t="shared" si="10"/>
        <v>#DIV/0!</v>
      </c>
      <c r="L35" s="46" t="e">
        <f t="shared" si="11"/>
        <v>#DIV/0!</v>
      </c>
      <c r="M35" s="46" t="e">
        <f t="shared" si="12"/>
        <v>#DIV/0!</v>
      </c>
      <c r="N35" s="46" t="e">
        <f t="shared" si="13"/>
        <v>#DIV/0!</v>
      </c>
      <c r="O35" s="46" t="e">
        <f t="shared" si="14"/>
        <v>#DIV/0!</v>
      </c>
      <c r="P35" s="46" t="e">
        <f t="shared" si="15"/>
        <v>#DIV/0!</v>
      </c>
      <c r="Q35" s="56" t="e">
        <f>Q34+ATM_Conf!$C$5*(B34)/(Links!B$191*Links!Q$191)</f>
        <v>#DIV/0!</v>
      </c>
      <c r="R35" s="56" t="e">
        <f>R34+ATM_Conf!$C$5*(C34-B34)/(Links!C$191*Links!R$191)</f>
        <v>#DIV/0!</v>
      </c>
      <c r="S35" s="56" t="e">
        <f>S34+ATM_Conf!$C$5*(D34-C34)/(Links!D$191*Links!S$191)</f>
        <v>#DIV/0!</v>
      </c>
      <c r="T35" s="56" t="e">
        <f>T34+ATM_Conf!$C$5*(E34-D34)/(Links!E$191*Links!T$191)</f>
        <v>#DIV/0!</v>
      </c>
      <c r="U35" s="56" t="e">
        <f>U34+ATM_Conf!$C$5*(F34-E34)/(Links!F$191*Links!U$191)</f>
        <v>#DIV/0!</v>
      </c>
      <c r="V35" s="56" t="e">
        <f>V34+ATM_Conf!$C$5*(G34-F34)/(Links!G$191*Links!V$191)</f>
        <v>#DIV/0!</v>
      </c>
      <c r="W35" s="56" t="e">
        <f>W34+ATM_Conf!$C$5*(H34-G34)/(Links!H$191*Links!W$191)</f>
        <v>#DIV/0!</v>
      </c>
      <c r="X35" s="56" t="e">
        <f>X34+ATM_Conf!$C$5*(I34-H34)/(Links!I$191*Links!X$191)</f>
        <v>#DIV/0!</v>
      </c>
      <c r="Y35" s="56" t="e">
        <f>Y34+ATM_Conf!$C$5*(J34)/(Links!J$191*Links!Y$191)</f>
        <v>#DIV/0!</v>
      </c>
      <c r="Z35" s="56" t="e">
        <f>Z34+ATM_Conf!$C$5*(K34-J34)/(Links!K$191*Links!Z$191)</f>
        <v>#DIV/0!</v>
      </c>
      <c r="AA35" s="56" t="e">
        <f>AA34+ATM_Conf!$C$5*(L34-K34)/(Links!L$191*Links!AA$191)</f>
        <v>#DIV/0!</v>
      </c>
      <c r="AB35" s="56" t="e">
        <f>AB34+ATM_Conf!$C$5*(M34-L34)/(Links!M$191*Links!AB$191)</f>
        <v>#DIV/0!</v>
      </c>
      <c r="AC35" s="56" t="e">
        <f>AC34+ATM_Conf!$C$5*(N34-M34)/(Links!N$191*Links!AC$191)</f>
        <v>#DIV/0!</v>
      </c>
      <c r="AD35" s="56" t="e">
        <f>AD34+ATM_Conf!$C$5*(O34-N34)/(Links!O$191*Links!AD$191)</f>
        <v>#DIV/0!</v>
      </c>
      <c r="AE35" s="56" t="e">
        <f>AE34+ATM_Conf!$C$5*(P34-O34)/(Links!P$191*Links!AE$191)</f>
        <v>#DIV/0!</v>
      </c>
      <c r="AF35" s="46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6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6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6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6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6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6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6" t="e">
        <f>AM34+(ATM_Conf!$C$5/ATM_Conf!$C$8)*(Links!BB34*EXP((-(Links!X34/Links!BQ34)^Links!CF34)/Links!CF34)-Links!AM34)+(ATM_Conf!$C$5/Links!X$191)*Links!AM34*(Nodes!BH34-Links!AM34)</f>
        <v>#DIV/0!</v>
      </c>
      <c r="AN35" s="46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6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6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6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6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6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6" t="e">
        <f>AT34+(ATM_Conf!$C$5/ATM_Conf!$C$8)*(Links!BI34*EXP((-(Links!AE34/Links!BX34)^Links!CM34)/Links!CM34)-Links!AT34)+(ATM_Conf!$C$5/Links!AE$191)*Links!AT34*(Nodes!BN34-Links!AT34)</f>
        <v>#DIV/0!</v>
      </c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56"/>
      <c r="BZ35" s="56"/>
      <c r="CA35" s="56"/>
      <c r="CB35" s="56"/>
      <c r="CC35" s="56"/>
      <c r="CD35" s="56"/>
      <c r="CE35" s="56"/>
      <c r="CF35" s="56"/>
      <c r="CG35" s="56"/>
      <c r="CH35" s="56"/>
      <c r="CI35" s="56"/>
      <c r="CJ35" s="56"/>
      <c r="CK35" s="56"/>
      <c r="CL35" s="56"/>
      <c r="CM35" s="56"/>
      <c r="CN35" s="46">
        <f t="shared" si="23"/>
        <v>0</v>
      </c>
      <c r="CO35" s="46">
        <f t="shared" si="23"/>
        <v>0</v>
      </c>
      <c r="CP35" s="46">
        <f t="shared" si="23"/>
        <v>0</v>
      </c>
      <c r="CQ35" s="46">
        <f t="shared" si="23"/>
        <v>0</v>
      </c>
      <c r="CR35" s="46">
        <f t="shared" si="23"/>
        <v>0</v>
      </c>
      <c r="CS35" s="46">
        <f t="shared" si="23"/>
        <v>0</v>
      </c>
      <c r="CT35" s="46">
        <f t="shared" si="23"/>
        <v>0</v>
      </c>
      <c r="CU35" s="46">
        <f t="shared" si="23"/>
        <v>0</v>
      </c>
      <c r="CV35" s="46">
        <f t="shared" si="23"/>
        <v>0</v>
      </c>
      <c r="CW35" s="46">
        <f t="shared" si="23"/>
        <v>0</v>
      </c>
      <c r="CX35" s="46">
        <f t="shared" si="23"/>
        <v>0</v>
      </c>
      <c r="CY35" s="46">
        <f t="shared" si="23"/>
        <v>0</v>
      </c>
      <c r="CZ35" s="46">
        <f t="shared" si="23"/>
        <v>0</v>
      </c>
      <c r="DA35" s="46">
        <f t="shared" si="23"/>
        <v>0</v>
      </c>
      <c r="DB35" s="46">
        <f t="shared" si="23"/>
        <v>0</v>
      </c>
      <c r="DC35" s="54"/>
      <c r="DD35" s="54"/>
      <c r="DE35" s="54"/>
      <c r="DF35" s="54"/>
      <c r="DG35" s="54"/>
      <c r="DH35" s="54"/>
      <c r="DI35" s="54"/>
      <c r="DJ35" s="54"/>
      <c r="DK35" s="54"/>
      <c r="DL35" s="54"/>
      <c r="DM35" s="54"/>
      <c r="DN35" s="54"/>
      <c r="DO35" s="54"/>
      <c r="DP35" s="54"/>
      <c r="DQ35" s="54"/>
    </row>
    <row r="36" spans="1:121" ht="14.25" x14ac:dyDescent="0.15">
      <c r="A36" s="49">
        <v>34</v>
      </c>
      <c r="B36" s="46" t="e">
        <f t="shared" si="1"/>
        <v>#DIV/0!</v>
      </c>
      <c r="C36" s="46" t="e">
        <f t="shared" si="2"/>
        <v>#DIV/0!</v>
      </c>
      <c r="D36" s="46" t="e">
        <f t="shared" si="3"/>
        <v>#DIV/0!</v>
      </c>
      <c r="E36" s="46" t="e">
        <f t="shared" si="4"/>
        <v>#DIV/0!</v>
      </c>
      <c r="F36" s="46" t="e">
        <f t="shared" si="5"/>
        <v>#DIV/0!</v>
      </c>
      <c r="G36" s="46" t="e">
        <f t="shared" si="6"/>
        <v>#DIV/0!</v>
      </c>
      <c r="H36" s="46" t="e">
        <f t="shared" si="7"/>
        <v>#DIV/0!</v>
      </c>
      <c r="I36" s="46" t="e">
        <f t="shared" si="8"/>
        <v>#DIV/0!</v>
      </c>
      <c r="J36" s="46" t="e">
        <f t="shared" si="9"/>
        <v>#DIV/0!</v>
      </c>
      <c r="K36" s="46" t="e">
        <f t="shared" si="10"/>
        <v>#DIV/0!</v>
      </c>
      <c r="L36" s="46" t="e">
        <f t="shared" si="11"/>
        <v>#DIV/0!</v>
      </c>
      <c r="M36" s="46" t="e">
        <f t="shared" si="12"/>
        <v>#DIV/0!</v>
      </c>
      <c r="N36" s="46" t="e">
        <f t="shared" si="13"/>
        <v>#DIV/0!</v>
      </c>
      <c r="O36" s="46" t="e">
        <f t="shared" si="14"/>
        <v>#DIV/0!</v>
      </c>
      <c r="P36" s="46" t="e">
        <f t="shared" si="15"/>
        <v>#DIV/0!</v>
      </c>
      <c r="Q36" s="56" t="e">
        <f>Q35+ATM_Conf!$C$5*(B35)/(Links!B$191*Links!Q$191)</f>
        <v>#DIV/0!</v>
      </c>
      <c r="R36" s="56" t="e">
        <f>R35+ATM_Conf!$C$5*(C35-B35)/(Links!C$191*Links!R$191)</f>
        <v>#DIV/0!</v>
      </c>
      <c r="S36" s="56" t="e">
        <f>S35+ATM_Conf!$C$5*(D35-C35)/(Links!D$191*Links!S$191)</f>
        <v>#DIV/0!</v>
      </c>
      <c r="T36" s="56" t="e">
        <f>T35+ATM_Conf!$C$5*(E35-D35)/(Links!E$191*Links!T$191)</f>
        <v>#DIV/0!</v>
      </c>
      <c r="U36" s="56" t="e">
        <f>U35+ATM_Conf!$C$5*(F35-E35)/(Links!F$191*Links!U$191)</f>
        <v>#DIV/0!</v>
      </c>
      <c r="V36" s="56" t="e">
        <f>V35+ATM_Conf!$C$5*(G35-F35)/(Links!G$191*Links!V$191)</f>
        <v>#DIV/0!</v>
      </c>
      <c r="W36" s="56" t="e">
        <f>W35+ATM_Conf!$C$5*(H35-G35)/(Links!H$191*Links!W$191)</f>
        <v>#DIV/0!</v>
      </c>
      <c r="X36" s="56" t="e">
        <f>X35+ATM_Conf!$C$5*(I35-H35)/(Links!I$191*Links!X$191)</f>
        <v>#DIV/0!</v>
      </c>
      <c r="Y36" s="56" t="e">
        <f>Y35+ATM_Conf!$C$5*(J35)/(Links!J$191*Links!Y$191)</f>
        <v>#DIV/0!</v>
      </c>
      <c r="Z36" s="56" t="e">
        <f>Z35+ATM_Conf!$C$5*(K35-J35)/(Links!K$191*Links!Z$191)</f>
        <v>#DIV/0!</v>
      </c>
      <c r="AA36" s="56" t="e">
        <f>AA35+ATM_Conf!$C$5*(L35-K35)/(Links!L$191*Links!AA$191)</f>
        <v>#DIV/0!</v>
      </c>
      <c r="AB36" s="56" t="e">
        <f>AB35+ATM_Conf!$C$5*(M35-L35)/(Links!M$191*Links!AB$191)</f>
        <v>#DIV/0!</v>
      </c>
      <c r="AC36" s="56" t="e">
        <f>AC35+ATM_Conf!$C$5*(N35-M35)/(Links!N$191*Links!AC$191)</f>
        <v>#DIV/0!</v>
      </c>
      <c r="AD36" s="56" t="e">
        <f>AD35+ATM_Conf!$C$5*(O35-N35)/(Links!O$191*Links!AD$191)</f>
        <v>#DIV/0!</v>
      </c>
      <c r="AE36" s="56" t="e">
        <f>AE35+ATM_Conf!$C$5*(P35-O35)/(Links!P$191*Links!AE$191)</f>
        <v>#DIV/0!</v>
      </c>
      <c r="AF36" s="46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6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6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6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6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6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6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6" t="e">
        <f>AM35+(ATM_Conf!$C$5/ATM_Conf!$C$8)*(Links!BB35*EXP((-(Links!X35/Links!BQ35)^Links!CF35)/Links!CF35)-Links!AM35)+(ATM_Conf!$C$5/Links!X$191)*Links!AM35*(Nodes!BH35-Links!AM35)</f>
        <v>#DIV/0!</v>
      </c>
      <c r="AN36" s="46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6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6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6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6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6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6" t="e">
        <f>AT35+(ATM_Conf!$C$5/ATM_Conf!$C$8)*(Links!BI35*EXP((-(Links!AE35/Links!BX35)^Links!CM35)/Links!CM35)-Links!AT35)+(ATM_Conf!$C$5/Links!AE$191)*Links!AT35*(Nodes!BN35-Links!AT35)</f>
        <v>#DIV/0!</v>
      </c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56"/>
      <c r="BZ36" s="56"/>
      <c r="CA36" s="56"/>
      <c r="CB36" s="56"/>
      <c r="CC36" s="56"/>
      <c r="CD36" s="56"/>
      <c r="CE36" s="56"/>
      <c r="CF36" s="56"/>
      <c r="CG36" s="56"/>
      <c r="CH36" s="56"/>
      <c r="CI36" s="56"/>
      <c r="CJ36" s="56"/>
      <c r="CK36" s="56"/>
      <c r="CL36" s="56"/>
      <c r="CM36" s="56"/>
      <c r="CN36" s="46">
        <f t="shared" si="23"/>
        <v>0</v>
      </c>
      <c r="CO36" s="46">
        <f t="shared" si="23"/>
        <v>0</v>
      </c>
      <c r="CP36" s="46">
        <f t="shared" si="23"/>
        <v>0</v>
      </c>
      <c r="CQ36" s="46">
        <f t="shared" si="23"/>
        <v>0</v>
      </c>
      <c r="CR36" s="46">
        <f t="shared" si="23"/>
        <v>0</v>
      </c>
      <c r="CS36" s="46">
        <f t="shared" si="23"/>
        <v>0</v>
      </c>
      <c r="CT36" s="46">
        <f t="shared" si="23"/>
        <v>0</v>
      </c>
      <c r="CU36" s="46">
        <f t="shared" si="23"/>
        <v>0</v>
      </c>
      <c r="CV36" s="46">
        <f t="shared" si="23"/>
        <v>0</v>
      </c>
      <c r="CW36" s="46">
        <f t="shared" si="23"/>
        <v>0</v>
      </c>
      <c r="CX36" s="46">
        <f t="shared" si="23"/>
        <v>0</v>
      </c>
      <c r="CY36" s="46">
        <f t="shared" si="23"/>
        <v>0</v>
      </c>
      <c r="CZ36" s="46">
        <f t="shared" si="23"/>
        <v>0</v>
      </c>
      <c r="DA36" s="46">
        <f t="shared" si="23"/>
        <v>0</v>
      </c>
      <c r="DB36" s="46">
        <f t="shared" si="23"/>
        <v>0</v>
      </c>
      <c r="DC36" s="54"/>
      <c r="DD36" s="54"/>
      <c r="DE36" s="54"/>
      <c r="DF36" s="54"/>
      <c r="DG36" s="54"/>
      <c r="DH36" s="54"/>
      <c r="DI36" s="54"/>
      <c r="DJ36" s="54"/>
      <c r="DK36" s="54"/>
      <c r="DL36" s="54"/>
      <c r="DM36" s="54"/>
      <c r="DN36" s="54"/>
      <c r="DO36" s="54"/>
      <c r="DP36" s="54"/>
      <c r="DQ36" s="54"/>
    </row>
    <row r="37" spans="1:121" ht="14.25" x14ac:dyDescent="0.15">
      <c r="A37" s="49">
        <v>35</v>
      </c>
      <c r="B37" s="46" t="e">
        <f t="shared" si="1"/>
        <v>#DIV/0!</v>
      </c>
      <c r="C37" s="46" t="e">
        <f t="shared" si="2"/>
        <v>#DIV/0!</v>
      </c>
      <c r="D37" s="46" t="e">
        <f t="shared" si="3"/>
        <v>#DIV/0!</v>
      </c>
      <c r="E37" s="46" t="e">
        <f t="shared" si="4"/>
        <v>#DIV/0!</v>
      </c>
      <c r="F37" s="46" t="e">
        <f t="shared" si="5"/>
        <v>#DIV/0!</v>
      </c>
      <c r="G37" s="46" t="e">
        <f t="shared" si="6"/>
        <v>#DIV/0!</v>
      </c>
      <c r="H37" s="46" t="e">
        <f t="shared" si="7"/>
        <v>#DIV/0!</v>
      </c>
      <c r="I37" s="46" t="e">
        <f t="shared" si="8"/>
        <v>#DIV/0!</v>
      </c>
      <c r="J37" s="46" t="e">
        <f t="shared" si="9"/>
        <v>#DIV/0!</v>
      </c>
      <c r="K37" s="46" t="e">
        <f t="shared" si="10"/>
        <v>#DIV/0!</v>
      </c>
      <c r="L37" s="46" t="e">
        <f t="shared" si="11"/>
        <v>#DIV/0!</v>
      </c>
      <c r="M37" s="46" t="e">
        <f t="shared" si="12"/>
        <v>#DIV/0!</v>
      </c>
      <c r="N37" s="46" t="e">
        <f t="shared" si="13"/>
        <v>#DIV/0!</v>
      </c>
      <c r="O37" s="46" t="e">
        <f t="shared" si="14"/>
        <v>#DIV/0!</v>
      </c>
      <c r="P37" s="46" t="e">
        <f t="shared" si="15"/>
        <v>#DIV/0!</v>
      </c>
      <c r="Q37" s="56" t="e">
        <f>Q36+ATM_Conf!$C$5*(B36)/(Links!B$191*Links!Q$191)</f>
        <v>#DIV/0!</v>
      </c>
      <c r="R37" s="56" t="e">
        <f>R36+ATM_Conf!$C$5*(C36-B36)/(Links!C$191*Links!R$191)</f>
        <v>#DIV/0!</v>
      </c>
      <c r="S37" s="56" t="e">
        <f>S36+ATM_Conf!$C$5*(D36-C36)/(Links!D$191*Links!S$191)</f>
        <v>#DIV/0!</v>
      </c>
      <c r="T37" s="56" t="e">
        <f>T36+ATM_Conf!$C$5*(E36-D36)/(Links!E$191*Links!T$191)</f>
        <v>#DIV/0!</v>
      </c>
      <c r="U37" s="56" t="e">
        <f>U36+ATM_Conf!$C$5*(F36-E36)/(Links!F$191*Links!U$191)</f>
        <v>#DIV/0!</v>
      </c>
      <c r="V37" s="56" t="e">
        <f>V36+ATM_Conf!$C$5*(G36-F36)/(Links!G$191*Links!V$191)</f>
        <v>#DIV/0!</v>
      </c>
      <c r="W37" s="56" t="e">
        <f>W36+ATM_Conf!$C$5*(H36-G36)/(Links!H$191*Links!W$191)</f>
        <v>#DIV/0!</v>
      </c>
      <c r="X37" s="56" t="e">
        <f>X36+ATM_Conf!$C$5*(I36-H36)/(Links!I$191*Links!X$191)</f>
        <v>#DIV/0!</v>
      </c>
      <c r="Y37" s="56" t="e">
        <f>Y36+ATM_Conf!$C$5*(J36)/(Links!J$191*Links!Y$191)</f>
        <v>#DIV/0!</v>
      </c>
      <c r="Z37" s="56" t="e">
        <f>Z36+ATM_Conf!$C$5*(K36-J36)/(Links!K$191*Links!Z$191)</f>
        <v>#DIV/0!</v>
      </c>
      <c r="AA37" s="56" t="e">
        <f>AA36+ATM_Conf!$C$5*(L36-K36)/(Links!L$191*Links!AA$191)</f>
        <v>#DIV/0!</v>
      </c>
      <c r="AB37" s="56" t="e">
        <f>AB36+ATM_Conf!$C$5*(M36-L36)/(Links!M$191*Links!AB$191)</f>
        <v>#DIV/0!</v>
      </c>
      <c r="AC37" s="56" t="e">
        <f>AC36+ATM_Conf!$C$5*(N36-M36)/(Links!N$191*Links!AC$191)</f>
        <v>#DIV/0!</v>
      </c>
      <c r="AD37" s="56" t="e">
        <f>AD36+ATM_Conf!$C$5*(O36-N36)/(Links!O$191*Links!AD$191)</f>
        <v>#DIV/0!</v>
      </c>
      <c r="AE37" s="56" t="e">
        <f>AE36+ATM_Conf!$C$5*(P36-O36)/(Links!P$191*Links!AE$191)</f>
        <v>#DIV/0!</v>
      </c>
      <c r="AF37" s="46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6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6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6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6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6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6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6" t="e">
        <f>AM36+(ATM_Conf!$C$5/ATM_Conf!$C$8)*(Links!BB36*EXP((-(Links!X36/Links!BQ36)^Links!CF36)/Links!CF36)-Links!AM36)+(ATM_Conf!$C$5/Links!X$191)*Links!AM36*(Nodes!BH36-Links!AM36)</f>
        <v>#DIV/0!</v>
      </c>
      <c r="AN37" s="46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6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6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6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6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6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6" t="e">
        <f>AT36+(ATM_Conf!$C$5/ATM_Conf!$C$8)*(Links!BI36*EXP((-(Links!AE36/Links!BX36)^Links!CM36)/Links!CM36)-Links!AT36)+(ATM_Conf!$C$5/Links!AE$191)*Links!AT36*(Nodes!BN36-Links!AT36)</f>
        <v>#DIV/0!</v>
      </c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56"/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  <c r="CL37" s="56"/>
      <c r="CM37" s="56"/>
      <c r="CN37" s="46">
        <f t="shared" si="23"/>
        <v>0</v>
      </c>
      <c r="CO37" s="46">
        <f t="shared" si="23"/>
        <v>0</v>
      </c>
      <c r="CP37" s="46">
        <f t="shared" si="23"/>
        <v>0</v>
      </c>
      <c r="CQ37" s="46">
        <f t="shared" si="23"/>
        <v>0</v>
      </c>
      <c r="CR37" s="46">
        <f t="shared" si="23"/>
        <v>0</v>
      </c>
      <c r="CS37" s="46">
        <f t="shared" si="23"/>
        <v>0</v>
      </c>
      <c r="CT37" s="46">
        <f t="shared" si="23"/>
        <v>0</v>
      </c>
      <c r="CU37" s="46">
        <f t="shared" si="23"/>
        <v>0</v>
      </c>
      <c r="CV37" s="46">
        <f t="shared" si="23"/>
        <v>0</v>
      </c>
      <c r="CW37" s="46">
        <f t="shared" si="23"/>
        <v>0</v>
      </c>
      <c r="CX37" s="46">
        <f t="shared" si="23"/>
        <v>0</v>
      </c>
      <c r="CY37" s="46">
        <f t="shared" si="23"/>
        <v>0</v>
      </c>
      <c r="CZ37" s="46">
        <f t="shared" si="23"/>
        <v>0</v>
      </c>
      <c r="DA37" s="46">
        <f t="shared" si="23"/>
        <v>0</v>
      </c>
      <c r="DB37" s="46">
        <f t="shared" si="23"/>
        <v>0</v>
      </c>
      <c r="DC37" s="54"/>
      <c r="DD37" s="54"/>
      <c r="DE37" s="54"/>
      <c r="DF37" s="54"/>
      <c r="DG37" s="54"/>
      <c r="DH37" s="54"/>
      <c r="DI37" s="54"/>
      <c r="DJ37" s="54"/>
      <c r="DK37" s="54"/>
      <c r="DL37" s="54"/>
      <c r="DM37" s="54"/>
      <c r="DN37" s="54"/>
      <c r="DO37" s="54"/>
      <c r="DP37" s="54"/>
      <c r="DQ37" s="54"/>
    </row>
    <row r="38" spans="1:121" ht="14.25" x14ac:dyDescent="0.15">
      <c r="A38" s="49">
        <v>36</v>
      </c>
      <c r="B38" s="46" t="e">
        <f t="shared" si="1"/>
        <v>#DIV/0!</v>
      </c>
      <c r="C38" s="46" t="e">
        <f t="shared" si="2"/>
        <v>#DIV/0!</v>
      </c>
      <c r="D38" s="46" t="e">
        <f t="shared" si="3"/>
        <v>#DIV/0!</v>
      </c>
      <c r="E38" s="46" t="e">
        <f t="shared" si="4"/>
        <v>#DIV/0!</v>
      </c>
      <c r="F38" s="46" t="e">
        <f t="shared" si="5"/>
        <v>#DIV/0!</v>
      </c>
      <c r="G38" s="46" t="e">
        <f t="shared" si="6"/>
        <v>#DIV/0!</v>
      </c>
      <c r="H38" s="46" t="e">
        <f t="shared" si="7"/>
        <v>#DIV/0!</v>
      </c>
      <c r="I38" s="46" t="e">
        <f t="shared" si="8"/>
        <v>#DIV/0!</v>
      </c>
      <c r="J38" s="46" t="e">
        <f t="shared" si="9"/>
        <v>#DIV/0!</v>
      </c>
      <c r="K38" s="46" t="e">
        <f t="shared" si="10"/>
        <v>#DIV/0!</v>
      </c>
      <c r="L38" s="46" t="e">
        <f t="shared" si="11"/>
        <v>#DIV/0!</v>
      </c>
      <c r="M38" s="46" t="e">
        <f t="shared" si="12"/>
        <v>#DIV/0!</v>
      </c>
      <c r="N38" s="46" t="e">
        <f t="shared" si="13"/>
        <v>#DIV/0!</v>
      </c>
      <c r="O38" s="46" t="e">
        <f t="shared" si="14"/>
        <v>#DIV/0!</v>
      </c>
      <c r="P38" s="46" t="e">
        <f t="shared" si="15"/>
        <v>#DIV/0!</v>
      </c>
      <c r="Q38" s="56" t="e">
        <f>Q37+ATM_Conf!$C$5*(B37)/(Links!B$191*Links!Q$191)</f>
        <v>#DIV/0!</v>
      </c>
      <c r="R38" s="56" t="e">
        <f>R37+ATM_Conf!$C$5*(C37-B37)/(Links!C$191*Links!R$191)</f>
        <v>#DIV/0!</v>
      </c>
      <c r="S38" s="56" t="e">
        <f>S37+ATM_Conf!$C$5*(D37-C37)/(Links!D$191*Links!S$191)</f>
        <v>#DIV/0!</v>
      </c>
      <c r="T38" s="56" t="e">
        <f>T37+ATM_Conf!$C$5*(E37-D37)/(Links!E$191*Links!T$191)</f>
        <v>#DIV/0!</v>
      </c>
      <c r="U38" s="56" t="e">
        <f>U37+ATM_Conf!$C$5*(F37-E37)/(Links!F$191*Links!U$191)</f>
        <v>#DIV/0!</v>
      </c>
      <c r="V38" s="56" t="e">
        <f>V37+ATM_Conf!$C$5*(G37-F37)/(Links!G$191*Links!V$191)</f>
        <v>#DIV/0!</v>
      </c>
      <c r="W38" s="56" t="e">
        <f>W37+ATM_Conf!$C$5*(H37-G37)/(Links!H$191*Links!W$191)</f>
        <v>#DIV/0!</v>
      </c>
      <c r="X38" s="56" t="e">
        <f>X37+ATM_Conf!$C$5*(I37-H37)/(Links!I$191*Links!X$191)</f>
        <v>#DIV/0!</v>
      </c>
      <c r="Y38" s="56" t="e">
        <f>Y37+ATM_Conf!$C$5*(J37)/(Links!J$191*Links!Y$191)</f>
        <v>#DIV/0!</v>
      </c>
      <c r="Z38" s="56" t="e">
        <f>Z37+ATM_Conf!$C$5*(K37-J37)/(Links!K$191*Links!Z$191)</f>
        <v>#DIV/0!</v>
      </c>
      <c r="AA38" s="56" t="e">
        <f>AA37+ATM_Conf!$C$5*(L37-K37)/(Links!L$191*Links!AA$191)</f>
        <v>#DIV/0!</v>
      </c>
      <c r="AB38" s="56" t="e">
        <f>AB37+ATM_Conf!$C$5*(M37-L37)/(Links!M$191*Links!AB$191)</f>
        <v>#DIV/0!</v>
      </c>
      <c r="AC38" s="56" t="e">
        <f>AC37+ATM_Conf!$C$5*(N37-M37)/(Links!N$191*Links!AC$191)</f>
        <v>#DIV/0!</v>
      </c>
      <c r="AD38" s="56" t="e">
        <f>AD37+ATM_Conf!$C$5*(O37-N37)/(Links!O$191*Links!AD$191)</f>
        <v>#DIV/0!</v>
      </c>
      <c r="AE38" s="56" t="e">
        <f>AE37+ATM_Conf!$C$5*(P37-O37)/(Links!P$191*Links!AE$191)</f>
        <v>#DIV/0!</v>
      </c>
      <c r="AF38" s="46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6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6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6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6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6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6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6" t="e">
        <f>AM37+(ATM_Conf!$C$5/ATM_Conf!$C$8)*(Links!BB37*EXP((-(Links!X37/Links!BQ37)^Links!CF37)/Links!CF37)-Links!AM37)+(ATM_Conf!$C$5/Links!X$191)*Links!AM37*(Nodes!BH37-Links!AM37)</f>
        <v>#DIV/0!</v>
      </c>
      <c r="AN38" s="46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6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6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6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6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6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6" t="e">
        <f>AT37+(ATM_Conf!$C$5/ATM_Conf!$C$8)*(Links!BI37*EXP((-(Links!AE37/Links!BX37)^Links!CM37)/Links!CM37)-Links!AT37)+(ATM_Conf!$C$5/Links!AE$191)*Links!AT37*(Nodes!BN37-Links!AT37)</f>
        <v>#DIV/0!</v>
      </c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46">
        <f t="shared" si="23"/>
        <v>0</v>
      </c>
      <c r="CO38" s="46">
        <f t="shared" si="23"/>
        <v>0</v>
      </c>
      <c r="CP38" s="46">
        <f t="shared" si="23"/>
        <v>0</v>
      </c>
      <c r="CQ38" s="46">
        <f t="shared" si="23"/>
        <v>0</v>
      </c>
      <c r="CR38" s="46">
        <f t="shared" si="23"/>
        <v>0</v>
      </c>
      <c r="CS38" s="46">
        <f t="shared" si="23"/>
        <v>0</v>
      </c>
      <c r="CT38" s="46">
        <f t="shared" si="23"/>
        <v>0</v>
      </c>
      <c r="CU38" s="46">
        <f t="shared" si="23"/>
        <v>0</v>
      </c>
      <c r="CV38" s="46">
        <f t="shared" si="23"/>
        <v>0</v>
      </c>
      <c r="CW38" s="46">
        <f t="shared" si="23"/>
        <v>0</v>
      </c>
      <c r="CX38" s="46">
        <f t="shared" si="23"/>
        <v>0</v>
      </c>
      <c r="CY38" s="46">
        <f t="shared" si="23"/>
        <v>0</v>
      </c>
      <c r="CZ38" s="46">
        <f t="shared" si="23"/>
        <v>0</v>
      </c>
      <c r="DA38" s="46">
        <f t="shared" si="23"/>
        <v>0</v>
      </c>
      <c r="DB38" s="46">
        <f t="shared" si="23"/>
        <v>0</v>
      </c>
      <c r="DC38" s="54"/>
      <c r="DD38" s="54"/>
      <c r="DE38" s="54"/>
      <c r="DF38" s="54"/>
      <c r="DG38" s="54"/>
      <c r="DH38" s="54"/>
      <c r="DI38" s="54"/>
      <c r="DJ38" s="54"/>
      <c r="DK38" s="54"/>
      <c r="DL38" s="54"/>
      <c r="DM38" s="54"/>
      <c r="DN38" s="54"/>
      <c r="DO38" s="54"/>
      <c r="DP38" s="54"/>
      <c r="DQ38" s="54"/>
    </row>
    <row r="39" spans="1:121" ht="14.25" x14ac:dyDescent="0.15">
      <c r="A39" s="49">
        <v>37</v>
      </c>
      <c r="B39" s="46" t="e">
        <f t="shared" si="1"/>
        <v>#DIV/0!</v>
      </c>
      <c r="C39" s="46" t="e">
        <f t="shared" si="2"/>
        <v>#DIV/0!</v>
      </c>
      <c r="D39" s="46" t="e">
        <f t="shared" si="3"/>
        <v>#DIV/0!</v>
      </c>
      <c r="E39" s="46" t="e">
        <f t="shared" si="4"/>
        <v>#DIV/0!</v>
      </c>
      <c r="F39" s="46" t="e">
        <f t="shared" si="5"/>
        <v>#DIV/0!</v>
      </c>
      <c r="G39" s="46" t="e">
        <f t="shared" si="6"/>
        <v>#DIV/0!</v>
      </c>
      <c r="H39" s="46" t="e">
        <f t="shared" si="7"/>
        <v>#DIV/0!</v>
      </c>
      <c r="I39" s="46" t="e">
        <f t="shared" si="8"/>
        <v>#DIV/0!</v>
      </c>
      <c r="J39" s="46" t="e">
        <f t="shared" si="9"/>
        <v>#DIV/0!</v>
      </c>
      <c r="K39" s="46" t="e">
        <f t="shared" si="10"/>
        <v>#DIV/0!</v>
      </c>
      <c r="L39" s="46" t="e">
        <f t="shared" si="11"/>
        <v>#DIV/0!</v>
      </c>
      <c r="M39" s="46" t="e">
        <f t="shared" si="12"/>
        <v>#DIV/0!</v>
      </c>
      <c r="N39" s="46" t="e">
        <f t="shared" si="13"/>
        <v>#DIV/0!</v>
      </c>
      <c r="O39" s="46" t="e">
        <f t="shared" si="14"/>
        <v>#DIV/0!</v>
      </c>
      <c r="P39" s="46" t="e">
        <f t="shared" si="15"/>
        <v>#DIV/0!</v>
      </c>
      <c r="Q39" s="56" t="e">
        <f>Q38+ATM_Conf!$C$5*(B38)/(Links!B$191*Links!Q$191)</f>
        <v>#DIV/0!</v>
      </c>
      <c r="R39" s="56" t="e">
        <f>R38+ATM_Conf!$C$5*(C38-B38)/(Links!C$191*Links!R$191)</f>
        <v>#DIV/0!</v>
      </c>
      <c r="S39" s="56" t="e">
        <f>S38+ATM_Conf!$C$5*(D38-C38)/(Links!D$191*Links!S$191)</f>
        <v>#DIV/0!</v>
      </c>
      <c r="T39" s="56" t="e">
        <f>T38+ATM_Conf!$C$5*(E38-D38)/(Links!E$191*Links!T$191)</f>
        <v>#DIV/0!</v>
      </c>
      <c r="U39" s="56" t="e">
        <f>U38+ATM_Conf!$C$5*(F38-E38)/(Links!F$191*Links!U$191)</f>
        <v>#DIV/0!</v>
      </c>
      <c r="V39" s="56" t="e">
        <f>V38+ATM_Conf!$C$5*(G38-F38)/(Links!G$191*Links!V$191)</f>
        <v>#DIV/0!</v>
      </c>
      <c r="W39" s="56" t="e">
        <f>W38+ATM_Conf!$C$5*(H38-G38)/(Links!H$191*Links!W$191)</f>
        <v>#DIV/0!</v>
      </c>
      <c r="X39" s="56" t="e">
        <f>X38+ATM_Conf!$C$5*(I38-H38)/(Links!I$191*Links!X$191)</f>
        <v>#DIV/0!</v>
      </c>
      <c r="Y39" s="56" t="e">
        <f>Y38+ATM_Conf!$C$5*(J38)/(Links!J$191*Links!Y$191)</f>
        <v>#DIV/0!</v>
      </c>
      <c r="Z39" s="56" t="e">
        <f>Z38+ATM_Conf!$C$5*(K38-J38)/(Links!K$191*Links!Z$191)</f>
        <v>#DIV/0!</v>
      </c>
      <c r="AA39" s="56" t="e">
        <f>AA38+ATM_Conf!$C$5*(L38-K38)/(Links!L$191*Links!AA$191)</f>
        <v>#DIV/0!</v>
      </c>
      <c r="AB39" s="56" t="e">
        <f>AB38+ATM_Conf!$C$5*(M38-L38)/(Links!M$191*Links!AB$191)</f>
        <v>#DIV/0!</v>
      </c>
      <c r="AC39" s="56" t="e">
        <f>AC38+ATM_Conf!$C$5*(N38-M38)/(Links!N$191*Links!AC$191)</f>
        <v>#DIV/0!</v>
      </c>
      <c r="AD39" s="56" t="e">
        <f>AD38+ATM_Conf!$C$5*(O38-N38)/(Links!O$191*Links!AD$191)</f>
        <v>#DIV/0!</v>
      </c>
      <c r="AE39" s="56" t="e">
        <f>AE38+ATM_Conf!$C$5*(P38-O38)/(Links!P$191*Links!AE$191)</f>
        <v>#DIV/0!</v>
      </c>
      <c r="AF39" s="46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6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6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6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6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6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6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6" t="e">
        <f>AM38+(ATM_Conf!$C$5/ATM_Conf!$C$8)*(Links!BB38*EXP((-(Links!X38/Links!BQ38)^Links!CF38)/Links!CF38)-Links!AM38)+(ATM_Conf!$C$5/Links!X$191)*Links!AM38*(Nodes!BH38-Links!AM38)</f>
        <v>#DIV/0!</v>
      </c>
      <c r="AN39" s="46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6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6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6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6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6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6" t="e">
        <f>AT38+(ATM_Conf!$C$5/ATM_Conf!$C$8)*(Links!BI38*EXP((-(Links!AE38/Links!BX38)^Links!CM38)/Links!CM38)-Links!AT38)+(ATM_Conf!$C$5/Links!AE$191)*Links!AT38*(Nodes!BN38-Links!AT38)</f>
        <v>#DIV/0!</v>
      </c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54">
        <f>(CN39-CN27)^2</f>
        <v>0</v>
      </c>
      <c r="DD39" s="54">
        <f t="shared" ref="DD39:DQ39" si="24">(CO39-CO27)^2</f>
        <v>0</v>
      </c>
      <c r="DE39" s="54">
        <f t="shared" si="24"/>
        <v>0</v>
      </c>
      <c r="DF39" s="54">
        <f t="shared" si="24"/>
        <v>0</v>
      </c>
      <c r="DG39" s="54">
        <f t="shared" si="24"/>
        <v>0</v>
      </c>
      <c r="DH39" s="54">
        <f t="shared" si="24"/>
        <v>0</v>
      </c>
      <c r="DI39" s="54">
        <f t="shared" si="24"/>
        <v>0</v>
      </c>
      <c r="DJ39" s="54">
        <f t="shared" si="24"/>
        <v>0</v>
      </c>
      <c r="DK39" s="54">
        <f t="shared" si="24"/>
        <v>0</v>
      </c>
      <c r="DL39" s="54">
        <f t="shared" si="24"/>
        <v>0</v>
      </c>
      <c r="DM39" s="54">
        <f t="shared" si="24"/>
        <v>0</v>
      </c>
      <c r="DN39" s="54">
        <f t="shared" si="24"/>
        <v>0</v>
      </c>
      <c r="DO39" s="54">
        <f t="shared" si="24"/>
        <v>0</v>
      </c>
      <c r="DP39" s="54">
        <f t="shared" si="24"/>
        <v>0</v>
      </c>
      <c r="DQ39" s="54">
        <f t="shared" si="24"/>
        <v>0</v>
      </c>
    </row>
    <row r="40" spans="1:121" ht="14.25" x14ac:dyDescent="0.15">
      <c r="A40" s="49">
        <v>38</v>
      </c>
      <c r="B40" s="46" t="e">
        <f t="shared" si="1"/>
        <v>#DIV/0!</v>
      </c>
      <c r="C40" s="46" t="e">
        <f t="shared" si="2"/>
        <v>#DIV/0!</v>
      </c>
      <c r="D40" s="46" t="e">
        <f t="shared" si="3"/>
        <v>#DIV/0!</v>
      </c>
      <c r="E40" s="46" t="e">
        <f t="shared" si="4"/>
        <v>#DIV/0!</v>
      </c>
      <c r="F40" s="46" t="e">
        <f t="shared" si="5"/>
        <v>#DIV/0!</v>
      </c>
      <c r="G40" s="46" t="e">
        <f t="shared" si="6"/>
        <v>#DIV/0!</v>
      </c>
      <c r="H40" s="46" t="e">
        <f t="shared" si="7"/>
        <v>#DIV/0!</v>
      </c>
      <c r="I40" s="46" t="e">
        <f t="shared" si="8"/>
        <v>#DIV/0!</v>
      </c>
      <c r="J40" s="46" t="e">
        <f t="shared" si="9"/>
        <v>#DIV/0!</v>
      </c>
      <c r="K40" s="46" t="e">
        <f t="shared" si="10"/>
        <v>#DIV/0!</v>
      </c>
      <c r="L40" s="46" t="e">
        <f t="shared" si="11"/>
        <v>#DIV/0!</v>
      </c>
      <c r="M40" s="46" t="e">
        <f t="shared" si="12"/>
        <v>#DIV/0!</v>
      </c>
      <c r="N40" s="46" t="e">
        <f t="shared" si="13"/>
        <v>#DIV/0!</v>
      </c>
      <c r="O40" s="46" t="e">
        <f t="shared" si="14"/>
        <v>#DIV/0!</v>
      </c>
      <c r="P40" s="46" t="e">
        <f t="shared" si="15"/>
        <v>#DIV/0!</v>
      </c>
      <c r="Q40" s="56" t="e">
        <f>Q39+ATM_Conf!$C$5*(B39)/(Links!B$191*Links!Q$191)</f>
        <v>#DIV/0!</v>
      </c>
      <c r="R40" s="56" t="e">
        <f>R39+ATM_Conf!$C$5*(C39-B39)/(Links!C$191*Links!R$191)</f>
        <v>#DIV/0!</v>
      </c>
      <c r="S40" s="56" t="e">
        <f>S39+ATM_Conf!$C$5*(D39-C39)/(Links!D$191*Links!S$191)</f>
        <v>#DIV/0!</v>
      </c>
      <c r="T40" s="56" t="e">
        <f>T39+ATM_Conf!$C$5*(E39-D39)/(Links!E$191*Links!T$191)</f>
        <v>#DIV/0!</v>
      </c>
      <c r="U40" s="56" t="e">
        <f>U39+ATM_Conf!$C$5*(F39-E39)/(Links!F$191*Links!U$191)</f>
        <v>#DIV/0!</v>
      </c>
      <c r="V40" s="56" t="e">
        <f>V39+ATM_Conf!$C$5*(G39-F39)/(Links!G$191*Links!V$191)</f>
        <v>#DIV/0!</v>
      </c>
      <c r="W40" s="56" t="e">
        <f>W39+ATM_Conf!$C$5*(H39-G39)/(Links!H$191*Links!W$191)</f>
        <v>#DIV/0!</v>
      </c>
      <c r="X40" s="56" t="e">
        <f>X39+ATM_Conf!$C$5*(I39-H39)/(Links!I$191*Links!X$191)</f>
        <v>#DIV/0!</v>
      </c>
      <c r="Y40" s="56" t="e">
        <f>Y39+ATM_Conf!$C$5*(J39)/(Links!J$191*Links!Y$191)</f>
        <v>#DIV/0!</v>
      </c>
      <c r="Z40" s="56" t="e">
        <f>Z39+ATM_Conf!$C$5*(K39-J39)/(Links!K$191*Links!Z$191)</f>
        <v>#DIV/0!</v>
      </c>
      <c r="AA40" s="56" t="e">
        <f>AA39+ATM_Conf!$C$5*(L39-K39)/(Links!L$191*Links!AA$191)</f>
        <v>#DIV/0!</v>
      </c>
      <c r="AB40" s="56" t="e">
        <f>AB39+ATM_Conf!$C$5*(M39-L39)/(Links!M$191*Links!AB$191)</f>
        <v>#DIV/0!</v>
      </c>
      <c r="AC40" s="56" t="e">
        <f>AC39+ATM_Conf!$C$5*(N39-M39)/(Links!N$191*Links!AC$191)</f>
        <v>#DIV/0!</v>
      </c>
      <c r="AD40" s="56" t="e">
        <f>AD39+ATM_Conf!$C$5*(O39-N39)/(Links!O$191*Links!AD$191)</f>
        <v>#DIV/0!</v>
      </c>
      <c r="AE40" s="56" t="e">
        <f>AE39+ATM_Conf!$C$5*(P39-O39)/(Links!P$191*Links!AE$191)</f>
        <v>#DIV/0!</v>
      </c>
      <c r="AF40" s="46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6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6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6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6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6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6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6" t="e">
        <f>AM39+(ATM_Conf!$C$5/ATM_Conf!$C$8)*(Links!BB39*EXP((-(Links!X39/Links!BQ39)^Links!CF39)/Links!CF39)-Links!AM39)+(ATM_Conf!$C$5/Links!X$191)*Links!AM39*(Nodes!BH39-Links!AM39)</f>
        <v>#DIV/0!</v>
      </c>
      <c r="AN40" s="46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6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6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6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6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6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6" t="e">
        <f>AT39+(ATM_Conf!$C$5/ATM_Conf!$C$8)*(Links!BI39*EXP((-(Links!AE39/Links!BX39)^Links!CM39)/Links!CM39)-Links!AT39)+(ATM_Conf!$C$5/Links!AE$191)*Links!AT39*(Nodes!BN39-Links!AT39)</f>
        <v>#DIV/0!</v>
      </c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56"/>
      <c r="BZ40" s="56"/>
      <c r="CA40" s="56"/>
      <c r="CB40" s="56"/>
      <c r="CC40" s="56"/>
      <c r="CD40" s="56"/>
      <c r="CE40" s="56"/>
      <c r="CF40" s="56"/>
      <c r="CG40" s="56"/>
      <c r="CH40" s="56"/>
      <c r="CI40" s="56"/>
      <c r="CJ40" s="56"/>
      <c r="CK40" s="56"/>
      <c r="CL40" s="56"/>
      <c r="CM40" s="56"/>
      <c r="CN40" s="46">
        <f>CN$39</f>
        <v>0</v>
      </c>
      <c r="CO40" s="46">
        <f t="shared" ref="CO40:DB40" si="25">CO$39</f>
        <v>0</v>
      </c>
      <c r="CP40" s="46">
        <f t="shared" si="25"/>
        <v>0</v>
      </c>
      <c r="CQ40" s="46">
        <f t="shared" si="25"/>
        <v>0</v>
      </c>
      <c r="CR40" s="46">
        <f t="shared" si="25"/>
        <v>0</v>
      </c>
      <c r="CS40" s="46">
        <f t="shared" si="25"/>
        <v>0</v>
      </c>
      <c r="CT40" s="46">
        <f t="shared" si="25"/>
        <v>0</v>
      </c>
      <c r="CU40" s="46">
        <f t="shared" si="25"/>
        <v>0</v>
      </c>
      <c r="CV40" s="46">
        <f t="shared" si="25"/>
        <v>0</v>
      </c>
      <c r="CW40" s="46">
        <f t="shared" si="25"/>
        <v>0</v>
      </c>
      <c r="CX40" s="46">
        <f t="shared" si="25"/>
        <v>0</v>
      </c>
      <c r="CY40" s="46">
        <f t="shared" si="25"/>
        <v>0</v>
      </c>
      <c r="CZ40" s="46">
        <f t="shared" si="25"/>
        <v>0</v>
      </c>
      <c r="DA40" s="46">
        <f t="shared" si="25"/>
        <v>0</v>
      </c>
      <c r="DB40" s="46">
        <f t="shared" si="25"/>
        <v>0</v>
      </c>
      <c r="DC40" s="54"/>
      <c r="DD40" s="54"/>
      <c r="DE40" s="54"/>
      <c r="DF40" s="54"/>
      <c r="DG40" s="54"/>
      <c r="DH40" s="54"/>
      <c r="DI40" s="54"/>
      <c r="DJ40" s="54"/>
      <c r="DK40" s="54"/>
      <c r="DL40" s="54"/>
      <c r="DM40" s="54"/>
      <c r="DN40" s="54"/>
      <c r="DO40" s="54"/>
      <c r="DP40" s="54"/>
      <c r="DQ40" s="54"/>
    </row>
    <row r="41" spans="1:121" ht="14.25" x14ac:dyDescent="0.15">
      <c r="A41" s="49">
        <v>39</v>
      </c>
      <c r="B41" s="46" t="e">
        <f t="shared" si="1"/>
        <v>#DIV/0!</v>
      </c>
      <c r="C41" s="46" t="e">
        <f t="shared" si="2"/>
        <v>#DIV/0!</v>
      </c>
      <c r="D41" s="46" t="e">
        <f t="shared" si="3"/>
        <v>#DIV/0!</v>
      </c>
      <c r="E41" s="46" t="e">
        <f t="shared" si="4"/>
        <v>#DIV/0!</v>
      </c>
      <c r="F41" s="46" t="e">
        <f t="shared" si="5"/>
        <v>#DIV/0!</v>
      </c>
      <c r="G41" s="46" t="e">
        <f t="shared" si="6"/>
        <v>#DIV/0!</v>
      </c>
      <c r="H41" s="46" t="e">
        <f t="shared" si="7"/>
        <v>#DIV/0!</v>
      </c>
      <c r="I41" s="46" t="e">
        <f t="shared" si="8"/>
        <v>#DIV/0!</v>
      </c>
      <c r="J41" s="46" t="e">
        <f t="shared" si="9"/>
        <v>#DIV/0!</v>
      </c>
      <c r="K41" s="46" t="e">
        <f t="shared" si="10"/>
        <v>#DIV/0!</v>
      </c>
      <c r="L41" s="46" t="e">
        <f t="shared" si="11"/>
        <v>#DIV/0!</v>
      </c>
      <c r="M41" s="46" t="e">
        <f t="shared" si="12"/>
        <v>#DIV/0!</v>
      </c>
      <c r="N41" s="46" t="e">
        <f t="shared" si="13"/>
        <v>#DIV/0!</v>
      </c>
      <c r="O41" s="46" t="e">
        <f t="shared" si="14"/>
        <v>#DIV/0!</v>
      </c>
      <c r="P41" s="46" t="e">
        <f t="shared" si="15"/>
        <v>#DIV/0!</v>
      </c>
      <c r="Q41" s="56" t="e">
        <f>Q40+ATM_Conf!$C$5*(B40)/(Links!B$191*Links!Q$191)</f>
        <v>#DIV/0!</v>
      </c>
      <c r="R41" s="56" t="e">
        <f>R40+ATM_Conf!$C$5*(C40-B40)/(Links!C$191*Links!R$191)</f>
        <v>#DIV/0!</v>
      </c>
      <c r="S41" s="56" t="e">
        <f>S40+ATM_Conf!$C$5*(D40-C40)/(Links!D$191*Links!S$191)</f>
        <v>#DIV/0!</v>
      </c>
      <c r="T41" s="56" t="e">
        <f>T40+ATM_Conf!$C$5*(E40-D40)/(Links!E$191*Links!T$191)</f>
        <v>#DIV/0!</v>
      </c>
      <c r="U41" s="56" t="e">
        <f>U40+ATM_Conf!$C$5*(F40-E40)/(Links!F$191*Links!U$191)</f>
        <v>#DIV/0!</v>
      </c>
      <c r="V41" s="56" t="e">
        <f>V40+ATM_Conf!$C$5*(G40-F40)/(Links!G$191*Links!V$191)</f>
        <v>#DIV/0!</v>
      </c>
      <c r="W41" s="56" t="e">
        <f>W40+ATM_Conf!$C$5*(H40-G40)/(Links!H$191*Links!W$191)</f>
        <v>#DIV/0!</v>
      </c>
      <c r="X41" s="56" t="e">
        <f>X40+ATM_Conf!$C$5*(I40-H40)/(Links!I$191*Links!X$191)</f>
        <v>#DIV/0!</v>
      </c>
      <c r="Y41" s="56" t="e">
        <f>Y40+ATM_Conf!$C$5*(J40)/(Links!J$191*Links!Y$191)</f>
        <v>#DIV/0!</v>
      </c>
      <c r="Z41" s="56" t="e">
        <f>Z40+ATM_Conf!$C$5*(K40-J40)/(Links!K$191*Links!Z$191)</f>
        <v>#DIV/0!</v>
      </c>
      <c r="AA41" s="56" t="e">
        <f>AA40+ATM_Conf!$C$5*(L40-K40)/(Links!L$191*Links!AA$191)</f>
        <v>#DIV/0!</v>
      </c>
      <c r="AB41" s="56" t="e">
        <f>AB40+ATM_Conf!$C$5*(M40-L40)/(Links!M$191*Links!AB$191)</f>
        <v>#DIV/0!</v>
      </c>
      <c r="AC41" s="56" t="e">
        <f>AC40+ATM_Conf!$C$5*(N40-M40)/(Links!N$191*Links!AC$191)</f>
        <v>#DIV/0!</v>
      </c>
      <c r="AD41" s="56" t="e">
        <f>AD40+ATM_Conf!$C$5*(O40-N40)/(Links!O$191*Links!AD$191)</f>
        <v>#DIV/0!</v>
      </c>
      <c r="AE41" s="56" t="e">
        <f>AE40+ATM_Conf!$C$5*(P40-O40)/(Links!P$191*Links!AE$191)</f>
        <v>#DIV/0!</v>
      </c>
      <c r="AF41" s="46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6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6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6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6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6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6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6" t="e">
        <f>AM40+(ATM_Conf!$C$5/ATM_Conf!$C$8)*(Links!BB40*EXP((-(Links!X40/Links!BQ40)^Links!CF40)/Links!CF40)-Links!AM40)+(ATM_Conf!$C$5/Links!X$191)*Links!AM40*(Nodes!BH40-Links!AM40)</f>
        <v>#DIV/0!</v>
      </c>
      <c r="AN41" s="46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6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6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6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6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6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6" t="e">
        <f>AT40+(ATM_Conf!$C$5/ATM_Conf!$C$8)*(Links!BI40*EXP((-(Links!AE40/Links!BX40)^Links!CM40)/Links!CM40)-Links!AT40)+(ATM_Conf!$C$5/Links!AE$191)*Links!AT40*(Nodes!BN40-Links!AT40)</f>
        <v>#DIV/0!</v>
      </c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46">
        <f t="shared" ref="CN41:DB50" si="26">CN$39</f>
        <v>0</v>
      </c>
      <c r="CO41" s="46">
        <f t="shared" si="26"/>
        <v>0</v>
      </c>
      <c r="CP41" s="46">
        <f t="shared" si="26"/>
        <v>0</v>
      </c>
      <c r="CQ41" s="46">
        <f t="shared" si="26"/>
        <v>0</v>
      </c>
      <c r="CR41" s="46">
        <f t="shared" si="26"/>
        <v>0</v>
      </c>
      <c r="CS41" s="46">
        <f t="shared" si="26"/>
        <v>0</v>
      </c>
      <c r="CT41" s="46">
        <f t="shared" si="26"/>
        <v>0</v>
      </c>
      <c r="CU41" s="46">
        <f t="shared" si="26"/>
        <v>0</v>
      </c>
      <c r="CV41" s="46">
        <f t="shared" si="26"/>
        <v>0</v>
      </c>
      <c r="CW41" s="46">
        <f t="shared" si="26"/>
        <v>0</v>
      </c>
      <c r="CX41" s="46">
        <f t="shared" si="26"/>
        <v>0</v>
      </c>
      <c r="CY41" s="46">
        <f t="shared" si="26"/>
        <v>0</v>
      </c>
      <c r="CZ41" s="46">
        <f t="shared" si="26"/>
        <v>0</v>
      </c>
      <c r="DA41" s="46">
        <f t="shared" si="26"/>
        <v>0</v>
      </c>
      <c r="DB41" s="46">
        <f t="shared" si="26"/>
        <v>0</v>
      </c>
      <c r="DC41" s="54"/>
      <c r="DD41" s="54"/>
      <c r="DE41" s="54"/>
      <c r="DF41" s="54"/>
      <c r="DG41" s="54"/>
      <c r="DH41" s="54"/>
      <c r="DI41" s="54"/>
      <c r="DJ41" s="54"/>
      <c r="DK41" s="54"/>
      <c r="DL41" s="54"/>
      <c r="DM41" s="54"/>
      <c r="DN41" s="54"/>
      <c r="DO41" s="54"/>
      <c r="DP41" s="54"/>
      <c r="DQ41" s="54"/>
    </row>
    <row r="42" spans="1:121" ht="14.25" x14ac:dyDescent="0.15">
      <c r="A42" s="49">
        <v>40</v>
      </c>
      <c r="B42" s="46" t="e">
        <f t="shared" si="1"/>
        <v>#DIV/0!</v>
      </c>
      <c r="C42" s="46" t="e">
        <f t="shared" si="2"/>
        <v>#DIV/0!</v>
      </c>
      <c r="D42" s="46" t="e">
        <f t="shared" si="3"/>
        <v>#DIV/0!</v>
      </c>
      <c r="E42" s="46" t="e">
        <f t="shared" si="4"/>
        <v>#DIV/0!</v>
      </c>
      <c r="F42" s="46" t="e">
        <f t="shared" si="5"/>
        <v>#DIV/0!</v>
      </c>
      <c r="G42" s="46" t="e">
        <f t="shared" si="6"/>
        <v>#DIV/0!</v>
      </c>
      <c r="H42" s="46" t="e">
        <f t="shared" si="7"/>
        <v>#DIV/0!</v>
      </c>
      <c r="I42" s="46" t="e">
        <f t="shared" si="8"/>
        <v>#DIV/0!</v>
      </c>
      <c r="J42" s="46" t="e">
        <f t="shared" si="9"/>
        <v>#DIV/0!</v>
      </c>
      <c r="K42" s="46" t="e">
        <f t="shared" si="10"/>
        <v>#DIV/0!</v>
      </c>
      <c r="L42" s="46" t="e">
        <f t="shared" si="11"/>
        <v>#DIV/0!</v>
      </c>
      <c r="M42" s="46" t="e">
        <f t="shared" si="12"/>
        <v>#DIV/0!</v>
      </c>
      <c r="N42" s="46" t="e">
        <f t="shared" si="13"/>
        <v>#DIV/0!</v>
      </c>
      <c r="O42" s="46" t="e">
        <f t="shared" si="14"/>
        <v>#DIV/0!</v>
      </c>
      <c r="P42" s="46" t="e">
        <f t="shared" si="15"/>
        <v>#DIV/0!</v>
      </c>
      <c r="Q42" s="56" t="e">
        <f>Q41+ATM_Conf!$C$5*(B41)/(Links!B$191*Links!Q$191)</f>
        <v>#DIV/0!</v>
      </c>
      <c r="R42" s="56" t="e">
        <f>R41+ATM_Conf!$C$5*(C41-B41)/(Links!C$191*Links!R$191)</f>
        <v>#DIV/0!</v>
      </c>
      <c r="S42" s="56" t="e">
        <f>S41+ATM_Conf!$C$5*(D41-C41)/(Links!D$191*Links!S$191)</f>
        <v>#DIV/0!</v>
      </c>
      <c r="T42" s="56" t="e">
        <f>T41+ATM_Conf!$C$5*(E41-D41)/(Links!E$191*Links!T$191)</f>
        <v>#DIV/0!</v>
      </c>
      <c r="U42" s="56" t="e">
        <f>U41+ATM_Conf!$C$5*(F41-E41)/(Links!F$191*Links!U$191)</f>
        <v>#DIV/0!</v>
      </c>
      <c r="V42" s="56" t="e">
        <f>V41+ATM_Conf!$C$5*(G41-F41)/(Links!G$191*Links!V$191)</f>
        <v>#DIV/0!</v>
      </c>
      <c r="W42" s="56" t="e">
        <f>W41+ATM_Conf!$C$5*(H41-G41)/(Links!H$191*Links!W$191)</f>
        <v>#DIV/0!</v>
      </c>
      <c r="X42" s="56" t="e">
        <f>X41+ATM_Conf!$C$5*(I41-H41)/(Links!I$191*Links!X$191)</f>
        <v>#DIV/0!</v>
      </c>
      <c r="Y42" s="56" t="e">
        <f>Y41+ATM_Conf!$C$5*(J41)/(Links!J$191*Links!Y$191)</f>
        <v>#DIV/0!</v>
      </c>
      <c r="Z42" s="56" t="e">
        <f>Z41+ATM_Conf!$C$5*(K41-J41)/(Links!K$191*Links!Z$191)</f>
        <v>#DIV/0!</v>
      </c>
      <c r="AA42" s="56" t="e">
        <f>AA41+ATM_Conf!$C$5*(L41-K41)/(Links!L$191*Links!AA$191)</f>
        <v>#DIV/0!</v>
      </c>
      <c r="AB42" s="56" t="e">
        <f>AB41+ATM_Conf!$C$5*(M41-L41)/(Links!M$191*Links!AB$191)</f>
        <v>#DIV/0!</v>
      </c>
      <c r="AC42" s="56" t="e">
        <f>AC41+ATM_Conf!$C$5*(N41-M41)/(Links!N$191*Links!AC$191)</f>
        <v>#DIV/0!</v>
      </c>
      <c r="AD42" s="56" t="e">
        <f>AD41+ATM_Conf!$C$5*(O41-N41)/(Links!O$191*Links!AD$191)</f>
        <v>#DIV/0!</v>
      </c>
      <c r="AE42" s="56" t="e">
        <f>AE41+ATM_Conf!$C$5*(P41-O41)/(Links!P$191*Links!AE$191)</f>
        <v>#DIV/0!</v>
      </c>
      <c r="AF42" s="46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6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6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6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6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6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6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6" t="e">
        <f>AM41+(ATM_Conf!$C$5/ATM_Conf!$C$8)*(Links!BB41*EXP((-(Links!X41/Links!BQ41)^Links!CF41)/Links!CF41)-Links!AM41)+(ATM_Conf!$C$5/Links!X$191)*Links!AM41*(Nodes!BH41-Links!AM41)</f>
        <v>#DIV/0!</v>
      </c>
      <c r="AN42" s="46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6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6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6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6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6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6" t="e">
        <f>AT41+(ATM_Conf!$C$5/ATM_Conf!$C$8)*(Links!BI41*EXP((-(Links!AE41/Links!BX41)^Links!CM41)/Links!CM41)-Links!AT41)+(ATM_Conf!$C$5/Links!AE$191)*Links!AT41*(Nodes!BN41-Links!AT41)</f>
        <v>#DIV/0!</v>
      </c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46">
        <f t="shared" si="26"/>
        <v>0</v>
      </c>
      <c r="CO42" s="46">
        <f t="shared" si="26"/>
        <v>0</v>
      </c>
      <c r="CP42" s="46">
        <f t="shared" si="26"/>
        <v>0</v>
      </c>
      <c r="CQ42" s="46">
        <f t="shared" si="26"/>
        <v>0</v>
      </c>
      <c r="CR42" s="46">
        <f t="shared" si="26"/>
        <v>0</v>
      </c>
      <c r="CS42" s="46">
        <f t="shared" si="26"/>
        <v>0</v>
      </c>
      <c r="CT42" s="46">
        <f t="shared" si="26"/>
        <v>0</v>
      </c>
      <c r="CU42" s="46">
        <f t="shared" si="26"/>
        <v>0</v>
      </c>
      <c r="CV42" s="46">
        <f t="shared" si="26"/>
        <v>0</v>
      </c>
      <c r="CW42" s="46">
        <f t="shared" si="26"/>
        <v>0</v>
      </c>
      <c r="CX42" s="46">
        <f t="shared" si="26"/>
        <v>0</v>
      </c>
      <c r="CY42" s="46">
        <f t="shared" si="26"/>
        <v>0</v>
      </c>
      <c r="CZ42" s="46">
        <f t="shared" si="26"/>
        <v>0</v>
      </c>
      <c r="DA42" s="46">
        <f t="shared" si="26"/>
        <v>0</v>
      </c>
      <c r="DB42" s="46">
        <f t="shared" si="26"/>
        <v>0</v>
      </c>
      <c r="DC42" s="54"/>
      <c r="DD42" s="54"/>
      <c r="DE42" s="54"/>
      <c r="DF42" s="54"/>
      <c r="DG42" s="54"/>
      <c r="DH42" s="54"/>
      <c r="DI42" s="54"/>
      <c r="DJ42" s="54"/>
      <c r="DK42" s="54"/>
      <c r="DL42" s="54"/>
      <c r="DM42" s="54"/>
      <c r="DN42" s="54"/>
      <c r="DO42" s="54"/>
      <c r="DP42" s="54"/>
      <c r="DQ42" s="54"/>
    </row>
    <row r="43" spans="1:121" ht="14.25" x14ac:dyDescent="0.15">
      <c r="A43" s="49">
        <v>41</v>
      </c>
      <c r="B43" s="46" t="e">
        <f t="shared" si="1"/>
        <v>#DIV/0!</v>
      </c>
      <c r="C43" s="46" t="e">
        <f t="shared" si="2"/>
        <v>#DIV/0!</v>
      </c>
      <c r="D43" s="46" t="e">
        <f t="shared" si="3"/>
        <v>#DIV/0!</v>
      </c>
      <c r="E43" s="46" t="e">
        <f t="shared" si="4"/>
        <v>#DIV/0!</v>
      </c>
      <c r="F43" s="46" t="e">
        <f t="shared" si="5"/>
        <v>#DIV/0!</v>
      </c>
      <c r="G43" s="46" t="e">
        <f t="shared" si="6"/>
        <v>#DIV/0!</v>
      </c>
      <c r="H43" s="46" t="e">
        <f t="shared" si="7"/>
        <v>#DIV/0!</v>
      </c>
      <c r="I43" s="46" t="e">
        <f t="shared" si="8"/>
        <v>#DIV/0!</v>
      </c>
      <c r="J43" s="46" t="e">
        <f t="shared" si="9"/>
        <v>#DIV/0!</v>
      </c>
      <c r="K43" s="46" t="e">
        <f t="shared" si="10"/>
        <v>#DIV/0!</v>
      </c>
      <c r="L43" s="46" t="e">
        <f t="shared" si="11"/>
        <v>#DIV/0!</v>
      </c>
      <c r="M43" s="46" t="e">
        <f t="shared" si="12"/>
        <v>#DIV/0!</v>
      </c>
      <c r="N43" s="46" t="e">
        <f t="shared" si="13"/>
        <v>#DIV/0!</v>
      </c>
      <c r="O43" s="46" t="e">
        <f t="shared" si="14"/>
        <v>#DIV/0!</v>
      </c>
      <c r="P43" s="46" t="e">
        <f t="shared" si="15"/>
        <v>#DIV/0!</v>
      </c>
      <c r="Q43" s="56" t="e">
        <f>Q42+ATM_Conf!$C$5*(B42)/(Links!B$191*Links!Q$191)</f>
        <v>#DIV/0!</v>
      </c>
      <c r="R43" s="56" t="e">
        <f>R42+ATM_Conf!$C$5*(C42-B42)/(Links!C$191*Links!R$191)</f>
        <v>#DIV/0!</v>
      </c>
      <c r="S43" s="56" t="e">
        <f>S42+ATM_Conf!$C$5*(D42-C42)/(Links!D$191*Links!S$191)</f>
        <v>#DIV/0!</v>
      </c>
      <c r="T43" s="56" t="e">
        <f>T42+ATM_Conf!$C$5*(E42-D42)/(Links!E$191*Links!T$191)</f>
        <v>#DIV/0!</v>
      </c>
      <c r="U43" s="56" t="e">
        <f>U42+ATM_Conf!$C$5*(F42-E42)/(Links!F$191*Links!U$191)</f>
        <v>#DIV/0!</v>
      </c>
      <c r="V43" s="56" t="e">
        <f>V42+ATM_Conf!$C$5*(G42-F42)/(Links!G$191*Links!V$191)</f>
        <v>#DIV/0!</v>
      </c>
      <c r="W43" s="56" t="e">
        <f>W42+ATM_Conf!$C$5*(H42-G42)/(Links!H$191*Links!W$191)</f>
        <v>#DIV/0!</v>
      </c>
      <c r="X43" s="56" t="e">
        <f>X42+ATM_Conf!$C$5*(I42-H42)/(Links!I$191*Links!X$191)</f>
        <v>#DIV/0!</v>
      </c>
      <c r="Y43" s="56" t="e">
        <f>Y42+ATM_Conf!$C$5*(J42)/(Links!J$191*Links!Y$191)</f>
        <v>#DIV/0!</v>
      </c>
      <c r="Z43" s="56" t="e">
        <f>Z42+ATM_Conf!$C$5*(K42-J42)/(Links!K$191*Links!Z$191)</f>
        <v>#DIV/0!</v>
      </c>
      <c r="AA43" s="56" t="e">
        <f>AA42+ATM_Conf!$C$5*(L42-K42)/(Links!L$191*Links!AA$191)</f>
        <v>#DIV/0!</v>
      </c>
      <c r="AB43" s="56" t="e">
        <f>AB42+ATM_Conf!$C$5*(M42-L42)/(Links!M$191*Links!AB$191)</f>
        <v>#DIV/0!</v>
      </c>
      <c r="AC43" s="56" t="e">
        <f>AC42+ATM_Conf!$C$5*(N42-M42)/(Links!N$191*Links!AC$191)</f>
        <v>#DIV/0!</v>
      </c>
      <c r="AD43" s="56" t="e">
        <f>AD42+ATM_Conf!$C$5*(O42-N42)/(Links!O$191*Links!AD$191)</f>
        <v>#DIV/0!</v>
      </c>
      <c r="AE43" s="56" t="e">
        <f>AE42+ATM_Conf!$C$5*(P42-O42)/(Links!P$191*Links!AE$191)</f>
        <v>#DIV/0!</v>
      </c>
      <c r="AF43" s="46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6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6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6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6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6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6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6" t="e">
        <f>AM42+(ATM_Conf!$C$5/ATM_Conf!$C$8)*(Links!BB42*EXP((-(Links!X42/Links!BQ42)^Links!CF42)/Links!CF42)-Links!AM42)+(ATM_Conf!$C$5/Links!X$191)*Links!AM42*(Nodes!BH42-Links!AM42)</f>
        <v>#DIV/0!</v>
      </c>
      <c r="AN43" s="46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6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6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6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6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6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6" t="e">
        <f>AT42+(ATM_Conf!$C$5/ATM_Conf!$C$8)*(Links!BI42*EXP((-(Links!AE42/Links!BX42)^Links!CM42)/Links!CM42)-Links!AT42)+(ATM_Conf!$C$5/Links!AE$191)*Links!AT42*(Nodes!BN42-Links!AT42)</f>
        <v>#DIV/0!</v>
      </c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46">
        <f t="shared" si="26"/>
        <v>0</v>
      </c>
      <c r="CO43" s="46">
        <f t="shared" si="26"/>
        <v>0</v>
      </c>
      <c r="CP43" s="46">
        <f t="shared" si="26"/>
        <v>0</v>
      </c>
      <c r="CQ43" s="46">
        <f t="shared" si="26"/>
        <v>0</v>
      </c>
      <c r="CR43" s="46">
        <f t="shared" si="26"/>
        <v>0</v>
      </c>
      <c r="CS43" s="46">
        <f t="shared" si="26"/>
        <v>0</v>
      </c>
      <c r="CT43" s="46">
        <f t="shared" si="26"/>
        <v>0</v>
      </c>
      <c r="CU43" s="46">
        <f t="shared" si="26"/>
        <v>0</v>
      </c>
      <c r="CV43" s="46">
        <f t="shared" si="26"/>
        <v>0</v>
      </c>
      <c r="CW43" s="46">
        <f t="shared" si="26"/>
        <v>0</v>
      </c>
      <c r="CX43" s="46">
        <f t="shared" si="26"/>
        <v>0</v>
      </c>
      <c r="CY43" s="46">
        <f t="shared" si="26"/>
        <v>0</v>
      </c>
      <c r="CZ43" s="46">
        <f t="shared" si="26"/>
        <v>0</v>
      </c>
      <c r="DA43" s="46">
        <f t="shared" si="26"/>
        <v>0</v>
      </c>
      <c r="DB43" s="46">
        <f t="shared" si="26"/>
        <v>0</v>
      </c>
      <c r="DC43" s="54"/>
      <c r="DD43" s="54"/>
      <c r="DE43" s="54"/>
      <c r="DF43" s="54"/>
      <c r="DG43" s="54"/>
      <c r="DH43" s="54"/>
      <c r="DI43" s="54"/>
      <c r="DJ43" s="54"/>
      <c r="DK43" s="54"/>
      <c r="DL43" s="54"/>
      <c r="DM43" s="54"/>
      <c r="DN43" s="54"/>
      <c r="DO43" s="54"/>
      <c r="DP43" s="54"/>
      <c r="DQ43" s="54"/>
    </row>
    <row r="44" spans="1:121" ht="14.25" x14ac:dyDescent="0.15">
      <c r="A44" s="49">
        <v>42</v>
      </c>
      <c r="B44" s="46" t="e">
        <f t="shared" si="1"/>
        <v>#DIV/0!</v>
      </c>
      <c r="C44" s="46" t="e">
        <f t="shared" si="2"/>
        <v>#DIV/0!</v>
      </c>
      <c r="D44" s="46" t="e">
        <f t="shared" si="3"/>
        <v>#DIV/0!</v>
      </c>
      <c r="E44" s="46" t="e">
        <f t="shared" si="4"/>
        <v>#DIV/0!</v>
      </c>
      <c r="F44" s="46" t="e">
        <f t="shared" si="5"/>
        <v>#DIV/0!</v>
      </c>
      <c r="G44" s="46" t="e">
        <f t="shared" si="6"/>
        <v>#DIV/0!</v>
      </c>
      <c r="H44" s="46" t="e">
        <f t="shared" si="7"/>
        <v>#DIV/0!</v>
      </c>
      <c r="I44" s="46" t="e">
        <f t="shared" si="8"/>
        <v>#DIV/0!</v>
      </c>
      <c r="J44" s="46" t="e">
        <f t="shared" si="9"/>
        <v>#DIV/0!</v>
      </c>
      <c r="K44" s="46" t="e">
        <f t="shared" si="10"/>
        <v>#DIV/0!</v>
      </c>
      <c r="L44" s="46" t="e">
        <f t="shared" si="11"/>
        <v>#DIV/0!</v>
      </c>
      <c r="M44" s="46" t="e">
        <f t="shared" si="12"/>
        <v>#DIV/0!</v>
      </c>
      <c r="N44" s="46" t="e">
        <f t="shared" si="13"/>
        <v>#DIV/0!</v>
      </c>
      <c r="O44" s="46" t="e">
        <f t="shared" si="14"/>
        <v>#DIV/0!</v>
      </c>
      <c r="P44" s="46" t="e">
        <f t="shared" si="15"/>
        <v>#DIV/0!</v>
      </c>
      <c r="Q44" s="56" t="e">
        <f>Q43+ATM_Conf!$C$5*(B43)/(Links!B$191*Links!Q$191)</f>
        <v>#DIV/0!</v>
      </c>
      <c r="R44" s="56" t="e">
        <f>R43+ATM_Conf!$C$5*(C43-B43)/(Links!C$191*Links!R$191)</f>
        <v>#DIV/0!</v>
      </c>
      <c r="S44" s="56" t="e">
        <f>S43+ATM_Conf!$C$5*(D43-C43)/(Links!D$191*Links!S$191)</f>
        <v>#DIV/0!</v>
      </c>
      <c r="T44" s="56" t="e">
        <f>T43+ATM_Conf!$C$5*(E43-D43)/(Links!E$191*Links!T$191)</f>
        <v>#DIV/0!</v>
      </c>
      <c r="U44" s="56" t="e">
        <f>U43+ATM_Conf!$C$5*(F43-E43)/(Links!F$191*Links!U$191)</f>
        <v>#DIV/0!</v>
      </c>
      <c r="V44" s="56" t="e">
        <f>V43+ATM_Conf!$C$5*(G43-F43)/(Links!G$191*Links!V$191)</f>
        <v>#DIV/0!</v>
      </c>
      <c r="W44" s="56" t="e">
        <f>W43+ATM_Conf!$C$5*(H43-G43)/(Links!H$191*Links!W$191)</f>
        <v>#DIV/0!</v>
      </c>
      <c r="X44" s="56" t="e">
        <f>X43+ATM_Conf!$C$5*(I43-H43)/(Links!I$191*Links!X$191)</f>
        <v>#DIV/0!</v>
      </c>
      <c r="Y44" s="56" t="e">
        <f>Y43+ATM_Conf!$C$5*(J43)/(Links!J$191*Links!Y$191)</f>
        <v>#DIV/0!</v>
      </c>
      <c r="Z44" s="56" t="e">
        <f>Z43+ATM_Conf!$C$5*(K43-J43)/(Links!K$191*Links!Z$191)</f>
        <v>#DIV/0!</v>
      </c>
      <c r="AA44" s="56" t="e">
        <f>AA43+ATM_Conf!$C$5*(L43-K43)/(Links!L$191*Links!AA$191)</f>
        <v>#DIV/0!</v>
      </c>
      <c r="AB44" s="56" t="e">
        <f>AB43+ATM_Conf!$C$5*(M43-L43)/(Links!M$191*Links!AB$191)</f>
        <v>#DIV/0!</v>
      </c>
      <c r="AC44" s="56" t="e">
        <f>AC43+ATM_Conf!$C$5*(N43-M43)/(Links!N$191*Links!AC$191)</f>
        <v>#DIV/0!</v>
      </c>
      <c r="AD44" s="56" t="e">
        <f>AD43+ATM_Conf!$C$5*(O43-N43)/(Links!O$191*Links!AD$191)</f>
        <v>#DIV/0!</v>
      </c>
      <c r="AE44" s="56" t="e">
        <f>AE43+ATM_Conf!$C$5*(P43-O43)/(Links!P$191*Links!AE$191)</f>
        <v>#DIV/0!</v>
      </c>
      <c r="AF44" s="46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6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6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6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6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6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6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6" t="e">
        <f>AM43+(ATM_Conf!$C$5/ATM_Conf!$C$8)*(Links!BB43*EXP((-(Links!X43/Links!BQ43)^Links!CF43)/Links!CF43)-Links!AM43)+(ATM_Conf!$C$5/Links!X$191)*Links!AM43*(Nodes!BH43-Links!AM43)</f>
        <v>#DIV/0!</v>
      </c>
      <c r="AN44" s="46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6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6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6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6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6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6" t="e">
        <f>AT43+(ATM_Conf!$C$5/ATM_Conf!$C$8)*(Links!BI43*EXP((-(Links!AE43/Links!BX43)^Links!CM43)/Links!CM43)-Links!AT43)+(ATM_Conf!$C$5/Links!AE$191)*Links!AT43*(Nodes!BN43-Links!AT43)</f>
        <v>#DIV/0!</v>
      </c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46">
        <f t="shared" si="26"/>
        <v>0</v>
      </c>
      <c r="CO44" s="46">
        <f t="shared" si="26"/>
        <v>0</v>
      </c>
      <c r="CP44" s="46">
        <f t="shared" si="26"/>
        <v>0</v>
      </c>
      <c r="CQ44" s="46">
        <f t="shared" si="26"/>
        <v>0</v>
      </c>
      <c r="CR44" s="46">
        <f t="shared" si="26"/>
        <v>0</v>
      </c>
      <c r="CS44" s="46">
        <f t="shared" si="26"/>
        <v>0</v>
      </c>
      <c r="CT44" s="46">
        <f t="shared" si="26"/>
        <v>0</v>
      </c>
      <c r="CU44" s="46">
        <f t="shared" si="26"/>
        <v>0</v>
      </c>
      <c r="CV44" s="46">
        <f t="shared" si="26"/>
        <v>0</v>
      </c>
      <c r="CW44" s="46">
        <f t="shared" si="26"/>
        <v>0</v>
      </c>
      <c r="CX44" s="46">
        <f t="shared" si="26"/>
        <v>0</v>
      </c>
      <c r="CY44" s="46">
        <f t="shared" si="26"/>
        <v>0</v>
      </c>
      <c r="CZ44" s="46">
        <f t="shared" si="26"/>
        <v>0</v>
      </c>
      <c r="DA44" s="46">
        <f t="shared" si="26"/>
        <v>0</v>
      </c>
      <c r="DB44" s="46">
        <f t="shared" si="26"/>
        <v>0</v>
      </c>
      <c r="DC44" s="54"/>
      <c r="DD44" s="54"/>
      <c r="DE44" s="54"/>
      <c r="DF44" s="54"/>
      <c r="DG44" s="54"/>
      <c r="DH44" s="54"/>
      <c r="DI44" s="54"/>
      <c r="DJ44" s="54"/>
      <c r="DK44" s="54"/>
      <c r="DL44" s="54"/>
      <c r="DM44" s="54"/>
      <c r="DN44" s="54"/>
      <c r="DO44" s="54"/>
      <c r="DP44" s="54"/>
      <c r="DQ44" s="54"/>
    </row>
    <row r="45" spans="1:121" ht="14.25" x14ac:dyDescent="0.15">
      <c r="A45" s="49">
        <v>43</v>
      </c>
      <c r="B45" s="46" t="e">
        <f t="shared" si="1"/>
        <v>#DIV/0!</v>
      </c>
      <c r="C45" s="46" t="e">
        <f t="shared" si="2"/>
        <v>#DIV/0!</v>
      </c>
      <c r="D45" s="46" t="e">
        <f t="shared" si="3"/>
        <v>#DIV/0!</v>
      </c>
      <c r="E45" s="46" t="e">
        <f t="shared" si="4"/>
        <v>#DIV/0!</v>
      </c>
      <c r="F45" s="46" t="e">
        <f t="shared" si="5"/>
        <v>#DIV/0!</v>
      </c>
      <c r="G45" s="46" t="e">
        <f t="shared" si="6"/>
        <v>#DIV/0!</v>
      </c>
      <c r="H45" s="46" t="e">
        <f t="shared" si="7"/>
        <v>#DIV/0!</v>
      </c>
      <c r="I45" s="46" t="e">
        <f t="shared" si="8"/>
        <v>#DIV/0!</v>
      </c>
      <c r="J45" s="46" t="e">
        <f t="shared" si="9"/>
        <v>#DIV/0!</v>
      </c>
      <c r="K45" s="46" t="e">
        <f t="shared" si="10"/>
        <v>#DIV/0!</v>
      </c>
      <c r="L45" s="46" t="e">
        <f t="shared" si="11"/>
        <v>#DIV/0!</v>
      </c>
      <c r="M45" s="46" t="e">
        <f t="shared" si="12"/>
        <v>#DIV/0!</v>
      </c>
      <c r="N45" s="46" t="e">
        <f t="shared" si="13"/>
        <v>#DIV/0!</v>
      </c>
      <c r="O45" s="46" t="e">
        <f t="shared" si="14"/>
        <v>#DIV/0!</v>
      </c>
      <c r="P45" s="46" t="e">
        <f t="shared" si="15"/>
        <v>#DIV/0!</v>
      </c>
      <c r="Q45" s="56" t="e">
        <f>Q44+ATM_Conf!$C$5*(B44)/(Links!B$191*Links!Q$191)</f>
        <v>#DIV/0!</v>
      </c>
      <c r="R45" s="56" t="e">
        <f>R44+ATM_Conf!$C$5*(C44-B44)/(Links!C$191*Links!R$191)</f>
        <v>#DIV/0!</v>
      </c>
      <c r="S45" s="56" t="e">
        <f>S44+ATM_Conf!$C$5*(D44-C44)/(Links!D$191*Links!S$191)</f>
        <v>#DIV/0!</v>
      </c>
      <c r="T45" s="56" t="e">
        <f>T44+ATM_Conf!$C$5*(E44-D44)/(Links!E$191*Links!T$191)</f>
        <v>#DIV/0!</v>
      </c>
      <c r="U45" s="56" t="e">
        <f>U44+ATM_Conf!$C$5*(F44-E44)/(Links!F$191*Links!U$191)</f>
        <v>#DIV/0!</v>
      </c>
      <c r="V45" s="56" t="e">
        <f>V44+ATM_Conf!$C$5*(G44-F44)/(Links!G$191*Links!V$191)</f>
        <v>#DIV/0!</v>
      </c>
      <c r="W45" s="56" t="e">
        <f>W44+ATM_Conf!$C$5*(H44-G44)/(Links!H$191*Links!W$191)</f>
        <v>#DIV/0!</v>
      </c>
      <c r="X45" s="56" t="e">
        <f>X44+ATM_Conf!$C$5*(I44-H44)/(Links!I$191*Links!X$191)</f>
        <v>#DIV/0!</v>
      </c>
      <c r="Y45" s="56" t="e">
        <f>Y44+ATM_Conf!$C$5*(J44)/(Links!J$191*Links!Y$191)</f>
        <v>#DIV/0!</v>
      </c>
      <c r="Z45" s="56" t="e">
        <f>Z44+ATM_Conf!$C$5*(K44-J44)/(Links!K$191*Links!Z$191)</f>
        <v>#DIV/0!</v>
      </c>
      <c r="AA45" s="56" t="e">
        <f>AA44+ATM_Conf!$C$5*(L44-K44)/(Links!L$191*Links!AA$191)</f>
        <v>#DIV/0!</v>
      </c>
      <c r="AB45" s="56" t="e">
        <f>AB44+ATM_Conf!$C$5*(M44-L44)/(Links!M$191*Links!AB$191)</f>
        <v>#DIV/0!</v>
      </c>
      <c r="AC45" s="56" t="e">
        <f>AC44+ATM_Conf!$C$5*(N44-M44)/(Links!N$191*Links!AC$191)</f>
        <v>#DIV/0!</v>
      </c>
      <c r="AD45" s="56" t="e">
        <f>AD44+ATM_Conf!$C$5*(O44-N44)/(Links!O$191*Links!AD$191)</f>
        <v>#DIV/0!</v>
      </c>
      <c r="AE45" s="56" t="e">
        <f>AE44+ATM_Conf!$C$5*(P44-O44)/(Links!P$191*Links!AE$191)</f>
        <v>#DIV/0!</v>
      </c>
      <c r="AF45" s="46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6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6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6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6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6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6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6" t="e">
        <f>AM44+(ATM_Conf!$C$5/ATM_Conf!$C$8)*(Links!BB44*EXP((-(Links!X44/Links!BQ44)^Links!CF44)/Links!CF44)-Links!AM44)+(ATM_Conf!$C$5/Links!X$191)*Links!AM44*(Nodes!BH44-Links!AM44)</f>
        <v>#DIV/0!</v>
      </c>
      <c r="AN45" s="46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6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6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6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6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6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6" t="e">
        <f>AT44+(ATM_Conf!$C$5/ATM_Conf!$C$8)*(Links!BI44*EXP((-(Links!AE44/Links!BX44)^Links!CM44)/Links!CM44)-Links!AT44)+(ATM_Conf!$C$5/Links!AE$191)*Links!AT44*(Nodes!BN44-Links!AT44)</f>
        <v>#DIV/0!</v>
      </c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56"/>
      <c r="BZ45" s="56"/>
      <c r="CA45" s="56"/>
      <c r="CB45" s="56"/>
      <c r="CC45" s="56"/>
      <c r="CD45" s="56"/>
      <c r="CE45" s="56"/>
      <c r="CF45" s="56"/>
      <c r="CG45" s="56"/>
      <c r="CH45" s="56"/>
      <c r="CI45" s="56"/>
      <c r="CJ45" s="56"/>
      <c r="CK45" s="56"/>
      <c r="CL45" s="56"/>
      <c r="CM45" s="56"/>
      <c r="CN45" s="46">
        <f t="shared" si="26"/>
        <v>0</v>
      </c>
      <c r="CO45" s="46">
        <f t="shared" si="26"/>
        <v>0</v>
      </c>
      <c r="CP45" s="46">
        <f t="shared" si="26"/>
        <v>0</v>
      </c>
      <c r="CQ45" s="46">
        <f t="shared" si="26"/>
        <v>0</v>
      </c>
      <c r="CR45" s="46">
        <f t="shared" si="26"/>
        <v>0</v>
      </c>
      <c r="CS45" s="46">
        <f t="shared" si="26"/>
        <v>0</v>
      </c>
      <c r="CT45" s="46">
        <f t="shared" si="26"/>
        <v>0</v>
      </c>
      <c r="CU45" s="46">
        <f t="shared" si="26"/>
        <v>0</v>
      </c>
      <c r="CV45" s="46">
        <f t="shared" si="26"/>
        <v>0</v>
      </c>
      <c r="CW45" s="46">
        <f t="shared" si="26"/>
        <v>0</v>
      </c>
      <c r="CX45" s="46">
        <f t="shared" si="26"/>
        <v>0</v>
      </c>
      <c r="CY45" s="46">
        <f t="shared" si="26"/>
        <v>0</v>
      </c>
      <c r="CZ45" s="46">
        <f t="shared" si="26"/>
        <v>0</v>
      </c>
      <c r="DA45" s="46">
        <f t="shared" si="26"/>
        <v>0</v>
      </c>
      <c r="DB45" s="46">
        <f t="shared" si="26"/>
        <v>0</v>
      </c>
      <c r="DC45" s="54"/>
      <c r="DD45" s="54"/>
      <c r="DE45" s="54"/>
      <c r="DF45" s="54"/>
      <c r="DG45" s="54"/>
      <c r="DH45" s="54"/>
      <c r="DI45" s="54"/>
      <c r="DJ45" s="54"/>
      <c r="DK45" s="54"/>
      <c r="DL45" s="54"/>
      <c r="DM45" s="54"/>
      <c r="DN45" s="54"/>
      <c r="DO45" s="54"/>
      <c r="DP45" s="54"/>
      <c r="DQ45" s="54"/>
    </row>
    <row r="46" spans="1:121" ht="14.25" x14ac:dyDescent="0.15">
      <c r="A46" s="49">
        <v>44</v>
      </c>
      <c r="B46" s="46" t="e">
        <f t="shared" si="1"/>
        <v>#DIV/0!</v>
      </c>
      <c r="C46" s="46" t="e">
        <f t="shared" si="2"/>
        <v>#DIV/0!</v>
      </c>
      <c r="D46" s="46" t="e">
        <f t="shared" si="3"/>
        <v>#DIV/0!</v>
      </c>
      <c r="E46" s="46" t="e">
        <f t="shared" si="4"/>
        <v>#DIV/0!</v>
      </c>
      <c r="F46" s="46" t="e">
        <f t="shared" si="5"/>
        <v>#DIV/0!</v>
      </c>
      <c r="G46" s="46" t="e">
        <f t="shared" si="6"/>
        <v>#DIV/0!</v>
      </c>
      <c r="H46" s="46" t="e">
        <f t="shared" si="7"/>
        <v>#DIV/0!</v>
      </c>
      <c r="I46" s="46" t="e">
        <f t="shared" si="8"/>
        <v>#DIV/0!</v>
      </c>
      <c r="J46" s="46" t="e">
        <f t="shared" si="9"/>
        <v>#DIV/0!</v>
      </c>
      <c r="K46" s="46" t="e">
        <f t="shared" si="10"/>
        <v>#DIV/0!</v>
      </c>
      <c r="L46" s="46" t="e">
        <f t="shared" si="11"/>
        <v>#DIV/0!</v>
      </c>
      <c r="M46" s="46" t="e">
        <f t="shared" si="12"/>
        <v>#DIV/0!</v>
      </c>
      <c r="N46" s="46" t="e">
        <f t="shared" si="13"/>
        <v>#DIV/0!</v>
      </c>
      <c r="O46" s="46" t="e">
        <f t="shared" si="14"/>
        <v>#DIV/0!</v>
      </c>
      <c r="P46" s="46" t="e">
        <f t="shared" si="15"/>
        <v>#DIV/0!</v>
      </c>
      <c r="Q46" s="56" t="e">
        <f>Q45+ATM_Conf!$C$5*(B45)/(Links!B$191*Links!Q$191)</f>
        <v>#DIV/0!</v>
      </c>
      <c r="R46" s="56" t="e">
        <f>R45+ATM_Conf!$C$5*(C45-B45)/(Links!C$191*Links!R$191)</f>
        <v>#DIV/0!</v>
      </c>
      <c r="S46" s="56" t="e">
        <f>S45+ATM_Conf!$C$5*(D45-C45)/(Links!D$191*Links!S$191)</f>
        <v>#DIV/0!</v>
      </c>
      <c r="T46" s="56" t="e">
        <f>T45+ATM_Conf!$C$5*(E45-D45)/(Links!E$191*Links!T$191)</f>
        <v>#DIV/0!</v>
      </c>
      <c r="U46" s="56" t="e">
        <f>U45+ATM_Conf!$C$5*(F45-E45)/(Links!F$191*Links!U$191)</f>
        <v>#DIV/0!</v>
      </c>
      <c r="V46" s="56" t="e">
        <f>V45+ATM_Conf!$C$5*(G45-F45)/(Links!G$191*Links!V$191)</f>
        <v>#DIV/0!</v>
      </c>
      <c r="W46" s="56" t="e">
        <f>W45+ATM_Conf!$C$5*(H45-G45)/(Links!H$191*Links!W$191)</f>
        <v>#DIV/0!</v>
      </c>
      <c r="X46" s="56" t="e">
        <f>X45+ATM_Conf!$C$5*(I45-H45)/(Links!I$191*Links!X$191)</f>
        <v>#DIV/0!</v>
      </c>
      <c r="Y46" s="56" t="e">
        <f>Y45+ATM_Conf!$C$5*(J45)/(Links!J$191*Links!Y$191)</f>
        <v>#DIV/0!</v>
      </c>
      <c r="Z46" s="56" t="e">
        <f>Z45+ATM_Conf!$C$5*(K45-J45)/(Links!K$191*Links!Z$191)</f>
        <v>#DIV/0!</v>
      </c>
      <c r="AA46" s="56" t="e">
        <f>AA45+ATM_Conf!$C$5*(L45-K45)/(Links!L$191*Links!AA$191)</f>
        <v>#DIV/0!</v>
      </c>
      <c r="AB46" s="56" t="e">
        <f>AB45+ATM_Conf!$C$5*(M45-L45)/(Links!M$191*Links!AB$191)</f>
        <v>#DIV/0!</v>
      </c>
      <c r="AC46" s="56" t="e">
        <f>AC45+ATM_Conf!$C$5*(N45-M45)/(Links!N$191*Links!AC$191)</f>
        <v>#DIV/0!</v>
      </c>
      <c r="AD46" s="56" t="e">
        <f>AD45+ATM_Conf!$C$5*(O45-N45)/(Links!O$191*Links!AD$191)</f>
        <v>#DIV/0!</v>
      </c>
      <c r="AE46" s="56" t="e">
        <f>AE45+ATM_Conf!$C$5*(P45-O45)/(Links!P$191*Links!AE$191)</f>
        <v>#DIV/0!</v>
      </c>
      <c r="AF46" s="46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6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6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6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6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6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6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6" t="e">
        <f>AM45+(ATM_Conf!$C$5/ATM_Conf!$C$8)*(Links!BB45*EXP((-(Links!X45/Links!BQ45)^Links!CF45)/Links!CF45)-Links!AM45)+(ATM_Conf!$C$5/Links!X$191)*Links!AM45*(Nodes!BH45-Links!AM45)</f>
        <v>#DIV/0!</v>
      </c>
      <c r="AN46" s="46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6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6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6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6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6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6" t="e">
        <f>AT45+(ATM_Conf!$C$5/ATM_Conf!$C$8)*(Links!BI45*EXP((-(Links!AE45/Links!BX45)^Links!CM45)/Links!CM45)-Links!AT45)+(ATM_Conf!$C$5/Links!AE$191)*Links!AT45*(Nodes!BN45-Links!AT45)</f>
        <v>#DIV/0!</v>
      </c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46">
        <f t="shared" si="26"/>
        <v>0</v>
      </c>
      <c r="CO46" s="46">
        <f t="shared" si="26"/>
        <v>0</v>
      </c>
      <c r="CP46" s="46">
        <f t="shared" si="26"/>
        <v>0</v>
      </c>
      <c r="CQ46" s="46">
        <f t="shared" si="26"/>
        <v>0</v>
      </c>
      <c r="CR46" s="46">
        <f t="shared" si="26"/>
        <v>0</v>
      </c>
      <c r="CS46" s="46">
        <f t="shared" si="26"/>
        <v>0</v>
      </c>
      <c r="CT46" s="46">
        <f t="shared" si="26"/>
        <v>0</v>
      </c>
      <c r="CU46" s="46">
        <f t="shared" si="26"/>
        <v>0</v>
      </c>
      <c r="CV46" s="46">
        <f t="shared" si="26"/>
        <v>0</v>
      </c>
      <c r="CW46" s="46">
        <f t="shared" si="26"/>
        <v>0</v>
      </c>
      <c r="CX46" s="46">
        <f t="shared" si="26"/>
        <v>0</v>
      </c>
      <c r="CY46" s="46">
        <f t="shared" si="26"/>
        <v>0</v>
      </c>
      <c r="CZ46" s="46">
        <f t="shared" si="26"/>
        <v>0</v>
      </c>
      <c r="DA46" s="46">
        <f t="shared" si="26"/>
        <v>0</v>
      </c>
      <c r="DB46" s="46">
        <f t="shared" si="26"/>
        <v>0</v>
      </c>
      <c r="DC46" s="54"/>
      <c r="DD46" s="54"/>
      <c r="DE46" s="54"/>
      <c r="DF46" s="54"/>
      <c r="DG46" s="54"/>
      <c r="DH46" s="54"/>
      <c r="DI46" s="54"/>
      <c r="DJ46" s="54"/>
      <c r="DK46" s="54"/>
      <c r="DL46" s="54"/>
      <c r="DM46" s="54"/>
      <c r="DN46" s="54"/>
      <c r="DO46" s="54"/>
      <c r="DP46" s="54"/>
      <c r="DQ46" s="54"/>
    </row>
    <row r="47" spans="1:121" ht="14.25" x14ac:dyDescent="0.15">
      <c r="A47" s="49">
        <v>45</v>
      </c>
      <c r="B47" s="46" t="e">
        <f t="shared" si="1"/>
        <v>#DIV/0!</v>
      </c>
      <c r="C47" s="46" t="e">
        <f t="shared" si="2"/>
        <v>#DIV/0!</v>
      </c>
      <c r="D47" s="46" t="e">
        <f t="shared" si="3"/>
        <v>#DIV/0!</v>
      </c>
      <c r="E47" s="46" t="e">
        <f t="shared" si="4"/>
        <v>#DIV/0!</v>
      </c>
      <c r="F47" s="46" t="e">
        <f t="shared" si="5"/>
        <v>#DIV/0!</v>
      </c>
      <c r="G47" s="46" t="e">
        <f t="shared" si="6"/>
        <v>#DIV/0!</v>
      </c>
      <c r="H47" s="46" t="e">
        <f t="shared" si="7"/>
        <v>#DIV/0!</v>
      </c>
      <c r="I47" s="46" t="e">
        <f t="shared" si="8"/>
        <v>#DIV/0!</v>
      </c>
      <c r="J47" s="46" t="e">
        <f t="shared" si="9"/>
        <v>#DIV/0!</v>
      </c>
      <c r="K47" s="46" t="e">
        <f t="shared" si="10"/>
        <v>#DIV/0!</v>
      </c>
      <c r="L47" s="46" t="e">
        <f t="shared" si="11"/>
        <v>#DIV/0!</v>
      </c>
      <c r="M47" s="46" t="e">
        <f t="shared" si="12"/>
        <v>#DIV/0!</v>
      </c>
      <c r="N47" s="46" t="e">
        <f t="shared" si="13"/>
        <v>#DIV/0!</v>
      </c>
      <c r="O47" s="46" t="e">
        <f t="shared" si="14"/>
        <v>#DIV/0!</v>
      </c>
      <c r="P47" s="46" t="e">
        <f t="shared" si="15"/>
        <v>#DIV/0!</v>
      </c>
      <c r="Q47" s="56" t="e">
        <f>Q46+ATM_Conf!$C$5*(B46)/(Links!B$191*Links!Q$191)</f>
        <v>#DIV/0!</v>
      </c>
      <c r="R47" s="56" t="e">
        <f>R46+ATM_Conf!$C$5*(C46-B46)/(Links!C$191*Links!R$191)</f>
        <v>#DIV/0!</v>
      </c>
      <c r="S47" s="56" t="e">
        <f>S46+ATM_Conf!$C$5*(D46-C46)/(Links!D$191*Links!S$191)</f>
        <v>#DIV/0!</v>
      </c>
      <c r="T47" s="56" t="e">
        <f>T46+ATM_Conf!$C$5*(E46-D46)/(Links!E$191*Links!T$191)</f>
        <v>#DIV/0!</v>
      </c>
      <c r="U47" s="56" t="e">
        <f>U46+ATM_Conf!$C$5*(F46-E46)/(Links!F$191*Links!U$191)</f>
        <v>#DIV/0!</v>
      </c>
      <c r="V47" s="56" t="e">
        <f>V46+ATM_Conf!$C$5*(G46-F46)/(Links!G$191*Links!V$191)</f>
        <v>#DIV/0!</v>
      </c>
      <c r="W47" s="56" t="e">
        <f>W46+ATM_Conf!$C$5*(H46-G46)/(Links!H$191*Links!W$191)</f>
        <v>#DIV/0!</v>
      </c>
      <c r="X47" s="56" t="e">
        <f>X46+ATM_Conf!$C$5*(I46-H46)/(Links!I$191*Links!X$191)</f>
        <v>#DIV/0!</v>
      </c>
      <c r="Y47" s="56" t="e">
        <f>Y46+ATM_Conf!$C$5*(J46)/(Links!J$191*Links!Y$191)</f>
        <v>#DIV/0!</v>
      </c>
      <c r="Z47" s="56" t="e">
        <f>Z46+ATM_Conf!$C$5*(K46-J46)/(Links!K$191*Links!Z$191)</f>
        <v>#DIV/0!</v>
      </c>
      <c r="AA47" s="56" t="e">
        <f>AA46+ATM_Conf!$C$5*(L46-K46)/(Links!L$191*Links!AA$191)</f>
        <v>#DIV/0!</v>
      </c>
      <c r="AB47" s="56" t="e">
        <f>AB46+ATM_Conf!$C$5*(M46-L46)/(Links!M$191*Links!AB$191)</f>
        <v>#DIV/0!</v>
      </c>
      <c r="AC47" s="56" t="e">
        <f>AC46+ATM_Conf!$C$5*(N46-M46)/(Links!N$191*Links!AC$191)</f>
        <v>#DIV/0!</v>
      </c>
      <c r="AD47" s="56" t="e">
        <f>AD46+ATM_Conf!$C$5*(O46-N46)/(Links!O$191*Links!AD$191)</f>
        <v>#DIV/0!</v>
      </c>
      <c r="AE47" s="56" t="e">
        <f>AE46+ATM_Conf!$C$5*(P46-O46)/(Links!P$191*Links!AE$191)</f>
        <v>#DIV/0!</v>
      </c>
      <c r="AF47" s="46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6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6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6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6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6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6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6" t="e">
        <f>AM46+(ATM_Conf!$C$5/ATM_Conf!$C$8)*(Links!BB46*EXP((-(Links!X46/Links!BQ46)^Links!CF46)/Links!CF46)-Links!AM46)+(ATM_Conf!$C$5/Links!X$191)*Links!AM46*(Nodes!BH46-Links!AM46)</f>
        <v>#DIV/0!</v>
      </c>
      <c r="AN47" s="46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6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6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6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6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6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6" t="e">
        <f>AT46+(ATM_Conf!$C$5/ATM_Conf!$C$8)*(Links!BI46*EXP((-(Links!AE46/Links!BX46)^Links!CM46)/Links!CM46)-Links!AT46)+(ATM_Conf!$C$5/Links!AE$191)*Links!AT46*(Nodes!BN46-Links!AT46)</f>
        <v>#DIV/0!</v>
      </c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56"/>
      <c r="BZ47" s="56"/>
      <c r="CA47" s="56"/>
      <c r="CB47" s="56"/>
      <c r="CC47" s="56"/>
      <c r="CD47" s="56"/>
      <c r="CE47" s="56"/>
      <c r="CF47" s="56"/>
      <c r="CG47" s="56"/>
      <c r="CH47" s="56"/>
      <c r="CI47" s="56"/>
      <c r="CJ47" s="56"/>
      <c r="CK47" s="56"/>
      <c r="CL47" s="56"/>
      <c r="CM47" s="56"/>
      <c r="CN47" s="46">
        <f t="shared" si="26"/>
        <v>0</v>
      </c>
      <c r="CO47" s="46">
        <f t="shared" si="26"/>
        <v>0</v>
      </c>
      <c r="CP47" s="46">
        <f t="shared" si="26"/>
        <v>0</v>
      </c>
      <c r="CQ47" s="46">
        <f t="shared" si="26"/>
        <v>0</v>
      </c>
      <c r="CR47" s="46">
        <f t="shared" si="26"/>
        <v>0</v>
      </c>
      <c r="CS47" s="46">
        <f t="shared" si="26"/>
        <v>0</v>
      </c>
      <c r="CT47" s="46">
        <f t="shared" si="26"/>
        <v>0</v>
      </c>
      <c r="CU47" s="46">
        <f t="shared" si="26"/>
        <v>0</v>
      </c>
      <c r="CV47" s="46">
        <f t="shared" si="26"/>
        <v>0</v>
      </c>
      <c r="CW47" s="46">
        <f t="shared" si="26"/>
        <v>0</v>
      </c>
      <c r="CX47" s="46">
        <f t="shared" si="26"/>
        <v>0</v>
      </c>
      <c r="CY47" s="46">
        <f t="shared" si="26"/>
        <v>0</v>
      </c>
      <c r="CZ47" s="46">
        <f t="shared" si="26"/>
        <v>0</v>
      </c>
      <c r="DA47" s="46">
        <f t="shared" si="26"/>
        <v>0</v>
      </c>
      <c r="DB47" s="46">
        <f t="shared" si="26"/>
        <v>0</v>
      </c>
      <c r="DC47" s="54"/>
      <c r="DD47" s="54"/>
      <c r="DE47" s="54"/>
      <c r="DF47" s="54"/>
      <c r="DG47" s="54"/>
      <c r="DH47" s="54"/>
      <c r="DI47" s="54"/>
      <c r="DJ47" s="54"/>
      <c r="DK47" s="54"/>
      <c r="DL47" s="54"/>
      <c r="DM47" s="54"/>
      <c r="DN47" s="54"/>
      <c r="DO47" s="54"/>
      <c r="DP47" s="54"/>
      <c r="DQ47" s="54"/>
    </row>
    <row r="48" spans="1:121" ht="14.25" x14ac:dyDescent="0.15">
      <c r="A48" s="49">
        <v>46</v>
      </c>
      <c r="B48" s="46" t="e">
        <f t="shared" si="1"/>
        <v>#DIV/0!</v>
      </c>
      <c r="C48" s="46" t="e">
        <f t="shared" si="2"/>
        <v>#DIV/0!</v>
      </c>
      <c r="D48" s="46" t="e">
        <f t="shared" si="3"/>
        <v>#DIV/0!</v>
      </c>
      <c r="E48" s="46" t="e">
        <f t="shared" si="4"/>
        <v>#DIV/0!</v>
      </c>
      <c r="F48" s="46" t="e">
        <f t="shared" si="5"/>
        <v>#DIV/0!</v>
      </c>
      <c r="G48" s="46" t="e">
        <f t="shared" si="6"/>
        <v>#DIV/0!</v>
      </c>
      <c r="H48" s="46" t="e">
        <f t="shared" si="7"/>
        <v>#DIV/0!</v>
      </c>
      <c r="I48" s="46" t="e">
        <f t="shared" si="8"/>
        <v>#DIV/0!</v>
      </c>
      <c r="J48" s="46" t="e">
        <f t="shared" si="9"/>
        <v>#DIV/0!</v>
      </c>
      <c r="K48" s="46" t="e">
        <f t="shared" si="10"/>
        <v>#DIV/0!</v>
      </c>
      <c r="L48" s="46" t="e">
        <f t="shared" si="11"/>
        <v>#DIV/0!</v>
      </c>
      <c r="M48" s="46" t="e">
        <f t="shared" si="12"/>
        <v>#DIV/0!</v>
      </c>
      <c r="N48" s="46" t="e">
        <f t="shared" si="13"/>
        <v>#DIV/0!</v>
      </c>
      <c r="O48" s="46" t="e">
        <f t="shared" si="14"/>
        <v>#DIV/0!</v>
      </c>
      <c r="P48" s="46" t="e">
        <f t="shared" si="15"/>
        <v>#DIV/0!</v>
      </c>
      <c r="Q48" s="56" t="e">
        <f>Q47+ATM_Conf!$C$5*(B47)/(Links!B$191*Links!Q$191)</f>
        <v>#DIV/0!</v>
      </c>
      <c r="R48" s="56" t="e">
        <f>R47+ATM_Conf!$C$5*(C47-B47)/(Links!C$191*Links!R$191)</f>
        <v>#DIV/0!</v>
      </c>
      <c r="S48" s="56" t="e">
        <f>S47+ATM_Conf!$C$5*(D47-C47)/(Links!D$191*Links!S$191)</f>
        <v>#DIV/0!</v>
      </c>
      <c r="T48" s="56" t="e">
        <f>T47+ATM_Conf!$C$5*(E47-D47)/(Links!E$191*Links!T$191)</f>
        <v>#DIV/0!</v>
      </c>
      <c r="U48" s="56" t="e">
        <f>U47+ATM_Conf!$C$5*(F47-E47)/(Links!F$191*Links!U$191)</f>
        <v>#DIV/0!</v>
      </c>
      <c r="V48" s="56" t="e">
        <f>V47+ATM_Conf!$C$5*(G47-F47)/(Links!G$191*Links!V$191)</f>
        <v>#DIV/0!</v>
      </c>
      <c r="W48" s="56" t="e">
        <f>W47+ATM_Conf!$C$5*(H47-G47)/(Links!H$191*Links!W$191)</f>
        <v>#DIV/0!</v>
      </c>
      <c r="X48" s="56" t="e">
        <f>X47+ATM_Conf!$C$5*(I47-H47)/(Links!I$191*Links!X$191)</f>
        <v>#DIV/0!</v>
      </c>
      <c r="Y48" s="56" t="e">
        <f>Y47+ATM_Conf!$C$5*(J47)/(Links!J$191*Links!Y$191)</f>
        <v>#DIV/0!</v>
      </c>
      <c r="Z48" s="56" t="e">
        <f>Z47+ATM_Conf!$C$5*(K47-J47)/(Links!K$191*Links!Z$191)</f>
        <v>#DIV/0!</v>
      </c>
      <c r="AA48" s="56" t="e">
        <f>AA47+ATM_Conf!$C$5*(L47-K47)/(Links!L$191*Links!AA$191)</f>
        <v>#DIV/0!</v>
      </c>
      <c r="AB48" s="56" t="e">
        <f>AB47+ATM_Conf!$C$5*(M47-L47)/(Links!M$191*Links!AB$191)</f>
        <v>#DIV/0!</v>
      </c>
      <c r="AC48" s="56" t="e">
        <f>AC47+ATM_Conf!$C$5*(N47-M47)/(Links!N$191*Links!AC$191)</f>
        <v>#DIV/0!</v>
      </c>
      <c r="AD48" s="56" t="e">
        <f>AD47+ATM_Conf!$C$5*(O47-N47)/(Links!O$191*Links!AD$191)</f>
        <v>#DIV/0!</v>
      </c>
      <c r="AE48" s="56" t="e">
        <f>AE47+ATM_Conf!$C$5*(P47-O47)/(Links!P$191*Links!AE$191)</f>
        <v>#DIV/0!</v>
      </c>
      <c r="AF48" s="46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6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6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6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6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6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6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6" t="e">
        <f>AM47+(ATM_Conf!$C$5/ATM_Conf!$C$8)*(Links!BB47*EXP((-(Links!X47/Links!BQ47)^Links!CF47)/Links!CF47)-Links!AM47)+(ATM_Conf!$C$5/Links!X$191)*Links!AM47*(Nodes!BH47-Links!AM47)</f>
        <v>#DIV/0!</v>
      </c>
      <c r="AN48" s="46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6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6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6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6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6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6" t="e">
        <f>AT47+(ATM_Conf!$C$5/ATM_Conf!$C$8)*(Links!BI47*EXP((-(Links!AE47/Links!BX47)^Links!CM47)/Links!CM47)-Links!AT47)+(ATM_Conf!$C$5/Links!AE$191)*Links!AT47*(Nodes!BN47-Links!AT47)</f>
        <v>#DIV/0!</v>
      </c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56"/>
      <c r="BZ48" s="56"/>
      <c r="CA48" s="56"/>
      <c r="CB48" s="56"/>
      <c r="CC48" s="56"/>
      <c r="CD48" s="56"/>
      <c r="CE48" s="56"/>
      <c r="CF48" s="56"/>
      <c r="CG48" s="56"/>
      <c r="CH48" s="56"/>
      <c r="CI48" s="56"/>
      <c r="CJ48" s="56"/>
      <c r="CK48" s="56"/>
      <c r="CL48" s="56"/>
      <c r="CM48" s="56"/>
      <c r="CN48" s="46">
        <f t="shared" si="26"/>
        <v>0</v>
      </c>
      <c r="CO48" s="46">
        <f t="shared" si="26"/>
        <v>0</v>
      </c>
      <c r="CP48" s="46">
        <f t="shared" si="26"/>
        <v>0</v>
      </c>
      <c r="CQ48" s="46">
        <f t="shared" si="26"/>
        <v>0</v>
      </c>
      <c r="CR48" s="46">
        <f t="shared" si="26"/>
        <v>0</v>
      </c>
      <c r="CS48" s="46">
        <f t="shared" si="26"/>
        <v>0</v>
      </c>
      <c r="CT48" s="46">
        <f t="shared" si="26"/>
        <v>0</v>
      </c>
      <c r="CU48" s="46">
        <f t="shared" si="26"/>
        <v>0</v>
      </c>
      <c r="CV48" s="46">
        <f t="shared" si="26"/>
        <v>0</v>
      </c>
      <c r="CW48" s="46">
        <f t="shared" si="26"/>
        <v>0</v>
      </c>
      <c r="CX48" s="46">
        <f t="shared" si="26"/>
        <v>0</v>
      </c>
      <c r="CY48" s="46">
        <f t="shared" si="26"/>
        <v>0</v>
      </c>
      <c r="CZ48" s="46">
        <f t="shared" si="26"/>
        <v>0</v>
      </c>
      <c r="DA48" s="46">
        <f t="shared" si="26"/>
        <v>0</v>
      </c>
      <c r="DB48" s="46">
        <f t="shared" si="26"/>
        <v>0</v>
      </c>
      <c r="DC48" s="54"/>
      <c r="DD48" s="54"/>
      <c r="DE48" s="54"/>
      <c r="DF48" s="54"/>
      <c r="DG48" s="54"/>
      <c r="DH48" s="54"/>
      <c r="DI48" s="54"/>
      <c r="DJ48" s="54"/>
      <c r="DK48" s="54"/>
      <c r="DL48" s="54"/>
      <c r="DM48" s="54"/>
      <c r="DN48" s="54"/>
      <c r="DO48" s="54"/>
      <c r="DP48" s="54"/>
      <c r="DQ48" s="54"/>
    </row>
    <row r="49" spans="1:121" ht="14.25" x14ac:dyDescent="0.15">
      <c r="A49" s="49">
        <v>47</v>
      </c>
      <c r="B49" s="46" t="e">
        <f t="shared" si="1"/>
        <v>#DIV/0!</v>
      </c>
      <c r="C49" s="46" t="e">
        <f t="shared" si="2"/>
        <v>#DIV/0!</v>
      </c>
      <c r="D49" s="46" t="e">
        <f t="shared" si="3"/>
        <v>#DIV/0!</v>
      </c>
      <c r="E49" s="46" t="e">
        <f t="shared" si="4"/>
        <v>#DIV/0!</v>
      </c>
      <c r="F49" s="46" t="e">
        <f t="shared" si="5"/>
        <v>#DIV/0!</v>
      </c>
      <c r="G49" s="46" t="e">
        <f t="shared" si="6"/>
        <v>#DIV/0!</v>
      </c>
      <c r="H49" s="46" t="e">
        <f t="shared" si="7"/>
        <v>#DIV/0!</v>
      </c>
      <c r="I49" s="46" t="e">
        <f t="shared" si="8"/>
        <v>#DIV/0!</v>
      </c>
      <c r="J49" s="46" t="e">
        <f t="shared" si="9"/>
        <v>#DIV/0!</v>
      </c>
      <c r="K49" s="46" t="e">
        <f t="shared" si="10"/>
        <v>#DIV/0!</v>
      </c>
      <c r="L49" s="46" t="e">
        <f t="shared" si="11"/>
        <v>#DIV/0!</v>
      </c>
      <c r="M49" s="46" t="e">
        <f t="shared" si="12"/>
        <v>#DIV/0!</v>
      </c>
      <c r="N49" s="46" t="e">
        <f t="shared" si="13"/>
        <v>#DIV/0!</v>
      </c>
      <c r="O49" s="46" t="e">
        <f t="shared" si="14"/>
        <v>#DIV/0!</v>
      </c>
      <c r="P49" s="46" t="e">
        <f t="shared" si="15"/>
        <v>#DIV/0!</v>
      </c>
      <c r="Q49" s="56" t="e">
        <f>Q48+ATM_Conf!$C$5*(B48)/(Links!B$191*Links!Q$191)</f>
        <v>#DIV/0!</v>
      </c>
      <c r="R49" s="56" t="e">
        <f>R48+ATM_Conf!$C$5*(C48-B48)/(Links!C$191*Links!R$191)</f>
        <v>#DIV/0!</v>
      </c>
      <c r="S49" s="56" t="e">
        <f>S48+ATM_Conf!$C$5*(D48-C48)/(Links!D$191*Links!S$191)</f>
        <v>#DIV/0!</v>
      </c>
      <c r="T49" s="56" t="e">
        <f>T48+ATM_Conf!$C$5*(E48-D48)/(Links!E$191*Links!T$191)</f>
        <v>#DIV/0!</v>
      </c>
      <c r="U49" s="56" t="e">
        <f>U48+ATM_Conf!$C$5*(F48-E48)/(Links!F$191*Links!U$191)</f>
        <v>#DIV/0!</v>
      </c>
      <c r="V49" s="56" t="e">
        <f>V48+ATM_Conf!$C$5*(G48-F48)/(Links!G$191*Links!V$191)</f>
        <v>#DIV/0!</v>
      </c>
      <c r="W49" s="56" t="e">
        <f>W48+ATM_Conf!$C$5*(H48-G48)/(Links!H$191*Links!W$191)</f>
        <v>#DIV/0!</v>
      </c>
      <c r="X49" s="56" t="e">
        <f>X48+ATM_Conf!$C$5*(I48-H48)/(Links!I$191*Links!X$191)</f>
        <v>#DIV/0!</v>
      </c>
      <c r="Y49" s="56" t="e">
        <f>Y48+ATM_Conf!$C$5*(J48)/(Links!J$191*Links!Y$191)</f>
        <v>#DIV/0!</v>
      </c>
      <c r="Z49" s="56" t="e">
        <f>Z48+ATM_Conf!$C$5*(K48-J48)/(Links!K$191*Links!Z$191)</f>
        <v>#DIV/0!</v>
      </c>
      <c r="AA49" s="56" t="e">
        <f>AA48+ATM_Conf!$C$5*(L48-K48)/(Links!L$191*Links!AA$191)</f>
        <v>#DIV/0!</v>
      </c>
      <c r="AB49" s="56" t="e">
        <f>AB48+ATM_Conf!$C$5*(M48-L48)/(Links!M$191*Links!AB$191)</f>
        <v>#DIV/0!</v>
      </c>
      <c r="AC49" s="56" t="e">
        <f>AC48+ATM_Conf!$C$5*(N48-M48)/(Links!N$191*Links!AC$191)</f>
        <v>#DIV/0!</v>
      </c>
      <c r="AD49" s="56" t="e">
        <f>AD48+ATM_Conf!$C$5*(O48-N48)/(Links!O$191*Links!AD$191)</f>
        <v>#DIV/0!</v>
      </c>
      <c r="AE49" s="56" t="e">
        <f>AE48+ATM_Conf!$C$5*(P48-O48)/(Links!P$191*Links!AE$191)</f>
        <v>#DIV/0!</v>
      </c>
      <c r="AF49" s="46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6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6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6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6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6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6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6" t="e">
        <f>AM48+(ATM_Conf!$C$5/ATM_Conf!$C$8)*(Links!BB48*EXP((-(Links!X48/Links!BQ48)^Links!CF48)/Links!CF48)-Links!AM48)+(ATM_Conf!$C$5/Links!X$191)*Links!AM48*(Nodes!BH48-Links!AM48)</f>
        <v>#DIV/0!</v>
      </c>
      <c r="AN49" s="46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6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6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6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6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6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6" t="e">
        <f>AT48+(ATM_Conf!$C$5/ATM_Conf!$C$8)*(Links!BI48*EXP((-(Links!AE48/Links!BX48)^Links!CM48)/Links!CM48)-Links!AT48)+(ATM_Conf!$C$5/Links!AE$191)*Links!AT48*(Nodes!BN48-Links!AT48)</f>
        <v>#DIV/0!</v>
      </c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46">
        <f t="shared" si="26"/>
        <v>0</v>
      </c>
      <c r="CO49" s="46">
        <f t="shared" si="26"/>
        <v>0</v>
      </c>
      <c r="CP49" s="46">
        <f t="shared" si="26"/>
        <v>0</v>
      </c>
      <c r="CQ49" s="46">
        <f t="shared" si="26"/>
        <v>0</v>
      </c>
      <c r="CR49" s="46">
        <f t="shared" si="26"/>
        <v>0</v>
      </c>
      <c r="CS49" s="46">
        <f t="shared" si="26"/>
        <v>0</v>
      </c>
      <c r="CT49" s="46">
        <f t="shared" si="26"/>
        <v>0</v>
      </c>
      <c r="CU49" s="46">
        <f t="shared" si="26"/>
        <v>0</v>
      </c>
      <c r="CV49" s="46">
        <f t="shared" si="26"/>
        <v>0</v>
      </c>
      <c r="CW49" s="46">
        <f t="shared" si="26"/>
        <v>0</v>
      </c>
      <c r="CX49" s="46">
        <f t="shared" si="26"/>
        <v>0</v>
      </c>
      <c r="CY49" s="46">
        <f t="shared" si="26"/>
        <v>0</v>
      </c>
      <c r="CZ49" s="46">
        <f t="shared" si="26"/>
        <v>0</v>
      </c>
      <c r="DA49" s="46">
        <f t="shared" si="26"/>
        <v>0</v>
      </c>
      <c r="DB49" s="46">
        <f t="shared" si="26"/>
        <v>0</v>
      </c>
      <c r="DC49" s="54"/>
      <c r="DD49" s="54"/>
      <c r="DE49" s="54"/>
      <c r="DF49" s="54"/>
      <c r="DG49" s="54"/>
      <c r="DH49" s="54"/>
      <c r="DI49" s="54"/>
      <c r="DJ49" s="54"/>
      <c r="DK49" s="54"/>
      <c r="DL49" s="54"/>
      <c r="DM49" s="54"/>
      <c r="DN49" s="54"/>
      <c r="DO49" s="54"/>
      <c r="DP49" s="54"/>
      <c r="DQ49" s="54"/>
    </row>
    <row r="50" spans="1:121" ht="14.25" x14ac:dyDescent="0.15">
      <c r="A50" s="49">
        <v>48</v>
      </c>
      <c r="B50" s="46" t="e">
        <f t="shared" si="1"/>
        <v>#DIV/0!</v>
      </c>
      <c r="C50" s="46" t="e">
        <f t="shared" si="2"/>
        <v>#DIV/0!</v>
      </c>
      <c r="D50" s="46" t="e">
        <f t="shared" si="3"/>
        <v>#DIV/0!</v>
      </c>
      <c r="E50" s="46" t="e">
        <f t="shared" si="4"/>
        <v>#DIV/0!</v>
      </c>
      <c r="F50" s="46" t="e">
        <f t="shared" si="5"/>
        <v>#DIV/0!</v>
      </c>
      <c r="G50" s="46" t="e">
        <f t="shared" si="6"/>
        <v>#DIV/0!</v>
      </c>
      <c r="H50" s="46" t="e">
        <f t="shared" si="7"/>
        <v>#DIV/0!</v>
      </c>
      <c r="I50" s="46" t="e">
        <f t="shared" si="8"/>
        <v>#DIV/0!</v>
      </c>
      <c r="J50" s="46" t="e">
        <f t="shared" si="9"/>
        <v>#DIV/0!</v>
      </c>
      <c r="K50" s="46" t="e">
        <f t="shared" si="10"/>
        <v>#DIV/0!</v>
      </c>
      <c r="L50" s="46" t="e">
        <f t="shared" si="11"/>
        <v>#DIV/0!</v>
      </c>
      <c r="M50" s="46" t="e">
        <f t="shared" si="12"/>
        <v>#DIV/0!</v>
      </c>
      <c r="N50" s="46" t="e">
        <f t="shared" si="13"/>
        <v>#DIV/0!</v>
      </c>
      <c r="O50" s="46" t="e">
        <f t="shared" si="14"/>
        <v>#DIV/0!</v>
      </c>
      <c r="P50" s="46" t="e">
        <f t="shared" si="15"/>
        <v>#DIV/0!</v>
      </c>
      <c r="Q50" s="56" t="e">
        <f>Q49+ATM_Conf!$C$5*(B49)/(Links!B$191*Links!Q$191)</f>
        <v>#DIV/0!</v>
      </c>
      <c r="R50" s="56" t="e">
        <f>R49+ATM_Conf!$C$5*(C49-B49)/(Links!C$191*Links!R$191)</f>
        <v>#DIV/0!</v>
      </c>
      <c r="S50" s="56" t="e">
        <f>S49+ATM_Conf!$C$5*(D49-C49)/(Links!D$191*Links!S$191)</f>
        <v>#DIV/0!</v>
      </c>
      <c r="T50" s="56" t="e">
        <f>T49+ATM_Conf!$C$5*(E49-D49)/(Links!E$191*Links!T$191)</f>
        <v>#DIV/0!</v>
      </c>
      <c r="U50" s="56" t="e">
        <f>U49+ATM_Conf!$C$5*(F49-E49)/(Links!F$191*Links!U$191)</f>
        <v>#DIV/0!</v>
      </c>
      <c r="V50" s="56" t="e">
        <f>V49+ATM_Conf!$C$5*(G49-F49)/(Links!G$191*Links!V$191)</f>
        <v>#DIV/0!</v>
      </c>
      <c r="W50" s="56" t="e">
        <f>W49+ATM_Conf!$C$5*(H49-G49)/(Links!H$191*Links!W$191)</f>
        <v>#DIV/0!</v>
      </c>
      <c r="X50" s="56" t="e">
        <f>X49+ATM_Conf!$C$5*(I49-H49)/(Links!I$191*Links!X$191)</f>
        <v>#DIV/0!</v>
      </c>
      <c r="Y50" s="56" t="e">
        <f>Y49+ATM_Conf!$C$5*(J49)/(Links!J$191*Links!Y$191)</f>
        <v>#DIV/0!</v>
      </c>
      <c r="Z50" s="56" t="e">
        <f>Z49+ATM_Conf!$C$5*(K49-J49)/(Links!K$191*Links!Z$191)</f>
        <v>#DIV/0!</v>
      </c>
      <c r="AA50" s="56" t="e">
        <f>AA49+ATM_Conf!$C$5*(L49-K49)/(Links!L$191*Links!AA$191)</f>
        <v>#DIV/0!</v>
      </c>
      <c r="AB50" s="56" t="e">
        <f>AB49+ATM_Conf!$C$5*(M49-L49)/(Links!M$191*Links!AB$191)</f>
        <v>#DIV/0!</v>
      </c>
      <c r="AC50" s="56" t="e">
        <f>AC49+ATM_Conf!$C$5*(N49-M49)/(Links!N$191*Links!AC$191)</f>
        <v>#DIV/0!</v>
      </c>
      <c r="AD50" s="56" t="e">
        <f>AD49+ATM_Conf!$C$5*(O49-N49)/(Links!O$191*Links!AD$191)</f>
        <v>#DIV/0!</v>
      </c>
      <c r="AE50" s="56" t="e">
        <f>AE49+ATM_Conf!$C$5*(P49-O49)/(Links!P$191*Links!AE$191)</f>
        <v>#DIV/0!</v>
      </c>
      <c r="AF50" s="46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6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6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6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6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6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6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6" t="e">
        <f>AM49+(ATM_Conf!$C$5/ATM_Conf!$C$8)*(Links!BB49*EXP((-(Links!X49/Links!BQ49)^Links!CF49)/Links!CF49)-Links!AM49)+(ATM_Conf!$C$5/Links!X$191)*Links!AM49*(Nodes!BH49-Links!AM49)</f>
        <v>#DIV/0!</v>
      </c>
      <c r="AN50" s="46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6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6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6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6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6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6" t="e">
        <f>AT49+(ATM_Conf!$C$5/ATM_Conf!$C$8)*(Links!BI49*EXP((-(Links!AE49/Links!BX49)^Links!CM49)/Links!CM49)-Links!AT49)+(ATM_Conf!$C$5/Links!AE$191)*Links!AT49*(Nodes!BN49-Links!AT49)</f>
        <v>#DIV/0!</v>
      </c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56"/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  <c r="CL50" s="56"/>
      <c r="CM50" s="56"/>
      <c r="CN50" s="46">
        <f t="shared" si="26"/>
        <v>0</v>
      </c>
      <c r="CO50" s="46">
        <f t="shared" si="26"/>
        <v>0</v>
      </c>
      <c r="CP50" s="46">
        <f t="shared" si="26"/>
        <v>0</v>
      </c>
      <c r="CQ50" s="46">
        <f t="shared" si="26"/>
        <v>0</v>
      </c>
      <c r="CR50" s="46">
        <f t="shared" si="26"/>
        <v>0</v>
      </c>
      <c r="CS50" s="46">
        <f t="shared" si="26"/>
        <v>0</v>
      </c>
      <c r="CT50" s="46">
        <f t="shared" si="26"/>
        <v>0</v>
      </c>
      <c r="CU50" s="46">
        <f t="shared" si="26"/>
        <v>0</v>
      </c>
      <c r="CV50" s="46">
        <f t="shared" si="26"/>
        <v>0</v>
      </c>
      <c r="CW50" s="46">
        <f t="shared" si="26"/>
        <v>0</v>
      </c>
      <c r="CX50" s="46">
        <f t="shared" si="26"/>
        <v>0</v>
      </c>
      <c r="CY50" s="46">
        <f t="shared" si="26"/>
        <v>0</v>
      </c>
      <c r="CZ50" s="46">
        <f t="shared" si="26"/>
        <v>0</v>
      </c>
      <c r="DA50" s="46">
        <f t="shared" si="26"/>
        <v>0</v>
      </c>
      <c r="DB50" s="46">
        <f t="shared" si="26"/>
        <v>0</v>
      </c>
      <c r="DC50" s="54"/>
      <c r="DD50" s="54"/>
      <c r="DE50" s="54"/>
      <c r="DF50" s="54"/>
      <c r="DG50" s="54"/>
      <c r="DH50" s="54"/>
      <c r="DI50" s="54"/>
      <c r="DJ50" s="54"/>
      <c r="DK50" s="54"/>
      <c r="DL50" s="54"/>
      <c r="DM50" s="54"/>
      <c r="DN50" s="54"/>
      <c r="DO50" s="54"/>
      <c r="DP50" s="54"/>
      <c r="DQ50" s="54"/>
    </row>
    <row r="51" spans="1:121" ht="14.25" x14ac:dyDescent="0.15">
      <c r="A51" s="49">
        <v>49</v>
      </c>
      <c r="B51" s="46" t="e">
        <f t="shared" si="1"/>
        <v>#DIV/0!</v>
      </c>
      <c r="C51" s="46" t="e">
        <f t="shared" si="2"/>
        <v>#DIV/0!</v>
      </c>
      <c r="D51" s="46" t="e">
        <f t="shared" si="3"/>
        <v>#DIV/0!</v>
      </c>
      <c r="E51" s="46" t="e">
        <f t="shared" si="4"/>
        <v>#DIV/0!</v>
      </c>
      <c r="F51" s="46" t="e">
        <f t="shared" si="5"/>
        <v>#DIV/0!</v>
      </c>
      <c r="G51" s="46" t="e">
        <f t="shared" si="6"/>
        <v>#DIV/0!</v>
      </c>
      <c r="H51" s="46" t="e">
        <f t="shared" si="7"/>
        <v>#DIV/0!</v>
      </c>
      <c r="I51" s="46" t="e">
        <f t="shared" si="8"/>
        <v>#DIV/0!</v>
      </c>
      <c r="J51" s="46" t="e">
        <f t="shared" si="9"/>
        <v>#DIV/0!</v>
      </c>
      <c r="K51" s="46" t="e">
        <f t="shared" si="10"/>
        <v>#DIV/0!</v>
      </c>
      <c r="L51" s="46" t="e">
        <f t="shared" si="11"/>
        <v>#DIV/0!</v>
      </c>
      <c r="M51" s="46" t="e">
        <f t="shared" si="12"/>
        <v>#DIV/0!</v>
      </c>
      <c r="N51" s="46" t="e">
        <f t="shared" si="13"/>
        <v>#DIV/0!</v>
      </c>
      <c r="O51" s="46" t="e">
        <f t="shared" si="14"/>
        <v>#DIV/0!</v>
      </c>
      <c r="P51" s="46" t="e">
        <f t="shared" si="15"/>
        <v>#DIV/0!</v>
      </c>
      <c r="Q51" s="56" t="e">
        <f>Q50+ATM_Conf!$C$5*(B50)/(Links!B$191*Links!Q$191)</f>
        <v>#DIV/0!</v>
      </c>
      <c r="R51" s="56" t="e">
        <f>R50+ATM_Conf!$C$5*(C50-B50)/(Links!C$191*Links!R$191)</f>
        <v>#DIV/0!</v>
      </c>
      <c r="S51" s="56" t="e">
        <f>S50+ATM_Conf!$C$5*(D50-C50)/(Links!D$191*Links!S$191)</f>
        <v>#DIV/0!</v>
      </c>
      <c r="T51" s="56" t="e">
        <f>T50+ATM_Conf!$C$5*(E50-D50)/(Links!E$191*Links!T$191)</f>
        <v>#DIV/0!</v>
      </c>
      <c r="U51" s="56" t="e">
        <f>U50+ATM_Conf!$C$5*(F50-E50)/(Links!F$191*Links!U$191)</f>
        <v>#DIV/0!</v>
      </c>
      <c r="V51" s="56" t="e">
        <f>V50+ATM_Conf!$C$5*(G50-F50)/(Links!G$191*Links!V$191)</f>
        <v>#DIV/0!</v>
      </c>
      <c r="W51" s="56" t="e">
        <f>W50+ATM_Conf!$C$5*(H50-G50)/(Links!H$191*Links!W$191)</f>
        <v>#DIV/0!</v>
      </c>
      <c r="X51" s="56" t="e">
        <f>X50+ATM_Conf!$C$5*(I50-H50)/(Links!I$191*Links!X$191)</f>
        <v>#DIV/0!</v>
      </c>
      <c r="Y51" s="56" t="e">
        <f>Y50+ATM_Conf!$C$5*(J50)/(Links!J$191*Links!Y$191)</f>
        <v>#DIV/0!</v>
      </c>
      <c r="Z51" s="56" t="e">
        <f>Z50+ATM_Conf!$C$5*(K50-J50)/(Links!K$191*Links!Z$191)</f>
        <v>#DIV/0!</v>
      </c>
      <c r="AA51" s="56" t="e">
        <f>AA50+ATM_Conf!$C$5*(L50-K50)/(Links!L$191*Links!AA$191)</f>
        <v>#DIV/0!</v>
      </c>
      <c r="AB51" s="56" t="e">
        <f>AB50+ATM_Conf!$C$5*(M50-L50)/(Links!M$191*Links!AB$191)</f>
        <v>#DIV/0!</v>
      </c>
      <c r="AC51" s="56" t="e">
        <f>AC50+ATM_Conf!$C$5*(N50-M50)/(Links!N$191*Links!AC$191)</f>
        <v>#DIV/0!</v>
      </c>
      <c r="AD51" s="56" t="e">
        <f>AD50+ATM_Conf!$C$5*(O50-N50)/(Links!O$191*Links!AD$191)</f>
        <v>#DIV/0!</v>
      </c>
      <c r="AE51" s="56" t="e">
        <f>AE50+ATM_Conf!$C$5*(P50-O50)/(Links!P$191*Links!AE$191)</f>
        <v>#DIV/0!</v>
      </c>
      <c r="AF51" s="46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6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6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6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6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6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6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6" t="e">
        <f>AM50+(ATM_Conf!$C$5/ATM_Conf!$C$8)*(Links!BB50*EXP((-(Links!X50/Links!BQ50)^Links!CF50)/Links!CF50)-Links!AM50)+(ATM_Conf!$C$5/Links!X$191)*Links!AM50*(Nodes!BH50-Links!AM50)</f>
        <v>#DIV/0!</v>
      </c>
      <c r="AN51" s="46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6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6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6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6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6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6" t="e">
        <f>AT50+(ATM_Conf!$C$5/ATM_Conf!$C$8)*(Links!BI50*EXP((-(Links!AE50/Links!BX50)^Links!CM50)/Links!CM50)-Links!AT50)+(ATM_Conf!$C$5/Links!AE$191)*Links!AT50*(Nodes!BN50-Links!AT50)</f>
        <v>#DIV/0!</v>
      </c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56"/>
      <c r="BZ51" s="56"/>
      <c r="CA51" s="56"/>
      <c r="CB51" s="56"/>
      <c r="CC51" s="56"/>
      <c r="CD51" s="56"/>
      <c r="CE51" s="56"/>
      <c r="CF51" s="56"/>
      <c r="CG51" s="56"/>
      <c r="CH51" s="56"/>
      <c r="CI51" s="56"/>
      <c r="CJ51" s="56"/>
      <c r="CK51" s="56"/>
      <c r="CL51" s="56"/>
      <c r="CM51" s="56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54">
        <f>(CN51-CN39)^2</f>
        <v>0</v>
      </c>
      <c r="DD51" s="54">
        <f t="shared" ref="DD51:DQ51" si="27">(CO51-CO39)^2</f>
        <v>0</v>
      </c>
      <c r="DE51" s="54">
        <f t="shared" si="27"/>
        <v>0</v>
      </c>
      <c r="DF51" s="54">
        <f t="shared" si="27"/>
        <v>0</v>
      </c>
      <c r="DG51" s="54">
        <f t="shared" si="27"/>
        <v>0</v>
      </c>
      <c r="DH51" s="54">
        <f t="shared" si="27"/>
        <v>0</v>
      </c>
      <c r="DI51" s="54">
        <f t="shared" si="27"/>
        <v>0</v>
      </c>
      <c r="DJ51" s="54">
        <f t="shared" si="27"/>
        <v>0</v>
      </c>
      <c r="DK51" s="54">
        <f t="shared" si="27"/>
        <v>0</v>
      </c>
      <c r="DL51" s="54">
        <f t="shared" si="27"/>
        <v>0</v>
      </c>
      <c r="DM51" s="54">
        <f t="shared" si="27"/>
        <v>0</v>
      </c>
      <c r="DN51" s="54">
        <f t="shared" si="27"/>
        <v>0</v>
      </c>
      <c r="DO51" s="54">
        <f t="shared" si="27"/>
        <v>0</v>
      </c>
      <c r="DP51" s="54">
        <f t="shared" si="27"/>
        <v>0</v>
      </c>
      <c r="DQ51" s="54">
        <f t="shared" si="27"/>
        <v>0</v>
      </c>
    </row>
    <row r="52" spans="1:121" ht="14.25" x14ac:dyDescent="0.15">
      <c r="A52" s="49">
        <v>50</v>
      </c>
      <c r="B52" s="46" t="e">
        <f t="shared" si="1"/>
        <v>#DIV/0!</v>
      </c>
      <c r="C52" s="46" t="e">
        <f t="shared" si="2"/>
        <v>#DIV/0!</v>
      </c>
      <c r="D52" s="46" t="e">
        <f t="shared" si="3"/>
        <v>#DIV/0!</v>
      </c>
      <c r="E52" s="46" t="e">
        <f t="shared" si="4"/>
        <v>#DIV/0!</v>
      </c>
      <c r="F52" s="46" t="e">
        <f t="shared" si="5"/>
        <v>#DIV/0!</v>
      </c>
      <c r="G52" s="46" t="e">
        <f t="shared" si="6"/>
        <v>#DIV/0!</v>
      </c>
      <c r="H52" s="46" t="e">
        <f t="shared" si="7"/>
        <v>#DIV/0!</v>
      </c>
      <c r="I52" s="46" t="e">
        <f t="shared" si="8"/>
        <v>#DIV/0!</v>
      </c>
      <c r="J52" s="46" t="e">
        <f t="shared" si="9"/>
        <v>#DIV/0!</v>
      </c>
      <c r="K52" s="46" t="e">
        <f t="shared" si="10"/>
        <v>#DIV/0!</v>
      </c>
      <c r="L52" s="46" t="e">
        <f t="shared" si="11"/>
        <v>#DIV/0!</v>
      </c>
      <c r="M52" s="46" t="e">
        <f t="shared" si="12"/>
        <v>#DIV/0!</v>
      </c>
      <c r="N52" s="46" t="e">
        <f t="shared" si="13"/>
        <v>#DIV/0!</v>
      </c>
      <c r="O52" s="46" t="e">
        <f t="shared" si="14"/>
        <v>#DIV/0!</v>
      </c>
      <c r="P52" s="46" t="e">
        <f t="shared" si="15"/>
        <v>#DIV/0!</v>
      </c>
      <c r="Q52" s="56" t="e">
        <f>Q51+ATM_Conf!$C$5*(B51)/(Links!B$191*Links!Q$191)</f>
        <v>#DIV/0!</v>
      </c>
      <c r="R52" s="56" t="e">
        <f>R51+ATM_Conf!$C$5*(C51-B51)/(Links!C$191*Links!R$191)</f>
        <v>#DIV/0!</v>
      </c>
      <c r="S52" s="56" t="e">
        <f>S51+ATM_Conf!$C$5*(D51-C51)/(Links!D$191*Links!S$191)</f>
        <v>#DIV/0!</v>
      </c>
      <c r="T52" s="56" t="e">
        <f>T51+ATM_Conf!$C$5*(E51-D51)/(Links!E$191*Links!T$191)</f>
        <v>#DIV/0!</v>
      </c>
      <c r="U52" s="56" t="e">
        <f>U51+ATM_Conf!$C$5*(F51-E51)/(Links!F$191*Links!U$191)</f>
        <v>#DIV/0!</v>
      </c>
      <c r="V52" s="56" t="e">
        <f>V51+ATM_Conf!$C$5*(G51-F51)/(Links!G$191*Links!V$191)</f>
        <v>#DIV/0!</v>
      </c>
      <c r="W52" s="56" t="e">
        <f>W51+ATM_Conf!$C$5*(H51-G51)/(Links!H$191*Links!W$191)</f>
        <v>#DIV/0!</v>
      </c>
      <c r="X52" s="56" t="e">
        <f>X51+ATM_Conf!$C$5*(I51-H51)/(Links!I$191*Links!X$191)</f>
        <v>#DIV/0!</v>
      </c>
      <c r="Y52" s="56" t="e">
        <f>Y51+ATM_Conf!$C$5*(J51)/(Links!J$191*Links!Y$191)</f>
        <v>#DIV/0!</v>
      </c>
      <c r="Z52" s="56" t="e">
        <f>Z51+ATM_Conf!$C$5*(K51-J51)/(Links!K$191*Links!Z$191)</f>
        <v>#DIV/0!</v>
      </c>
      <c r="AA52" s="56" t="e">
        <f>AA51+ATM_Conf!$C$5*(L51-K51)/(Links!L$191*Links!AA$191)</f>
        <v>#DIV/0!</v>
      </c>
      <c r="AB52" s="56" t="e">
        <f>AB51+ATM_Conf!$C$5*(M51-L51)/(Links!M$191*Links!AB$191)</f>
        <v>#DIV/0!</v>
      </c>
      <c r="AC52" s="56" t="e">
        <f>AC51+ATM_Conf!$C$5*(N51-M51)/(Links!N$191*Links!AC$191)</f>
        <v>#DIV/0!</v>
      </c>
      <c r="AD52" s="56" t="e">
        <f>AD51+ATM_Conf!$C$5*(O51-N51)/(Links!O$191*Links!AD$191)</f>
        <v>#DIV/0!</v>
      </c>
      <c r="AE52" s="56" t="e">
        <f>AE51+ATM_Conf!$C$5*(P51-O51)/(Links!P$191*Links!AE$191)</f>
        <v>#DIV/0!</v>
      </c>
      <c r="AF52" s="46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6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6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6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6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6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6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6" t="e">
        <f>AM51+(ATM_Conf!$C$5/ATM_Conf!$C$8)*(Links!BB51*EXP((-(Links!X51/Links!BQ51)^Links!CF51)/Links!CF51)-Links!AM51)+(ATM_Conf!$C$5/Links!X$191)*Links!AM51*(Nodes!BH51-Links!AM51)</f>
        <v>#DIV/0!</v>
      </c>
      <c r="AN52" s="46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6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6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6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6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6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6" t="e">
        <f>AT51+(ATM_Conf!$C$5/ATM_Conf!$C$8)*(Links!BI51*EXP((-(Links!AE51/Links!BX51)^Links!CM51)/Links!CM51)-Links!AT51)+(ATM_Conf!$C$5/Links!AE$191)*Links!AT51*(Nodes!BN51-Links!AT51)</f>
        <v>#DIV/0!</v>
      </c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56"/>
      <c r="BZ52" s="56"/>
      <c r="CA52" s="56"/>
      <c r="CB52" s="56"/>
      <c r="CC52" s="56"/>
      <c r="CD52" s="56"/>
      <c r="CE52" s="56"/>
      <c r="CF52" s="56"/>
      <c r="CG52" s="56"/>
      <c r="CH52" s="56"/>
      <c r="CI52" s="56"/>
      <c r="CJ52" s="56"/>
      <c r="CK52" s="56"/>
      <c r="CL52" s="56"/>
      <c r="CM52" s="56"/>
      <c r="CN52" s="46">
        <f>CN$51</f>
        <v>0</v>
      </c>
      <c r="CO52" s="46">
        <f t="shared" ref="CO52:DB52" si="28">CO$51</f>
        <v>0</v>
      </c>
      <c r="CP52" s="46">
        <f t="shared" si="28"/>
        <v>0</v>
      </c>
      <c r="CQ52" s="46">
        <f t="shared" si="28"/>
        <v>0</v>
      </c>
      <c r="CR52" s="46">
        <f t="shared" si="28"/>
        <v>0</v>
      </c>
      <c r="CS52" s="46">
        <f t="shared" si="28"/>
        <v>0</v>
      </c>
      <c r="CT52" s="46">
        <f t="shared" si="28"/>
        <v>0</v>
      </c>
      <c r="CU52" s="46">
        <f t="shared" si="28"/>
        <v>0</v>
      </c>
      <c r="CV52" s="46">
        <f t="shared" si="28"/>
        <v>0</v>
      </c>
      <c r="CW52" s="46">
        <f t="shared" si="28"/>
        <v>0</v>
      </c>
      <c r="CX52" s="46">
        <f t="shared" si="28"/>
        <v>0</v>
      </c>
      <c r="CY52" s="46">
        <f t="shared" si="28"/>
        <v>0</v>
      </c>
      <c r="CZ52" s="46">
        <f t="shared" si="28"/>
        <v>0</v>
      </c>
      <c r="DA52" s="46">
        <f t="shared" si="28"/>
        <v>0</v>
      </c>
      <c r="DB52" s="46">
        <f t="shared" si="28"/>
        <v>0</v>
      </c>
      <c r="DC52" s="54"/>
      <c r="DD52" s="54"/>
      <c r="DE52" s="54"/>
      <c r="DF52" s="54"/>
      <c r="DG52" s="54"/>
      <c r="DH52" s="54"/>
      <c r="DI52" s="54"/>
      <c r="DJ52" s="54"/>
      <c r="DK52" s="54"/>
      <c r="DL52" s="54"/>
      <c r="DM52" s="54"/>
      <c r="DN52" s="54"/>
      <c r="DO52" s="54"/>
      <c r="DP52" s="54"/>
      <c r="DQ52" s="54"/>
    </row>
    <row r="53" spans="1:121" ht="14.25" x14ac:dyDescent="0.15">
      <c r="A53" s="49">
        <v>51</v>
      </c>
      <c r="B53" s="46" t="e">
        <f t="shared" si="1"/>
        <v>#DIV/0!</v>
      </c>
      <c r="C53" s="46" t="e">
        <f t="shared" si="2"/>
        <v>#DIV/0!</v>
      </c>
      <c r="D53" s="46" t="e">
        <f t="shared" si="3"/>
        <v>#DIV/0!</v>
      </c>
      <c r="E53" s="46" t="e">
        <f t="shared" si="4"/>
        <v>#DIV/0!</v>
      </c>
      <c r="F53" s="46" t="e">
        <f t="shared" si="5"/>
        <v>#DIV/0!</v>
      </c>
      <c r="G53" s="46" t="e">
        <f t="shared" si="6"/>
        <v>#DIV/0!</v>
      </c>
      <c r="H53" s="46" t="e">
        <f t="shared" si="7"/>
        <v>#DIV/0!</v>
      </c>
      <c r="I53" s="46" t="e">
        <f t="shared" si="8"/>
        <v>#DIV/0!</v>
      </c>
      <c r="J53" s="46" t="e">
        <f t="shared" si="9"/>
        <v>#DIV/0!</v>
      </c>
      <c r="K53" s="46" t="e">
        <f t="shared" si="10"/>
        <v>#DIV/0!</v>
      </c>
      <c r="L53" s="46" t="e">
        <f t="shared" si="11"/>
        <v>#DIV/0!</v>
      </c>
      <c r="M53" s="46" t="e">
        <f t="shared" si="12"/>
        <v>#DIV/0!</v>
      </c>
      <c r="N53" s="46" t="e">
        <f t="shared" si="13"/>
        <v>#DIV/0!</v>
      </c>
      <c r="O53" s="46" t="e">
        <f t="shared" si="14"/>
        <v>#DIV/0!</v>
      </c>
      <c r="P53" s="46" t="e">
        <f t="shared" si="15"/>
        <v>#DIV/0!</v>
      </c>
      <c r="Q53" s="56" t="e">
        <f>Q52+ATM_Conf!$C$5*(B52)/(Links!B$191*Links!Q$191)</f>
        <v>#DIV/0!</v>
      </c>
      <c r="R53" s="56" t="e">
        <f>R52+ATM_Conf!$C$5*(C52-B52)/(Links!C$191*Links!R$191)</f>
        <v>#DIV/0!</v>
      </c>
      <c r="S53" s="56" t="e">
        <f>S52+ATM_Conf!$C$5*(D52-C52)/(Links!D$191*Links!S$191)</f>
        <v>#DIV/0!</v>
      </c>
      <c r="T53" s="56" t="e">
        <f>T52+ATM_Conf!$C$5*(E52-D52)/(Links!E$191*Links!T$191)</f>
        <v>#DIV/0!</v>
      </c>
      <c r="U53" s="56" t="e">
        <f>U52+ATM_Conf!$C$5*(F52-E52)/(Links!F$191*Links!U$191)</f>
        <v>#DIV/0!</v>
      </c>
      <c r="V53" s="56" t="e">
        <f>V52+ATM_Conf!$C$5*(G52-F52)/(Links!G$191*Links!V$191)</f>
        <v>#DIV/0!</v>
      </c>
      <c r="W53" s="56" t="e">
        <f>W52+ATM_Conf!$C$5*(H52-G52)/(Links!H$191*Links!W$191)</f>
        <v>#DIV/0!</v>
      </c>
      <c r="X53" s="56" t="e">
        <f>X52+ATM_Conf!$C$5*(I52-H52)/(Links!I$191*Links!X$191)</f>
        <v>#DIV/0!</v>
      </c>
      <c r="Y53" s="56" t="e">
        <f>Y52+ATM_Conf!$C$5*(J52)/(Links!J$191*Links!Y$191)</f>
        <v>#DIV/0!</v>
      </c>
      <c r="Z53" s="56" t="e">
        <f>Z52+ATM_Conf!$C$5*(K52-J52)/(Links!K$191*Links!Z$191)</f>
        <v>#DIV/0!</v>
      </c>
      <c r="AA53" s="56" t="e">
        <f>AA52+ATM_Conf!$C$5*(L52-K52)/(Links!L$191*Links!AA$191)</f>
        <v>#DIV/0!</v>
      </c>
      <c r="AB53" s="56" t="e">
        <f>AB52+ATM_Conf!$C$5*(M52-L52)/(Links!M$191*Links!AB$191)</f>
        <v>#DIV/0!</v>
      </c>
      <c r="AC53" s="56" t="e">
        <f>AC52+ATM_Conf!$C$5*(N52-M52)/(Links!N$191*Links!AC$191)</f>
        <v>#DIV/0!</v>
      </c>
      <c r="AD53" s="56" t="e">
        <f>AD52+ATM_Conf!$C$5*(O52-N52)/(Links!O$191*Links!AD$191)</f>
        <v>#DIV/0!</v>
      </c>
      <c r="AE53" s="56" t="e">
        <f>AE52+ATM_Conf!$C$5*(P52-O52)/(Links!P$191*Links!AE$191)</f>
        <v>#DIV/0!</v>
      </c>
      <c r="AF53" s="46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6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6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6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6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6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6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6" t="e">
        <f>AM52+(ATM_Conf!$C$5/ATM_Conf!$C$8)*(Links!BB52*EXP((-(Links!X52/Links!BQ52)^Links!CF52)/Links!CF52)-Links!AM52)+(ATM_Conf!$C$5/Links!X$191)*Links!AM52*(Nodes!BH52-Links!AM52)</f>
        <v>#DIV/0!</v>
      </c>
      <c r="AN53" s="46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6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6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6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6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6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6" t="e">
        <f>AT52+(ATM_Conf!$C$5/ATM_Conf!$C$8)*(Links!BI52*EXP((-(Links!AE52/Links!BX52)^Links!CM52)/Links!CM52)-Links!AT52)+(ATM_Conf!$C$5/Links!AE$191)*Links!AT52*(Nodes!BN52-Links!AT52)</f>
        <v>#DIV/0!</v>
      </c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46">
        <f t="shared" ref="CN53:DB62" si="29">CN$51</f>
        <v>0</v>
      </c>
      <c r="CO53" s="46">
        <f t="shared" si="29"/>
        <v>0</v>
      </c>
      <c r="CP53" s="46">
        <f t="shared" si="29"/>
        <v>0</v>
      </c>
      <c r="CQ53" s="46">
        <f t="shared" si="29"/>
        <v>0</v>
      </c>
      <c r="CR53" s="46">
        <f t="shared" si="29"/>
        <v>0</v>
      </c>
      <c r="CS53" s="46">
        <f t="shared" si="29"/>
        <v>0</v>
      </c>
      <c r="CT53" s="46">
        <f t="shared" si="29"/>
        <v>0</v>
      </c>
      <c r="CU53" s="46">
        <f t="shared" si="29"/>
        <v>0</v>
      </c>
      <c r="CV53" s="46">
        <f t="shared" si="29"/>
        <v>0</v>
      </c>
      <c r="CW53" s="46">
        <f t="shared" si="29"/>
        <v>0</v>
      </c>
      <c r="CX53" s="46">
        <f t="shared" si="29"/>
        <v>0</v>
      </c>
      <c r="CY53" s="46">
        <f t="shared" si="29"/>
        <v>0</v>
      </c>
      <c r="CZ53" s="46">
        <f t="shared" si="29"/>
        <v>0</v>
      </c>
      <c r="DA53" s="46">
        <f t="shared" si="29"/>
        <v>0</v>
      </c>
      <c r="DB53" s="46">
        <f t="shared" si="29"/>
        <v>0</v>
      </c>
      <c r="DC53" s="54"/>
      <c r="DD53" s="54"/>
      <c r="DE53" s="54"/>
      <c r="DF53" s="54"/>
      <c r="DG53" s="54"/>
      <c r="DH53" s="54"/>
      <c r="DI53" s="54"/>
      <c r="DJ53" s="54"/>
      <c r="DK53" s="54"/>
      <c r="DL53" s="54"/>
      <c r="DM53" s="54"/>
      <c r="DN53" s="54"/>
      <c r="DO53" s="54"/>
      <c r="DP53" s="54"/>
      <c r="DQ53" s="54"/>
    </row>
    <row r="54" spans="1:121" ht="14.25" x14ac:dyDescent="0.15">
      <c r="A54" s="49">
        <v>52</v>
      </c>
      <c r="B54" s="46" t="e">
        <f t="shared" si="1"/>
        <v>#DIV/0!</v>
      </c>
      <c r="C54" s="46" t="e">
        <f t="shared" si="2"/>
        <v>#DIV/0!</v>
      </c>
      <c r="D54" s="46" t="e">
        <f t="shared" si="3"/>
        <v>#DIV/0!</v>
      </c>
      <c r="E54" s="46" t="e">
        <f t="shared" si="4"/>
        <v>#DIV/0!</v>
      </c>
      <c r="F54" s="46" t="e">
        <f t="shared" si="5"/>
        <v>#DIV/0!</v>
      </c>
      <c r="G54" s="46" t="e">
        <f t="shared" si="6"/>
        <v>#DIV/0!</v>
      </c>
      <c r="H54" s="46" t="e">
        <f t="shared" si="7"/>
        <v>#DIV/0!</v>
      </c>
      <c r="I54" s="46" t="e">
        <f t="shared" si="8"/>
        <v>#DIV/0!</v>
      </c>
      <c r="J54" s="46" t="e">
        <f t="shared" si="9"/>
        <v>#DIV/0!</v>
      </c>
      <c r="K54" s="46" t="e">
        <f t="shared" si="10"/>
        <v>#DIV/0!</v>
      </c>
      <c r="L54" s="46" t="e">
        <f t="shared" si="11"/>
        <v>#DIV/0!</v>
      </c>
      <c r="M54" s="46" t="e">
        <f t="shared" si="12"/>
        <v>#DIV/0!</v>
      </c>
      <c r="N54" s="46" t="e">
        <f t="shared" si="13"/>
        <v>#DIV/0!</v>
      </c>
      <c r="O54" s="46" t="e">
        <f t="shared" si="14"/>
        <v>#DIV/0!</v>
      </c>
      <c r="P54" s="46" t="e">
        <f t="shared" si="15"/>
        <v>#DIV/0!</v>
      </c>
      <c r="Q54" s="56" t="e">
        <f>Q53+ATM_Conf!$C$5*(B53)/(Links!B$191*Links!Q$191)</f>
        <v>#DIV/0!</v>
      </c>
      <c r="R54" s="56" t="e">
        <f>R53+ATM_Conf!$C$5*(C53-B53)/(Links!C$191*Links!R$191)</f>
        <v>#DIV/0!</v>
      </c>
      <c r="S54" s="56" t="e">
        <f>S53+ATM_Conf!$C$5*(D53-C53)/(Links!D$191*Links!S$191)</f>
        <v>#DIV/0!</v>
      </c>
      <c r="T54" s="56" t="e">
        <f>T53+ATM_Conf!$C$5*(E53-D53)/(Links!E$191*Links!T$191)</f>
        <v>#DIV/0!</v>
      </c>
      <c r="U54" s="56" t="e">
        <f>U53+ATM_Conf!$C$5*(F53-E53)/(Links!F$191*Links!U$191)</f>
        <v>#DIV/0!</v>
      </c>
      <c r="V54" s="56" t="e">
        <f>V53+ATM_Conf!$C$5*(G53-F53)/(Links!G$191*Links!V$191)</f>
        <v>#DIV/0!</v>
      </c>
      <c r="W54" s="56" t="e">
        <f>W53+ATM_Conf!$C$5*(H53-G53)/(Links!H$191*Links!W$191)</f>
        <v>#DIV/0!</v>
      </c>
      <c r="X54" s="56" t="e">
        <f>X53+ATM_Conf!$C$5*(I53-H53)/(Links!I$191*Links!X$191)</f>
        <v>#DIV/0!</v>
      </c>
      <c r="Y54" s="56" t="e">
        <f>Y53+ATM_Conf!$C$5*(J53)/(Links!J$191*Links!Y$191)</f>
        <v>#DIV/0!</v>
      </c>
      <c r="Z54" s="56" t="e">
        <f>Z53+ATM_Conf!$C$5*(K53-J53)/(Links!K$191*Links!Z$191)</f>
        <v>#DIV/0!</v>
      </c>
      <c r="AA54" s="56" t="e">
        <f>AA53+ATM_Conf!$C$5*(L53-K53)/(Links!L$191*Links!AA$191)</f>
        <v>#DIV/0!</v>
      </c>
      <c r="AB54" s="56" t="e">
        <f>AB53+ATM_Conf!$C$5*(M53-L53)/(Links!M$191*Links!AB$191)</f>
        <v>#DIV/0!</v>
      </c>
      <c r="AC54" s="56" t="e">
        <f>AC53+ATM_Conf!$C$5*(N53-M53)/(Links!N$191*Links!AC$191)</f>
        <v>#DIV/0!</v>
      </c>
      <c r="AD54" s="56" t="e">
        <f>AD53+ATM_Conf!$C$5*(O53-N53)/(Links!O$191*Links!AD$191)</f>
        <v>#DIV/0!</v>
      </c>
      <c r="AE54" s="56" t="e">
        <f>AE53+ATM_Conf!$C$5*(P53-O53)/(Links!P$191*Links!AE$191)</f>
        <v>#DIV/0!</v>
      </c>
      <c r="AF54" s="46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6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6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6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6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6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6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6" t="e">
        <f>AM53+(ATM_Conf!$C$5/ATM_Conf!$C$8)*(Links!BB53*EXP((-(Links!X53/Links!BQ53)^Links!CF53)/Links!CF53)-Links!AM53)+(ATM_Conf!$C$5/Links!X$191)*Links!AM53*(Nodes!BH53-Links!AM53)</f>
        <v>#DIV/0!</v>
      </c>
      <c r="AN54" s="46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6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6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6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6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6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6" t="e">
        <f>AT53+(ATM_Conf!$C$5/ATM_Conf!$C$8)*(Links!BI53*EXP((-(Links!AE53/Links!BX53)^Links!CM53)/Links!CM53)-Links!AT53)+(ATM_Conf!$C$5/Links!AE$191)*Links!AT53*(Nodes!BN53-Links!AT53)</f>
        <v>#DIV/0!</v>
      </c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46">
        <f t="shared" si="29"/>
        <v>0</v>
      </c>
      <c r="CO54" s="46">
        <f t="shared" si="29"/>
        <v>0</v>
      </c>
      <c r="CP54" s="46">
        <f t="shared" si="29"/>
        <v>0</v>
      </c>
      <c r="CQ54" s="46">
        <f t="shared" si="29"/>
        <v>0</v>
      </c>
      <c r="CR54" s="46">
        <f t="shared" si="29"/>
        <v>0</v>
      </c>
      <c r="CS54" s="46">
        <f t="shared" si="29"/>
        <v>0</v>
      </c>
      <c r="CT54" s="46">
        <f t="shared" si="29"/>
        <v>0</v>
      </c>
      <c r="CU54" s="46">
        <f t="shared" si="29"/>
        <v>0</v>
      </c>
      <c r="CV54" s="46">
        <f t="shared" si="29"/>
        <v>0</v>
      </c>
      <c r="CW54" s="46">
        <f t="shared" si="29"/>
        <v>0</v>
      </c>
      <c r="CX54" s="46">
        <f t="shared" si="29"/>
        <v>0</v>
      </c>
      <c r="CY54" s="46">
        <f t="shared" si="29"/>
        <v>0</v>
      </c>
      <c r="CZ54" s="46">
        <f t="shared" si="29"/>
        <v>0</v>
      </c>
      <c r="DA54" s="46">
        <f t="shared" si="29"/>
        <v>0</v>
      </c>
      <c r="DB54" s="46">
        <f t="shared" si="29"/>
        <v>0</v>
      </c>
      <c r="DC54" s="54"/>
      <c r="DD54" s="54"/>
      <c r="DE54" s="54"/>
      <c r="DF54" s="54"/>
      <c r="DG54" s="54"/>
      <c r="DH54" s="54"/>
      <c r="DI54" s="54"/>
      <c r="DJ54" s="54"/>
      <c r="DK54" s="54"/>
      <c r="DL54" s="54"/>
      <c r="DM54" s="54"/>
      <c r="DN54" s="54"/>
      <c r="DO54" s="54"/>
      <c r="DP54" s="54"/>
      <c r="DQ54" s="54"/>
    </row>
    <row r="55" spans="1:121" ht="14.25" x14ac:dyDescent="0.15">
      <c r="A55" s="49">
        <v>53</v>
      </c>
      <c r="B55" s="46" t="e">
        <f t="shared" si="1"/>
        <v>#DIV/0!</v>
      </c>
      <c r="C55" s="46" t="e">
        <f t="shared" si="2"/>
        <v>#DIV/0!</v>
      </c>
      <c r="D55" s="46" t="e">
        <f t="shared" si="3"/>
        <v>#DIV/0!</v>
      </c>
      <c r="E55" s="46" t="e">
        <f t="shared" si="4"/>
        <v>#DIV/0!</v>
      </c>
      <c r="F55" s="46" t="e">
        <f t="shared" si="5"/>
        <v>#DIV/0!</v>
      </c>
      <c r="G55" s="46" t="e">
        <f t="shared" si="6"/>
        <v>#DIV/0!</v>
      </c>
      <c r="H55" s="46" t="e">
        <f t="shared" si="7"/>
        <v>#DIV/0!</v>
      </c>
      <c r="I55" s="46" t="e">
        <f t="shared" si="8"/>
        <v>#DIV/0!</v>
      </c>
      <c r="J55" s="46" t="e">
        <f t="shared" si="9"/>
        <v>#DIV/0!</v>
      </c>
      <c r="K55" s="46" t="e">
        <f t="shared" si="10"/>
        <v>#DIV/0!</v>
      </c>
      <c r="L55" s="46" t="e">
        <f t="shared" si="11"/>
        <v>#DIV/0!</v>
      </c>
      <c r="M55" s="46" t="e">
        <f t="shared" si="12"/>
        <v>#DIV/0!</v>
      </c>
      <c r="N55" s="46" t="e">
        <f t="shared" si="13"/>
        <v>#DIV/0!</v>
      </c>
      <c r="O55" s="46" t="e">
        <f t="shared" si="14"/>
        <v>#DIV/0!</v>
      </c>
      <c r="P55" s="46" t="e">
        <f t="shared" si="15"/>
        <v>#DIV/0!</v>
      </c>
      <c r="Q55" s="56" t="e">
        <f>Q54+ATM_Conf!$C$5*(B54)/(Links!B$191*Links!Q$191)</f>
        <v>#DIV/0!</v>
      </c>
      <c r="R55" s="56" t="e">
        <f>R54+ATM_Conf!$C$5*(C54-B54)/(Links!C$191*Links!R$191)</f>
        <v>#DIV/0!</v>
      </c>
      <c r="S55" s="56" t="e">
        <f>S54+ATM_Conf!$C$5*(D54-C54)/(Links!D$191*Links!S$191)</f>
        <v>#DIV/0!</v>
      </c>
      <c r="T55" s="56" t="e">
        <f>T54+ATM_Conf!$C$5*(E54-D54)/(Links!E$191*Links!T$191)</f>
        <v>#DIV/0!</v>
      </c>
      <c r="U55" s="56" t="e">
        <f>U54+ATM_Conf!$C$5*(F54-E54)/(Links!F$191*Links!U$191)</f>
        <v>#DIV/0!</v>
      </c>
      <c r="V55" s="56" t="e">
        <f>V54+ATM_Conf!$C$5*(G54-F54)/(Links!G$191*Links!V$191)</f>
        <v>#DIV/0!</v>
      </c>
      <c r="W55" s="56" t="e">
        <f>W54+ATM_Conf!$C$5*(H54-G54)/(Links!H$191*Links!W$191)</f>
        <v>#DIV/0!</v>
      </c>
      <c r="X55" s="56" t="e">
        <f>X54+ATM_Conf!$C$5*(I54-H54)/(Links!I$191*Links!X$191)</f>
        <v>#DIV/0!</v>
      </c>
      <c r="Y55" s="56" t="e">
        <f>Y54+ATM_Conf!$C$5*(J54)/(Links!J$191*Links!Y$191)</f>
        <v>#DIV/0!</v>
      </c>
      <c r="Z55" s="56" t="e">
        <f>Z54+ATM_Conf!$C$5*(K54-J54)/(Links!K$191*Links!Z$191)</f>
        <v>#DIV/0!</v>
      </c>
      <c r="AA55" s="56" t="e">
        <f>AA54+ATM_Conf!$C$5*(L54-K54)/(Links!L$191*Links!AA$191)</f>
        <v>#DIV/0!</v>
      </c>
      <c r="AB55" s="56" t="e">
        <f>AB54+ATM_Conf!$C$5*(M54-L54)/(Links!M$191*Links!AB$191)</f>
        <v>#DIV/0!</v>
      </c>
      <c r="AC55" s="56" t="e">
        <f>AC54+ATM_Conf!$C$5*(N54-M54)/(Links!N$191*Links!AC$191)</f>
        <v>#DIV/0!</v>
      </c>
      <c r="AD55" s="56" t="e">
        <f>AD54+ATM_Conf!$C$5*(O54-N54)/(Links!O$191*Links!AD$191)</f>
        <v>#DIV/0!</v>
      </c>
      <c r="AE55" s="56" t="e">
        <f>AE54+ATM_Conf!$C$5*(P54-O54)/(Links!P$191*Links!AE$191)</f>
        <v>#DIV/0!</v>
      </c>
      <c r="AF55" s="46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6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6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6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6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6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6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6" t="e">
        <f>AM54+(ATM_Conf!$C$5/ATM_Conf!$C$8)*(Links!BB54*EXP((-(Links!X54/Links!BQ54)^Links!CF54)/Links!CF54)-Links!AM54)+(ATM_Conf!$C$5/Links!X$191)*Links!AM54*(Nodes!BH54-Links!AM54)</f>
        <v>#DIV/0!</v>
      </c>
      <c r="AN55" s="46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6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6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6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6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6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6" t="e">
        <f>AT54+(ATM_Conf!$C$5/ATM_Conf!$C$8)*(Links!BI54*EXP((-(Links!AE54/Links!BX54)^Links!CM54)/Links!CM54)-Links!AT54)+(ATM_Conf!$C$5/Links!AE$191)*Links!AT54*(Nodes!BN54-Links!AT54)</f>
        <v>#DIV/0!</v>
      </c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46">
        <f t="shared" si="29"/>
        <v>0</v>
      </c>
      <c r="CO55" s="46">
        <f t="shared" si="29"/>
        <v>0</v>
      </c>
      <c r="CP55" s="46">
        <f t="shared" si="29"/>
        <v>0</v>
      </c>
      <c r="CQ55" s="46">
        <f t="shared" si="29"/>
        <v>0</v>
      </c>
      <c r="CR55" s="46">
        <f t="shared" si="29"/>
        <v>0</v>
      </c>
      <c r="CS55" s="46">
        <f t="shared" si="29"/>
        <v>0</v>
      </c>
      <c r="CT55" s="46">
        <f t="shared" si="29"/>
        <v>0</v>
      </c>
      <c r="CU55" s="46">
        <f t="shared" si="29"/>
        <v>0</v>
      </c>
      <c r="CV55" s="46">
        <f t="shared" si="29"/>
        <v>0</v>
      </c>
      <c r="CW55" s="46">
        <f t="shared" si="29"/>
        <v>0</v>
      </c>
      <c r="CX55" s="46">
        <f t="shared" si="29"/>
        <v>0</v>
      </c>
      <c r="CY55" s="46">
        <f t="shared" si="29"/>
        <v>0</v>
      </c>
      <c r="CZ55" s="46">
        <f t="shared" si="29"/>
        <v>0</v>
      </c>
      <c r="DA55" s="46">
        <f t="shared" si="29"/>
        <v>0</v>
      </c>
      <c r="DB55" s="46">
        <f t="shared" si="29"/>
        <v>0</v>
      </c>
      <c r="DC55" s="54"/>
      <c r="DD55" s="54"/>
      <c r="DE55" s="54"/>
      <c r="DF55" s="54"/>
      <c r="DG55" s="54"/>
      <c r="DH55" s="54"/>
      <c r="DI55" s="54"/>
      <c r="DJ55" s="54"/>
      <c r="DK55" s="54"/>
      <c r="DL55" s="54"/>
      <c r="DM55" s="54"/>
      <c r="DN55" s="54"/>
      <c r="DO55" s="54"/>
      <c r="DP55" s="54"/>
      <c r="DQ55" s="54"/>
    </row>
    <row r="56" spans="1:121" ht="14.25" x14ac:dyDescent="0.15">
      <c r="A56" s="49">
        <v>54</v>
      </c>
      <c r="B56" s="46" t="e">
        <f t="shared" si="1"/>
        <v>#DIV/0!</v>
      </c>
      <c r="C56" s="46" t="e">
        <f t="shared" si="2"/>
        <v>#DIV/0!</v>
      </c>
      <c r="D56" s="46" t="e">
        <f t="shared" si="3"/>
        <v>#DIV/0!</v>
      </c>
      <c r="E56" s="46" t="e">
        <f t="shared" si="4"/>
        <v>#DIV/0!</v>
      </c>
      <c r="F56" s="46" t="e">
        <f t="shared" si="5"/>
        <v>#DIV/0!</v>
      </c>
      <c r="G56" s="46" t="e">
        <f t="shared" si="6"/>
        <v>#DIV/0!</v>
      </c>
      <c r="H56" s="46" t="e">
        <f t="shared" si="7"/>
        <v>#DIV/0!</v>
      </c>
      <c r="I56" s="46" t="e">
        <f t="shared" si="8"/>
        <v>#DIV/0!</v>
      </c>
      <c r="J56" s="46" t="e">
        <f t="shared" si="9"/>
        <v>#DIV/0!</v>
      </c>
      <c r="K56" s="46" t="e">
        <f t="shared" si="10"/>
        <v>#DIV/0!</v>
      </c>
      <c r="L56" s="46" t="e">
        <f t="shared" si="11"/>
        <v>#DIV/0!</v>
      </c>
      <c r="M56" s="46" t="e">
        <f t="shared" si="12"/>
        <v>#DIV/0!</v>
      </c>
      <c r="N56" s="46" t="e">
        <f t="shared" si="13"/>
        <v>#DIV/0!</v>
      </c>
      <c r="O56" s="46" t="e">
        <f t="shared" si="14"/>
        <v>#DIV/0!</v>
      </c>
      <c r="P56" s="46" t="e">
        <f t="shared" si="15"/>
        <v>#DIV/0!</v>
      </c>
      <c r="Q56" s="56" t="e">
        <f>Q55+ATM_Conf!$C$5*(B55)/(Links!B$191*Links!Q$191)</f>
        <v>#DIV/0!</v>
      </c>
      <c r="R56" s="56" t="e">
        <f>R55+ATM_Conf!$C$5*(C55-B55)/(Links!C$191*Links!R$191)</f>
        <v>#DIV/0!</v>
      </c>
      <c r="S56" s="56" t="e">
        <f>S55+ATM_Conf!$C$5*(D55-C55)/(Links!D$191*Links!S$191)</f>
        <v>#DIV/0!</v>
      </c>
      <c r="T56" s="56" t="e">
        <f>T55+ATM_Conf!$C$5*(E55-D55)/(Links!E$191*Links!T$191)</f>
        <v>#DIV/0!</v>
      </c>
      <c r="U56" s="56" t="e">
        <f>U55+ATM_Conf!$C$5*(F55-E55)/(Links!F$191*Links!U$191)</f>
        <v>#DIV/0!</v>
      </c>
      <c r="V56" s="56" t="e">
        <f>V55+ATM_Conf!$C$5*(G55-F55)/(Links!G$191*Links!V$191)</f>
        <v>#DIV/0!</v>
      </c>
      <c r="W56" s="56" t="e">
        <f>W55+ATM_Conf!$C$5*(H55-G55)/(Links!H$191*Links!W$191)</f>
        <v>#DIV/0!</v>
      </c>
      <c r="X56" s="56" t="e">
        <f>X55+ATM_Conf!$C$5*(I55-H55)/(Links!I$191*Links!X$191)</f>
        <v>#DIV/0!</v>
      </c>
      <c r="Y56" s="56" t="e">
        <f>Y55+ATM_Conf!$C$5*(J55)/(Links!J$191*Links!Y$191)</f>
        <v>#DIV/0!</v>
      </c>
      <c r="Z56" s="56" t="e">
        <f>Z55+ATM_Conf!$C$5*(K55-J55)/(Links!K$191*Links!Z$191)</f>
        <v>#DIV/0!</v>
      </c>
      <c r="AA56" s="56" t="e">
        <f>AA55+ATM_Conf!$C$5*(L55-K55)/(Links!L$191*Links!AA$191)</f>
        <v>#DIV/0!</v>
      </c>
      <c r="AB56" s="56" t="e">
        <f>AB55+ATM_Conf!$C$5*(M55-L55)/(Links!M$191*Links!AB$191)</f>
        <v>#DIV/0!</v>
      </c>
      <c r="AC56" s="56" t="e">
        <f>AC55+ATM_Conf!$C$5*(N55-M55)/(Links!N$191*Links!AC$191)</f>
        <v>#DIV/0!</v>
      </c>
      <c r="AD56" s="56" t="e">
        <f>AD55+ATM_Conf!$C$5*(O55-N55)/(Links!O$191*Links!AD$191)</f>
        <v>#DIV/0!</v>
      </c>
      <c r="AE56" s="56" t="e">
        <f>AE55+ATM_Conf!$C$5*(P55-O55)/(Links!P$191*Links!AE$191)</f>
        <v>#DIV/0!</v>
      </c>
      <c r="AF56" s="46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6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6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6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6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6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6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6" t="e">
        <f>AM55+(ATM_Conf!$C$5/ATM_Conf!$C$8)*(Links!BB55*EXP((-(Links!X55/Links!BQ55)^Links!CF55)/Links!CF55)-Links!AM55)+(ATM_Conf!$C$5/Links!X$191)*Links!AM55*(Nodes!BH55-Links!AM55)</f>
        <v>#DIV/0!</v>
      </c>
      <c r="AN56" s="46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6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6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6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6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6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6" t="e">
        <f>AT55+(ATM_Conf!$C$5/ATM_Conf!$C$8)*(Links!BI55*EXP((-(Links!AE55/Links!BX55)^Links!CM55)/Links!CM55)-Links!AT55)+(ATM_Conf!$C$5/Links!AE$191)*Links!AT55*(Nodes!BN55-Links!AT55)</f>
        <v>#DIV/0!</v>
      </c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46">
        <f t="shared" si="29"/>
        <v>0</v>
      </c>
      <c r="CO56" s="46">
        <f t="shared" si="29"/>
        <v>0</v>
      </c>
      <c r="CP56" s="46">
        <f t="shared" si="29"/>
        <v>0</v>
      </c>
      <c r="CQ56" s="46">
        <f t="shared" si="29"/>
        <v>0</v>
      </c>
      <c r="CR56" s="46">
        <f t="shared" si="29"/>
        <v>0</v>
      </c>
      <c r="CS56" s="46">
        <f t="shared" si="29"/>
        <v>0</v>
      </c>
      <c r="CT56" s="46">
        <f t="shared" si="29"/>
        <v>0</v>
      </c>
      <c r="CU56" s="46">
        <f t="shared" si="29"/>
        <v>0</v>
      </c>
      <c r="CV56" s="46">
        <f t="shared" si="29"/>
        <v>0</v>
      </c>
      <c r="CW56" s="46">
        <f t="shared" si="29"/>
        <v>0</v>
      </c>
      <c r="CX56" s="46">
        <f t="shared" si="29"/>
        <v>0</v>
      </c>
      <c r="CY56" s="46">
        <f t="shared" si="29"/>
        <v>0</v>
      </c>
      <c r="CZ56" s="46">
        <f t="shared" si="29"/>
        <v>0</v>
      </c>
      <c r="DA56" s="46">
        <f t="shared" si="29"/>
        <v>0</v>
      </c>
      <c r="DB56" s="46">
        <f t="shared" si="29"/>
        <v>0</v>
      </c>
      <c r="DC56" s="54"/>
      <c r="DD56" s="54"/>
      <c r="DE56" s="54"/>
      <c r="DF56" s="54"/>
      <c r="DG56" s="54"/>
      <c r="DH56" s="54"/>
      <c r="DI56" s="54"/>
      <c r="DJ56" s="54"/>
      <c r="DK56" s="54"/>
      <c r="DL56" s="54"/>
      <c r="DM56" s="54"/>
      <c r="DN56" s="54"/>
      <c r="DO56" s="54"/>
      <c r="DP56" s="54"/>
      <c r="DQ56" s="54"/>
    </row>
    <row r="57" spans="1:121" ht="14.25" x14ac:dyDescent="0.15">
      <c r="A57" s="49">
        <v>55</v>
      </c>
      <c r="B57" s="46" t="e">
        <f t="shared" si="1"/>
        <v>#DIV/0!</v>
      </c>
      <c r="C57" s="46" t="e">
        <f t="shared" si="2"/>
        <v>#DIV/0!</v>
      </c>
      <c r="D57" s="46" t="e">
        <f t="shared" si="3"/>
        <v>#DIV/0!</v>
      </c>
      <c r="E57" s="46" t="e">
        <f t="shared" si="4"/>
        <v>#DIV/0!</v>
      </c>
      <c r="F57" s="46" t="e">
        <f t="shared" si="5"/>
        <v>#DIV/0!</v>
      </c>
      <c r="G57" s="46" t="e">
        <f t="shared" si="6"/>
        <v>#DIV/0!</v>
      </c>
      <c r="H57" s="46" t="e">
        <f t="shared" si="7"/>
        <v>#DIV/0!</v>
      </c>
      <c r="I57" s="46" t="e">
        <f t="shared" si="8"/>
        <v>#DIV/0!</v>
      </c>
      <c r="J57" s="46" t="e">
        <f t="shared" si="9"/>
        <v>#DIV/0!</v>
      </c>
      <c r="K57" s="46" t="e">
        <f t="shared" si="10"/>
        <v>#DIV/0!</v>
      </c>
      <c r="L57" s="46" t="e">
        <f t="shared" si="11"/>
        <v>#DIV/0!</v>
      </c>
      <c r="M57" s="46" t="e">
        <f t="shared" si="12"/>
        <v>#DIV/0!</v>
      </c>
      <c r="N57" s="46" t="e">
        <f t="shared" si="13"/>
        <v>#DIV/0!</v>
      </c>
      <c r="O57" s="46" t="e">
        <f t="shared" si="14"/>
        <v>#DIV/0!</v>
      </c>
      <c r="P57" s="46" t="e">
        <f t="shared" si="15"/>
        <v>#DIV/0!</v>
      </c>
      <c r="Q57" s="56" t="e">
        <f>Q56+ATM_Conf!$C$5*(B56)/(Links!B$191*Links!Q$191)</f>
        <v>#DIV/0!</v>
      </c>
      <c r="R57" s="56" t="e">
        <f>R56+ATM_Conf!$C$5*(C56-B56)/(Links!C$191*Links!R$191)</f>
        <v>#DIV/0!</v>
      </c>
      <c r="S57" s="56" t="e">
        <f>S56+ATM_Conf!$C$5*(D56-C56)/(Links!D$191*Links!S$191)</f>
        <v>#DIV/0!</v>
      </c>
      <c r="T57" s="56" t="e">
        <f>T56+ATM_Conf!$C$5*(E56-D56)/(Links!E$191*Links!T$191)</f>
        <v>#DIV/0!</v>
      </c>
      <c r="U57" s="56" t="e">
        <f>U56+ATM_Conf!$C$5*(F56-E56)/(Links!F$191*Links!U$191)</f>
        <v>#DIV/0!</v>
      </c>
      <c r="V57" s="56" t="e">
        <f>V56+ATM_Conf!$C$5*(G56-F56)/(Links!G$191*Links!V$191)</f>
        <v>#DIV/0!</v>
      </c>
      <c r="W57" s="56" t="e">
        <f>W56+ATM_Conf!$C$5*(H56-G56)/(Links!H$191*Links!W$191)</f>
        <v>#DIV/0!</v>
      </c>
      <c r="X57" s="56" t="e">
        <f>X56+ATM_Conf!$C$5*(I56-H56)/(Links!I$191*Links!X$191)</f>
        <v>#DIV/0!</v>
      </c>
      <c r="Y57" s="56" t="e">
        <f>Y56+ATM_Conf!$C$5*(J56)/(Links!J$191*Links!Y$191)</f>
        <v>#DIV/0!</v>
      </c>
      <c r="Z57" s="56" t="e">
        <f>Z56+ATM_Conf!$C$5*(K56-J56)/(Links!K$191*Links!Z$191)</f>
        <v>#DIV/0!</v>
      </c>
      <c r="AA57" s="56" t="e">
        <f>AA56+ATM_Conf!$C$5*(L56-K56)/(Links!L$191*Links!AA$191)</f>
        <v>#DIV/0!</v>
      </c>
      <c r="AB57" s="56" t="e">
        <f>AB56+ATM_Conf!$C$5*(M56-L56)/(Links!M$191*Links!AB$191)</f>
        <v>#DIV/0!</v>
      </c>
      <c r="AC57" s="56" t="e">
        <f>AC56+ATM_Conf!$C$5*(N56-M56)/(Links!N$191*Links!AC$191)</f>
        <v>#DIV/0!</v>
      </c>
      <c r="AD57" s="56" t="e">
        <f>AD56+ATM_Conf!$C$5*(O56-N56)/(Links!O$191*Links!AD$191)</f>
        <v>#DIV/0!</v>
      </c>
      <c r="AE57" s="56" t="e">
        <f>AE56+ATM_Conf!$C$5*(P56-O56)/(Links!P$191*Links!AE$191)</f>
        <v>#DIV/0!</v>
      </c>
      <c r="AF57" s="46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6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6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6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6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6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6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6" t="e">
        <f>AM56+(ATM_Conf!$C$5/ATM_Conf!$C$8)*(Links!BB56*EXP((-(Links!X56/Links!BQ56)^Links!CF56)/Links!CF56)-Links!AM56)+(ATM_Conf!$C$5/Links!X$191)*Links!AM56*(Nodes!BH56-Links!AM56)</f>
        <v>#DIV/0!</v>
      </c>
      <c r="AN57" s="46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6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6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6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6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6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6" t="e">
        <f>AT56+(ATM_Conf!$C$5/ATM_Conf!$C$8)*(Links!BI56*EXP((-(Links!AE56/Links!BX56)^Links!CM56)/Links!CM56)-Links!AT56)+(ATM_Conf!$C$5/Links!AE$191)*Links!AT56*(Nodes!BN56-Links!AT56)</f>
        <v>#DIV/0!</v>
      </c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46">
        <f t="shared" si="29"/>
        <v>0</v>
      </c>
      <c r="CO57" s="46">
        <f t="shared" si="29"/>
        <v>0</v>
      </c>
      <c r="CP57" s="46">
        <f t="shared" si="29"/>
        <v>0</v>
      </c>
      <c r="CQ57" s="46">
        <f t="shared" si="29"/>
        <v>0</v>
      </c>
      <c r="CR57" s="46">
        <f t="shared" si="29"/>
        <v>0</v>
      </c>
      <c r="CS57" s="46">
        <f t="shared" si="29"/>
        <v>0</v>
      </c>
      <c r="CT57" s="46">
        <f t="shared" si="29"/>
        <v>0</v>
      </c>
      <c r="CU57" s="46">
        <f t="shared" si="29"/>
        <v>0</v>
      </c>
      <c r="CV57" s="46">
        <f t="shared" si="29"/>
        <v>0</v>
      </c>
      <c r="CW57" s="46">
        <f t="shared" si="29"/>
        <v>0</v>
      </c>
      <c r="CX57" s="46">
        <f t="shared" si="29"/>
        <v>0</v>
      </c>
      <c r="CY57" s="46">
        <f t="shared" si="29"/>
        <v>0</v>
      </c>
      <c r="CZ57" s="46">
        <f t="shared" si="29"/>
        <v>0</v>
      </c>
      <c r="DA57" s="46">
        <f t="shared" si="29"/>
        <v>0</v>
      </c>
      <c r="DB57" s="46">
        <f t="shared" si="29"/>
        <v>0</v>
      </c>
      <c r="DC57" s="54"/>
      <c r="DD57" s="54"/>
      <c r="DE57" s="54"/>
      <c r="DF57" s="54"/>
      <c r="DG57" s="54"/>
      <c r="DH57" s="54"/>
      <c r="DI57" s="54"/>
      <c r="DJ57" s="54"/>
      <c r="DK57" s="54"/>
      <c r="DL57" s="54"/>
      <c r="DM57" s="54"/>
      <c r="DN57" s="54"/>
      <c r="DO57" s="54"/>
      <c r="DP57" s="54"/>
      <c r="DQ57" s="54"/>
    </row>
    <row r="58" spans="1:121" ht="14.25" x14ac:dyDescent="0.15">
      <c r="A58" s="49">
        <v>56</v>
      </c>
      <c r="B58" s="46" t="e">
        <f t="shared" si="1"/>
        <v>#DIV/0!</v>
      </c>
      <c r="C58" s="46" t="e">
        <f t="shared" si="2"/>
        <v>#DIV/0!</v>
      </c>
      <c r="D58" s="46" t="e">
        <f t="shared" si="3"/>
        <v>#DIV/0!</v>
      </c>
      <c r="E58" s="46" t="e">
        <f t="shared" si="4"/>
        <v>#DIV/0!</v>
      </c>
      <c r="F58" s="46" t="e">
        <f t="shared" si="5"/>
        <v>#DIV/0!</v>
      </c>
      <c r="G58" s="46" t="e">
        <f t="shared" si="6"/>
        <v>#DIV/0!</v>
      </c>
      <c r="H58" s="46" t="e">
        <f t="shared" si="7"/>
        <v>#DIV/0!</v>
      </c>
      <c r="I58" s="46" t="e">
        <f t="shared" si="8"/>
        <v>#DIV/0!</v>
      </c>
      <c r="J58" s="46" t="e">
        <f t="shared" si="9"/>
        <v>#DIV/0!</v>
      </c>
      <c r="K58" s="46" t="e">
        <f t="shared" si="10"/>
        <v>#DIV/0!</v>
      </c>
      <c r="L58" s="46" t="e">
        <f t="shared" si="11"/>
        <v>#DIV/0!</v>
      </c>
      <c r="M58" s="46" t="e">
        <f t="shared" si="12"/>
        <v>#DIV/0!</v>
      </c>
      <c r="N58" s="46" t="e">
        <f t="shared" si="13"/>
        <v>#DIV/0!</v>
      </c>
      <c r="O58" s="46" t="e">
        <f t="shared" si="14"/>
        <v>#DIV/0!</v>
      </c>
      <c r="P58" s="46" t="e">
        <f t="shared" si="15"/>
        <v>#DIV/0!</v>
      </c>
      <c r="Q58" s="56" t="e">
        <f>Q57+ATM_Conf!$C$5*(B57)/(Links!B$191*Links!Q$191)</f>
        <v>#DIV/0!</v>
      </c>
      <c r="R58" s="56" t="e">
        <f>R57+ATM_Conf!$C$5*(C57-B57)/(Links!C$191*Links!R$191)</f>
        <v>#DIV/0!</v>
      </c>
      <c r="S58" s="56" t="e">
        <f>S57+ATM_Conf!$C$5*(D57-C57)/(Links!D$191*Links!S$191)</f>
        <v>#DIV/0!</v>
      </c>
      <c r="T58" s="56" t="e">
        <f>T57+ATM_Conf!$C$5*(E57-D57)/(Links!E$191*Links!T$191)</f>
        <v>#DIV/0!</v>
      </c>
      <c r="U58" s="56" t="e">
        <f>U57+ATM_Conf!$C$5*(F57-E57)/(Links!F$191*Links!U$191)</f>
        <v>#DIV/0!</v>
      </c>
      <c r="V58" s="56" t="e">
        <f>V57+ATM_Conf!$C$5*(G57-F57)/(Links!G$191*Links!V$191)</f>
        <v>#DIV/0!</v>
      </c>
      <c r="W58" s="56" t="e">
        <f>W57+ATM_Conf!$C$5*(H57-G57)/(Links!H$191*Links!W$191)</f>
        <v>#DIV/0!</v>
      </c>
      <c r="X58" s="56" t="e">
        <f>X57+ATM_Conf!$C$5*(I57-H57)/(Links!I$191*Links!X$191)</f>
        <v>#DIV/0!</v>
      </c>
      <c r="Y58" s="56" t="e">
        <f>Y57+ATM_Conf!$C$5*(J57)/(Links!J$191*Links!Y$191)</f>
        <v>#DIV/0!</v>
      </c>
      <c r="Z58" s="56" t="e">
        <f>Z57+ATM_Conf!$C$5*(K57-J57)/(Links!K$191*Links!Z$191)</f>
        <v>#DIV/0!</v>
      </c>
      <c r="AA58" s="56" t="e">
        <f>AA57+ATM_Conf!$C$5*(L57-K57)/(Links!L$191*Links!AA$191)</f>
        <v>#DIV/0!</v>
      </c>
      <c r="AB58" s="56" t="e">
        <f>AB57+ATM_Conf!$C$5*(M57-L57)/(Links!M$191*Links!AB$191)</f>
        <v>#DIV/0!</v>
      </c>
      <c r="AC58" s="56" t="e">
        <f>AC57+ATM_Conf!$C$5*(N57-M57)/(Links!N$191*Links!AC$191)</f>
        <v>#DIV/0!</v>
      </c>
      <c r="AD58" s="56" t="e">
        <f>AD57+ATM_Conf!$C$5*(O57-N57)/(Links!O$191*Links!AD$191)</f>
        <v>#DIV/0!</v>
      </c>
      <c r="AE58" s="56" t="e">
        <f>AE57+ATM_Conf!$C$5*(P57-O57)/(Links!P$191*Links!AE$191)</f>
        <v>#DIV/0!</v>
      </c>
      <c r="AF58" s="46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6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6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6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6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6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6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6" t="e">
        <f>AM57+(ATM_Conf!$C$5/ATM_Conf!$C$8)*(Links!BB57*EXP((-(Links!X57/Links!BQ57)^Links!CF57)/Links!CF57)-Links!AM57)+(ATM_Conf!$C$5/Links!X$191)*Links!AM57*(Nodes!BH57-Links!AM57)</f>
        <v>#DIV/0!</v>
      </c>
      <c r="AN58" s="46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6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6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6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6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6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6" t="e">
        <f>AT57+(ATM_Conf!$C$5/ATM_Conf!$C$8)*(Links!BI57*EXP((-(Links!AE57/Links!BX57)^Links!CM57)/Links!CM57)-Links!AT57)+(ATM_Conf!$C$5/Links!AE$191)*Links!AT57*(Nodes!BN57-Links!AT57)</f>
        <v>#DIV/0!</v>
      </c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46">
        <f t="shared" si="29"/>
        <v>0</v>
      </c>
      <c r="CO58" s="46">
        <f t="shared" si="29"/>
        <v>0</v>
      </c>
      <c r="CP58" s="46">
        <f t="shared" si="29"/>
        <v>0</v>
      </c>
      <c r="CQ58" s="46">
        <f t="shared" si="29"/>
        <v>0</v>
      </c>
      <c r="CR58" s="46">
        <f t="shared" si="29"/>
        <v>0</v>
      </c>
      <c r="CS58" s="46">
        <f t="shared" si="29"/>
        <v>0</v>
      </c>
      <c r="CT58" s="46">
        <f t="shared" si="29"/>
        <v>0</v>
      </c>
      <c r="CU58" s="46">
        <f t="shared" si="29"/>
        <v>0</v>
      </c>
      <c r="CV58" s="46">
        <f t="shared" si="29"/>
        <v>0</v>
      </c>
      <c r="CW58" s="46">
        <f t="shared" si="29"/>
        <v>0</v>
      </c>
      <c r="CX58" s="46">
        <f t="shared" si="29"/>
        <v>0</v>
      </c>
      <c r="CY58" s="46">
        <f t="shared" si="29"/>
        <v>0</v>
      </c>
      <c r="CZ58" s="46">
        <f t="shared" si="29"/>
        <v>0</v>
      </c>
      <c r="DA58" s="46">
        <f t="shared" si="29"/>
        <v>0</v>
      </c>
      <c r="DB58" s="46">
        <f t="shared" si="29"/>
        <v>0</v>
      </c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</row>
    <row r="59" spans="1:121" ht="14.25" x14ac:dyDescent="0.15">
      <c r="A59" s="49">
        <v>57</v>
      </c>
      <c r="B59" s="46" t="e">
        <f t="shared" si="1"/>
        <v>#DIV/0!</v>
      </c>
      <c r="C59" s="46" t="e">
        <f t="shared" si="2"/>
        <v>#DIV/0!</v>
      </c>
      <c r="D59" s="46" t="e">
        <f t="shared" si="3"/>
        <v>#DIV/0!</v>
      </c>
      <c r="E59" s="46" t="e">
        <f t="shared" si="4"/>
        <v>#DIV/0!</v>
      </c>
      <c r="F59" s="46" t="e">
        <f t="shared" si="5"/>
        <v>#DIV/0!</v>
      </c>
      <c r="G59" s="46" t="e">
        <f t="shared" si="6"/>
        <v>#DIV/0!</v>
      </c>
      <c r="H59" s="46" t="e">
        <f t="shared" si="7"/>
        <v>#DIV/0!</v>
      </c>
      <c r="I59" s="46" t="e">
        <f t="shared" si="8"/>
        <v>#DIV/0!</v>
      </c>
      <c r="J59" s="46" t="e">
        <f t="shared" si="9"/>
        <v>#DIV/0!</v>
      </c>
      <c r="K59" s="46" t="e">
        <f t="shared" si="10"/>
        <v>#DIV/0!</v>
      </c>
      <c r="L59" s="46" t="e">
        <f t="shared" si="11"/>
        <v>#DIV/0!</v>
      </c>
      <c r="M59" s="46" t="e">
        <f t="shared" si="12"/>
        <v>#DIV/0!</v>
      </c>
      <c r="N59" s="46" t="e">
        <f t="shared" si="13"/>
        <v>#DIV/0!</v>
      </c>
      <c r="O59" s="46" t="e">
        <f t="shared" si="14"/>
        <v>#DIV/0!</v>
      </c>
      <c r="P59" s="46" t="e">
        <f t="shared" si="15"/>
        <v>#DIV/0!</v>
      </c>
      <c r="Q59" s="56" t="e">
        <f>Q58+ATM_Conf!$C$5*(B58)/(Links!B$191*Links!Q$191)</f>
        <v>#DIV/0!</v>
      </c>
      <c r="R59" s="56" t="e">
        <f>R58+ATM_Conf!$C$5*(C58-B58)/(Links!C$191*Links!R$191)</f>
        <v>#DIV/0!</v>
      </c>
      <c r="S59" s="56" t="e">
        <f>S58+ATM_Conf!$C$5*(D58-C58)/(Links!D$191*Links!S$191)</f>
        <v>#DIV/0!</v>
      </c>
      <c r="T59" s="56" t="e">
        <f>T58+ATM_Conf!$C$5*(E58-D58)/(Links!E$191*Links!T$191)</f>
        <v>#DIV/0!</v>
      </c>
      <c r="U59" s="56" t="e">
        <f>U58+ATM_Conf!$C$5*(F58-E58)/(Links!F$191*Links!U$191)</f>
        <v>#DIV/0!</v>
      </c>
      <c r="V59" s="56" t="e">
        <f>V58+ATM_Conf!$C$5*(G58-F58)/(Links!G$191*Links!V$191)</f>
        <v>#DIV/0!</v>
      </c>
      <c r="W59" s="56" t="e">
        <f>W58+ATM_Conf!$C$5*(H58-G58)/(Links!H$191*Links!W$191)</f>
        <v>#DIV/0!</v>
      </c>
      <c r="X59" s="56" t="e">
        <f>X58+ATM_Conf!$C$5*(I58-H58)/(Links!I$191*Links!X$191)</f>
        <v>#DIV/0!</v>
      </c>
      <c r="Y59" s="56" t="e">
        <f>Y58+ATM_Conf!$C$5*(J58)/(Links!J$191*Links!Y$191)</f>
        <v>#DIV/0!</v>
      </c>
      <c r="Z59" s="56" t="e">
        <f>Z58+ATM_Conf!$C$5*(K58-J58)/(Links!K$191*Links!Z$191)</f>
        <v>#DIV/0!</v>
      </c>
      <c r="AA59" s="56" t="e">
        <f>AA58+ATM_Conf!$C$5*(L58-K58)/(Links!L$191*Links!AA$191)</f>
        <v>#DIV/0!</v>
      </c>
      <c r="AB59" s="56" t="e">
        <f>AB58+ATM_Conf!$C$5*(M58-L58)/(Links!M$191*Links!AB$191)</f>
        <v>#DIV/0!</v>
      </c>
      <c r="AC59" s="56" t="e">
        <f>AC58+ATM_Conf!$C$5*(N58-M58)/(Links!N$191*Links!AC$191)</f>
        <v>#DIV/0!</v>
      </c>
      <c r="AD59" s="56" t="e">
        <f>AD58+ATM_Conf!$C$5*(O58-N58)/(Links!O$191*Links!AD$191)</f>
        <v>#DIV/0!</v>
      </c>
      <c r="AE59" s="56" t="e">
        <f>AE58+ATM_Conf!$C$5*(P58-O58)/(Links!P$191*Links!AE$191)</f>
        <v>#DIV/0!</v>
      </c>
      <c r="AF59" s="46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6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6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6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6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6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6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6" t="e">
        <f>AM58+(ATM_Conf!$C$5/ATM_Conf!$C$8)*(Links!BB58*EXP((-(Links!X58/Links!BQ58)^Links!CF58)/Links!CF58)-Links!AM58)+(ATM_Conf!$C$5/Links!X$191)*Links!AM58*(Nodes!BH58-Links!AM58)</f>
        <v>#DIV/0!</v>
      </c>
      <c r="AN59" s="46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6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6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6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6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6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6" t="e">
        <f>AT58+(ATM_Conf!$C$5/ATM_Conf!$C$8)*(Links!BI58*EXP((-(Links!AE58/Links!BX58)^Links!CM58)/Links!CM58)-Links!AT58)+(ATM_Conf!$C$5/Links!AE$191)*Links!AT58*(Nodes!BN58-Links!AT58)</f>
        <v>#DIV/0!</v>
      </c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46">
        <f t="shared" si="29"/>
        <v>0</v>
      </c>
      <c r="CO59" s="46">
        <f t="shared" si="29"/>
        <v>0</v>
      </c>
      <c r="CP59" s="46">
        <f t="shared" si="29"/>
        <v>0</v>
      </c>
      <c r="CQ59" s="46">
        <f t="shared" si="29"/>
        <v>0</v>
      </c>
      <c r="CR59" s="46">
        <f t="shared" si="29"/>
        <v>0</v>
      </c>
      <c r="CS59" s="46">
        <f t="shared" si="29"/>
        <v>0</v>
      </c>
      <c r="CT59" s="46">
        <f t="shared" si="29"/>
        <v>0</v>
      </c>
      <c r="CU59" s="46">
        <f t="shared" si="29"/>
        <v>0</v>
      </c>
      <c r="CV59" s="46">
        <f t="shared" si="29"/>
        <v>0</v>
      </c>
      <c r="CW59" s="46">
        <f t="shared" si="29"/>
        <v>0</v>
      </c>
      <c r="CX59" s="46">
        <f t="shared" si="29"/>
        <v>0</v>
      </c>
      <c r="CY59" s="46">
        <f t="shared" si="29"/>
        <v>0</v>
      </c>
      <c r="CZ59" s="46">
        <f t="shared" si="29"/>
        <v>0</v>
      </c>
      <c r="DA59" s="46">
        <f t="shared" si="29"/>
        <v>0</v>
      </c>
      <c r="DB59" s="46">
        <f t="shared" si="29"/>
        <v>0</v>
      </c>
      <c r="DC59" s="54"/>
      <c r="DD59" s="54"/>
      <c r="DE59" s="54"/>
      <c r="DF59" s="54"/>
      <c r="DG59" s="54"/>
      <c r="DH59" s="54"/>
      <c r="DI59" s="54"/>
      <c r="DJ59" s="54"/>
      <c r="DK59" s="54"/>
      <c r="DL59" s="54"/>
      <c r="DM59" s="54"/>
      <c r="DN59" s="54"/>
      <c r="DO59" s="54"/>
      <c r="DP59" s="54"/>
      <c r="DQ59" s="54"/>
    </row>
    <row r="60" spans="1:121" ht="14.25" x14ac:dyDescent="0.15">
      <c r="A60" s="49">
        <v>58</v>
      </c>
      <c r="B60" s="46" t="e">
        <f t="shared" si="1"/>
        <v>#DIV/0!</v>
      </c>
      <c r="C60" s="46" t="e">
        <f t="shared" si="2"/>
        <v>#DIV/0!</v>
      </c>
      <c r="D60" s="46" t="e">
        <f t="shared" si="3"/>
        <v>#DIV/0!</v>
      </c>
      <c r="E60" s="46" t="e">
        <f t="shared" si="4"/>
        <v>#DIV/0!</v>
      </c>
      <c r="F60" s="46" t="e">
        <f t="shared" si="5"/>
        <v>#DIV/0!</v>
      </c>
      <c r="G60" s="46" t="e">
        <f t="shared" si="6"/>
        <v>#DIV/0!</v>
      </c>
      <c r="H60" s="46" t="e">
        <f t="shared" si="7"/>
        <v>#DIV/0!</v>
      </c>
      <c r="I60" s="46" t="e">
        <f t="shared" si="8"/>
        <v>#DIV/0!</v>
      </c>
      <c r="J60" s="46" t="e">
        <f t="shared" si="9"/>
        <v>#DIV/0!</v>
      </c>
      <c r="K60" s="46" t="e">
        <f t="shared" si="10"/>
        <v>#DIV/0!</v>
      </c>
      <c r="L60" s="46" t="e">
        <f t="shared" si="11"/>
        <v>#DIV/0!</v>
      </c>
      <c r="M60" s="46" t="e">
        <f t="shared" si="12"/>
        <v>#DIV/0!</v>
      </c>
      <c r="N60" s="46" t="e">
        <f t="shared" si="13"/>
        <v>#DIV/0!</v>
      </c>
      <c r="O60" s="46" t="e">
        <f t="shared" si="14"/>
        <v>#DIV/0!</v>
      </c>
      <c r="P60" s="46" t="e">
        <f t="shared" si="15"/>
        <v>#DIV/0!</v>
      </c>
      <c r="Q60" s="56" t="e">
        <f>Q59+ATM_Conf!$C$5*(B59)/(Links!B$191*Links!Q$191)</f>
        <v>#DIV/0!</v>
      </c>
      <c r="R60" s="56" t="e">
        <f>R59+ATM_Conf!$C$5*(C59-B59)/(Links!C$191*Links!R$191)</f>
        <v>#DIV/0!</v>
      </c>
      <c r="S60" s="56" t="e">
        <f>S59+ATM_Conf!$C$5*(D59-C59)/(Links!D$191*Links!S$191)</f>
        <v>#DIV/0!</v>
      </c>
      <c r="T60" s="56" t="e">
        <f>T59+ATM_Conf!$C$5*(E59-D59)/(Links!E$191*Links!T$191)</f>
        <v>#DIV/0!</v>
      </c>
      <c r="U60" s="56" t="e">
        <f>U59+ATM_Conf!$C$5*(F59-E59)/(Links!F$191*Links!U$191)</f>
        <v>#DIV/0!</v>
      </c>
      <c r="V60" s="56" t="e">
        <f>V59+ATM_Conf!$C$5*(G59-F59)/(Links!G$191*Links!V$191)</f>
        <v>#DIV/0!</v>
      </c>
      <c r="W60" s="56" t="e">
        <f>W59+ATM_Conf!$C$5*(H59-G59)/(Links!H$191*Links!W$191)</f>
        <v>#DIV/0!</v>
      </c>
      <c r="X60" s="56" t="e">
        <f>X59+ATM_Conf!$C$5*(I59-H59)/(Links!I$191*Links!X$191)</f>
        <v>#DIV/0!</v>
      </c>
      <c r="Y60" s="56" t="e">
        <f>Y59+ATM_Conf!$C$5*(J59)/(Links!J$191*Links!Y$191)</f>
        <v>#DIV/0!</v>
      </c>
      <c r="Z60" s="56" t="e">
        <f>Z59+ATM_Conf!$C$5*(K59-J59)/(Links!K$191*Links!Z$191)</f>
        <v>#DIV/0!</v>
      </c>
      <c r="AA60" s="56" t="e">
        <f>AA59+ATM_Conf!$C$5*(L59-K59)/(Links!L$191*Links!AA$191)</f>
        <v>#DIV/0!</v>
      </c>
      <c r="AB60" s="56" t="e">
        <f>AB59+ATM_Conf!$C$5*(M59-L59)/(Links!M$191*Links!AB$191)</f>
        <v>#DIV/0!</v>
      </c>
      <c r="AC60" s="56" t="e">
        <f>AC59+ATM_Conf!$C$5*(N59-M59)/(Links!N$191*Links!AC$191)</f>
        <v>#DIV/0!</v>
      </c>
      <c r="AD60" s="56" t="e">
        <f>AD59+ATM_Conf!$C$5*(O59-N59)/(Links!O$191*Links!AD$191)</f>
        <v>#DIV/0!</v>
      </c>
      <c r="AE60" s="56" t="e">
        <f>AE59+ATM_Conf!$C$5*(P59-O59)/(Links!P$191*Links!AE$191)</f>
        <v>#DIV/0!</v>
      </c>
      <c r="AF60" s="46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6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6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6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6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6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6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6" t="e">
        <f>AM59+(ATM_Conf!$C$5/ATM_Conf!$C$8)*(Links!BB59*EXP((-(Links!X59/Links!BQ59)^Links!CF59)/Links!CF59)-Links!AM59)+(ATM_Conf!$C$5/Links!X$191)*Links!AM59*(Nodes!BH59-Links!AM59)</f>
        <v>#DIV/0!</v>
      </c>
      <c r="AN60" s="46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6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6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6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6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6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6" t="e">
        <f>AT59+(ATM_Conf!$C$5/ATM_Conf!$C$8)*(Links!BI59*EXP((-(Links!AE59/Links!BX59)^Links!CM59)/Links!CM59)-Links!AT59)+(ATM_Conf!$C$5/Links!AE$191)*Links!AT59*(Nodes!BN59-Links!AT59)</f>
        <v>#DIV/0!</v>
      </c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46">
        <f t="shared" si="29"/>
        <v>0</v>
      </c>
      <c r="CO60" s="46">
        <f t="shared" si="29"/>
        <v>0</v>
      </c>
      <c r="CP60" s="46">
        <f t="shared" si="29"/>
        <v>0</v>
      </c>
      <c r="CQ60" s="46">
        <f t="shared" si="29"/>
        <v>0</v>
      </c>
      <c r="CR60" s="46">
        <f t="shared" si="29"/>
        <v>0</v>
      </c>
      <c r="CS60" s="46">
        <f t="shared" si="29"/>
        <v>0</v>
      </c>
      <c r="CT60" s="46">
        <f t="shared" si="29"/>
        <v>0</v>
      </c>
      <c r="CU60" s="46">
        <f t="shared" si="29"/>
        <v>0</v>
      </c>
      <c r="CV60" s="46">
        <f t="shared" si="29"/>
        <v>0</v>
      </c>
      <c r="CW60" s="46">
        <f t="shared" si="29"/>
        <v>0</v>
      </c>
      <c r="CX60" s="46">
        <f t="shared" si="29"/>
        <v>0</v>
      </c>
      <c r="CY60" s="46">
        <f t="shared" si="29"/>
        <v>0</v>
      </c>
      <c r="CZ60" s="46">
        <f t="shared" si="29"/>
        <v>0</v>
      </c>
      <c r="DA60" s="46">
        <f t="shared" si="29"/>
        <v>0</v>
      </c>
      <c r="DB60" s="46">
        <f t="shared" si="29"/>
        <v>0</v>
      </c>
      <c r="DC60" s="54"/>
      <c r="DD60" s="54"/>
      <c r="DE60" s="54"/>
      <c r="DF60" s="54"/>
      <c r="DG60" s="54"/>
      <c r="DH60" s="54"/>
      <c r="DI60" s="54"/>
      <c r="DJ60" s="54"/>
      <c r="DK60" s="54"/>
      <c r="DL60" s="54"/>
      <c r="DM60" s="54"/>
      <c r="DN60" s="54"/>
      <c r="DO60" s="54"/>
      <c r="DP60" s="54"/>
      <c r="DQ60" s="54"/>
    </row>
    <row r="61" spans="1:121" ht="14.25" x14ac:dyDescent="0.15">
      <c r="A61" s="49">
        <v>59</v>
      </c>
      <c r="B61" s="46" t="e">
        <f t="shared" si="1"/>
        <v>#DIV/0!</v>
      </c>
      <c r="C61" s="46" t="e">
        <f t="shared" si="2"/>
        <v>#DIV/0!</v>
      </c>
      <c r="D61" s="46" t="e">
        <f t="shared" si="3"/>
        <v>#DIV/0!</v>
      </c>
      <c r="E61" s="46" t="e">
        <f t="shared" si="4"/>
        <v>#DIV/0!</v>
      </c>
      <c r="F61" s="46" t="e">
        <f t="shared" si="5"/>
        <v>#DIV/0!</v>
      </c>
      <c r="G61" s="46" t="e">
        <f t="shared" si="6"/>
        <v>#DIV/0!</v>
      </c>
      <c r="H61" s="46" t="e">
        <f t="shared" si="7"/>
        <v>#DIV/0!</v>
      </c>
      <c r="I61" s="46" t="e">
        <f t="shared" si="8"/>
        <v>#DIV/0!</v>
      </c>
      <c r="J61" s="46" t="e">
        <f t="shared" si="9"/>
        <v>#DIV/0!</v>
      </c>
      <c r="K61" s="46" t="e">
        <f t="shared" si="10"/>
        <v>#DIV/0!</v>
      </c>
      <c r="L61" s="46" t="e">
        <f t="shared" si="11"/>
        <v>#DIV/0!</v>
      </c>
      <c r="M61" s="46" t="e">
        <f t="shared" si="12"/>
        <v>#DIV/0!</v>
      </c>
      <c r="N61" s="46" t="e">
        <f t="shared" si="13"/>
        <v>#DIV/0!</v>
      </c>
      <c r="O61" s="46" t="e">
        <f t="shared" si="14"/>
        <v>#DIV/0!</v>
      </c>
      <c r="P61" s="46" t="e">
        <f t="shared" si="15"/>
        <v>#DIV/0!</v>
      </c>
      <c r="Q61" s="56" t="e">
        <f>Q60+ATM_Conf!$C$5*(B60)/(Links!B$191*Links!Q$191)</f>
        <v>#DIV/0!</v>
      </c>
      <c r="R61" s="56" t="e">
        <f>R60+ATM_Conf!$C$5*(C60-B60)/(Links!C$191*Links!R$191)</f>
        <v>#DIV/0!</v>
      </c>
      <c r="S61" s="56" t="e">
        <f>S60+ATM_Conf!$C$5*(D60-C60)/(Links!D$191*Links!S$191)</f>
        <v>#DIV/0!</v>
      </c>
      <c r="T61" s="56" t="e">
        <f>T60+ATM_Conf!$C$5*(E60-D60)/(Links!E$191*Links!T$191)</f>
        <v>#DIV/0!</v>
      </c>
      <c r="U61" s="56" t="e">
        <f>U60+ATM_Conf!$C$5*(F60-E60)/(Links!F$191*Links!U$191)</f>
        <v>#DIV/0!</v>
      </c>
      <c r="V61" s="56" t="e">
        <f>V60+ATM_Conf!$C$5*(G60-F60)/(Links!G$191*Links!V$191)</f>
        <v>#DIV/0!</v>
      </c>
      <c r="W61" s="56" t="e">
        <f>W60+ATM_Conf!$C$5*(H60-G60)/(Links!H$191*Links!W$191)</f>
        <v>#DIV/0!</v>
      </c>
      <c r="X61" s="56" t="e">
        <f>X60+ATM_Conf!$C$5*(I60-H60)/(Links!I$191*Links!X$191)</f>
        <v>#DIV/0!</v>
      </c>
      <c r="Y61" s="56" t="e">
        <f>Y60+ATM_Conf!$C$5*(J60)/(Links!J$191*Links!Y$191)</f>
        <v>#DIV/0!</v>
      </c>
      <c r="Z61" s="56" t="e">
        <f>Z60+ATM_Conf!$C$5*(K60-J60)/(Links!K$191*Links!Z$191)</f>
        <v>#DIV/0!</v>
      </c>
      <c r="AA61" s="56" t="e">
        <f>AA60+ATM_Conf!$C$5*(L60-K60)/(Links!L$191*Links!AA$191)</f>
        <v>#DIV/0!</v>
      </c>
      <c r="AB61" s="56" t="e">
        <f>AB60+ATM_Conf!$C$5*(M60-L60)/(Links!M$191*Links!AB$191)</f>
        <v>#DIV/0!</v>
      </c>
      <c r="AC61" s="56" t="e">
        <f>AC60+ATM_Conf!$C$5*(N60-M60)/(Links!N$191*Links!AC$191)</f>
        <v>#DIV/0!</v>
      </c>
      <c r="AD61" s="56" t="e">
        <f>AD60+ATM_Conf!$C$5*(O60-N60)/(Links!O$191*Links!AD$191)</f>
        <v>#DIV/0!</v>
      </c>
      <c r="AE61" s="56" t="e">
        <f>AE60+ATM_Conf!$C$5*(P60-O60)/(Links!P$191*Links!AE$191)</f>
        <v>#DIV/0!</v>
      </c>
      <c r="AF61" s="46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6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6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6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6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6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6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6" t="e">
        <f>AM60+(ATM_Conf!$C$5/ATM_Conf!$C$8)*(Links!BB60*EXP((-(Links!X60/Links!BQ60)^Links!CF60)/Links!CF60)-Links!AM60)+(ATM_Conf!$C$5/Links!X$191)*Links!AM60*(Nodes!BH60-Links!AM60)</f>
        <v>#DIV/0!</v>
      </c>
      <c r="AN61" s="46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6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6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6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6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6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6" t="e">
        <f>AT60+(ATM_Conf!$C$5/ATM_Conf!$C$8)*(Links!BI60*EXP((-(Links!AE60/Links!BX60)^Links!CM60)/Links!CM60)-Links!AT60)+(ATM_Conf!$C$5/Links!AE$191)*Links!AT60*(Nodes!BN60-Links!AT60)</f>
        <v>#DIV/0!</v>
      </c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46">
        <f t="shared" si="29"/>
        <v>0</v>
      </c>
      <c r="CO61" s="46">
        <f t="shared" si="29"/>
        <v>0</v>
      </c>
      <c r="CP61" s="46">
        <f t="shared" si="29"/>
        <v>0</v>
      </c>
      <c r="CQ61" s="46">
        <f t="shared" si="29"/>
        <v>0</v>
      </c>
      <c r="CR61" s="46">
        <f t="shared" si="29"/>
        <v>0</v>
      </c>
      <c r="CS61" s="46">
        <f t="shared" si="29"/>
        <v>0</v>
      </c>
      <c r="CT61" s="46">
        <f t="shared" si="29"/>
        <v>0</v>
      </c>
      <c r="CU61" s="46">
        <f t="shared" si="29"/>
        <v>0</v>
      </c>
      <c r="CV61" s="46">
        <f t="shared" si="29"/>
        <v>0</v>
      </c>
      <c r="CW61" s="46">
        <f t="shared" si="29"/>
        <v>0</v>
      </c>
      <c r="CX61" s="46">
        <f t="shared" si="29"/>
        <v>0</v>
      </c>
      <c r="CY61" s="46">
        <f t="shared" si="29"/>
        <v>0</v>
      </c>
      <c r="CZ61" s="46">
        <f t="shared" si="29"/>
        <v>0</v>
      </c>
      <c r="DA61" s="46">
        <f t="shared" si="29"/>
        <v>0</v>
      </c>
      <c r="DB61" s="46">
        <f t="shared" si="29"/>
        <v>0</v>
      </c>
      <c r="DC61" s="54"/>
      <c r="DD61" s="54"/>
      <c r="DE61" s="54"/>
      <c r="DF61" s="54"/>
      <c r="DG61" s="54"/>
      <c r="DH61" s="54"/>
      <c r="DI61" s="54"/>
      <c r="DJ61" s="54"/>
      <c r="DK61" s="54"/>
      <c r="DL61" s="54"/>
      <c r="DM61" s="54"/>
      <c r="DN61" s="54"/>
      <c r="DO61" s="54"/>
      <c r="DP61" s="54"/>
      <c r="DQ61" s="54"/>
    </row>
    <row r="62" spans="1:121" ht="14.25" x14ac:dyDescent="0.15">
      <c r="A62" s="49">
        <v>60</v>
      </c>
      <c r="B62" s="46" t="e">
        <f t="shared" si="1"/>
        <v>#DIV/0!</v>
      </c>
      <c r="C62" s="46" t="e">
        <f t="shared" si="2"/>
        <v>#DIV/0!</v>
      </c>
      <c r="D62" s="46" t="e">
        <f t="shared" si="3"/>
        <v>#DIV/0!</v>
      </c>
      <c r="E62" s="46" t="e">
        <f t="shared" si="4"/>
        <v>#DIV/0!</v>
      </c>
      <c r="F62" s="46" t="e">
        <f t="shared" si="5"/>
        <v>#DIV/0!</v>
      </c>
      <c r="G62" s="46" t="e">
        <f t="shared" si="6"/>
        <v>#DIV/0!</v>
      </c>
      <c r="H62" s="46" t="e">
        <f t="shared" si="7"/>
        <v>#DIV/0!</v>
      </c>
      <c r="I62" s="46" t="e">
        <f t="shared" si="8"/>
        <v>#DIV/0!</v>
      </c>
      <c r="J62" s="46" t="e">
        <f t="shared" si="9"/>
        <v>#DIV/0!</v>
      </c>
      <c r="K62" s="46" t="e">
        <f t="shared" si="10"/>
        <v>#DIV/0!</v>
      </c>
      <c r="L62" s="46" t="e">
        <f t="shared" si="11"/>
        <v>#DIV/0!</v>
      </c>
      <c r="M62" s="46" t="e">
        <f t="shared" si="12"/>
        <v>#DIV/0!</v>
      </c>
      <c r="N62" s="46" t="e">
        <f t="shared" si="13"/>
        <v>#DIV/0!</v>
      </c>
      <c r="O62" s="46" t="e">
        <f t="shared" si="14"/>
        <v>#DIV/0!</v>
      </c>
      <c r="P62" s="46" t="e">
        <f t="shared" si="15"/>
        <v>#DIV/0!</v>
      </c>
      <c r="Q62" s="56" t="e">
        <f>Q61+ATM_Conf!$C$5*(B61)/(Links!B$191*Links!Q$191)</f>
        <v>#DIV/0!</v>
      </c>
      <c r="R62" s="56" t="e">
        <f>R61+ATM_Conf!$C$5*(C61-B61)/(Links!C$191*Links!R$191)</f>
        <v>#DIV/0!</v>
      </c>
      <c r="S62" s="56" t="e">
        <f>S61+ATM_Conf!$C$5*(D61-C61)/(Links!D$191*Links!S$191)</f>
        <v>#DIV/0!</v>
      </c>
      <c r="T62" s="56" t="e">
        <f>T61+ATM_Conf!$C$5*(E61-D61)/(Links!E$191*Links!T$191)</f>
        <v>#DIV/0!</v>
      </c>
      <c r="U62" s="56" t="e">
        <f>U61+ATM_Conf!$C$5*(F61-E61)/(Links!F$191*Links!U$191)</f>
        <v>#DIV/0!</v>
      </c>
      <c r="V62" s="56" t="e">
        <f>V61+ATM_Conf!$C$5*(G61-F61)/(Links!G$191*Links!V$191)</f>
        <v>#DIV/0!</v>
      </c>
      <c r="W62" s="56" t="e">
        <f>W61+ATM_Conf!$C$5*(H61-G61)/(Links!H$191*Links!W$191)</f>
        <v>#DIV/0!</v>
      </c>
      <c r="X62" s="56" t="e">
        <f>X61+ATM_Conf!$C$5*(I61-H61)/(Links!I$191*Links!X$191)</f>
        <v>#DIV/0!</v>
      </c>
      <c r="Y62" s="56" t="e">
        <f>Y61+ATM_Conf!$C$5*(J61)/(Links!J$191*Links!Y$191)</f>
        <v>#DIV/0!</v>
      </c>
      <c r="Z62" s="56" t="e">
        <f>Z61+ATM_Conf!$C$5*(K61-J61)/(Links!K$191*Links!Z$191)</f>
        <v>#DIV/0!</v>
      </c>
      <c r="AA62" s="56" t="e">
        <f>AA61+ATM_Conf!$C$5*(L61-K61)/(Links!L$191*Links!AA$191)</f>
        <v>#DIV/0!</v>
      </c>
      <c r="AB62" s="56" t="e">
        <f>AB61+ATM_Conf!$C$5*(M61-L61)/(Links!M$191*Links!AB$191)</f>
        <v>#DIV/0!</v>
      </c>
      <c r="AC62" s="56" t="e">
        <f>AC61+ATM_Conf!$C$5*(N61-M61)/(Links!N$191*Links!AC$191)</f>
        <v>#DIV/0!</v>
      </c>
      <c r="AD62" s="56" t="e">
        <f>AD61+ATM_Conf!$C$5*(O61-N61)/(Links!O$191*Links!AD$191)</f>
        <v>#DIV/0!</v>
      </c>
      <c r="AE62" s="56" t="e">
        <f>AE61+ATM_Conf!$C$5*(P61-O61)/(Links!P$191*Links!AE$191)</f>
        <v>#DIV/0!</v>
      </c>
      <c r="AF62" s="46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6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6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6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6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6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6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6" t="e">
        <f>AM61+(ATM_Conf!$C$5/ATM_Conf!$C$8)*(Links!BB61*EXP((-(Links!X61/Links!BQ61)^Links!CF61)/Links!CF61)-Links!AM61)+(ATM_Conf!$C$5/Links!X$191)*Links!AM61*(Nodes!BH61-Links!AM61)</f>
        <v>#DIV/0!</v>
      </c>
      <c r="AN62" s="46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6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6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6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6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6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6" t="e">
        <f>AT61+(ATM_Conf!$C$5/ATM_Conf!$C$8)*(Links!BI61*EXP((-(Links!AE61/Links!BX61)^Links!CM61)/Links!CM61)-Links!AT61)+(ATM_Conf!$C$5/Links!AE$191)*Links!AT61*(Nodes!BN61-Links!AT61)</f>
        <v>#DIV/0!</v>
      </c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46">
        <f t="shared" si="29"/>
        <v>0</v>
      </c>
      <c r="CO62" s="46">
        <f t="shared" si="29"/>
        <v>0</v>
      </c>
      <c r="CP62" s="46">
        <f t="shared" si="29"/>
        <v>0</v>
      </c>
      <c r="CQ62" s="46">
        <f t="shared" si="29"/>
        <v>0</v>
      </c>
      <c r="CR62" s="46">
        <f t="shared" si="29"/>
        <v>0</v>
      </c>
      <c r="CS62" s="46">
        <f t="shared" si="29"/>
        <v>0</v>
      </c>
      <c r="CT62" s="46">
        <f t="shared" si="29"/>
        <v>0</v>
      </c>
      <c r="CU62" s="46">
        <f t="shared" si="29"/>
        <v>0</v>
      </c>
      <c r="CV62" s="46">
        <f t="shared" si="29"/>
        <v>0</v>
      </c>
      <c r="CW62" s="46">
        <f t="shared" si="29"/>
        <v>0</v>
      </c>
      <c r="CX62" s="46">
        <f t="shared" si="29"/>
        <v>0</v>
      </c>
      <c r="CY62" s="46">
        <f t="shared" si="29"/>
        <v>0</v>
      </c>
      <c r="CZ62" s="46">
        <f t="shared" si="29"/>
        <v>0</v>
      </c>
      <c r="DA62" s="46">
        <f t="shared" si="29"/>
        <v>0</v>
      </c>
      <c r="DB62" s="46">
        <f t="shared" si="29"/>
        <v>0</v>
      </c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</row>
    <row r="63" spans="1:121" ht="14.25" x14ac:dyDescent="0.15">
      <c r="A63" s="49">
        <v>61</v>
      </c>
      <c r="B63" s="46" t="e">
        <f t="shared" si="1"/>
        <v>#DIV/0!</v>
      </c>
      <c r="C63" s="46" t="e">
        <f t="shared" si="2"/>
        <v>#DIV/0!</v>
      </c>
      <c r="D63" s="46" t="e">
        <f t="shared" si="3"/>
        <v>#DIV/0!</v>
      </c>
      <c r="E63" s="46" t="e">
        <f t="shared" si="4"/>
        <v>#DIV/0!</v>
      </c>
      <c r="F63" s="46" t="e">
        <f t="shared" si="5"/>
        <v>#DIV/0!</v>
      </c>
      <c r="G63" s="46" t="e">
        <f t="shared" si="6"/>
        <v>#DIV/0!</v>
      </c>
      <c r="H63" s="46" t="e">
        <f t="shared" si="7"/>
        <v>#DIV/0!</v>
      </c>
      <c r="I63" s="46" t="e">
        <f t="shared" si="8"/>
        <v>#DIV/0!</v>
      </c>
      <c r="J63" s="46" t="e">
        <f t="shared" si="9"/>
        <v>#DIV/0!</v>
      </c>
      <c r="K63" s="46" t="e">
        <f t="shared" si="10"/>
        <v>#DIV/0!</v>
      </c>
      <c r="L63" s="46" t="e">
        <f t="shared" si="11"/>
        <v>#DIV/0!</v>
      </c>
      <c r="M63" s="46" t="e">
        <f t="shared" si="12"/>
        <v>#DIV/0!</v>
      </c>
      <c r="N63" s="46" t="e">
        <f t="shared" si="13"/>
        <v>#DIV/0!</v>
      </c>
      <c r="O63" s="46" t="e">
        <f t="shared" si="14"/>
        <v>#DIV/0!</v>
      </c>
      <c r="P63" s="46" t="e">
        <f t="shared" si="15"/>
        <v>#DIV/0!</v>
      </c>
      <c r="Q63" s="56" t="e">
        <f>Q62+ATM_Conf!$C$5*(B62)/(Links!B$191*Links!Q$191)</f>
        <v>#DIV/0!</v>
      </c>
      <c r="R63" s="56" t="e">
        <f>R62+ATM_Conf!$C$5*(C62-B62)/(Links!C$191*Links!R$191)</f>
        <v>#DIV/0!</v>
      </c>
      <c r="S63" s="56" t="e">
        <f>S62+ATM_Conf!$C$5*(D62-C62)/(Links!D$191*Links!S$191)</f>
        <v>#DIV/0!</v>
      </c>
      <c r="T63" s="56" t="e">
        <f>T62+ATM_Conf!$C$5*(E62-D62)/(Links!E$191*Links!T$191)</f>
        <v>#DIV/0!</v>
      </c>
      <c r="U63" s="56" t="e">
        <f>U62+ATM_Conf!$C$5*(F62-E62)/(Links!F$191*Links!U$191)</f>
        <v>#DIV/0!</v>
      </c>
      <c r="V63" s="56" t="e">
        <f>V62+ATM_Conf!$C$5*(G62-F62)/(Links!G$191*Links!V$191)</f>
        <v>#DIV/0!</v>
      </c>
      <c r="W63" s="56" t="e">
        <f>W62+ATM_Conf!$C$5*(H62-G62)/(Links!H$191*Links!W$191)</f>
        <v>#DIV/0!</v>
      </c>
      <c r="X63" s="56" t="e">
        <f>X62+ATM_Conf!$C$5*(I62-H62)/(Links!I$191*Links!X$191)</f>
        <v>#DIV/0!</v>
      </c>
      <c r="Y63" s="56" t="e">
        <f>Y62+ATM_Conf!$C$5*(J62)/(Links!J$191*Links!Y$191)</f>
        <v>#DIV/0!</v>
      </c>
      <c r="Z63" s="56" t="e">
        <f>Z62+ATM_Conf!$C$5*(K62-J62)/(Links!K$191*Links!Z$191)</f>
        <v>#DIV/0!</v>
      </c>
      <c r="AA63" s="56" t="e">
        <f>AA62+ATM_Conf!$C$5*(L62-K62)/(Links!L$191*Links!AA$191)</f>
        <v>#DIV/0!</v>
      </c>
      <c r="AB63" s="56" t="e">
        <f>AB62+ATM_Conf!$C$5*(M62-L62)/(Links!M$191*Links!AB$191)</f>
        <v>#DIV/0!</v>
      </c>
      <c r="AC63" s="56" t="e">
        <f>AC62+ATM_Conf!$C$5*(N62-M62)/(Links!N$191*Links!AC$191)</f>
        <v>#DIV/0!</v>
      </c>
      <c r="AD63" s="56" t="e">
        <f>AD62+ATM_Conf!$C$5*(O62-N62)/(Links!O$191*Links!AD$191)</f>
        <v>#DIV/0!</v>
      </c>
      <c r="AE63" s="56" t="e">
        <f>AE62+ATM_Conf!$C$5*(P62-O62)/(Links!P$191*Links!AE$191)</f>
        <v>#DIV/0!</v>
      </c>
      <c r="AF63" s="46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6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6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6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6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6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6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6" t="e">
        <f>AM62+(ATM_Conf!$C$5/ATM_Conf!$C$8)*(Links!BB62*EXP((-(Links!X62/Links!BQ62)^Links!CF62)/Links!CF62)-Links!AM62)+(ATM_Conf!$C$5/Links!X$191)*Links!AM62*(Nodes!BH62-Links!AM62)</f>
        <v>#DIV/0!</v>
      </c>
      <c r="AN63" s="46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6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6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6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6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6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6" t="e">
        <f>AT62+(ATM_Conf!$C$5/ATM_Conf!$C$8)*(Links!BI62*EXP((-(Links!AE62/Links!BX62)^Links!CM62)/Links!CM62)-Links!AT62)+(ATM_Conf!$C$5/Links!AE$191)*Links!AT62*(Nodes!BN62-Links!AT62)</f>
        <v>#DIV/0!</v>
      </c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54">
        <f>(CN63-CN51)^2</f>
        <v>0</v>
      </c>
      <c r="DD63" s="54">
        <f t="shared" ref="DD63:DQ63" si="30">(CO63-CO51)^2</f>
        <v>0</v>
      </c>
      <c r="DE63" s="54">
        <f t="shared" si="30"/>
        <v>0</v>
      </c>
      <c r="DF63" s="54">
        <f t="shared" si="30"/>
        <v>0</v>
      </c>
      <c r="DG63" s="54">
        <f t="shared" si="30"/>
        <v>0</v>
      </c>
      <c r="DH63" s="54">
        <f t="shared" si="30"/>
        <v>0</v>
      </c>
      <c r="DI63" s="54">
        <f t="shared" si="30"/>
        <v>0</v>
      </c>
      <c r="DJ63" s="54">
        <f t="shared" si="30"/>
        <v>0</v>
      </c>
      <c r="DK63" s="54">
        <f t="shared" si="30"/>
        <v>0</v>
      </c>
      <c r="DL63" s="54">
        <f t="shared" si="30"/>
        <v>0</v>
      </c>
      <c r="DM63" s="54">
        <f t="shared" si="30"/>
        <v>0</v>
      </c>
      <c r="DN63" s="54">
        <f t="shared" si="30"/>
        <v>0</v>
      </c>
      <c r="DO63" s="54">
        <f t="shared" si="30"/>
        <v>0</v>
      </c>
      <c r="DP63" s="54">
        <f t="shared" si="30"/>
        <v>0</v>
      </c>
      <c r="DQ63" s="54">
        <f t="shared" si="30"/>
        <v>0</v>
      </c>
    </row>
    <row r="64" spans="1:121" ht="14.25" x14ac:dyDescent="0.15">
      <c r="A64" s="49">
        <v>62</v>
      </c>
      <c r="B64" s="46" t="e">
        <f t="shared" si="1"/>
        <v>#DIV/0!</v>
      </c>
      <c r="C64" s="46" t="e">
        <f t="shared" si="2"/>
        <v>#DIV/0!</v>
      </c>
      <c r="D64" s="46" t="e">
        <f t="shared" si="3"/>
        <v>#DIV/0!</v>
      </c>
      <c r="E64" s="46" t="e">
        <f t="shared" si="4"/>
        <v>#DIV/0!</v>
      </c>
      <c r="F64" s="46" t="e">
        <f t="shared" si="5"/>
        <v>#DIV/0!</v>
      </c>
      <c r="G64" s="46" t="e">
        <f t="shared" si="6"/>
        <v>#DIV/0!</v>
      </c>
      <c r="H64" s="46" t="e">
        <f t="shared" si="7"/>
        <v>#DIV/0!</v>
      </c>
      <c r="I64" s="46" t="e">
        <f t="shared" si="8"/>
        <v>#DIV/0!</v>
      </c>
      <c r="J64" s="46" t="e">
        <f t="shared" si="9"/>
        <v>#DIV/0!</v>
      </c>
      <c r="K64" s="46" t="e">
        <f t="shared" si="10"/>
        <v>#DIV/0!</v>
      </c>
      <c r="L64" s="46" t="e">
        <f t="shared" si="11"/>
        <v>#DIV/0!</v>
      </c>
      <c r="M64" s="46" t="e">
        <f t="shared" si="12"/>
        <v>#DIV/0!</v>
      </c>
      <c r="N64" s="46" t="e">
        <f t="shared" si="13"/>
        <v>#DIV/0!</v>
      </c>
      <c r="O64" s="46" t="e">
        <f t="shared" si="14"/>
        <v>#DIV/0!</v>
      </c>
      <c r="P64" s="46" t="e">
        <f t="shared" si="15"/>
        <v>#DIV/0!</v>
      </c>
      <c r="Q64" s="56" t="e">
        <f>Q63+ATM_Conf!$C$5*(B63)/(Links!B$191*Links!Q$191)</f>
        <v>#DIV/0!</v>
      </c>
      <c r="R64" s="56" t="e">
        <f>R63+ATM_Conf!$C$5*(C63-B63)/(Links!C$191*Links!R$191)</f>
        <v>#DIV/0!</v>
      </c>
      <c r="S64" s="56" t="e">
        <f>S63+ATM_Conf!$C$5*(D63-C63)/(Links!D$191*Links!S$191)</f>
        <v>#DIV/0!</v>
      </c>
      <c r="T64" s="56" t="e">
        <f>T63+ATM_Conf!$C$5*(E63-D63)/(Links!E$191*Links!T$191)</f>
        <v>#DIV/0!</v>
      </c>
      <c r="U64" s="56" t="e">
        <f>U63+ATM_Conf!$C$5*(F63-E63)/(Links!F$191*Links!U$191)</f>
        <v>#DIV/0!</v>
      </c>
      <c r="V64" s="56" t="e">
        <f>V63+ATM_Conf!$C$5*(G63-F63)/(Links!G$191*Links!V$191)</f>
        <v>#DIV/0!</v>
      </c>
      <c r="W64" s="56" t="e">
        <f>W63+ATM_Conf!$C$5*(H63-G63)/(Links!H$191*Links!W$191)</f>
        <v>#DIV/0!</v>
      </c>
      <c r="X64" s="56" t="e">
        <f>X63+ATM_Conf!$C$5*(I63-H63)/(Links!I$191*Links!X$191)</f>
        <v>#DIV/0!</v>
      </c>
      <c r="Y64" s="56" t="e">
        <f>Y63+ATM_Conf!$C$5*(J63)/(Links!J$191*Links!Y$191)</f>
        <v>#DIV/0!</v>
      </c>
      <c r="Z64" s="56" t="e">
        <f>Z63+ATM_Conf!$C$5*(K63-J63)/(Links!K$191*Links!Z$191)</f>
        <v>#DIV/0!</v>
      </c>
      <c r="AA64" s="56" t="e">
        <f>AA63+ATM_Conf!$C$5*(L63-K63)/(Links!L$191*Links!AA$191)</f>
        <v>#DIV/0!</v>
      </c>
      <c r="AB64" s="56" t="e">
        <f>AB63+ATM_Conf!$C$5*(M63-L63)/(Links!M$191*Links!AB$191)</f>
        <v>#DIV/0!</v>
      </c>
      <c r="AC64" s="56" t="e">
        <f>AC63+ATM_Conf!$C$5*(N63-M63)/(Links!N$191*Links!AC$191)</f>
        <v>#DIV/0!</v>
      </c>
      <c r="AD64" s="56" t="e">
        <f>AD63+ATM_Conf!$C$5*(O63-N63)/(Links!O$191*Links!AD$191)</f>
        <v>#DIV/0!</v>
      </c>
      <c r="AE64" s="56" t="e">
        <f>AE63+ATM_Conf!$C$5*(P63-O63)/(Links!P$191*Links!AE$191)</f>
        <v>#DIV/0!</v>
      </c>
      <c r="AF64" s="46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6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6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6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6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6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6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6" t="e">
        <f>AM63+(ATM_Conf!$C$5/ATM_Conf!$C$8)*(Links!BB63*EXP((-(Links!X63/Links!BQ63)^Links!CF63)/Links!CF63)-Links!AM63)+(ATM_Conf!$C$5/Links!X$191)*Links!AM63*(Nodes!BH63-Links!AM63)</f>
        <v>#DIV/0!</v>
      </c>
      <c r="AN64" s="46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6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6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6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6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6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6" t="e">
        <f>AT63+(ATM_Conf!$C$5/ATM_Conf!$C$8)*(Links!BI63*EXP((-(Links!AE63/Links!BX63)^Links!CM63)/Links!CM63)-Links!AT63)+(ATM_Conf!$C$5/Links!AE$191)*Links!AT63*(Nodes!BN63-Links!AT63)</f>
        <v>#DIV/0!</v>
      </c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46">
        <f>CN$63</f>
        <v>0</v>
      </c>
      <c r="CO64" s="46">
        <f t="shared" ref="CO64:DB64" si="31">CO$63</f>
        <v>0</v>
      </c>
      <c r="CP64" s="46">
        <f t="shared" si="31"/>
        <v>0</v>
      </c>
      <c r="CQ64" s="46">
        <f t="shared" si="31"/>
        <v>0</v>
      </c>
      <c r="CR64" s="46">
        <f t="shared" si="31"/>
        <v>0</v>
      </c>
      <c r="CS64" s="46">
        <f t="shared" si="31"/>
        <v>0</v>
      </c>
      <c r="CT64" s="46">
        <f t="shared" si="31"/>
        <v>0</v>
      </c>
      <c r="CU64" s="46">
        <f t="shared" si="31"/>
        <v>0</v>
      </c>
      <c r="CV64" s="46">
        <f t="shared" si="31"/>
        <v>0</v>
      </c>
      <c r="CW64" s="46">
        <f t="shared" si="31"/>
        <v>0</v>
      </c>
      <c r="CX64" s="46">
        <f t="shared" si="31"/>
        <v>0</v>
      </c>
      <c r="CY64" s="46">
        <f t="shared" si="31"/>
        <v>0</v>
      </c>
      <c r="CZ64" s="46">
        <f t="shared" si="31"/>
        <v>0</v>
      </c>
      <c r="DA64" s="46">
        <f t="shared" si="31"/>
        <v>0</v>
      </c>
      <c r="DB64" s="46">
        <f t="shared" si="31"/>
        <v>0</v>
      </c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</row>
    <row r="65" spans="1:121" ht="14.25" x14ac:dyDescent="0.15">
      <c r="A65" s="49">
        <v>63</v>
      </c>
      <c r="B65" s="46" t="e">
        <f t="shared" si="1"/>
        <v>#DIV/0!</v>
      </c>
      <c r="C65" s="46" t="e">
        <f t="shared" si="2"/>
        <v>#DIV/0!</v>
      </c>
      <c r="D65" s="46" t="e">
        <f t="shared" si="3"/>
        <v>#DIV/0!</v>
      </c>
      <c r="E65" s="46" t="e">
        <f t="shared" si="4"/>
        <v>#DIV/0!</v>
      </c>
      <c r="F65" s="46" t="e">
        <f t="shared" si="5"/>
        <v>#DIV/0!</v>
      </c>
      <c r="G65" s="46" t="e">
        <f t="shared" si="6"/>
        <v>#DIV/0!</v>
      </c>
      <c r="H65" s="46" t="e">
        <f t="shared" si="7"/>
        <v>#DIV/0!</v>
      </c>
      <c r="I65" s="46" t="e">
        <f t="shared" si="8"/>
        <v>#DIV/0!</v>
      </c>
      <c r="J65" s="46" t="e">
        <f t="shared" si="9"/>
        <v>#DIV/0!</v>
      </c>
      <c r="K65" s="46" t="e">
        <f t="shared" si="10"/>
        <v>#DIV/0!</v>
      </c>
      <c r="L65" s="46" t="e">
        <f t="shared" si="11"/>
        <v>#DIV/0!</v>
      </c>
      <c r="M65" s="46" t="e">
        <f t="shared" si="12"/>
        <v>#DIV/0!</v>
      </c>
      <c r="N65" s="46" t="e">
        <f t="shared" si="13"/>
        <v>#DIV/0!</v>
      </c>
      <c r="O65" s="46" t="e">
        <f t="shared" si="14"/>
        <v>#DIV/0!</v>
      </c>
      <c r="P65" s="46" t="e">
        <f t="shared" si="15"/>
        <v>#DIV/0!</v>
      </c>
      <c r="Q65" s="56" t="e">
        <f>Q64+ATM_Conf!$C$5*(B64)/(Links!B$191*Links!Q$191)</f>
        <v>#DIV/0!</v>
      </c>
      <c r="R65" s="56" t="e">
        <f>R64+ATM_Conf!$C$5*(C64-B64)/(Links!C$191*Links!R$191)</f>
        <v>#DIV/0!</v>
      </c>
      <c r="S65" s="56" t="e">
        <f>S64+ATM_Conf!$C$5*(D64-C64)/(Links!D$191*Links!S$191)</f>
        <v>#DIV/0!</v>
      </c>
      <c r="T65" s="56" t="e">
        <f>T64+ATM_Conf!$C$5*(E64-D64)/(Links!E$191*Links!T$191)</f>
        <v>#DIV/0!</v>
      </c>
      <c r="U65" s="56" t="e">
        <f>U64+ATM_Conf!$C$5*(F64-E64)/(Links!F$191*Links!U$191)</f>
        <v>#DIV/0!</v>
      </c>
      <c r="V65" s="56" t="e">
        <f>V64+ATM_Conf!$C$5*(G64-F64)/(Links!G$191*Links!V$191)</f>
        <v>#DIV/0!</v>
      </c>
      <c r="W65" s="56" t="e">
        <f>W64+ATM_Conf!$C$5*(H64-G64)/(Links!H$191*Links!W$191)</f>
        <v>#DIV/0!</v>
      </c>
      <c r="X65" s="56" t="e">
        <f>X64+ATM_Conf!$C$5*(I64-H64)/(Links!I$191*Links!X$191)</f>
        <v>#DIV/0!</v>
      </c>
      <c r="Y65" s="56" t="e">
        <f>Y64+ATM_Conf!$C$5*(J64)/(Links!J$191*Links!Y$191)</f>
        <v>#DIV/0!</v>
      </c>
      <c r="Z65" s="56" t="e">
        <f>Z64+ATM_Conf!$C$5*(K64-J64)/(Links!K$191*Links!Z$191)</f>
        <v>#DIV/0!</v>
      </c>
      <c r="AA65" s="56" t="e">
        <f>AA64+ATM_Conf!$C$5*(L64-K64)/(Links!L$191*Links!AA$191)</f>
        <v>#DIV/0!</v>
      </c>
      <c r="AB65" s="56" t="e">
        <f>AB64+ATM_Conf!$C$5*(M64-L64)/(Links!M$191*Links!AB$191)</f>
        <v>#DIV/0!</v>
      </c>
      <c r="AC65" s="56" t="e">
        <f>AC64+ATM_Conf!$C$5*(N64-M64)/(Links!N$191*Links!AC$191)</f>
        <v>#DIV/0!</v>
      </c>
      <c r="AD65" s="56" t="e">
        <f>AD64+ATM_Conf!$C$5*(O64-N64)/(Links!O$191*Links!AD$191)</f>
        <v>#DIV/0!</v>
      </c>
      <c r="AE65" s="56" t="e">
        <f>AE64+ATM_Conf!$C$5*(P64-O64)/(Links!P$191*Links!AE$191)</f>
        <v>#DIV/0!</v>
      </c>
      <c r="AF65" s="46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6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6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6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6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6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6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6" t="e">
        <f>AM64+(ATM_Conf!$C$5/ATM_Conf!$C$8)*(Links!BB64*EXP((-(Links!X64/Links!BQ64)^Links!CF64)/Links!CF64)-Links!AM64)+(ATM_Conf!$C$5/Links!X$191)*Links!AM64*(Nodes!BH64-Links!AM64)</f>
        <v>#DIV/0!</v>
      </c>
      <c r="AN65" s="46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6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6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6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6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6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6" t="e">
        <f>AT64+(ATM_Conf!$C$5/ATM_Conf!$C$8)*(Links!BI64*EXP((-(Links!AE64/Links!BX64)^Links!CM64)/Links!CM64)-Links!AT64)+(ATM_Conf!$C$5/Links!AE$191)*Links!AT64*(Nodes!BN64-Links!AT64)</f>
        <v>#DIV/0!</v>
      </c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46">
        <f t="shared" ref="CN65:DB74" si="32">CN$63</f>
        <v>0</v>
      </c>
      <c r="CO65" s="46">
        <f t="shared" si="32"/>
        <v>0</v>
      </c>
      <c r="CP65" s="46">
        <f t="shared" si="32"/>
        <v>0</v>
      </c>
      <c r="CQ65" s="46">
        <f t="shared" si="32"/>
        <v>0</v>
      </c>
      <c r="CR65" s="46">
        <f t="shared" si="32"/>
        <v>0</v>
      </c>
      <c r="CS65" s="46">
        <f t="shared" si="32"/>
        <v>0</v>
      </c>
      <c r="CT65" s="46">
        <f t="shared" si="32"/>
        <v>0</v>
      </c>
      <c r="CU65" s="46">
        <f t="shared" si="32"/>
        <v>0</v>
      </c>
      <c r="CV65" s="46">
        <f t="shared" si="32"/>
        <v>0</v>
      </c>
      <c r="CW65" s="46">
        <f t="shared" si="32"/>
        <v>0</v>
      </c>
      <c r="CX65" s="46">
        <f t="shared" si="32"/>
        <v>0</v>
      </c>
      <c r="CY65" s="46">
        <f t="shared" si="32"/>
        <v>0</v>
      </c>
      <c r="CZ65" s="46">
        <f t="shared" si="32"/>
        <v>0</v>
      </c>
      <c r="DA65" s="46">
        <f t="shared" si="32"/>
        <v>0</v>
      </c>
      <c r="DB65" s="46">
        <f t="shared" si="32"/>
        <v>0</v>
      </c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</row>
    <row r="66" spans="1:121" ht="14.25" x14ac:dyDescent="0.15">
      <c r="A66" s="49">
        <v>64</v>
      </c>
      <c r="B66" s="46" t="e">
        <f t="shared" si="1"/>
        <v>#DIV/0!</v>
      </c>
      <c r="C66" s="46" t="e">
        <f t="shared" si="2"/>
        <v>#DIV/0!</v>
      </c>
      <c r="D66" s="46" t="e">
        <f t="shared" si="3"/>
        <v>#DIV/0!</v>
      </c>
      <c r="E66" s="46" t="e">
        <f t="shared" si="4"/>
        <v>#DIV/0!</v>
      </c>
      <c r="F66" s="46" t="e">
        <f t="shared" si="5"/>
        <v>#DIV/0!</v>
      </c>
      <c r="G66" s="46" t="e">
        <f t="shared" si="6"/>
        <v>#DIV/0!</v>
      </c>
      <c r="H66" s="46" t="e">
        <f t="shared" si="7"/>
        <v>#DIV/0!</v>
      </c>
      <c r="I66" s="46" t="e">
        <f t="shared" si="8"/>
        <v>#DIV/0!</v>
      </c>
      <c r="J66" s="46" t="e">
        <f t="shared" si="9"/>
        <v>#DIV/0!</v>
      </c>
      <c r="K66" s="46" t="e">
        <f t="shared" si="10"/>
        <v>#DIV/0!</v>
      </c>
      <c r="L66" s="46" t="e">
        <f t="shared" si="11"/>
        <v>#DIV/0!</v>
      </c>
      <c r="M66" s="46" t="e">
        <f t="shared" si="12"/>
        <v>#DIV/0!</v>
      </c>
      <c r="N66" s="46" t="e">
        <f t="shared" si="13"/>
        <v>#DIV/0!</v>
      </c>
      <c r="O66" s="46" t="e">
        <f t="shared" si="14"/>
        <v>#DIV/0!</v>
      </c>
      <c r="P66" s="46" t="e">
        <f t="shared" si="15"/>
        <v>#DIV/0!</v>
      </c>
      <c r="Q66" s="56" t="e">
        <f>Q65+ATM_Conf!$C$5*(B65)/(Links!B$191*Links!Q$191)</f>
        <v>#DIV/0!</v>
      </c>
      <c r="R66" s="56" t="e">
        <f>R65+ATM_Conf!$C$5*(C65-B65)/(Links!C$191*Links!R$191)</f>
        <v>#DIV/0!</v>
      </c>
      <c r="S66" s="56" t="e">
        <f>S65+ATM_Conf!$C$5*(D65-C65)/(Links!D$191*Links!S$191)</f>
        <v>#DIV/0!</v>
      </c>
      <c r="T66" s="56" t="e">
        <f>T65+ATM_Conf!$C$5*(E65-D65)/(Links!E$191*Links!T$191)</f>
        <v>#DIV/0!</v>
      </c>
      <c r="U66" s="56" t="e">
        <f>U65+ATM_Conf!$C$5*(F65-E65)/(Links!F$191*Links!U$191)</f>
        <v>#DIV/0!</v>
      </c>
      <c r="V66" s="56" t="e">
        <f>V65+ATM_Conf!$C$5*(G65-F65)/(Links!G$191*Links!V$191)</f>
        <v>#DIV/0!</v>
      </c>
      <c r="W66" s="56" t="e">
        <f>W65+ATM_Conf!$C$5*(H65-G65)/(Links!H$191*Links!W$191)</f>
        <v>#DIV/0!</v>
      </c>
      <c r="X66" s="56" t="e">
        <f>X65+ATM_Conf!$C$5*(I65-H65)/(Links!I$191*Links!X$191)</f>
        <v>#DIV/0!</v>
      </c>
      <c r="Y66" s="56" t="e">
        <f>Y65+ATM_Conf!$C$5*(J65)/(Links!J$191*Links!Y$191)</f>
        <v>#DIV/0!</v>
      </c>
      <c r="Z66" s="56" t="e">
        <f>Z65+ATM_Conf!$C$5*(K65-J65)/(Links!K$191*Links!Z$191)</f>
        <v>#DIV/0!</v>
      </c>
      <c r="AA66" s="56" t="e">
        <f>AA65+ATM_Conf!$C$5*(L65-K65)/(Links!L$191*Links!AA$191)</f>
        <v>#DIV/0!</v>
      </c>
      <c r="AB66" s="56" t="e">
        <f>AB65+ATM_Conf!$C$5*(M65-L65)/(Links!M$191*Links!AB$191)</f>
        <v>#DIV/0!</v>
      </c>
      <c r="AC66" s="56" t="e">
        <f>AC65+ATM_Conf!$C$5*(N65-M65)/(Links!N$191*Links!AC$191)</f>
        <v>#DIV/0!</v>
      </c>
      <c r="AD66" s="56" t="e">
        <f>AD65+ATM_Conf!$C$5*(O65-N65)/(Links!O$191*Links!AD$191)</f>
        <v>#DIV/0!</v>
      </c>
      <c r="AE66" s="56" t="e">
        <f>AE65+ATM_Conf!$C$5*(P65-O65)/(Links!P$191*Links!AE$191)</f>
        <v>#DIV/0!</v>
      </c>
      <c r="AF66" s="46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6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6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6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6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6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6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6" t="e">
        <f>AM65+(ATM_Conf!$C$5/ATM_Conf!$C$8)*(Links!BB65*EXP((-(Links!X65/Links!BQ65)^Links!CF65)/Links!CF65)-Links!AM65)+(ATM_Conf!$C$5/Links!X$191)*Links!AM65*(Nodes!BH65-Links!AM65)</f>
        <v>#DIV/0!</v>
      </c>
      <c r="AN66" s="46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6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6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6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6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6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6" t="e">
        <f>AT65+(ATM_Conf!$C$5/ATM_Conf!$C$8)*(Links!BI65*EXP((-(Links!AE65/Links!BX65)^Links!CM65)/Links!CM65)-Links!AT65)+(ATM_Conf!$C$5/Links!AE$191)*Links!AT65*(Nodes!BN65-Links!AT65)</f>
        <v>#DIV/0!</v>
      </c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46">
        <f t="shared" si="32"/>
        <v>0</v>
      </c>
      <c r="CO66" s="46">
        <f t="shared" si="32"/>
        <v>0</v>
      </c>
      <c r="CP66" s="46">
        <f t="shared" si="32"/>
        <v>0</v>
      </c>
      <c r="CQ66" s="46">
        <f t="shared" si="32"/>
        <v>0</v>
      </c>
      <c r="CR66" s="46">
        <f t="shared" si="32"/>
        <v>0</v>
      </c>
      <c r="CS66" s="46">
        <f t="shared" si="32"/>
        <v>0</v>
      </c>
      <c r="CT66" s="46">
        <f t="shared" si="32"/>
        <v>0</v>
      </c>
      <c r="CU66" s="46">
        <f t="shared" si="32"/>
        <v>0</v>
      </c>
      <c r="CV66" s="46">
        <f t="shared" si="32"/>
        <v>0</v>
      </c>
      <c r="CW66" s="46">
        <f t="shared" si="32"/>
        <v>0</v>
      </c>
      <c r="CX66" s="46">
        <f t="shared" si="32"/>
        <v>0</v>
      </c>
      <c r="CY66" s="46">
        <f t="shared" si="32"/>
        <v>0</v>
      </c>
      <c r="CZ66" s="46">
        <f t="shared" si="32"/>
        <v>0</v>
      </c>
      <c r="DA66" s="46">
        <f t="shared" si="32"/>
        <v>0</v>
      </c>
      <c r="DB66" s="46">
        <f t="shared" si="32"/>
        <v>0</v>
      </c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</row>
    <row r="67" spans="1:121" ht="14.25" x14ac:dyDescent="0.15">
      <c r="A67" s="49">
        <v>65</v>
      </c>
      <c r="B67" s="46" t="e">
        <f t="shared" si="1"/>
        <v>#DIV/0!</v>
      </c>
      <c r="C67" s="46" t="e">
        <f t="shared" si="2"/>
        <v>#DIV/0!</v>
      </c>
      <c r="D67" s="46" t="e">
        <f t="shared" si="3"/>
        <v>#DIV/0!</v>
      </c>
      <c r="E67" s="46" t="e">
        <f t="shared" si="4"/>
        <v>#DIV/0!</v>
      </c>
      <c r="F67" s="46" t="e">
        <f t="shared" si="5"/>
        <v>#DIV/0!</v>
      </c>
      <c r="G67" s="46" t="e">
        <f t="shared" si="6"/>
        <v>#DIV/0!</v>
      </c>
      <c r="H67" s="46" t="e">
        <f t="shared" si="7"/>
        <v>#DIV/0!</v>
      </c>
      <c r="I67" s="46" t="e">
        <f t="shared" si="8"/>
        <v>#DIV/0!</v>
      </c>
      <c r="J67" s="46" t="e">
        <f t="shared" si="9"/>
        <v>#DIV/0!</v>
      </c>
      <c r="K67" s="46" t="e">
        <f t="shared" si="10"/>
        <v>#DIV/0!</v>
      </c>
      <c r="L67" s="46" t="e">
        <f t="shared" si="11"/>
        <v>#DIV/0!</v>
      </c>
      <c r="M67" s="46" t="e">
        <f t="shared" si="12"/>
        <v>#DIV/0!</v>
      </c>
      <c r="N67" s="46" t="e">
        <f t="shared" si="13"/>
        <v>#DIV/0!</v>
      </c>
      <c r="O67" s="46" t="e">
        <f t="shared" si="14"/>
        <v>#DIV/0!</v>
      </c>
      <c r="P67" s="46" t="e">
        <f t="shared" si="15"/>
        <v>#DIV/0!</v>
      </c>
      <c r="Q67" s="56" t="e">
        <f>Q66+ATM_Conf!$C$5*(B66)/(Links!B$191*Links!Q$191)</f>
        <v>#DIV/0!</v>
      </c>
      <c r="R67" s="56" t="e">
        <f>R66+ATM_Conf!$C$5*(C66-B66)/(Links!C$191*Links!R$191)</f>
        <v>#DIV/0!</v>
      </c>
      <c r="S67" s="56" t="e">
        <f>S66+ATM_Conf!$C$5*(D66-C66)/(Links!D$191*Links!S$191)</f>
        <v>#DIV/0!</v>
      </c>
      <c r="T67" s="56" t="e">
        <f>T66+ATM_Conf!$C$5*(E66-D66)/(Links!E$191*Links!T$191)</f>
        <v>#DIV/0!</v>
      </c>
      <c r="U67" s="56" t="e">
        <f>U66+ATM_Conf!$C$5*(F66-E66)/(Links!F$191*Links!U$191)</f>
        <v>#DIV/0!</v>
      </c>
      <c r="V67" s="56" t="e">
        <f>V66+ATM_Conf!$C$5*(G66-F66)/(Links!G$191*Links!V$191)</f>
        <v>#DIV/0!</v>
      </c>
      <c r="W67" s="56" t="e">
        <f>W66+ATM_Conf!$C$5*(H66-G66)/(Links!H$191*Links!W$191)</f>
        <v>#DIV/0!</v>
      </c>
      <c r="X67" s="56" t="e">
        <f>X66+ATM_Conf!$C$5*(I66-H66)/(Links!I$191*Links!X$191)</f>
        <v>#DIV/0!</v>
      </c>
      <c r="Y67" s="56" t="e">
        <f>Y66+ATM_Conf!$C$5*(J66)/(Links!J$191*Links!Y$191)</f>
        <v>#DIV/0!</v>
      </c>
      <c r="Z67" s="56" t="e">
        <f>Z66+ATM_Conf!$C$5*(K66-J66)/(Links!K$191*Links!Z$191)</f>
        <v>#DIV/0!</v>
      </c>
      <c r="AA67" s="56" t="e">
        <f>AA66+ATM_Conf!$C$5*(L66-K66)/(Links!L$191*Links!AA$191)</f>
        <v>#DIV/0!</v>
      </c>
      <c r="AB67" s="56" t="e">
        <f>AB66+ATM_Conf!$C$5*(M66-L66)/(Links!M$191*Links!AB$191)</f>
        <v>#DIV/0!</v>
      </c>
      <c r="AC67" s="56" t="e">
        <f>AC66+ATM_Conf!$C$5*(N66-M66)/(Links!N$191*Links!AC$191)</f>
        <v>#DIV/0!</v>
      </c>
      <c r="AD67" s="56" t="e">
        <f>AD66+ATM_Conf!$C$5*(O66-N66)/(Links!O$191*Links!AD$191)</f>
        <v>#DIV/0!</v>
      </c>
      <c r="AE67" s="56" t="e">
        <f>AE66+ATM_Conf!$C$5*(P66-O66)/(Links!P$191*Links!AE$191)</f>
        <v>#DIV/0!</v>
      </c>
      <c r="AF67" s="46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6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6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6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6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6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6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6" t="e">
        <f>AM66+(ATM_Conf!$C$5/ATM_Conf!$C$8)*(Links!BB66*EXP((-(Links!X66/Links!BQ66)^Links!CF66)/Links!CF66)-Links!AM66)+(ATM_Conf!$C$5/Links!X$191)*Links!AM66*(Nodes!BH66-Links!AM66)</f>
        <v>#DIV/0!</v>
      </c>
      <c r="AN67" s="46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6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6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6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6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6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6" t="e">
        <f>AT66+(ATM_Conf!$C$5/ATM_Conf!$C$8)*(Links!BI66*EXP((-(Links!AE66/Links!BX66)^Links!CM66)/Links!CM66)-Links!AT66)+(ATM_Conf!$C$5/Links!AE$191)*Links!AT66*(Nodes!BN66-Links!AT66)</f>
        <v>#DIV/0!</v>
      </c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46">
        <f t="shared" si="32"/>
        <v>0</v>
      </c>
      <c r="CO67" s="46">
        <f t="shared" si="32"/>
        <v>0</v>
      </c>
      <c r="CP67" s="46">
        <f t="shared" si="32"/>
        <v>0</v>
      </c>
      <c r="CQ67" s="46">
        <f t="shared" si="32"/>
        <v>0</v>
      </c>
      <c r="CR67" s="46">
        <f t="shared" si="32"/>
        <v>0</v>
      </c>
      <c r="CS67" s="46">
        <f t="shared" si="32"/>
        <v>0</v>
      </c>
      <c r="CT67" s="46">
        <f t="shared" si="32"/>
        <v>0</v>
      </c>
      <c r="CU67" s="46">
        <f t="shared" si="32"/>
        <v>0</v>
      </c>
      <c r="CV67" s="46">
        <f t="shared" si="32"/>
        <v>0</v>
      </c>
      <c r="CW67" s="46">
        <f t="shared" si="32"/>
        <v>0</v>
      </c>
      <c r="CX67" s="46">
        <f t="shared" si="32"/>
        <v>0</v>
      </c>
      <c r="CY67" s="46">
        <f t="shared" si="32"/>
        <v>0</v>
      </c>
      <c r="CZ67" s="46">
        <f t="shared" si="32"/>
        <v>0</v>
      </c>
      <c r="DA67" s="46">
        <f t="shared" si="32"/>
        <v>0</v>
      </c>
      <c r="DB67" s="46">
        <f t="shared" si="32"/>
        <v>0</v>
      </c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</row>
    <row r="68" spans="1:121" ht="14.25" x14ac:dyDescent="0.15">
      <c r="A68" s="49">
        <v>66</v>
      </c>
      <c r="B68" s="46" t="e">
        <f t="shared" ref="B68:B131" si="33">Q68*AF68*B$191</f>
        <v>#DIV/0!</v>
      </c>
      <c r="C68" s="46" t="e">
        <f t="shared" ref="C68:C131" si="34">R68*AG68*C$191</f>
        <v>#DIV/0!</v>
      </c>
      <c r="D68" s="46" t="e">
        <f t="shared" ref="D68:D131" si="35">S68*AH68*D$191</f>
        <v>#DIV/0!</v>
      </c>
      <c r="E68" s="46" t="e">
        <f t="shared" ref="E68:E131" si="36">T68*AI68*E$191</f>
        <v>#DIV/0!</v>
      </c>
      <c r="F68" s="46" t="e">
        <f t="shared" ref="F68:F131" si="37">U68*AJ68*F$191</f>
        <v>#DIV/0!</v>
      </c>
      <c r="G68" s="46" t="e">
        <f t="shared" ref="G68:G131" si="38">V68*AK68*G$191</f>
        <v>#DIV/0!</v>
      </c>
      <c r="H68" s="46" t="e">
        <f t="shared" ref="H68:H131" si="39">W68*AL68*H$191</f>
        <v>#DIV/0!</v>
      </c>
      <c r="I68" s="46" t="e">
        <f t="shared" ref="I68:I131" si="40">X68*AM68*I$191</f>
        <v>#DIV/0!</v>
      </c>
      <c r="J68" s="46" t="e">
        <f t="shared" ref="J68:J131" si="41">Y68*AN68*J$191</f>
        <v>#DIV/0!</v>
      </c>
      <c r="K68" s="46" t="e">
        <f t="shared" ref="K68:K131" si="42">Z68*AO68*K$191</f>
        <v>#DIV/0!</v>
      </c>
      <c r="L68" s="46" t="e">
        <f t="shared" ref="L68:L131" si="43">AA68*AP68*L$191</f>
        <v>#DIV/0!</v>
      </c>
      <c r="M68" s="46" t="e">
        <f t="shared" ref="M68:M131" si="44">AB68*AQ68*M$191</f>
        <v>#DIV/0!</v>
      </c>
      <c r="N68" s="46" t="e">
        <f t="shared" ref="N68:N131" si="45">AC68*AR68*N$191</f>
        <v>#DIV/0!</v>
      </c>
      <c r="O68" s="46" t="e">
        <f t="shared" ref="O68:O131" si="46">AD68*AS68*O$191</f>
        <v>#DIV/0!</v>
      </c>
      <c r="P68" s="46" t="e">
        <f t="shared" ref="P68:P131" si="47">AE68*AT68*P$191</f>
        <v>#DIV/0!</v>
      </c>
      <c r="Q68" s="56" t="e">
        <f>Q67+ATM_Conf!$C$5*(B67)/(Links!B$191*Links!Q$191)</f>
        <v>#DIV/0!</v>
      </c>
      <c r="R68" s="56" t="e">
        <f>R67+ATM_Conf!$C$5*(C67-B67)/(Links!C$191*Links!R$191)</f>
        <v>#DIV/0!</v>
      </c>
      <c r="S68" s="56" t="e">
        <f>S67+ATM_Conf!$C$5*(D67-C67)/(Links!D$191*Links!S$191)</f>
        <v>#DIV/0!</v>
      </c>
      <c r="T68" s="56" t="e">
        <f>T67+ATM_Conf!$C$5*(E67-D67)/(Links!E$191*Links!T$191)</f>
        <v>#DIV/0!</v>
      </c>
      <c r="U68" s="56" t="e">
        <f>U67+ATM_Conf!$C$5*(F67-E67)/(Links!F$191*Links!U$191)</f>
        <v>#DIV/0!</v>
      </c>
      <c r="V68" s="56" t="e">
        <f>V67+ATM_Conf!$C$5*(G67-F67)/(Links!G$191*Links!V$191)</f>
        <v>#DIV/0!</v>
      </c>
      <c r="W68" s="56" t="e">
        <f>W67+ATM_Conf!$C$5*(H67-G67)/(Links!H$191*Links!W$191)</f>
        <v>#DIV/0!</v>
      </c>
      <c r="X68" s="56" t="e">
        <f>X67+ATM_Conf!$C$5*(I67-H67)/(Links!I$191*Links!X$191)</f>
        <v>#DIV/0!</v>
      </c>
      <c r="Y68" s="56" t="e">
        <f>Y67+ATM_Conf!$C$5*(J67)/(Links!J$191*Links!Y$191)</f>
        <v>#DIV/0!</v>
      </c>
      <c r="Z68" s="56" t="e">
        <f>Z67+ATM_Conf!$C$5*(K67-J67)/(Links!K$191*Links!Z$191)</f>
        <v>#DIV/0!</v>
      </c>
      <c r="AA68" s="56" t="e">
        <f>AA67+ATM_Conf!$C$5*(L67-K67)/(Links!L$191*Links!AA$191)</f>
        <v>#DIV/0!</v>
      </c>
      <c r="AB68" s="56" t="e">
        <f>AB67+ATM_Conf!$C$5*(M67-L67)/(Links!M$191*Links!AB$191)</f>
        <v>#DIV/0!</v>
      </c>
      <c r="AC68" s="56" t="e">
        <f>AC67+ATM_Conf!$C$5*(N67-M67)/(Links!N$191*Links!AC$191)</f>
        <v>#DIV/0!</v>
      </c>
      <c r="AD68" s="56" t="e">
        <f>AD67+ATM_Conf!$C$5*(O67-N67)/(Links!O$191*Links!AD$191)</f>
        <v>#DIV/0!</v>
      </c>
      <c r="AE68" s="56" t="e">
        <f>AE67+ATM_Conf!$C$5*(P67-O67)/(Links!P$191*Links!AE$191)</f>
        <v>#DIV/0!</v>
      </c>
      <c r="AF68" s="46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6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6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6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6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6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6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6" t="e">
        <f>AM67+(ATM_Conf!$C$5/ATM_Conf!$C$8)*(Links!BB67*EXP((-(Links!X67/Links!BQ67)^Links!CF67)/Links!CF67)-Links!AM67)+(ATM_Conf!$C$5/Links!X$191)*Links!AM67*(Nodes!BH67-Links!AM67)</f>
        <v>#DIV/0!</v>
      </c>
      <c r="AN68" s="46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6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6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6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6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6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6" t="e">
        <f>AT67+(ATM_Conf!$C$5/ATM_Conf!$C$8)*(Links!BI67*EXP((-(Links!AE67/Links!BX67)^Links!CM67)/Links!CM67)-Links!AT67)+(ATM_Conf!$C$5/Links!AE$191)*Links!AT67*(Nodes!BN67-Links!AT67)</f>
        <v>#DIV/0!</v>
      </c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46">
        <f t="shared" si="32"/>
        <v>0</v>
      </c>
      <c r="CO68" s="46">
        <f t="shared" si="32"/>
        <v>0</v>
      </c>
      <c r="CP68" s="46">
        <f t="shared" si="32"/>
        <v>0</v>
      </c>
      <c r="CQ68" s="46">
        <f t="shared" si="32"/>
        <v>0</v>
      </c>
      <c r="CR68" s="46">
        <f t="shared" si="32"/>
        <v>0</v>
      </c>
      <c r="CS68" s="46">
        <f t="shared" si="32"/>
        <v>0</v>
      </c>
      <c r="CT68" s="46">
        <f t="shared" si="32"/>
        <v>0</v>
      </c>
      <c r="CU68" s="46">
        <f t="shared" si="32"/>
        <v>0</v>
      </c>
      <c r="CV68" s="46">
        <f t="shared" si="32"/>
        <v>0</v>
      </c>
      <c r="CW68" s="46">
        <f t="shared" si="32"/>
        <v>0</v>
      </c>
      <c r="CX68" s="46">
        <f t="shared" si="32"/>
        <v>0</v>
      </c>
      <c r="CY68" s="46">
        <f t="shared" si="32"/>
        <v>0</v>
      </c>
      <c r="CZ68" s="46">
        <f t="shared" si="32"/>
        <v>0</v>
      </c>
      <c r="DA68" s="46">
        <f t="shared" si="32"/>
        <v>0</v>
      </c>
      <c r="DB68" s="46">
        <f t="shared" si="32"/>
        <v>0</v>
      </c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</row>
    <row r="69" spans="1:121" ht="14.25" x14ac:dyDescent="0.15">
      <c r="A69" s="49">
        <v>67</v>
      </c>
      <c r="B69" s="46" t="e">
        <f t="shared" si="33"/>
        <v>#DIV/0!</v>
      </c>
      <c r="C69" s="46" t="e">
        <f t="shared" si="34"/>
        <v>#DIV/0!</v>
      </c>
      <c r="D69" s="46" t="e">
        <f t="shared" si="35"/>
        <v>#DIV/0!</v>
      </c>
      <c r="E69" s="46" t="e">
        <f t="shared" si="36"/>
        <v>#DIV/0!</v>
      </c>
      <c r="F69" s="46" t="e">
        <f t="shared" si="37"/>
        <v>#DIV/0!</v>
      </c>
      <c r="G69" s="46" t="e">
        <f t="shared" si="38"/>
        <v>#DIV/0!</v>
      </c>
      <c r="H69" s="46" t="e">
        <f t="shared" si="39"/>
        <v>#DIV/0!</v>
      </c>
      <c r="I69" s="46" t="e">
        <f t="shared" si="40"/>
        <v>#DIV/0!</v>
      </c>
      <c r="J69" s="46" t="e">
        <f t="shared" si="41"/>
        <v>#DIV/0!</v>
      </c>
      <c r="K69" s="46" t="e">
        <f t="shared" si="42"/>
        <v>#DIV/0!</v>
      </c>
      <c r="L69" s="46" t="e">
        <f t="shared" si="43"/>
        <v>#DIV/0!</v>
      </c>
      <c r="M69" s="46" t="e">
        <f t="shared" si="44"/>
        <v>#DIV/0!</v>
      </c>
      <c r="N69" s="46" t="e">
        <f t="shared" si="45"/>
        <v>#DIV/0!</v>
      </c>
      <c r="O69" s="46" t="e">
        <f t="shared" si="46"/>
        <v>#DIV/0!</v>
      </c>
      <c r="P69" s="46" t="e">
        <f t="shared" si="47"/>
        <v>#DIV/0!</v>
      </c>
      <c r="Q69" s="56" t="e">
        <f>Q68+ATM_Conf!$C$5*(B68)/(Links!B$191*Links!Q$191)</f>
        <v>#DIV/0!</v>
      </c>
      <c r="R69" s="56" t="e">
        <f>R68+ATM_Conf!$C$5*(C68-B68)/(Links!C$191*Links!R$191)</f>
        <v>#DIV/0!</v>
      </c>
      <c r="S69" s="56" t="e">
        <f>S68+ATM_Conf!$C$5*(D68-C68)/(Links!D$191*Links!S$191)</f>
        <v>#DIV/0!</v>
      </c>
      <c r="T69" s="56" t="e">
        <f>T68+ATM_Conf!$C$5*(E68-D68)/(Links!E$191*Links!T$191)</f>
        <v>#DIV/0!</v>
      </c>
      <c r="U69" s="56" t="e">
        <f>U68+ATM_Conf!$C$5*(F68-E68)/(Links!F$191*Links!U$191)</f>
        <v>#DIV/0!</v>
      </c>
      <c r="V69" s="56" t="e">
        <f>V68+ATM_Conf!$C$5*(G68-F68)/(Links!G$191*Links!V$191)</f>
        <v>#DIV/0!</v>
      </c>
      <c r="W69" s="56" t="e">
        <f>W68+ATM_Conf!$C$5*(H68-G68)/(Links!H$191*Links!W$191)</f>
        <v>#DIV/0!</v>
      </c>
      <c r="X69" s="56" t="e">
        <f>X68+ATM_Conf!$C$5*(I68-H68)/(Links!I$191*Links!X$191)</f>
        <v>#DIV/0!</v>
      </c>
      <c r="Y69" s="56" t="e">
        <f>Y68+ATM_Conf!$C$5*(J68)/(Links!J$191*Links!Y$191)</f>
        <v>#DIV/0!</v>
      </c>
      <c r="Z69" s="56" t="e">
        <f>Z68+ATM_Conf!$C$5*(K68-J68)/(Links!K$191*Links!Z$191)</f>
        <v>#DIV/0!</v>
      </c>
      <c r="AA69" s="56" t="e">
        <f>AA68+ATM_Conf!$C$5*(L68-K68)/(Links!L$191*Links!AA$191)</f>
        <v>#DIV/0!</v>
      </c>
      <c r="AB69" s="56" t="e">
        <f>AB68+ATM_Conf!$C$5*(M68-L68)/(Links!M$191*Links!AB$191)</f>
        <v>#DIV/0!</v>
      </c>
      <c r="AC69" s="56" t="e">
        <f>AC68+ATM_Conf!$C$5*(N68-M68)/(Links!N$191*Links!AC$191)</f>
        <v>#DIV/0!</v>
      </c>
      <c r="AD69" s="56" t="e">
        <f>AD68+ATM_Conf!$C$5*(O68-N68)/(Links!O$191*Links!AD$191)</f>
        <v>#DIV/0!</v>
      </c>
      <c r="AE69" s="56" t="e">
        <f>AE68+ATM_Conf!$C$5*(P68-O68)/(Links!P$191*Links!AE$191)</f>
        <v>#DIV/0!</v>
      </c>
      <c r="AF69" s="46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6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6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6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6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6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6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6" t="e">
        <f>AM68+(ATM_Conf!$C$5/ATM_Conf!$C$8)*(Links!BB68*EXP((-(Links!X68/Links!BQ68)^Links!CF68)/Links!CF68)-Links!AM68)+(ATM_Conf!$C$5/Links!X$191)*Links!AM68*(Nodes!BH68-Links!AM68)</f>
        <v>#DIV/0!</v>
      </c>
      <c r="AN69" s="46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6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6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6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6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6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6" t="e">
        <f>AT68+(ATM_Conf!$C$5/ATM_Conf!$C$8)*(Links!BI68*EXP((-(Links!AE68/Links!BX68)^Links!CM68)/Links!CM68)-Links!AT68)+(ATM_Conf!$C$5/Links!AE$191)*Links!AT68*(Nodes!BN68-Links!AT68)</f>
        <v>#DIV/0!</v>
      </c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46">
        <f t="shared" si="32"/>
        <v>0</v>
      </c>
      <c r="CO69" s="46">
        <f t="shared" si="32"/>
        <v>0</v>
      </c>
      <c r="CP69" s="46">
        <f t="shared" si="32"/>
        <v>0</v>
      </c>
      <c r="CQ69" s="46">
        <f t="shared" si="32"/>
        <v>0</v>
      </c>
      <c r="CR69" s="46">
        <f t="shared" si="32"/>
        <v>0</v>
      </c>
      <c r="CS69" s="46">
        <f t="shared" si="32"/>
        <v>0</v>
      </c>
      <c r="CT69" s="46">
        <f t="shared" si="32"/>
        <v>0</v>
      </c>
      <c r="CU69" s="46">
        <f t="shared" si="32"/>
        <v>0</v>
      </c>
      <c r="CV69" s="46">
        <f t="shared" si="32"/>
        <v>0</v>
      </c>
      <c r="CW69" s="46">
        <f t="shared" si="32"/>
        <v>0</v>
      </c>
      <c r="CX69" s="46">
        <f t="shared" si="32"/>
        <v>0</v>
      </c>
      <c r="CY69" s="46">
        <f t="shared" si="32"/>
        <v>0</v>
      </c>
      <c r="CZ69" s="46">
        <f t="shared" si="32"/>
        <v>0</v>
      </c>
      <c r="DA69" s="46">
        <f t="shared" si="32"/>
        <v>0</v>
      </c>
      <c r="DB69" s="46">
        <f t="shared" si="32"/>
        <v>0</v>
      </c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</row>
    <row r="70" spans="1:121" ht="14.25" x14ac:dyDescent="0.15">
      <c r="A70" s="49">
        <v>68</v>
      </c>
      <c r="B70" s="46" t="e">
        <f t="shared" si="33"/>
        <v>#DIV/0!</v>
      </c>
      <c r="C70" s="46" t="e">
        <f t="shared" si="34"/>
        <v>#DIV/0!</v>
      </c>
      <c r="D70" s="46" t="e">
        <f t="shared" si="35"/>
        <v>#DIV/0!</v>
      </c>
      <c r="E70" s="46" t="e">
        <f t="shared" si="36"/>
        <v>#DIV/0!</v>
      </c>
      <c r="F70" s="46" t="e">
        <f t="shared" si="37"/>
        <v>#DIV/0!</v>
      </c>
      <c r="G70" s="46" t="e">
        <f t="shared" si="38"/>
        <v>#DIV/0!</v>
      </c>
      <c r="H70" s="46" t="e">
        <f t="shared" si="39"/>
        <v>#DIV/0!</v>
      </c>
      <c r="I70" s="46" t="e">
        <f t="shared" si="40"/>
        <v>#DIV/0!</v>
      </c>
      <c r="J70" s="46" t="e">
        <f t="shared" si="41"/>
        <v>#DIV/0!</v>
      </c>
      <c r="K70" s="46" t="e">
        <f t="shared" si="42"/>
        <v>#DIV/0!</v>
      </c>
      <c r="L70" s="46" t="e">
        <f t="shared" si="43"/>
        <v>#DIV/0!</v>
      </c>
      <c r="M70" s="46" t="e">
        <f t="shared" si="44"/>
        <v>#DIV/0!</v>
      </c>
      <c r="N70" s="46" t="e">
        <f t="shared" si="45"/>
        <v>#DIV/0!</v>
      </c>
      <c r="O70" s="46" t="e">
        <f t="shared" si="46"/>
        <v>#DIV/0!</v>
      </c>
      <c r="P70" s="46" t="e">
        <f t="shared" si="47"/>
        <v>#DIV/0!</v>
      </c>
      <c r="Q70" s="56" t="e">
        <f>Q69+ATM_Conf!$C$5*(B69)/(Links!B$191*Links!Q$191)</f>
        <v>#DIV/0!</v>
      </c>
      <c r="R70" s="56" t="e">
        <f>R69+ATM_Conf!$C$5*(C69-B69)/(Links!C$191*Links!R$191)</f>
        <v>#DIV/0!</v>
      </c>
      <c r="S70" s="56" t="e">
        <f>S69+ATM_Conf!$C$5*(D69-C69)/(Links!D$191*Links!S$191)</f>
        <v>#DIV/0!</v>
      </c>
      <c r="T70" s="56" t="e">
        <f>T69+ATM_Conf!$C$5*(E69-D69)/(Links!E$191*Links!T$191)</f>
        <v>#DIV/0!</v>
      </c>
      <c r="U70" s="56" t="e">
        <f>U69+ATM_Conf!$C$5*(F69-E69)/(Links!F$191*Links!U$191)</f>
        <v>#DIV/0!</v>
      </c>
      <c r="V70" s="56" t="e">
        <f>V69+ATM_Conf!$C$5*(G69-F69)/(Links!G$191*Links!V$191)</f>
        <v>#DIV/0!</v>
      </c>
      <c r="W70" s="56" t="e">
        <f>W69+ATM_Conf!$C$5*(H69-G69)/(Links!H$191*Links!W$191)</f>
        <v>#DIV/0!</v>
      </c>
      <c r="X70" s="56" t="e">
        <f>X69+ATM_Conf!$C$5*(I69-H69)/(Links!I$191*Links!X$191)</f>
        <v>#DIV/0!</v>
      </c>
      <c r="Y70" s="56" t="e">
        <f>Y69+ATM_Conf!$C$5*(J69)/(Links!J$191*Links!Y$191)</f>
        <v>#DIV/0!</v>
      </c>
      <c r="Z70" s="56" t="e">
        <f>Z69+ATM_Conf!$C$5*(K69-J69)/(Links!K$191*Links!Z$191)</f>
        <v>#DIV/0!</v>
      </c>
      <c r="AA70" s="56" t="e">
        <f>AA69+ATM_Conf!$C$5*(L69-K69)/(Links!L$191*Links!AA$191)</f>
        <v>#DIV/0!</v>
      </c>
      <c r="AB70" s="56" t="e">
        <f>AB69+ATM_Conf!$C$5*(M69-L69)/(Links!M$191*Links!AB$191)</f>
        <v>#DIV/0!</v>
      </c>
      <c r="AC70" s="56" t="e">
        <f>AC69+ATM_Conf!$C$5*(N69-M69)/(Links!N$191*Links!AC$191)</f>
        <v>#DIV/0!</v>
      </c>
      <c r="AD70" s="56" t="e">
        <f>AD69+ATM_Conf!$C$5*(O69-N69)/(Links!O$191*Links!AD$191)</f>
        <v>#DIV/0!</v>
      </c>
      <c r="AE70" s="56" t="e">
        <f>AE69+ATM_Conf!$C$5*(P69-O69)/(Links!P$191*Links!AE$191)</f>
        <v>#DIV/0!</v>
      </c>
      <c r="AF70" s="46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6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6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6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6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6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6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6" t="e">
        <f>AM69+(ATM_Conf!$C$5/ATM_Conf!$C$8)*(Links!BB69*EXP((-(Links!X69/Links!BQ69)^Links!CF69)/Links!CF69)-Links!AM69)+(ATM_Conf!$C$5/Links!X$191)*Links!AM69*(Nodes!BH69-Links!AM69)</f>
        <v>#DIV/0!</v>
      </c>
      <c r="AN70" s="46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6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6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6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6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6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6" t="e">
        <f>AT69+(ATM_Conf!$C$5/ATM_Conf!$C$8)*(Links!BI69*EXP((-(Links!AE69/Links!BX69)^Links!CM69)/Links!CM69)-Links!AT69)+(ATM_Conf!$C$5/Links!AE$191)*Links!AT69*(Nodes!BN69-Links!AT69)</f>
        <v>#DIV/0!</v>
      </c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46">
        <f t="shared" si="32"/>
        <v>0</v>
      </c>
      <c r="CO70" s="46">
        <f t="shared" si="32"/>
        <v>0</v>
      </c>
      <c r="CP70" s="46">
        <f t="shared" si="32"/>
        <v>0</v>
      </c>
      <c r="CQ70" s="46">
        <f t="shared" si="32"/>
        <v>0</v>
      </c>
      <c r="CR70" s="46">
        <f t="shared" si="32"/>
        <v>0</v>
      </c>
      <c r="CS70" s="46">
        <f t="shared" si="32"/>
        <v>0</v>
      </c>
      <c r="CT70" s="46">
        <f t="shared" si="32"/>
        <v>0</v>
      </c>
      <c r="CU70" s="46">
        <f t="shared" si="32"/>
        <v>0</v>
      </c>
      <c r="CV70" s="46">
        <f t="shared" si="32"/>
        <v>0</v>
      </c>
      <c r="CW70" s="46">
        <f t="shared" si="32"/>
        <v>0</v>
      </c>
      <c r="CX70" s="46">
        <f t="shared" si="32"/>
        <v>0</v>
      </c>
      <c r="CY70" s="46">
        <f t="shared" si="32"/>
        <v>0</v>
      </c>
      <c r="CZ70" s="46">
        <f t="shared" si="32"/>
        <v>0</v>
      </c>
      <c r="DA70" s="46">
        <f t="shared" si="32"/>
        <v>0</v>
      </c>
      <c r="DB70" s="46">
        <f t="shared" si="32"/>
        <v>0</v>
      </c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</row>
    <row r="71" spans="1:121" ht="14.25" x14ac:dyDescent="0.15">
      <c r="A71" s="49">
        <v>69</v>
      </c>
      <c r="B71" s="46" t="e">
        <f t="shared" si="33"/>
        <v>#DIV/0!</v>
      </c>
      <c r="C71" s="46" t="e">
        <f t="shared" si="34"/>
        <v>#DIV/0!</v>
      </c>
      <c r="D71" s="46" t="e">
        <f t="shared" si="35"/>
        <v>#DIV/0!</v>
      </c>
      <c r="E71" s="46" t="e">
        <f t="shared" si="36"/>
        <v>#DIV/0!</v>
      </c>
      <c r="F71" s="46" t="e">
        <f t="shared" si="37"/>
        <v>#DIV/0!</v>
      </c>
      <c r="G71" s="46" t="e">
        <f t="shared" si="38"/>
        <v>#DIV/0!</v>
      </c>
      <c r="H71" s="46" t="e">
        <f t="shared" si="39"/>
        <v>#DIV/0!</v>
      </c>
      <c r="I71" s="46" t="e">
        <f t="shared" si="40"/>
        <v>#DIV/0!</v>
      </c>
      <c r="J71" s="46" t="e">
        <f t="shared" si="41"/>
        <v>#DIV/0!</v>
      </c>
      <c r="K71" s="46" t="e">
        <f t="shared" si="42"/>
        <v>#DIV/0!</v>
      </c>
      <c r="L71" s="46" t="e">
        <f t="shared" si="43"/>
        <v>#DIV/0!</v>
      </c>
      <c r="M71" s="46" t="e">
        <f t="shared" si="44"/>
        <v>#DIV/0!</v>
      </c>
      <c r="N71" s="46" t="e">
        <f t="shared" si="45"/>
        <v>#DIV/0!</v>
      </c>
      <c r="O71" s="46" t="e">
        <f t="shared" si="46"/>
        <v>#DIV/0!</v>
      </c>
      <c r="P71" s="46" t="e">
        <f t="shared" si="47"/>
        <v>#DIV/0!</v>
      </c>
      <c r="Q71" s="56" t="e">
        <f>Q70+ATM_Conf!$C$5*(B70)/(Links!B$191*Links!Q$191)</f>
        <v>#DIV/0!</v>
      </c>
      <c r="R71" s="56" t="e">
        <f>R70+ATM_Conf!$C$5*(C70-B70)/(Links!C$191*Links!R$191)</f>
        <v>#DIV/0!</v>
      </c>
      <c r="S71" s="56" t="e">
        <f>S70+ATM_Conf!$C$5*(D70-C70)/(Links!D$191*Links!S$191)</f>
        <v>#DIV/0!</v>
      </c>
      <c r="T71" s="56" t="e">
        <f>T70+ATM_Conf!$C$5*(E70-D70)/(Links!E$191*Links!T$191)</f>
        <v>#DIV/0!</v>
      </c>
      <c r="U71" s="56" t="e">
        <f>U70+ATM_Conf!$C$5*(F70-E70)/(Links!F$191*Links!U$191)</f>
        <v>#DIV/0!</v>
      </c>
      <c r="V71" s="56" t="e">
        <f>V70+ATM_Conf!$C$5*(G70-F70)/(Links!G$191*Links!V$191)</f>
        <v>#DIV/0!</v>
      </c>
      <c r="W71" s="56" t="e">
        <f>W70+ATM_Conf!$C$5*(H70-G70)/(Links!H$191*Links!W$191)</f>
        <v>#DIV/0!</v>
      </c>
      <c r="X71" s="56" t="e">
        <f>X70+ATM_Conf!$C$5*(I70-H70)/(Links!I$191*Links!X$191)</f>
        <v>#DIV/0!</v>
      </c>
      <c r="Y71" s="56" t="e">
        <f>Y70+ATM_Conf!$C$5*(J70)/(Links!J$191*Links!Y$191)</f>
        <v>#DIV/0!</v>
      </c>
      <c r="Z71" s="56" t="e">
        <f>Z70+ATM_Conf!$C$5*(K70-J70)/(Links!K$191*Links!Z$191)</f>
        <v>#DIV/0!</v>
      </c>
      <c r="AA71" s="56" t="e">
        <f>AA70+ATM_Conf!$C$5*(L70-K70)/(Links!L$191*Links!AA$191)</f>
        <v>#DIV/0!</v>
      </c>
      <c r="AB71" s="56" t="e">
        <f>AB70+ATM_Conf!$C$5*(M70-L70)/(Links!M$191*Links!AB$191)</f>
        <v>#DIV/0!</v>
      </c>
      <c r="AC71" s="56" t="e">
        <f>AC70+ATM_Conf!$C$5*(N70-M70)/(Links!N$191*Links!AC$191)</f>
        <v>#DIV/0!</v>
      </c>
      <c r="AD71" s="56" t="e">
        <f>AD70+ATM_Conf!$C$5*(O70-N70)/(Links!O$191*Links!AD$191)</f>
        <v>#DIV/0!</v>
      </c>
      <c r="AE71" s="56" t="e">
        <f>AE70+ATM_Conf!$C$5*(P70-O70)/(Links!P$191*Links!AE$191)</f>
        <v>#DIV/0!</v>
      </c>
      <c r="AF71" s="46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6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6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6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6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6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6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6" t="e">
        <f>AM70+(ATM_Conf!$C$5/ATM_Conf!$C$8)*(Links!BB70*EXP((-(Links!X70/Links!BQ70)^Links!CF70)/Links!CF70)-Links!AM70)+(ATM_Conf!$C$5/Links!X$191)*Links!AM70*(Nodes!BH70-Links!AM70)</f>
        <v>#DIV/0!</v>
      </c>
      <c r="AN71" s="46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6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6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6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6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6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6" t="e">
        <f>AT70+(ATM_Conf!$C$5/ATM_Conf!$C$8)*(Links!BI70*EXP((-(Links!AE70/Links!BX70)^Links!CM70)/Links!CM70)-Links!AT70)+(ATM_Conf!$C$5/Links!AE$191)*Links!AT70*(Nodes!BN70-Links!AT70)</f>
        <v>#DIV/0!</v>
      </c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46">
        <f t="shared" si="32"/>
        <v>0</v>
      </c>
      <c r="CO71" s="46">
        <f t="shared" si="32"/>
        <v>0</v>
      </c>
      <c r="CP71" s="46">
        <f t="shared" si="32"/>
        <v>0</v>
      </c>
      <c r="CQ71" s="46">
        <f t="shared" si="32"/>
        <v>0</v>
      </c>
      <c r="CR71" s="46">
        <f t="shared" si="32"/>
        <v>0</v>
      </c>
      <c r="CS71" s="46">
        <f t="shared" si="32"/>
        <v>0</v>
      </c>
      <c r="CT71" s="46">
        <f t="shared" si="32"/>
        <v>0</v>
      </c>
      <c r="CU71" s="46">
        <f t="shared" si="32"/>
        <v>0</v>
      </c>
      <c r="CV71" s="46">
        <f t="shared" si="32"/>
        <v>0</v>
      </c>
      <c r="CW71" s="46">
        <f t="shared" si="32"/>
        <v>0</v>
      </c>
      <c r="CX71" s="46">
        <f t="shared" si="32"/>
        <v>0</v>
      </c>
      <c r="CY71" s="46">
        <f t="shared" si="32"/>
        <v>0</v>
      </c>
      <c r="CZ71" s="46">
        <f t="shared" si="32"/>
        <v>0</v>
      </c>
      <c r="DA71" s="46">
        <f t="shared" si="32"/>
        <v>0</v>
      </c>
      <c r="DB71" s="46">
        <f t="shared" si="32"/>
        <v>0</v>
      </c>
      <c r="DC71" s="54"/>
      <c r="DD71" s="54"/>
      <c r="DE71" s="54"/>
      <c r="DF71" s="54"/>
      <c r="DG71" s="54"/>
      <c r="DH71" s="54"/>
      <c r="DI71" s="54"/>
      <c r="DJ71" s="54"/>
      <c r="DK71" s="54"/>
      <c r="DL71" s="54"/>
      <c r="DM71" s="54"/>
      <c r="DN71" s="54"/>
      <c r="DO71" s="54"/>
      <c r="DP71" s="54"/>
      <c r="DQ71" s="54"/>
    </row>
    <row r="72" spans="1:121" ht="14.25" x14ac:dyDescent="0.15">
      <c r="A72" s="49">
        <v>70</v>
      </c>
      <c r="B72" s="46" t="e">
        <f t="shared" si="33"/>
        <v>#DIV/0!</v>
      </c>
      <c r="C72" s="46" t="e">
        <f t="shared" si="34"/>
        <v>#DIV/0!</v>
      </c>
      <c r="D72" s="46" t="e">
        <f t="shared" si="35"/>
        <v>#DIV/0!</v>
      </c>
      <c r="E72" s="46" t="e">
        <f t="shared" si="36"/>
        <v>#DIV/0!</v>
      </c>
      <c r="F72" s="46" t="e">
        <f t="shared" si="37"/>
        <v>#DIV/0!</v>
      </c>
      <c r="G72" s="46" t="e">
        <f t="shared" si="38"/>
        <v>#DIV/0!</v>
      </c>
      <c r="H72" s="46" t="e">
        <f t="shared" si="39"/>
        <v>#DIV/0!</v>
      </c>
      <c r="I72" s="46" t="e">
        <f t="shared" si="40"/>
        <v>#DIV/0!</v>
      </c>
      <c r="J72" s="46" t="e">
        <f t="shared" si="41"/>
        <v>#DIV/0!</v>
      </c>
      <c r="K72" s="46" t="e">
        <f t="shared" si="42"/>
        <v>#DIV/0!</v>
      </c>
      <c r="L72" s="46" t="e">
        <f t="shared" si="43"/>
        <v>#DIV/0!</v>
      </c>
      <c r="M72" s="46" t="e">
        <f t="shared" si="44"/>
        <v>#DIV/0!</v>
      </c>
      <c r="N72" s="46" t="e">
        <f t="shared" si="45"/>
        <v>#DIV/0!</v>
      </c>
      <c r="O72" s="46" t="e">
        <f t="shared" si="46"/>
        <v>#DIV/0!</v>
      </c>
      <c r="P72" s="46" t="e">
        <f t="shared" si="47"/>
        <v>#DIV/0!</v>
      </c>
      <c r="Q72" s="56" t="e">
        <f>Q71+ATM_Conf!$C$5*(B71)/(Links!B$191*Links!Q$191)</f>
        <v>#DIV/0!</v>
      </c>
      <c r="R72" s="56" t="e">
        <f>R71+ATM_Conf!$C$5*(C71-B71)/(Links!C$191*Links!R$191)</f>
        <v>#DIV/0!</v>
      </c>
      <c r="S72" s="56" t="e">
        <f>S71+ATM_Conf!$C$5*(D71-C71)/(Links!D$191*Links!S$191)</f>
        <v>#DIV/0!</v>
      </c>
      <c r="T72" s="56" t="e">
        <f>T71+ATM_Conf!$C$5*(E71-D71)/(Links!E$191*Links!T$191)</f>
        <v>#DIV/0!</v>
      </c>
      <c r="U72" s="56" t="e">
        <f>U71+ATM_Conf!$C$5*(F71-E71)/(Links!F$191*Links!U$191)</f>
        <v>#DIV/0!</v>
      </c>
      <c r="V72" s="56" t="e">
        <f>V71+ATM_Conf!$C$5*(G71-F71)/(Links!G$191*Links!V$191)</f>
        <v>#DIV/0!</v>
      </c>
      <c r="W72" s="56" t="e">
        <f>W71+ATM_Conf!$C$5*(H71-G71)/(Links!H$191*Links!W$191)</f>
        <v>#DIV/0!</v>
      </c>
      <c r="X72" s="56" t="e">
        <f>X71+ATM_Conf!$C$5*(I71-H71)/(Links!I$191*Links!X$191)</f>
        <v>#DIV/0!</v>
      </c>
      <c r="Y72" s="56" t="e">
        <f>Y71+ATM_Conf!$C$5*(J71)/(Links!J$191*Links!Y$191)</f>
        <v>#DIV/0!</v>
      </c>
      <c r="Z72" s="56" t="e">
        <f>Z71+ATM_Conf!$C$5*(K71-J71)/(Links!K$191*Links!Z$191)</f>
        <v>#DIV/0!</v>
      </c>
      <c r="AA72" s="56" t="e">
        <f>AA71+ATM_Conf!$C$5*(L71-K71)/(Links!L$191*Links!AA$191)</f>
        <v>#DIV/0!</v>
      </c>
      <c r="AB72" s="56" t="e">
        <f>AB71+ATM_Conf!$C$5*(M71-L71)/(Links!M$191*Links!AB$191)</f>
        <v>#DIV/0!</v>
      </c>
      <c r="AC72" s="56" t="e">
        <f>AC71+ATM_Conf!$C$5*(N71-M71)/(Links!N$191*Links!AC$191)</f>
        <v>#DIV/0!</v>
      </c>
      <c r="AD72" s="56" t="e">
        <f>AD71+ATM_Conf!$C$5*(O71-N71)/(Links!O$191*Links!AD$191)</f>
        <v>#DIV/0!</v>
      </c>
      <c r="AE72" s="56" t="e">
        <f>AE71+ATM_Conf!$C$5*(P71-O71)/(Links!P$191*Links!AE$191)</f>
        <v>#DIV/0!</v>
      </c>
      <c r="AF72" s="46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6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6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6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6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6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6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6" t="e">
        <f>AM71+(ATM_Conf!$C$5/ATM_Conf!$C$8)*(Links!BB71*EXP((-(Links!X71/Links!BQ71)^Links!CF71)/Links!CF71)-Links!AM71)+(ATM_Conf!$C$5/Links!X$191)*Links!AM71*(Nodes!BH71-Links!AM71)</f>
        <v>#DIV/0!</v>
      </c>
      <c r="AN72" s="46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6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6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6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6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6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6" t="e">
        <f>AT71+(ATM_Conf!$C$5/ATM_Conf!$C$8)*(Links!BI71*EXP((-(Links!AE71/Links!BX71)^Links!CM71)/Links!CM71)-Links!AT71)+(ATM_Conf!$C$5/Links!AE$191)*Links!AT71*(Nodes!BN71-Links!AT71)</f>
        <v>#DIV/0!</v>
      </c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46">
        <f t="shared" si="32"/>
        <v>0</v>
      </c>
      <c r="CO72" s="46">
        <f t="shared" si="32"/>
        <v>0</v>
      </c>
      <c r="CP72" s="46">
        <f t="shared" si="32"/>
        <v>0</v>
      </c>
      <c r="CQ72" s="46">
        <f t="shared" si="32"/>
        <v>0</v>
      </c>
      <c r="CR72" s="46">
        <f t="shared" si="32"/>
        <v>0</v>
      </c>
      <c r="CS72" s="46">
        <f t="shared" si="32"/>
        <v>0</v>
      </c>
      <c r="CT72" s="46">
        <f t="shared" si="32"/>
        <v>0</v>
      </c>
      <c r="CU72" s="46">
        <f t="shared" si="32"/>
        <v>0</v>
      </c>
      <c r="CV72" s="46">
        <f t="shared" si="32"/>
        <v>0</v>
      </c>
      <c r="CW72" s="46">
        <f t="shared" si="32"/>
        <v>0</v>
      </c>
      <c r="CX72" s="46">
        <f t="shared" si="32"/>
        <v>0</v>
      </c>
      <c r="CY72" s="46">
        <f t="shared" si="32"/>
        <v>0</v>
      </c>
      <c r="CZ72" s="46">
        <f t="shared" si="32"/>
        <v>0</v>
      </c>
      <c r="DA72" s="46">
        <f t="shared" si="32"/>
        <v>0</v>
      </c>
      <c r="DB72" s="46">
        <f t="shared" si="32"/>
        <v>0</v>
      </c>
      <c r="DC72" s="54"/>
      <c r="DD72" s="54"/>
      <c r="DE72" s="54"/>
      <c r="DF72" s="54"/>
      <c r="DG72" s="54"/>
      <c r="DH72" s="54"/>
      <c r="DI72" s="54"/>
      <c r="DJ72" s="54"/>
      <c r="DK72" s="54"/>
      <c r="DL72" s="54"/>
      <c r="DM72" s="54"/>
      <c r="DN72" s="54"/>
      <c r="DO72" s="54"/>
      <c r="DP72" s="54"/>
      <c r="DQ72" s="54"/>
    </row>
    <row r="73" spans="1:121" ht="14.25" x14ac:dyDescent="0.15">
      <c r="A73" s="49">
        <v>71</v>
      </c>
      <c r="B73" s="46" t="e">
        <f t="shared" si="33"/>
        <v>#DIV/0!</v>
      </c>
      <c r="C73" s="46" t="e">
        <f t="shared" si="34"/>
        <v>#DIV/0!</v>
      </c>
      <c r="D73" s="46" t="e">
        <f t="shared" si="35"/>
        <v>#DIV/0!</v>
      </c>
      <c r="E73" s="46" t="e">
        <f t="shared" si="36"/>
        <v>#DIV/0!</v>
      </c>
      <c r="F73" s="46" t="e">
        <f t="shared" si="37"/>
        <v>#DIV/0!</v>
      </c>
      <c r="G73" s="46" t="e">
        <f t="shared" si="38"/>
        <v>#DIV/0!</v>
      </c>
      <c r="H73" s="46" t="e">
        <f t="shared" si="39"/>
        <v>#DIV/0!</v>
      </c>
      <c r="I73" s="46" t="e">
        <f t="shared" si="40"/>
        <v>#DIV/0!</v>
      </c>
      <c r="J73" s="46" t="e">
        <f t="shared" si="41"/>
        <v>#DIV/0!</v>
      </c>
      <c r="K73" s="46" t="e">
        <f t="shared" si="42"/>
        <v>#DIV/0!</v>
      </c>
      <c r="L73" s="46" t="e">
        <f t="shared" si="43"/>
        <v>#DIV/0!</v>
      </c>
      <c r="M73" s="46" t="e">
        <f t="shared" si="44"/>
        <v>#DIV/0!</v>
      </c>
      <c r="N73" s="46" t="e">
        <f t="shared" si="45"/>
        <v>#DIV/0!</v>
      </c>
      <c r="O73" s="46" t="e">
        <f t="shared" si="46"/>
        <v>#DIV/0!</v>
      </c>
      <c r="P73" s="46" t="e">
        <f t="shared" si="47"/>
        <v>#DIV/0!</v>
      </c>
      <c r="Q73" s="56" t="e">
        <f>Q72+ATM_Conf!$C$5*(B72)/(Links!B$191*Links!Q$191)</f>
        <v>#DIV/0!</v>
      </c>
      <c r="R73" s="56" t="e">
        <f>R72+ATM_Conf!$C$5*(C72-B72)/(Links!C$191*Links!R$191)</f>
        <v>#DIV/0!</v>
      </c>
      <c r="S73" s="56" t="e">
        <f>S72+ATM_Conf!$C$5*(D72-C72)/(Links!D$191*Links!S$191)</f>
        <v>#DIV/0!</v>
      </c>
      <c r="T73" s="56" t="e">
        <f>T72+ATM_Conf!$C$5*(E72-D72)/(Links!E$191*Links!T$191)</f>
        <v>#DIV/0!</v>
      </c>
      <c r="U73" s="56" t="e">
        <f>U72+ATM_Conf!$C$5*(F72-E72)/(Links!F$191*Links!U$191)</f>
        <v>#DIV/0!</v>
      </c>
      <c r="V73" s="56" t="e">
        <f>V72+ATM_Conf!$C$5*(G72-F72)/(Links!G$191*Links!V$191)</f>
        <v>#DIV/0!</v>
      </c>
      <c r="W73" s="56" t="e">
        <f>W72+ATM_Conf!$C$5*(H72-G72)/(Links!H$191*Links!W$191)</f>
        <v>#DIV/0!</v>
      </c>
      <c r="X73" s="56" t="e">
        <f>X72+ATM_Conf!$C$5*(I72-H72)/(Links!I$191*Links!X$191)</f>
        <v>#DIV/0!</v>
      </c>
      <c r="Y73" s="56" t="e">
        <f>Y72+ATM_Conf!$C$5*(J72)/(Links!J$191*Links!Y$191)</f>
        <v>#DIV/0!</v>
      </c>
      <c r="Z73" s="56" t="e">
        <f>Z72+ATM_Conf!$C$5*(K72-J72)/(Links!K$191*Links!Z$191)</f>
        <v>#DIV/0!</v>
      </c>
      <c r="AA73" s="56" t="e">
        <f>AA72+ATM_Conf!$C$5*(L72-K72)/(Links!L$191*Links!AA$191)</f>
        <v>#DIV/0!</v>
      </c>
      <c r="AB73" s="56" t="e">
        <f>AB72+ATM_Conf!$C$5*(M72-L72)/(Links!M$191*Links!AB$191)</f>
        <v>#DIV/0!</v>
      </c>
      <c r="AC73" s="56" t="e">
        <f>AC72+ATM_Conf!$C$5*(N72-M72)/(Links!N$191*Links!AC$191)</f>
        <v>#DIV/0!</v>
      </c>
      <c r="AD73" s="56" t="e">
        <f>AD72+ATM_Conf!$C$5*(O72-N72)/(Links!O$191*Links!AD$191)</f>
        <v>#DIV/0!</v>
      </c>
      <c r="AE73" s="56" t="e">
        <f>AE72+ATM_Conf!$C$5*(P72-O72)/(Links!P$191*Links!AE$191)</f>
        <v>#DIV/0!</v>
      </c>
      <c r="AF73" s="46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6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6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6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6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6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6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6" t="e">
        <f>AM72+(ATM_Conf!$C$5/ATM_Conf!$C$8)*(Links!BB72*EXP((-(Links!X72/Links!BQ72)^Links!CF72)/Links!CF72)-Links!AM72)+(ATM_Conf!$C$5/Links!X$191)*Links!AM72*(Nodes!BH72-Links!AM72)</f>
        <v>#DIV/0!</v>
      </c>
      <c r="AN73" s="46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6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6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6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6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6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6" t="e">
        <f>AT72+(ATM_Conf!$C$5/ATM_Conf!$C$8)*(Links!BI72*EXP((-(Links!AE72/Links!BX72)^Links!CM72)/Links!CM72)-Links!AT72)+(ATM_Conf!$C$5/Links!AE$191)*Links!AT72*(Nodes!BN72-Links!AT72)</f>
        <v>#DIV/0!</v>
      </c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46">
        <f t="shared" si="32"/>
        <v>0</v>
      </c>
      <c r="CO73" s="46">
        <f t="shared" si="32"/>
        <v>0</v>
      </c>
      <c r="CP73" s="46">
        <f t="shared" si="32"/>
        <v>0</v>
      </c>
      <c r="CQ73" s="46">
        <f t="shared" si="32"/>
        <v>0</v>
      </c>
      <c r="CR73" s="46">
        <f t="shared" si="32"/>
        <v>0</v>
      </c>
      <c r="CS73" s="46">
        <f t="shared" si="32"/>
        <v>0</v>
      </c>
      <c r="CT73" s="46">
        <f t="shared" si="32"/>
        <v>0</v>
      </c>
      <c r="CU73" s="46">
        <f t="shared" si="32"/>
        <v>0</v>
      </c>
      <c r="CV73" s="46">
        <f t="shared" si="32"/>
        <v>0</v>
      </c>
      <c r="CW73" s="46">
        <f t="shared" si="32"/>
        <v>0</v>
      </c>
      <c r="CX73" s="46">
        <f t="shared" si="32"/>
        <v>0</v>
      </c>
      <c r="CY73" s="46">
        <f t="shared" si="32"/>
        <v>0</v>
      </c>
      <c r="CZ73" s="46">
        <f t="shared" si="32"/>
        <v>0</v>
      </c>
      <c r="DA73" s="46">
        <f t="shared" si="32"/>
        <v>0</v>
      </c>
      <c r="DB73" s="46">
        <f t="shared" si="32"/>
        <v>0</v>
      </c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</row>
    <row r="74" spans="1:121" ht="14.25" x14ac:dyDescent="0.15">
      <c r="A74" s="49">
        <v>72</v>
      </c>
      <c r="B74" s="46" t="e">
        <f t="shared" si="33"/>
        <v>#DIV/0!</v>
      </c>
      <c r="C74" s="46" t="e">
        <f t="shared" si="34"/>
        <v>#DIV/0!</v>
      </c>
      <c r="D74" s="46" t="e">
        <f t="shared" si="35"/>
        <v>#DIV/0!</v>
      </c>
      <c r="E74" s="46" t="e">
        <f t="shared" si="36"/>
        <v>#DIV/0!</v>
      </c>
      <c r="F74" s="46" t="e">
        <f t="shared" si="37"/>
        <v>#DIV/0!</v>
      </c>
      <c r="G74" s="46" t="e">
        <f t="shared" si="38"/>
        <v>#DIV/0!</v>
      </c>
      <c r="H74" s="46" t="e">
        <f t="shared" si="39"/>
        <v>#DIV/0!</v>
      </c>
      <c r="I74" s="46" t="e">
        <f t="shared" si="40"/>
        <v>#DIV/0!</v>
      </c>
      <c r="J74" s="46" t="e">
        <f t="shared" si="41"/>
        <v>#DIV/0!</v>
      </c>
      <c r="K74" s="46" t="e">
        <f t="shared" si="42"/>
        <v>#DIV/0!</v>
      </c>
      <c r="L74" s="46" t="e">
        <f t="shared" si="43"/>
        <v>#DIV/0!</v>
      </c>
      <c r="M74" s="46" t="e">
        <f t="shared" si="44"/>
        <v>#DIV/0!</v>
      </c>
      <c r="N74" s="46" t="e">
        <f t="shared" si="45"/>
        <v>#DIV/0!</v>
      </c>
      <c r="O74" s="46" t="e">
        <f t="shared" si="46"/>
        <v>#DIV/0!</v>
      </c>
      <c r="P74" s="46" t="e">
        <f t="shared" si="47"/>
        <v>#DIV/0!</v>
      </c>
      <c r="Q74" s="56" t="e">
        <f>Q73+ATM_Conf!$C$5*(B73)/(Links!B$191*Links!Q$191)</f>
        <v>#DIV/0!</v>
      </c>
      <c r="R74" s="56" t="e">
        <f>R73+ATM_Conf!$C$5*(C73-B73)/(Links!C$191*Links!R$191)</f>
        <v>#DIV/0!</v>
      </c>
      <c r="S74" s="56" t="e">
        <f>S73+ATM_Conf!$C$5*(D73-C73)/(Links!D$191*Links!S$191)</f>
        <v>#DIV/0!</v>
      </c>
      <c r="T74" s="56" t="e">
        <f>T73+ATM_Conf!$C$5*(E73-D73)/(Links!E$191*Links!T$191)</f>
        <v>#DIV/0!</v>
      </c>
      <c r="U74" s="56" t="e">
        <f>U73+ATM_Conf!$C$5*(F73-E73)/(Links!F$191*Links!U$191)</f>
        <v>#DIV/0!</v>
      </c>
      <c r="V74" s="56" t="e">
        <f>V73+ATM_Conf!$C$5*(G73-F73)/(Links!G$191*Links!V$191)</f>
        <v>#DIV/0!</v>
      </c>
      <c r="W74" s="56" t="e">
        <f>W73+ATM_Conf!$C$5*(H73-G73)/(Links!H$191*Links!W$191)</f>
        <v>#DIV/0!</v>
      </c>
      <c r="X74" s="56" t="e">
        <f>X73+ATM_Conf!$C$5*(I73-H73)/(Links!I$191*Links!X$191)</f>
        <v>#DIV/0!</v>
      </c>
      <c r="Y74" s="56" t="e">
        <f>Y73+ATM_Conf!$C$5*(J73)/(Links!J$191*Links!Y$191)</f>
        <v>#DIV/0!</v>
      </c>
      <c r="Z74" s="56" t="e">
        <f>Z73+ATM_Conf!$C$5*(K73-J73)/(Links!K$191*Links!Z$191)</f>
        <v>#DIV/0!</v>
      </c>
      <c r="AA74" s="56" t="e">
        <f>AA73+ATM_Conf!$C$5*(L73-K73)/(Links!L$191*Links!AA$191)</f>
        <v>#DIV/0!</v>
      </c>
      <c r="AB74" s="56" t="e">
        <f>AB73+ATM_Conf!$C$5*(M73-L73)/(Links!M$191*Links!AB$191)</f>
        <v>#DIV/0!</v>
      </c>
      <c r="AC74" s="56" t="e">
        <f>AC73+ATM_Conf!$C$5*(N73-M73)/(Links!N$191*Links!AC$191)</f>
        <v>#DIV/0!</v>
      </c>
      <c r="AD74" s="56" t="e">
        <f>AD73+ATM_Conf!$C$5*(O73-N73)/(Links!O$191*Links!AD$191)</f>
        <v>#DIV/0!</v>
      </c>
      <c r="AE74" s="56" t="e">
        <f>AE73+ATM_Conf!$C$5*(P73-O73)/(Links!P$191*Links!AE$191)</f>
        <v>#DIV/0!</v>
      </c>
      <c r="AF74" s="46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6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6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6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6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6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6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6" t="e">
        <f>AM73+(ATM_Conf!$C$5/ATM_Conf!$C$8)*(Links!BB73*EXP((-(Links!X73/Links!BQ73)^Links!CF73)/Links!CF73)-Links!AM73)+(ATM_Conf!$C$5/Links!X$191)*Links!AM73*(Nodes!BH73-Links!AM73)</f>
        <v>#DIV/0!</v>
      </c>
      <c r="AN74" s="46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6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6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6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6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6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6" t="e">
        <f>AT73+(ATM_Conf!$C$5/ATM_Conf!$C$8)*(Links!BI73*EXP((-(Links!AE73/Links!BX73)^Links!CM73)/Links!CM73)-Links!AT73)+(ATM_Conf!$C$5/Links!AE$191)*Links!AT73*(Nodes!BN73-Links!AT73)</f>
        <v>#DIV/0!</v>
      </c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46">
        <f t="shared" si="32"/>
        <v>0</v>
      </c>
      <c r="CO74" s="46">
        <f t="shared" si="32"/>
        <v>0</v>
      </c>
      <c r="CP74" s="46">
        <f t="shared" si="32"/>
        <v>0</v>
      </c>
      <c r="CQ74" s="46">
        <f t="shared" si="32"/>
        <v>0</v>
      </c>
      <c r="CR74" s="46">
        <f t="shared" si="32"/>
        <v>0</v>
      </c>
      <c r="CS74" s="46">
        <f t="shared" si="32"/>
        <v>0</v>
      </c>
      <c r="CT74" s="46">
        <f t="shared" si="32"/>
        <v>0</v>
      </c>
      <c r="CU74" s="46">
        <f t="shared" si="32"/>
        <v>0</v>
      </c>
      <c r="CV74" s="46">
        <f t="shared" si="32"/>
        <v>0</v>
      </c>
      <c r="CW74" s="46">
        <f t="shared" si="32"/>
        <v>0</v>
      </c>
      <c r="CX74" s="46">
        <f t="shared" si="32"/>
        <v>0</v>
      </c>
      <c r="CY74" s="46">
        <f t="shared" si="32"/>
        <v>0</v>
      </c>
      <c r="CZ74" s="46">
        <f t="shared" si="32"/>
        <v>0</v>
      </c>
      <c r="DA74" s="46">
        <f t="shared" si="32"/>
        <v>0</v>
      </c>
      <c r="DB74" s="46">
        <f t="shared" si="32"/>
        <v>0</v>
      </c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</row>
    <row r="75" spans="1:121" ht="14.25" x14ac:dyDescent="0.15">
      <c r="A75" s="49">
        <v>73</v>
      </c>
      <c r="B75" s="46" t="e">
        <f t="shared" si="33"/>
        <v>#DIV/0!</v>
      </c>
      <c r="C75" s="46" t="e">
        <f t="shared" si="34"/>
        <v>#DIV/0!</v>
      </c>
      <c r="D75" s="46" t="e">
        <f t="shared" si="35"/>
        <v>#DIV/0!</v>
      </c>
      <c r="E75" s="46" t="e">
        <f t="shared" si="36"/>
        <v>#DIV/0!</v>
      </c>
      <c r="F75" s="46" t="e">
        <f t="shared" si="37"/>
        <v>#DIV/0!</v>
      </c>
      <c r="G75" s="46" t="e">
        <f t="shared" si="38"/>
        <v>#DIV/0!</v>
      </c>
      <c r="H75" s="46" t="e">
        <f t="shared" si="39"/>
        <v>#DIV/0!</v>
      </c>
      <c r="I75" s="46" t="e">
        <f t="shared" si="40"/>
        <v>#DIV/0!</v>
      </c>
      <c r="J75" s="46" t="e">
        <f t="shared" si="41"/>
        <v>#DIV/0!</v>
      </c>
      <c r="K75" s="46" t="e">
        <f t="shared" si="42"/>
        <v>#DIV/0!</v>
      </c>
      <c r="L75" s="46" t="e">
        <f t="shared" si="43"/>
        <v>#DIV/0!</v>
      </c>
      <c r="M75" s="46" t="e">
        <f t="shared" si="44"/>
        <v>#DIV/0!</v>
      </c>
      <c r="N75" s="46" t="e">
        <f t="shared" si="45"/>
        <v>#DIV/0!</v>
      </c>
      <c r="O75" s="46" t="e">
        <f t="shared" si="46"/>
        <v>#DIV/0!</v>
      </c>
      <c r="P75" s="46" t="e">
        <f t="shared" si="47"/>
        <v>#DIV/0!</v>
      </c>
      <c r="Q75" s="56" t="e">
        <f>Q74+ATM_Conf!$C$5*(B74)/(Links!B$191*Links!Q$191)</f>
        <v>#DIV/0!</v>
      </c>
      <c r="R75" s="56" t="e">
        <f>R74+ATM_Conf!$C$5*(C74-B74)/(Links!C$191*Links!R$191)</f>
        <v>#DIV/0!</v>
      </c>
      <c r="S75" s="56" t="e">
        <f>S74+ATM_Conf!$C$5*(D74-C74)/(Links!D$191*Links!S$191)</f>
        <v>#DIV/0!</v>
      </c>
      <c r="T75" s="56" t="e">
        <f>T74+ATM_Conf!$C$5*(E74-D74)/(Links!E$191*Links!T$191)</f>
        <v>#DIV/0!</v>
      </c>
      <c r="U75" s="56" t="e">
        <f>U74+ATM_Conf!$C$5*(F74-E74)/(Links!F$191*Links!U$191)</f>
        <v>#DIV/0!</v>
      </c>
      <c r="V75" s="56" t="e">
        <f>V74+ATM_Conf!$C$5*(G74-F74)/(Links!G$191*Links!V$191)</f>
        <v>#DIV/0!</v>
      </c>
      <c r="W75" s="56" t="e">
        <f>W74+ATM_Conf!$C$5*(H74-G74)/(Links!H$191*Links!W$191)</f>
        <v>#DIV/0!</v>
      </c>
      <c r="X75" s="56" t="e">
        <f>X74+ATM_Conf!$C$5*(I74-H74)/(Links!I$191*Links!X$191)</f>
        <v>#DIV/0!</v>
      </c>
      <c r="Y75" s="56" t="e">
        <f>Y74+ATM_Conf!$C$5*(J74)/(Links!J$191*Links!Y$191)</f>
        <v>#DIV/0!</v>
      </c>
      <c r="Z75" s="56" t="e">
        <f>Z74+ATM_Conf!$C$5*(K74-J74)/(Links!K$191*Links!Z$191)</f>
        <v>#DIV/0!</v>
      </c>
      <c r="AA75" s="56" t="e">
        <f>AA74+ATM_Conf!$C$5*(L74-K74)/(Links!L$191*Links!AA$191)</f>
        <v>#DIV/0!</v>
      </c>
      <c r="AB75" s="56" t="e">
        <f>AB74+ATM_Conf!$C$5*(M74-L74)/(Links!M$191*Links!AB$191)</f>
        <v>#DIV/0!</v>
      </c>
      <c r="AC75" s="56" t="e">
        <f>AC74+ATM_Conf!$C$5*(N74-M74)/(Links!N$191*Links!AC$191)</f>
        <v>#DIV/0!</v>
      </c>
      <c r="AD75" s="56" t="e">
        <f>AD74+ATM_Conf!$C$5*(O74-N74)/(Links!O$191*Links!AD$191)</f>
        <v>#DIV/0!</v>
      </c>
      <c r="AE75" s="56" t="e">
        <f>AE74+ATM_Conf!$C$5*(P74-O74)/(Links!P$191*Links!AE$191)</f>
        <v>#DIV/0!</v>
      </c>
      <c r="AF75" s="46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6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6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6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6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6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6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6" t="e">
        <f>AM74+(ATM_Conf!$C$5/ATM_Conf!$C$8)*(Links!BB74*EXP((-(Links!X74/Links!BQ74)^Links!CF74)/Links!CF74)-Links!AM74)+(ATM_Conf!$C$5/Links!X$191)*Links!AM74*(Nodes!BH74-Links!AM74)</f>
        <v>#DIV/0!</v>
      </c>
      <c r="AN75" s="46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6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6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6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6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6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6" t="e">
        <f>AT74+(ATM_Conf!$C$5/ATM_Conf!$C$8)*(Links!BI74*EXP((-(Links!AE74/Links!BX74)^Links!CM74)/Links!CM74)-Links!AT74)+(ATM_Conf!$C$5/Links!AE$191)*Links!AT74*(Nodes!BN74-Links!AT74)</f>
        <v>#DIV/0!</v>
      </c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54">
        <f>(CN75-CN63)^2</f>
        <v>0</v>
      </c>
      <c r="DD75" s="54">
        <f t="shared" ref="DD75:DQ75" si="48">(CO75-CO63)^2</f>
        <v>0</v>
      </c>
      <c r="DE75" s="54">
        <f t="shared" si="48"/>
        <v>0</v>
      </c>
      <c r="DF75" s="54">
        <f t="shared" si="48"/>
        <v>0</v>
      </c>
      <c r="DG75" s="54">
        <f t="shared" si="48"/>
        <v>0</v>
      </c>
      <c r="DH75" s="54">
        <f t="shared" si="48"/>
        <v>0</v>
      </c>
      <c r="DI75" s="54">
        <f t="shared" si="48"/>
        <v>0</v>
      </c>
      <c r="DJ75" s="54">
        <f t="shared" si="48"/>
        <v>0</v>
      </c>
      <c r="DK75" s="54">
        <f t="shared" si="48"/>
        <v>0</v>
      </c>
      <c r="DL75" s="54">
        <f t="shared" si="48"/>
        <v>0</v>
      </c>
      <c r="DM75" s="54">
        <f t="shared" si="48"/>
        <v>0</v>
      </c>
      <c r="DN75" s="54">
        <f t="shared" si="48"/>
        <v>0</v>
      </c>
      <c r="DO75" s="54">
        <f t="shared" si="48"/>
        <v>0</v>
      </c>
      <c r="DP75" s="54">
        <f t="shared" si="48"/>
        <v>0</v>
      </c>
      <c r="DQ75" s="54">
        <f t="shared" si="48"/>
        <v>0</v>
      </c>
    </row>
    <row r="76" spans="1:121" ht="14.25" x14ac:dyDescent="0.15">
      <c r="A76" s="49">
        <v>74</v>
      </c>
      <c r="B76" s="46" t="e">
        <f t="shared" si="33"/>
        <v>#DIV/0!</v>
      </c>
      <c r="C76" s="46" t="e">
        <f t="shared" si="34"/>
        <v>#DIV/0!</v>
      </c>
      <c r="D76" s="46" t="e">
        <f t="shared" si="35"/>
        <v>#DIV/0!</v>
      </c>
      <c r="E76" s="46" t="e">
        <f t="shared" si="36"/>
        <v>#DIV/0!</v>
      </c>
      <c r="F76" s="46" t="e">
        <f t="shared" si="37"/>
        <v>#DIV/0!</v>
      </c>
      <c r="G76" s="46" t="e">
        <f t="shared" si="38"/>
        <v>#DIV/0!</v>
      </c>
      <c r="H76" s="46" t="e">
        <f t="shared" si="39"/>
        <v>#DIV/0!</v>
      </c>
      <c r="I76" s="46" t="e">
        <f t="shared" si="40"/>
        <v>#DIV/0!</v>
      </c>
      <c r="J76" s="46" t="e">
        <f t="shared" si="41"/>
        <v>#DIV/0!</v>
      </c>
      <c r="K76" s="46" t="e">
        <f t="shared" si="42"/>
        <v>#DIV/0!</v>
      </c>
      <c r="L76" s="46" t="e">
        <f t="shared" si="43"/>
        <v>#DIV/0!</v>
      </c>
      <c r="M76" s="46" t="e">
        <f t="shared" si="44"/>
        <v>#DIV/0!</v>
      </c>
      <c r="N76" s="46" t="e">
        <f t="shared" si="45"/>
        <v>#DIV/0!</v>
      </c>
      <c r="O76" s="46" t="e">
        <f t="shared" si="46"/>
        <v>#DIV/0!</v>
      </c>
      <c r="P76" s="46" t="e">
        <f t="shared" si="47"/>
        <v>#DIV/0!</v>
      </c>
      <c r="Q76" s="56" t="e">
        <f>Q75+ATM_Conf!$C$5*(B75)/(Links!B$191*Links!Q$191)</f>
        <v>#DIV/0!</v>
      </c>
      <c r="R76" s="56" t="e">
        <f>R75+ATM_Conf!$C$5*(C75-B75)/(Links!C$191*Links!R$191)</f>
        <v>#DIV/0!</v>
      </c>
      <c r="S76" s="56" t="e">
        <f>S75+ATM_Conf!$C$5*(D75-C75)/(Links!D$191*Links!S$191)</f>
        <v>#DIV/0!</v>
      </c>
      <c r="T76" s="56" t="e">
        <f>T75+ATM_Conf!$C$5*(E75-D75)/(Links!E$191*Links!T$191)</f>
        <v>#DIV/0!</v>
      </c>
      <c r="U76" s="56" t="e">
        <f>U75+ATM_Conf!$C$5*(F75-E75)/(Links!F$191*Links!U$191)</f>
        <v>#DIV/0!</v>
      </c>
      <c r="V76" s="56" t="e">
        <f>V75+ATM_Conf!$C$5*(G75-F75)/(Links!G$191*Links!V$191)</f>
        <v>#DIV/0!</v>
      </c>
      <c r="W76" s="56" t="e">
        <f>W75+ATM_Conf!$C$5*(H75-G75)/(Links!H$191*Links!W$191)</f>
        <v>#DIV/0!</v>
      </c>
      <c r="X76" s="56" t="e">
        <f>X75+ATM_Conf!$C$5*(I75-H75)/(Links!I$191*Links!X$191)</f>
        <v>#DIV/0!</v>
      </c>
      <c r="Y76" s="56" t="e">
        <f>Y75+ATM_Conf!$C$5*(J75)/(Links!J$191*Links!Y$191)</f>
        <v>#DIV/0!</v>
      </c>
      <c r="Z76" s="56" t="e">
        <f>Z75+ATM_Conf!$C$5*(K75-J75)/(Links!K$191*Links!Z$191)</f>
        <v>#DIV/0!</v>
      </c>
      <c r="AA76" s="56" t="e">
        <f>AA75+ATM_Conf!$C$5*(L75-K75)/(Links!L$191*Links!AA$191)</f>
        <v>#DIV/0!</v>
      </c>
      <c r="AB76" s="56" t="e">
        <f>AB75+ATM_Conf!$C$5*(M75-L75)/(Links!M$191*Links!AB$191)</f>
        <v>#DIV/0!</v>
      </c>
      <c r="AC76" s="56" t="e">
        <f>AC75+ATM_Conf!$C$5*(N75-M75)/(Links!N$191*Links!AC$191)</f>
        <v>#DIV/0!</v>
      </c>
      <c r="AD76" s="56" t="e">
        <f>AD75+ATM_Conf!$C$5*(O75-N75)/(Links!O$191*Links!AD$191)</f>
        <v>#DIV/0!</v>
      </c>
      <c r="AE76" s="56" t="e">
        <f>AE75+ATM_Conf!$C$5*(P75-O75)/(Links!P$191*Links!AE$191)</f>
        <v>#DIV/0!</v>
      </c>
      <c r="AF76" s="46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6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6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6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6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6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6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6" t="e">
        <f>AM75+(ATM_Conf!$C$5/ATM_Conf!$C$8)*(Links!BB75*EXP((-(Links!X75/Links!BQ75)^Links!CF75)/Links!CF75)-Links!AM75)+(ATM_Conf!$C$5/Links!X$191)*Links!AM75*(Nodes!BH75-Links!AM75)</f>
        <v>#DIV/0!</v>
      </c>
      <c r="AN76" s="46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6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6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6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6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6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6" t="e">
        <f>AT75+(ATM_Conf!$C$5/ATM_Conf!$C$8)*(Links!BI75*EXP((-(Links!AE75/Links!BX75)^Links!CM75)/Links!CM75)-Links!AT75)+(ATM_Conf!$C$5/Links!AE$191)*Links!AT75*(Nodes!BN75-Links!AT75)</f>
        <v>#DIV/0!</v>
      </c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46">
        <f>CN$75</f>
        <v>0</v>
      </c>
      <c r="CO76" s="46">
        <f t="shared" ref="CO76:DB76" si="49">CO$75</f>
        <v>0</v>
      </c>
      <c r="CP76" s="46">
        <f t="shared" si="49"/>
        <v>0</v>
      </c>
      <c r="CQ76" s="46">
        <f t="shared" si="49"/>
        <v>0</v>
      </c>
      <c r="CR76" s="46">
        <f t="shared" si="49"/>
        <v>0</v>
      </c>
      <c r="CS76" s="46">
        <f t="shared" si="49"/>
        <v>0</v>
      </c>
      <c r="CT76" s="46">
        <f t="shared" si="49"/>
        <v>0</v>
      </c>
      <c r="CU76" s="46">
        <f t="shared" si="49"/>
        <v>0</v>
      </c>
      <c r="CV76" s="46">
        <f t="shared" si="49"/>
        <v>0</v>
      </c>
      <c r="CW76" s="46">
        <f t="shared" si="49"/>
        <v>0</v>
      </c>
      <c r="CX76" s="46">
        <f t="shared" si="49"/>
        <v>0</v>
      </c>
      <c r="CY76" s="46">
        <f t="shared" si="49"/>
        <v>0</v>
      </c>
      <c r="CZ76" s="46">
        <f t="shared" si="49"/>
        <v>0</v>
      </c>
      <c r="DA76" s="46">
        <f t="shared" si="49"/>
        <v>0</v>
      </c>
      <c r="DB76" s="46">
        <f t="shared" si="49"/>
        <v>0</v>
      </c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</row>
    <row r="77" spans="1:121" ht="14.25" x14ac:dyDescent="0.15">
      <c r="A77" s="49">
        <v>75</v>
      </c>
      <c r="B77" s="46" t="e">
        <f t="shared" si="33"/>
        <v>#DIV/0!</v>
      </c>
      <c r="C77" s="46" t="e">
        <f t="shared" si="34"/>
        <v>#DIV/0!</v>
      </c>
      <c r="D77" s="46" t="e">
        <f t="shared" si="35"/>
        <v>#DIV/0!</v>
      </c>
      <c r="E77" s="46" t="e">
        <f t="shared" si="36"/>
        <v>#DIV/0!</v>
      </c>
      <c r="F77" s="46" t="e">
        <f t="shared" si="37"/>
        <v>#DIV/0!</v>
      </c>
      <c r="G77" s="46" t="e">
        <f t="shared" si="38"/>
        <v>#DIV/0!</v>
      </c>
      <c r="H77" s="46" t="e">
        <f t="shared" si="39"/>
        <v>#DIV/0!</v>
      </c>
      <c r="I77" s="46" t="e">
        <f t="shared" si="40"/>
        <v>#DIV/0!</v>
      </c>
      <c r="J77" s="46" t="e">
        <f t="shared" si="41"/>
        <v>#DIV/0!</v>
      </c>
      <c r="K77" s="46" t="e">
        <f t="shared" si="42"/>
        <v>#DIV/0!</v>
      </c>
      <c r="L77" s="46" t="e">
        <f t="shared" si="43"/>
        <v>#DIV/0!</v>
      </c>
      <c r="M77" s="46" t="e">
        <f t="shared" si="44"/>
        <v>#DIV/0!</v>
      </c>
      <c r="N77" s="46" t="e">
        <f t="shared" si="45"/>
        <v>#DIV/0!</v>
      </c>
      <c r="O77" s="46" t="e">
        <f t="shared" si="46"/>
        <v>#DIV/0!</v>
      </c>
      <c r="P77" s="46" t="e">
        <f t="shared" si="47"/>
        <v>#DIV/0!</v>
      </c>
      <c r="Q77" s="56" t="e">
        <f>Q76+ATM_Conf!$C$5*(B76)/(Links!B$191*Links!Q$191)</f>
        <v>#DIV/0!</v>
      </c>
      <c r="R77" s="56" t="e">
        <f>R76+ATM_Conf!$C$5*(C76-B76)/(Links!C$191*Links!R$191)</f>
        <v>#DIV/0!</v>
      </c>
      <c r="S77" s="56" t="e">
        <f>S76+ATM_Conf!$C$5*(D76-C76)/(Links!D$191*Links!S$191)</f>
        <v>#DIV/0!</v>
      </c>
      <c r="T77" s="56" t="e">
        <f>T76+ATM_Conf!$C$5*(E76-D76)/(Links!E$191*Links!T$191)</f>
        <v>#DIV/0!</v>
      </c>
      <c r="U77" s="56" t="e">
        <f>U76+ATM_Conf!$C$5*(F76-E76)/(Links!F$191*Links!U$191)</f>
        <v>#DIV/0!</v>
      </c>
      <c r="V77" s="56" t="e">
        <f>V76+ATM_Conf!$C$5*(G76-F76)/(Links!G$191*Links!V$191)</f>
        <v>#DIV/0!</v>
      </c>
      <c r="W77" s="56" t="e">
        <f>W76+ATM_Conf!$C$5*(H76-G76)/(Links!H$191*Links!W$191)</f>
        <v>#DIV/0!</v>
      </c>
      <c r="X77" s="56" t="e">
        <f>X76+ATM_Conf!$C$5*(I76-H76)/(Links!I$191*Links!X$191)</f>
        <v>#DIV/0!</v>
      </c>
      <c r="Y77" s="56" t="e">
        <f>Y76+ATM_Conf!$C$5*(J76)/(Links!J$191*Links!Y$191)</f>
        <v>#DIV/0!</v>
      </c>
      <c r="Z77" s="56" t="e">
        <f>Z76+ATM_Conf!$C$5*(K76-J76)/(Links!K$191*Links!Z$191)</f>
        <v>#DIV/0!</v>
      </c>
      <c r="AA77" s="56" t="e">
        <f>AA76+ATM_Conf!$C$5*(L76-K76)/(Links!L$191*Links!AA$191)</f>
        <v>#DIV/0!</v>
      </c>
      <c r="AB77" s="56" t="e">
        <f>AB76+ATM_Conf!$C$5*(M76-L76)/(Links!M$191*Links!AB$191)</f>
        <v>#DIV/0!</v>
      </c>
      <c r="AC77" s="56" t="e">
        <f>AC76+ATM_Conf!$C$5*(N76-M76)/(Links!N$191*Links!AC$191)</f>
        <v>#DIV/0!</v>
      </c>
      <c r="AD77" s="56" t="e">
        <f>AD76+ATM_Conf!$C$5*(O76-N76)/(Links!O$191*Links!AD$191)</f>
        <v>#DIV/0!</v>
      </c>
      <c r="AE77" s="56" t="e">
        <f>AE76+ATM_Conf!$C$5*(P76-O76)/(Links!P$191*Links!AE$191)</f>
        <v>#DIV/0!</v>
      </c>
      <c r="AF77" s="46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6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6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6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6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6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6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6" t="e">
        <f>AM76+(ATM_Conf!$C$5/ATM_Conf!$C$8)*(Links!BB76*EXP((-(Links!X76/Links!BQ76)^Links!CF76)/Links!CF76)-Links!AM76)+(ATM_Conf!$C$5/Links!X$191)*Links!AM76*(Nodes!BH76-Links!AM76)</f>
        <v>#DIV/0!</v>
      </c>
      <c r="AN77" s="46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6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6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6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6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6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6" t="e">
        <f>AT76+(ATM_Conf!$C$5/ATM_Conf!$C$8)*(Links!BI76*EXP((-(Links!AE76/Links!BX76)^Links!CM76)/Links!CM76)-Links!AT76)+(ATM_Conf!$C$5/Links!AE$191)*Links!AT76*(Nodes!BN76-Links!AT76)</f>
        <v>#DIV/0!</v>
      </c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46">
        <f t="shared" ref="CN77:DB86" si="50">CN$75</f>
        <v>0</v>
      </c>
      <c r="CO77" s="46">
        <f t="shared" si="50"/>
        <v>0</v>
      </c>
      <c r="CP77" s="46">
        <f t="shared" si="50"/>
        <v>0</v>
      </c>
      <c r="CQ77" s="46">
        <f t="shared" si="50"/>
        <v>0</v>
      </c>
      <c r="CR77" s="46">
        <f t="shared" si="50"/>
        <v>0</v>
      </c>
      <c r="CS77" s="46">
        <f t="shared" si="50"/>
        <v>0</v>
      </c>
      <c r="CT77" s="46">
        <f t="shared" si="50"/>
        <v>0</v>
      </c>
      <c r="CU77" s="46">
        <f t="shared" si="50"/>
        <v>0</v>
      </c>
      <c r="CV77" s="46">
        <f t="shared" si="50"/>
        <v>0</v>
      </c>
      <c r="CW77" s="46">
        <f t="shared" si="50"/>
        <v>0</v>
      </c>
      <c r="CX77" s="46">
        <f t="shared" si="50"/>
        <v>0</v>
      </c>
      <c r="CY77" s="46">
        <f t="shared" si="50"/>
        <v>0</v>
      </c>
      <c r="CZ77" s="46">
        <f t="shared" si="50"/>
        <v>0</v>
      </c>
      <c r="DA77" s="46">
        <f t="shared" si="50"/>
        <v>0</v>
      </c>
      <c r="DB77" s="46">
        <f t="shared" si="50"/>
        <v>0</v>
      </c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</row>
    <row r="78" spans="1:121" ht="14.25" x14ac:dyDescent="0.15">
      <c r="A78" s="49">
        <v>76</v>
      </c>
      <c r="B78" s="46" t="e">
        <f t="shared" si="33"/>
        <v>#DIV/0!</v>
      </c>
      <c r="C78" s="46" t="e">
        <f t="shared" si="34"/>
        <v>#DIV/0!</v>
      </c>
      <c r="D78" s="46" t="e">
        <f t="shared" si="35"/>
        <v>#DIV/0!</v>
      </c>
      <c r="E78" s="46" t="e">
        <f t="shared" si="36"/>
        <v>#DIV/0!</v>
      </c>
      <c r="F78" s="46" t="e">
        <f t="shared" si="37"/>
        <v>#DIV/0!</v>
      </c>
      <c r="G78" s="46" t="e">
        <f t="shared" si="38"/>
        <v>#DIV/0!</v>
      </c>
      <c r="H78" s="46" t="e">
        <f t="shared" si="39"/>
        <v>#DIV/0!</v>
      </c>
      <c r="I78" s="46" t="e">
        <f t="shared" si="40"/>
        <v>#DIV/0!</v>
      </c>
      <c r="J78" s="46" t="e">
        <f t="shared" si="41"/>
        <v>#DIV/0!</v>
      </c>
      <c r="K78" s="46" t="e">
        <f t="shared" si="42"/>
        <v>#DIV/0!</v>
      </c>
      <c r="L78" s="46" t="e">
        <f t="shared" si="43"/>
        <v>#DIV/0!</v>
      </c>
      <c r="M78" s="46" t="e">
        <f t="shared" si="44"/>
        <v>#DIV/0!</v>
      </c>
      <c r="N78" s="46" t="e">
        <f t="shared" si="45"/>
        <v>#DIV/0!</v>
      </c>
      <c r="O78" s="46" t="e">
        <f t="shared" si="46"/>
        <v>#DIV/0!</v>
      </c>
      <c r="P78" s="46" t="e">
        <f t="shared" si="47"/>
        <v>#DIV/0!</v>
      </c>
      <c r="Q78" s="56" t="e">
        <f>Q77+ATM_Conf!$C$5*(B77)/(Links!B$191*Links!Q$191)</f>
        <v>#DIV/0!</v>
      </c>
      <c r="R78" s="56" t="e">
        <f>R77+ATM_Conf!$C$5*(C77-B77)/(Links!C$191*Links!R$191)</f>
        <v>#DIV/0!</v>
      </c>
      <c r="S78" s="56" t="e">
        <f>S77+ATM_Conf!$C$5*(D77-C77)/(Links!D$191*Links!S$191)</f>
        <v>#DIV/0!</v>
      </c>
      <c r="T78" s="56" t="e">
        <f>T77+ATM_Conf!$C$5*(E77-D77)/(Links!E$191*Links!T$191)</f>
        <v>#DIV/0!</v>
      </c>
      <c r="U78" s="56" t="e">
        <f>U77+ATM_Conf!$C$5*(F77-E77)/(Links!F$191*Links!U$191)</f>
        <v>#DIV/0!</v>
      </c>
      <c r="V78" s="56" t="e">
        <f>V77+ATM_Conf!$C$5*(G77-F77)/(Links!G$191*Links!V$191)</f>
        <v>#DIV/0!</v>
      </c>
      <c r="W78" s="56" t="e">
        <f>W77+ATM_Conf!$C$5*(H77-G77)/(Links!H$191*Links!W$191)</f>
        <v>#DIV/0!</v>
      </c>
      <c r="X78" s="56" t="e">
        <f>X77+ATM_Conf!$C$5*(I77-H77)/(Links!I$191*Links!X$191)</f>
        <v>#DIV/0!</v>
      </c>
      <c r="Y78" s="56" t="e">
        <f>Y77+ATM_Conf!$C$5*(J77)/(Links!J$191*Links!Y$191)</f>
        <v>#DIV/0!</v>
      </c>
      <c r="Z78" s="56" t="e">
        <f>Z77+ATM_Conf!$C$5*(K77-J77)/(Links!K$191*Links!Z$191)</f>
        <v>#DIV/0!</v>
      </c>
      <c r="AA78" s="56" t="e">
        <f>AA77+ATM_Conf!$C$5*(L77-K77)/(Links!L$191*Links!AA$191)</f>
        <v>#DIV/0!</v>
      </c>
      <c r="AB78" s="56" t="e">
        <f>AB77+ATM_Conf!$C$5*(M77-L77)/(Links!M$191*Links!AB$191)</f>
        <v>#DIV/0!</v>
      </c>
      <c r="AC78" s="56" t="e">
        <f>AC77+ATM_Conf!$C$5*(N77-M77)/(Links!N$191*Links!AC$191)</f>
        <v>#DIV/0!</v>
      </c>
      <c r="AD78" s="56" t="e">
        <f>AD77+ATM_Conf!$C$5*(O77-N77)/(Links!O$191*Links!AD$191)</f>
        <v>#DIV/0!</v>
      </c>
      <c r="AE78" s="56" t="e">
        <f>AE77+ATM_Conf!$C$5*(P77-O77)/(Links!P$191*Links!AE$191)</f>
        <v>#DIV/0!</v>
      </c>
      <c r="AF78" s="46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6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6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6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6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6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6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6" t="e">
        <f>AM77+(ATM_Conf!$C$5/ATM_Conf!$C$8)*(Links!BB77*EXP((-(Links!X77/Links!BQ77)^Links!CF77)/Links!CF77)-Links!AM77)+(ATM_Conf!$C$5/Links!X$191)*Links!AM77*(Nodes!BH77-Links!AM77)</f>
        <v>#DIV/0!</v>
      </c>
      <c r="AN78" s="46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6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6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6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6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6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6" t="e">
        <f>AT77+(ATM_Conf!$C$5/ATM_Conf!$C$8)*(Links!BI77*EXP((-(Links!AE77/Links!BX77)^Links!CM77)/Links!CM77)-Links!AT77)+(ATM_Conf!$C$5/Links!AE$191)*Links!AT77*(Nodes!BN77-Links!AT77)</f>
        <v>#DIV/0!</v>
      </c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46">
        <f t="shared" si="50"/>
        <v>0</v>
      </c>
      <c r="CO78" s="46">
        <f t="shared" si="50"/>
        <v>0</v>
      </c>
      <c r="CP78" s="46">
        <f t="shared" si="50"/>
        <v>0</v>
      </c>
      <c r="CQ78" s="46">
        <f t="shared" si="50"/>
        <v>0</v>
      </c>
      <c r="CR78" s="46">
        <f t="shared" si="50"/>
        <v>0</v>
      </c>
      <c r="CS78" s="46">
        <f t="shared" si="50"/>
        <v>0</v>
      </c>
      <c r="CT78" s="46">
        <f t="shared" si="50"/>
        <v>0</v>
      </c>
      <c r="CU78" s="46">
        <f t="shared" si="50"/>
        <v>0</v>
      </c>
      <c r="CV78" s="46">
        <f t="shared" si="50"/>
        <v>0</v>
      </c>
      <c r="CW78" s="46">
        <f t="shared" si="50"/>
        <v>0</v>
      </c>
      <c r="CX78" s="46">
        <f t="shared" si="50"/>
        <v>0</v>
      </c>
      <c r="CY78" s="46">
        <f t="shared" si="50"/>
        <v>0</v>
      </c>
      <c r="CZ78" s="46">
        <f t="shared" si="50"/>
        <v>0</v>
      </c>
      <c r="DA78" s="46">
        <f t="shared" si="50"/>
        <v>0</v>
      </c>
      <c r="DB78" s="46">
        <f t="shared" si="50"/>
        <v>0</v>
      </c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</row>
    <row r="79" spans="1:121" ht="14.25" x14ac:dyDescent="0.15">
      <c r="A79" s="49">
        <v>77</v>
      </c>
      <c r="B79" s="46" t="e">
        <f t="shared" si="33"/>
        <v>#DIV/0!</v>
      </c>
      <c r="C79" s="46" t="e">
        <f t="shared" si="34"/>
        <v>#DIV/0!</v>
      </c>
      <c r="D79" s="46" t="e">
        <f t="shared" si="35"/>
        <v>#DIV/0!</v>
      </c>
      <c r="E79" s="46" t="e">
        <f t="shared" si="36"/>
        <v>#DIV/0!</v>
      </c>
      <c r="F79" s="46" t="e">
        <f t="shared" si="37"/>
        <v>#DIV/0!</v>
      </c>
      <c r="G79" s="46" t="e">
        <f t="shared" si="38"/>
        <v>#DIV/0!</v>
      </c>
      <c r="H79" s="46" t="e">
        <f t="shared" si="39"/>
        <v>#DIV/0!</v>
      </c>
      <c r="I79" s="46" t="e">
        <f t="shared" si="40"/>
        <v>#DIV/0!</v>
      </c>
      <c r="J79" s="46" t="e">
        <f t="shared" si="41"/>
        <v>#DIV/0!</v>
      </c>
      <c r="K79" s="46" t="e">
        <f t="shared" si="42"/>
        <v>#DIV/0!</v>
      </c>
      <c r="L79" s="46" t="e">
        <f t="shared" si="43"/>
        <v>#DIV/0!</v>
      </c>
      <c r="M79" s="46" t="e">
        <f t="shared" si="44"/>
        <v>#DIV/0!</v>
      </c>
      <c r="N79" s="46" t="e">
        <f t="shared" si="45"/>
        <v>#DIV/0!</v>
      </c>
      <c r="O79" s="46" t="e">
        <f t="shared" si="46"/>
        <v>#DIV/0!</v>
      </c>
      <c r="P79" s="46" t="e">
        <f t="shared" si="47"/>
        <v>#DIV/0!</v>
      </c>
      <c r="Q79" s="56" t="e">
        <f>Q78+ATM_Conf!$C$5*(B78)/(Links!B$191*Links!Q$191)</f>
        <v>#DIV/0!</v>
      </c>
      <c r="R79" s="56" t="e">
        <f>R78+ATM_Conf!$C$5*(C78-B78)/(Links!C$191*Links!R$191)</f>
        <v>#DIV/0!</v>
      </c>
      <c r="S79" s="56" t="e">
        <f>S78+ATM_Conf!$C$5*(D78-C78)/(Links!D$191*Links!S$191)</f>
        <v>#DIV/0!</v>
      </c>
      <c r="T79" s="56" t="e">
        <f>T78+ATM_Conf!$C$5*(E78-D78)/(Links!E$191*Links!T$191)</f>
        <v>#DIV/0!</v>
      </c>
      <c r="U79" s="56" t="e">
        <f>U78+ATM_Conf!$C$5*(F78-E78)/(Links!F$191*Links!U$191)</f>
        <v>#DIV/0!</v>
      </c>
      <c r="V79" s="56" t="e">
        <f>V78+ATM_Conf!$C$5*(G78-F78)/(Links!G$191*Links!V$191)</f>
        <v>#DIV/0!</v>
      </c>
      <c r="W79" s="56" t="e">
        <f>W78+ATM_Conf!$C$5*(H78-G78)/(Links!H$191*Links!W$191)</f>
        <v>#DIV/0!</v>
      </c>
      <c r="X79" s="56" t="e">
        <f>X78+ATM_Conf!$C$5*(I78-H78)/(Links!I$191*Links!X$191)</f>
        <v>#DIV/0!</v>
      </c>
      <c r="Y79" s="56" t="e">
        <f>Y78+ATM_Conf!$C$5*(J78)/(Links!J$191*Links!Y$191)</f>
        <v>#DIV/0!</v>
      </c>
      <c r="Z79" s="56" t="e">
        <f>Z78+ATM_Conf!$C$5*(K78-J78)/(Links!K$191*Links!Z$191)</f>
        <v>#DIV/0!</v>
      </c>
      <c r="AA79" s="56" t="e">
        <f>AA78+ATM_Conf!$C$5*(L78-K78)/(Links!L$191*Links!AA$191)</f>
        <v>#DIV/0!</v>
      </c>
      <c r="AB79" s="56" t="e">
        <f>AB78+ATM_Conf!$C$5*(M78-L78)/(Links!M$191*Links!AB$191)</f>
        <v>#DIV/0!</v>
      </c>
      <c r="AC79" s="56" t="e">
        <f>AC78+ATM_Conf!$C$5*(N78-M78)/(Links!N$191*Links!AC$191)</f>
        <v>#DIV/0!</v>
      </c>
      <c r="AD79" s="56" t="e">
        <f>AD78+ATM_Conf!$C$5*(O78-N78)/(Links!O$191*Links!AD$191)</f>
        <v>#DIV/0!</v>
      </c>
      <c r="AE79" s="56" t="e">
        <f>AE78+ATM_Conf!$C$5*(P78-O78)/(Links!P$191*Links!AE$191)</f>
        <v>#DIV/0!</v>
      </c>
      <c r="AF79" s="46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6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6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6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6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6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6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6" t="e">
        <f>AM78+(ATM_Conf!$C$5/ATM_Conf!$C$8)*(Links!BB78*EXP((-(Links!X78/Links!BQ78)^Links!CF78)/Links!CF78)-Links!AM78)+(ATM_Conf!$C$5/Links!X$191)*Links!AM78*(Nodes!BH78-Links!AM78)</f>
        <v>#DIV/0!</v>
      </c>
      <c r="AN79" s="46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6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6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6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6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6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6" t="e">
        <f>AT78+(ATM_Conf!$C$5/ATM_Conf!$C$8)*(Links!BI78*EXP((-(Links!AE78/Links!BX78)^Links!CM78)/Links!CM78)-Links!AT78)+(ATM_Conf!$C$5/Links!AE$191)*Links!AT78*(Nodes!BN78-Links!AT78)</f>
        <v>#DIV/0!</v>
      </c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46">
        <f t="shared" si="50"/>
        <v>0</v>
      </c>
      <c r="CO79" s="46">
        <f t="shared" si="50"/>
        <v>0</v>
      </c>
      <c r="CP79" s="46">
        <f t="shared" si="50"/>
        <v>0</v>
      </c>
      <c r="CQ79" s="46">
        <f t="shared" si="50"/>
        <v>0</v>
      </c>
      <c r="CR79" s="46">
        <f t="shared" si="50"/>
        <v>0</v>
      </c>
      <c r="CS79" s="46">
        <f t="shared" si="50"/>
        <v>0</v>
      </c>
      <c r="CT79" s="46">
        <f t="shared" si="50"/>
        <v>0</v>
      </c>
      <c r="CU79" s="46">
        <f t="shared" si="50"/>
        <v>0</v>
      </c>
      <c r="CV79" s="46">
        <f t="shared" si="50"/>
        <v>0</v>
      </c>
      <c r="CW79" s="46">
        <f t="shared" si="50"/>
        <v>0</v>
      </c>
      <c r="CX79" s="46">
        <f t="shared" si="50"/>
        <v>0</v>
      </c>
      <c r="CY79" s="46">
        <f t="shared" si="50"/>
        <v>0</v>
      </c>
      <c r="CZ79" s="46">
        <f t="shared" si="50"/>
        <v>0</v>
      </c>
      <c r="DA79" s="46">
        <f t="shared" si="50"/>
        <v>0</v>
      </c>
      <c r="DB79" s="46">
        <f t="shared" si="50"/>
        <v>0</v>
      </c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</row>
    <row r="80" spans="1:121" ht="14.25" x14ac:dyDescent="0.15">
      <c r="A80" s="49">
        <v>78</v>
      </c>
      <c r="B80" s="46" t="e">
        <f t="shared" si="33"/>
        <v>#DIV/0!</v>
      </c>
      <c r="C80" s="46" t="e">
        <f t="shared" si="34"/>
        <v>#DIV/0!</v>
      </c>
      <c r="D80" s="46" t="e">
        <f t="shared" si="35"/>
        <v>#DIV/0!</v>
      </c>
      <c r="E80" s="46" t="e">
        <f t="shared" si="36"/>
        <v>#DIV/0!</v>
      </c>
      <c r="F80" s="46" t="e">
        <f t="shared" si="37"/>
        <v>#DIV/0!</v>
      </c>
      <c r="G80" s="46" t="e">
        <f t="shared" si="38"/>
        <v>#DIV/0!</v>
      </c>
      <c r="H80" s="46" t="e">
        <f t="shared" si="39"/>
        <v>#DIV/0!</v>
      </c>
      <c r="I80" s="46" t="e">
        <f t="shared" si="40"/>
        <v>#DIV/0!</v>
      </c>
      <c r="J80" s="46" t="e">
        <f t="shared" si="41"/>
        <v>#DIV/0!</v>
      </c>
      <c r="K80" s="46" t="e">
        <f t="shared" si="42"/>
        <v>#DIV/0!</v>
      </c>
      <c r="L80" s="46" t="e">
        <f t="shared" si="43"/>
        <v>#DIV/0!</v>
      </c>
      <c r="M80" s="46" t="e">
        <f t="shared" si="44"/>
        <v>#DIV/0!</v>
      </c>
      <c r="N80" s="46" t="e">
        <f t="shared" si="45"/>
        <v>#DIV/0!</v>
      </c>
      <c r="O80" s="46" t="e">
        <f t="shared" si="46"/>
        <v>#DIV/0!</v>
      </c>
      <c r="P80" s="46" t="e">
        <f t="shared" si="47"/>
        <v>#DIV/0!</v>
      </c>
      <c r="Q80" s="56" t="e">
        <f>Q79+ATM_Conf!$C$5*(B79)/(Links!B$191*Links!Q$191)</f>
        <v>#DIV/0!</v>
      </c>
      <c r="R80" s="56" t="e">
        <f>R79+ATM_Conf!$C$5*(C79-B79)/(Links!C$191*Links!R$191)</f>
        <v>#DIV/0!</v>
      </c>
      <c r="S80" s="56" t="e">
        <f>S79+ATM_Conf!$C$5*(D79-C79)/(Links!D$191*Links!S$191)</f>
        <v>#DIV/0!</v>
      </c>
      <c r="T80" s="56" t="e">
        <f>T79+ATM_Conf!$C$5*(E79-D79)/(Links!E$191*Links!T$191)</f>
        <v>#DIV/0!</v>
      </c>
      <c r="U80" s="56" t="e">
        <f>U79+ATM_Conf!$C$5*(F79-E79)/(Links!F$191*Links!U$191)</f>
        <v>#DIV/0!</v>
      </c>
      <c r="V80" s="56" t="e">
        <f>V79+ATM_Conf!$C$5*(G79-F79)/(Links!G$191*Links!V$191)</f>
        <v>#DIV/0!</v>
      </c>
      <c r="W80" s="56" t="e">
        <f>W79+ATM_Conf!$C$5*(H79-G79)/(Links!H$191*Links!W$191)</f>
        <v>#DIV/0!</v>
      </c>
      <c r="X80" s="56" t="e">
        <f>X79+ATM_Conf!$C$5*(I79-H79)/(Links!I$191*Links!X$191)</f>
        <v>#DIV/0!</v>
      </c>
      <c r="Y80" s="56" t="e">
        <f>Y79+ATM_Conf!$C$5*(J79)/(Links!J$191*Links!Y$191)</f>
        <v>#DIV/0!</v>
      </c>
      <c r="Z80" s="56" t="e">
        <f>Z79+ATM_Conf!$C$5*(K79-J79)/(Links!K$191*Links!Z$191)</f>
        <v>#DIV/0!</v>
      </c>
      <c r="AA80" s="56" t="e">
        <f>AA79+ATM_Conf!$C$5*(L79-K79)/(Links!L$191*Links!AA$191)</f>
        <v>#DIV/0!</v>
      </c>
      <c r="AB80" s="56" t="e">
        <f>AB79+ATM_Conf!$C$5*(M79-L79)/(Links!M$191*Links!AB$191)</f>
        <v>#DIV/0!</v>
      </c>
      <c r="AC80" s="56" t="e">
        <f>AC79+ATM_Conf!$C$5*(N79-M79)/(Links!N$191*Links!AC$191)</f>
        <v>#DIV/0!</v>
      </c>
      <c r="AD80" s="56" t="e">
        <f>AD79+ATM_Conf!$C$5*(O79-N79)/(Links!O$191*Links!AD$191)</f>
        <v>#DIV/0!</v>
      </c>
      <c r="AE80" s="56" t="e">
        <f>AE79+ATM_Conf!$C$5*(P79-O79)/(Links!P$191*Links!AE$191)</f>
        <v>#DIV/0!</v>
      </c>
      <c r="AF80" s="46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6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6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6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6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6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6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6" t="e">
        <f>AM79+(ATM_Conf!$C$5/ATM_Conf!$C$8)*(Links!BB79*EXP((-(Links!X79/Links!BQ79)^Links!CF79)/Links!CF79)-Links!AM79)+(ATM_Conf!$C$5/Links!X$191)*Links!AM79*(Nodes!BH79-Links!AM79)</f>
        <v>#DIV/0!</v>
      </c>
      <c r="AN80" s="46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6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6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6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6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6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6" t="e">
        <f>AT79+(ATM_Conf!$C$5/ATM_Conf!$C$8)*(Links!BI79*EXP((-(Links!AE79/Links!BX79)^Links!CM79)/Links!CM79)-Links!AT79)+(ATM_Conf!$C$5/Links!AE$191)*Links!AT79*(Nodes!BN79-Links!AT79)</f>
        <v>#DIV/0!</v>
      </c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46">
        <f t="shared" si="50"/>
        <v>0</v>
      </c>
      <c r="CO80" s="46">
        <f t="shared" si="50"/>
        <v>0</v>
      </c>
      <c r="CP80" s="46">
        <f t="shared" si="50"/>
        <v>0</v>
      </c>
      <c r="CQ80" s="46">
        <f t="shared" si="50"/>
        <v>0</v>
      </c>
      <c r="CR80" s="46">
        <f t="shared" si="50"/>
        <v>0</v>
      </c>
      <c r="CS80" s="46">
        <f t="shared" si="50"/>
        <v>0</v>
      </c>
      <c r="CT80" s="46">
        <f t="shared" si="50"/>
        <v>0</v>
      </c>
      <c r="CU80" s="46">
        <f t="shared" si="50"/>
        <v>0</v>
      </c>
      <c r="CV80" s="46">
        <f t="shared" si="50"/>
        <v>0</v>
      </c>
      <c r="CW80" s="46">
        <f t="shared" si="50"/>
        <v>0</v>
      </c>
      <c r="CX80" s="46">
        <f t="shared" si="50"/>
        <v>0</v>
      </c>
      <c r="CY80" s="46">
        <f t="shared" si="50"/>
        <v>0</v>
      </c>
      <c r="CZ80" s="46">
        <f t="shared" si="50"/>
        <v>0</v>
      </c>
      <c r="DA80" s="46">
        <f t="shared" si="50"/>
        <v>0</v>
      </c>
      <c r="DB80" s="46">
        <f t="shared" si="50"/>
        <v>0</v>
      </c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</row>
    <row r="81" spans="1:121" ht="14.25" x14ac:dyDescent="0.15">
      <c r="A81" s="49">
        <v>79</v>
      </c>
      <c r="B81" s="46" t="e">
        <f t="shared" si="33"/>
        <v>#DIV/0!</v>
      </c>
      <c r="C81" s="46" t="e">
        <f t="shared" si="34"/>
        <v>#DIV/0!</v>
      </c>
      <c r="D81" s="46" t="e">
        <f t="shared" si="35"/>
        <v>#DIV/0!</v>
      </c>
      <c r="E81" s="46" t="e">
        <f t="shared" si="36"/>
        <v>#DIV/0!</v>
      </c>
      <c r="F81" s="46" t="e">
        <f t="shared" si="37"/>
        <v>#DIV/0!</v>
      </c>
      <c r="G81" s="46" t="e">
        <f t="shared" si="38"/>
        <v>#DIV/0!</v>
      </c>
      <c r="H81" s="46" t="e">
        <f t="shared" si="39"/>
        <v>#DIV/0!</v>
      </c>
      <c r="I81" s="46" t="e">
        <f t="shared" si="40"/>
        <v>#DIV/0!</v>
      </c>
      <c r="J81" s="46" t="e">
        <f t="shared" si="41"/>
        <v>#DIV/0!</v>
      </c>
      <c r="K81" s="46" t="e">
        <f t="shared" si="42"/>
        <v>#DIV/0!</v>
      </c>
      <c r="L81" s="46" t="e">
        <f t="shared" si="43"/>
        <v>#DIV/0!</v>
      </c>
      <c r="M81" s="46" t="e">
        <f t="shared" si="44"/>
        <v>#DIV/0!</v>
      </c>
      <c r="N81" s="46" t="e">
        <f t="shared" si="45"/>
        <v>#DIV/0!</v>
      </c>
      <c r="O81" s="46" t="e">
        <f t="shared" si="46"/>
        <v>#DIV/0!</v>
      </c>
      <c r="P81" s="46" t="e">
        <f t="shared" si="47"/>
        <v>#DIV/0!</v>
      </c>
      <c r="Q81" s="56" t="e">
        <f>Q80+ATM_Conf!$C$5*(B80)/(Links!B$191*Links!Q$191)</f>
        <v>#DIV/0!</v>
      </c>
      <c r="R81" s="56" t="e">
        <f>R80+ATM_Conf!$C$5*(C80-B80)/(Links!C$191*Links!R$191)</f>
        <v>#DIV/0!</v>
      </c>
      <c r="S81" s="56" t="e">
        <f>S80+ATM_Conf!$C$5*(D80-C80)/(Links!D$191*Links!S$191)</f>
        <v>#DIV/0!</v>
      </c>
      <c r="T81" s="56" t="e">
        <f>T80+ATM_Conf!$C$5*(E80-D80)/(Links!E$191*Links!T$191)</f>
        <v>#DIV/0!</v>
      </c>
      <c r="U81" s="56" t="e">
        <f>U80+ATM_Conf!$C$5*(F80-E80)/(Links!F$191*Links!U$191)</f>
        <v>#DIV/0!</v>
      </c>
      <c r="V81" s="56" t="e">
        <f>V80+ATM_Conf!$C$5*(G80-F80)/(Links!G$191*Links!V$191)</f>
        <v>#DIV/0!</v>
      </c>
      <c r="W81" s="56" t="e">
        <f>W80+ATM_Conf!$C$5*(H80-G80)/(Links!H$191*Links!W$191)</f>
        <v>#DIV/0!</v>
      </c>
      <c r="X81" s="56" t="e">
        <f>X80+ATM_Conf!$C$5*(I80-H80)/(Links!I$191*Links!X$191)</f>
        <v>#DIV/0!</v>
      </c>
      <c r="Y81" s="56" t="e">
        <f>Y80+ATM_Conf!$C$5*(J80)/(Links!J$191*Links!Y$191)</f>
        <v>#DIV/0!</v>
      </c>
      <c r="Z81" s="56" t="e">
        <f>Z80+ATM_Conf!$C$5*(K80-J80)/(Links!K$191*Links!Z$191)</f>
        <v>#DIV/0!</v>
      </c>
      <c r="AA81" s="56" t="e">
        <f>AA80+ATM_Conf!$C$5*(L80-K80)/(Links!L$191*Links!AA$191)</f>
        <v>#DIV/0!</v>
      </c>
      <c r="AB81" s="56" t="e">
        <f>AB80+ATM_Conf!$C$5*(M80-L80)/(Links!M$191*Links!AB$191)</f>
        <v>#DIV/0!</v>
      </c>
      <c r="AC81" s="56" t="e">
        <f>AC80+ATM_Conf!$C$5*(N80-M80)/(Links!N$191*Links!AC$191)</f>
        <v>#DIV/0!</v>
      </c>
      <c r="AD81" s="56" t="e">
        <f>AD80+ATM_Conf!$C$5*(O80-N80)/(Links!O$191*Links!AD$191)</f>
        <v>#DIV/0!</v>
      </c>
      <c r="AE81" s="56" t="e">
        <f>AE80+ATM_Conf!$C$5*(P80-O80)/(Links!P$191*Links!AE$191)</f>
        <v>#DIV/0!</v>
      </c>
      <c r="AF81" s="46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6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6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6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6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6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6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6" t="e">
        <f>AM80+(ATM_Conf!$C$5/ATM_Conf!$C$8)*(Links!BB80*EXP((-(Links!X80/Links!BQ80)^Links!CF80)/Links!CF80)-Links!AM80)+(ATM_Conf!$C$5/Links!X$191)*Links!AM80*(Nodes!BH80-Links!AM80)</f>
        <v>#DIV/0!</v>
      </c>
      <c r="AN81" s="46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6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6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6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6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6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6" t="e">
        <f>AT80+(ATM_Conf!$C$5/ATM_Conf!$C$8)*(Links!BI80*EXP((-(Links!AE80/Links!BX80)^Links!CM80)/Links!CM80)-Links!AT80)+(ATM_Conf!$C$5/Links!AE$191)*Links!AT80*(Nodes!BN80-Links!AT80)</f>
        <v>#DIV/0!</v>
      </c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46">
        <f t="shared" si="50"/>
        <v>0</v>
      </c>
      <c r="CO81" s="46">
        <f t="shared" si="50"/>
        <v>0</v>
      </c>
      <c r="CP81" s="46">
        <f t="shared" si="50"/>
        <v>0</v>
      </c>
      <c r="CQ81" s="46">
        <f t="shared" si="50"/>
        <v>0</v>
      </c>
      <c r="CR81" s="46">
        <f t="shared" si="50"/>
        <v>0</v>
      </c>
      <c r="CS81" s="46">
        <f t="shared" si="50"/>
        <v>0</v>
      </c>
      <c r="CT81" s="46">
        <f t="shared" si="50"/>
        <v>0</v>
      </c>
      <c r="CU81" s="46">
        <f t="shared" si="50"/>
        <v>0</v>
      </c>
      <c r="CV81" s="46">
        <f t="shared" si="50"/>
        <v>0</v>
      </c>
      <c r="CW81" s="46">
        <f t="shared" si="50"/>
        <v>0</v>
      </c>
      <c r="CX81" s="46">
        <f t="shared" si="50"/>
        <v>0</v>
      </c>
      <c r="CY81" s="46">
        <f t="shared" si="50"/>
        <v>0</v>
      </c>
      <c r="CZ81" s="46">
        <f t="shared" si="50"/>
        <v>0</v>
      </c>
      <c r="DA81" s="46">
        <f t="shared" si="50"/>
        <v>0</v>
      </c>
      <c r="DB81" s="46">
        <f t="shared" si="50"/>
        <v>0</v>
      </c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</row>
    <row r="82" spans="1:121" ht="14.25" x14ac:dyDescent="0.15">
      <c r="A82" s="49">
        <v>80</v>
      </c>
      <c r="B82" s="46" t="e">
        <f t="shared" si="33"/>
        <v>#DIV/0!</v>
      </c>
      <c r="C82" s="46" t="e">
        <f t="shared" si="34"/>
        <v>#DIV/0!</v>
      </c>
      <c r="D82" s="46" t="e">
        <f t="shared" si="35"/>
        <v>#DIV/0!</v>
      </c>
      <c r="E82" s="46" t="e">
        <f t="shared" si="36"/>
        <v>#DIV/0!</v>
      </c>
      <c r="F82" s="46" t="e">
        <f t="shared" si="37"/>
        <v>#DIV/0!</v>
      </c>
      <c r="G82" s="46" t="e">
        <f t="shared" si="38"/>
        <v>#DIV/0!</v>
      </c>
      <c r="H82" s="46" t="e">
        <f t="shared" si="39"/>
        <v>#DIV/0!</v>
      </c>
      <c r="I82" s="46" t="e">
        <f t="shared" si="40"/>
        <v>#DIV/0!</v>
      </c>
      <c r="J82" s="46" t="e">
        <f t="shared" si="41"/>
        <v>#DIV/0!</v>
      </c>
      <c r="K82" s="46" t="e">
        <f t="shared" si="42"/>
        <v>#DIV/0!</v>
      </c>
      <c r="L82" s="46" t="e">
        <f t="shared" si="43"/>
        <v>#DIV/0!</v>
      </c>
      <c r="M82" s="46" t="e">
        <f t="shared" si="44"/>
        <v>#DIV/0!</v>
      </c>
      <c r="N82" s="46" t="e">
        <f t="shared" si="45"/>
        <v>#DIV/0!</v>
      </c>
      <c r="O82" s="46" t="e">
        <f t="shared" si="46"/>
        <v>#DIV/0!</v>
      </c>
      <c r="P82" s="46" t="e">
        <f t="shared" si="47"/>
        <v>#DIV/0!</v>
      </c>
      <c r="Q82" s="56" t="e">
        <f>Q81+ATM_Conf!$C$5*(B81)/(Links!B$191*Links!Q$191)</f>
        <v>#DIV/0!</v>
      </c>
      <c r="R82" s="56" t="e">
        <f>R81+ATM_Conf!$C$5*(C81-B81)/(Links!C$191*Links!R$191)</f>
        <v>#DIV/0!</v>
      </c>
      <c r="S82" s="56" t="e">
        <f>S81+ATM_Conf!$C$5*(D81-C81)/(Links!D$191*Links!S$191)</f>
        <v>#DIV/0!</v>
      </c>
      <c r="T82" s="56" t="e">
        <f>T81+ATM_Conf!$C$5*(E81-D81)/(Links!E$191*Links!T$191)</f>
        <v>#DIV/0!</v>
      </c>
      <c r="U82" s="56" t="e">
        <f>U81+ATM_Conf!$C$5*(F81-E81)/(Links!F$191*Links!U$191)</f>
        <v>#DIV/0!</v>
      </c>
      <c r="V82" s="56" t="e">
        <f>V81+ATM_Conf!$C$5*(G81-F81)/(Links!G$191*Links!V$191)</f>
        <v>#DIV/0!</v>
      </c>
      <c r="W82" s="56" t="e">
        <f>W81+ATM_Conf!$C$5*(H81-G81)/(Links!H$191*Links!W$191)</f>
        <v>#DIV/0!</v>
      </c>
      <c r="X82" s="56" t="e">
        <f>X81+ATM_Conf!$C$5*(I81-H81)/(Links!I$191*Links!X$191)</f>
        <v>#DIV/0!</v>
      </c>
      <c r="Y82" s="56" t="e">
        <f>Y81+ATM_Conf!$C$5*(J81)/(Links!J$191*Links!Y$191)</f>
        <v>#DIV/0!</v>
      </c>
      <c r="Z82" s="56" t="e">
        <f>Z81+ATM_Conf!$C$5*(K81-J81)/(Links!K$191*Links!Z$191)</f>
        <v>#DIV/0!</v>
      </c>
      <c r="AA82" s="56" t="e">
        <f>AA81+ATM_Conf!$C$5*(L81-K81)/(Links!L$191*Links!AA$191)</f>
        <v>#DIV/0!</v>
      </c>
      <c r="AB82" s="56" t="e">
        <f>AB81+ATM_Conf!$C$5*(M81-L81)/(Links!M$191*Links!AB$191)</f>
        <v>#DIV/0!</v>
      </c>
      <c r="AC82" s="56" t="e">
        <f>AC81+ATM_Conf!$C$5*(N81-M81)/(Links!N$191*Links!AC$191)</f>
        <v>#DIV/0!</v>
      </c>
      <c r="AD82" s="56" t="e">
        <f>AD81+ATM_Conf!$C$5*(O81-N81)/(Links!O$191*Links!AD$191)</f>
        <v>#DIV/0!</v>
      </c>
      <c r="AE82" s="56" t="e">
        <f>AE81+ATM_Conf!$C$5*(P81-O81)/(Links!P$191*Links!AE$191)</f>
        <v>#DIV/0!</v>
      </c>
      <c r="AF82" s="46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6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6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6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6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6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6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6" t="e">
        <f>AM81+(ATM_Conf!$C$5/ATM_Conf!$C$8)*(Links!BB81*EXP((-(Links!X81/Links!BQ81)^Links!CF81)/Links!CF81)-Links!AM81)+(ATM_Conf!$C$5/Links!X$191)*Links!AM81*(Nodes!BH81-Links!AM81)</f>
        <v>#DIV/0!</v>
      </c>
      <c r="AN82" s="46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6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6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6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6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6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6" t="e">
        <f>AT81+(ATM_Conf!$C$5/ATM_Conf!$C$8)*(Links!BI81*EXP((-(Links!AE81/Links!BX81)^Links!CM81)/Links!CM81)-Links!AT81)+(ATM_Conf!$C$5/Links!AE$191)*Links!AT81*(Nodes!BN81-Links!AT81)</f>
        <v>#DIV/0!</v>
      </c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46">
        <f t="shared" si="50"/>
        <v>0</v>
      </c>
      <c r="CO82" s="46">
        <f t="shared" si="50"/>
        <v>0</v>
      </c>
      <c r="CP82" s="46">
        <f t="shared" si="50"/>
        <v>0</v>
      </c>
      <c r="CQ82" s="46">
        <f t="shared" si="50"/>
        <v>0</v>
      </c>
      <c r="CR82" s="46">
        <f t="shared" si="50"/>
        <v>0</v>
      </c>
      <c r="CS82" s="46">
        <f t="shared" si="50"/>
        <v>0</v>
      </c>
      <c r="CT82" s="46">
        <f t="shared" si="50"/>
        <v>0</v>
      </c>
      <c r="CU82" s="46">
        <f t="shared" si="50"/>
        <v>0</v>
      </c>
      <c r="CV82" s="46">
        <f t="shared" si="50"/>
        <v>0</v>
      </c>
      <c r="CW82" s="46">
        <f t="shared" si="50"/>
        <v>0</v>
      </c>
      <c r="CX82" s="46">
        <f t="shared" si="50"/>
        <v>0</v>
      </c>
      <c r="CY82" s="46">
        <f t="shared" si="50"/>
        <v>0</v>
      </c>
      <c r="CZ82" s="46">
        <f t="shared" si="50"/>
        <v>0</v>
      </c>
      <c r="DA82" s="46">
        <f t="shared" si="50"/>
        <v>0</v>
      </c>
      <c r="DB82" s="46">
        <f t="shared" si="50"/>
        <v>0</v>
      </c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</row>
    <row r="83" spans="1:121" ht="14.25" x14ac:dyDescent="0.15">
      <c r="A83" s="49">
        <v>81</v>
      </c>
      <c r="B83" s="46" t="e">
        <f t="shared" si="33"/>
        <v>#DIV/0!</v>
      </c>
      <c r="C83" s="46" t="e">
        <f t="shared" si="34"/>
        <v>#DIV/0!</v>
      </c>
      <c r="D83" s="46" t="e">
        <f t="shared" si="35"/>
        <v>#DIV/0!</v>
      </c>
      <c r="E83" s="46" t="e">
        <f t="shared" si="36"/>
        <v>#DIV/0!</v>
      </c>
      <c r="F83" s="46" t="e">
        <f t="shared" si="37"/>
        <v>#DIV/0!</v>
      </c>
      <c r="G83" s="46" t="e">
        <f t="shared" si="38"/>
        <v>#DIV/0!</v>
      </c>
      <c r="H83" s="46" t="e">
        <f t="shared" si="39"/>
        <v>#DIV/0!</v>
      </c>
      <c r="I83" s="46" t="e">
        <f t="shared" si="40"/>
        <v>#DIV/0!</v>
      </c>
      <c r="J83" s="46" t="e">
        <f t="shared" si="41"/>
        <v>#DIV/0!</v>
      </c>
      <c r="K83" s="46" t="e">
        <f t="shared" si="42"/>
        <v>#DIV/0!</v>
      </c>
      <c r="L83" s="46" t="e">
        <f t="shared" si="43"/>
        <v>#DIV/0!</v>
      </c>
      <c r="M83" s="46" t="e">
        <f t="shared" si="44"/>
        <v>#DIV/0!</v>
      </c>
      <c r="N83" s="46" t="e">
        <f t="shared" si="45"/>
        <v>#DIV/0!</v>
      </c>
      <c r="O83" s="46" t="e">
        <f t="shared" si="46"/>
        <v>#DIV/0!</v>
      </c>
      <c r="P83" s="46" t="e">
        <f t="shared" si="47"/>
        <v>#DIV/0!</v>
      </c>
      <c r="Q83" s="56" t="e">
        <f>Q82+ATM_Conf!$C$5*(B82)/(Links!B$191*Links!Q$191)</f>
        <v>#DIV/0!</v>
      </c>
      <c r="R83" s="56" t="e">
        <f>R82+ATM_Conf!$C$5*(C82-B82)/(Links!C$191*Links!R$191)</f>
        <v>#DIV/0!</v>
      </c>
      <c r="S83" s="56" t="e">
        <f>S82+ATM_Conf!$C$5*(D82-C82)/(Links!D$191*Links!S$191)</f>
        <v>#DIV/0!</v>
      </c>
      <c r="T83" s="56" t="e">
        <f>T82+ATM_Conf!$C$5*(E82-D82)/(Links!E$191*Links!T$191)</f>
        <v>#DIV/0!</v>
      </c>
      <c r="U83" s="56" t="e">
        <f>U82+ATM_Conf!$C$5*(F82-E82)/(Links!F$191*Links!U$191)</f>
        <v>#DIV/0!</v>
      </c>
      <c r="V83" s="56" t="e">
        <f>V82+ATM_Conf!$C$5*(G82-F82)/(Links!G$191*Links!V$191)</f>
        <v>#DIV/0!</v>
      </c>
      <c r="W83" s="56" t="e">
        <f>W82+ATM_Conf!$C$5*(H82-G82)/(Links!H$191*Links!W$191)</f>
        <v>#DIV/0!</v>
      </c>
      <c r="X83" s="56" t="e">
        <f>X82+ATM_Conf!$C$5*(I82-H82)/(Links!I$191*Links!X$191)</f>
        <v>#DIV/0!</v>
      </c>
      <c r="Y83" s="56" t="e">
        <f>Y82+ATM_Conf!$C$5*(J82)/(Links!J$191*Links!Y$191)</f>
        <v>#DIV/0!</v>
      </c>
      <c r="Z83" s="56" t="e">
        <f>Z82+ATM_Conf!$C$5*(K82-J82)/(Links!K$191*Links!Z$191)</f>
        <v>#DIV/0!</v>
      </c>
      <c r="AA83" s="56" t="e">
        <f>AA82+ATM_Conf!$C$5*(L82-K82)/(Links!L$191*Links!AA$191)</f>
        <v>#DIV/0!</v>
      </c>
      <c r="AB83" s="56" t="e">
        <f>AB82+ATM_Conf!$C$5*(M82-L82)/(Links!M$191*Links!AB$191)</f>
        <v>#DIV/0!</v>
      </c>
      <c r="AC83" s="56" t="e">
        <f>AC82+ATM_Conf!$C$5*(N82-M82)/(Links!N$191*Links!AC$191)</f>
        <v>#DIV/0!</v>
      </c>
      <c r="AD83" s="56" t="e">
        <f>AD82+ATM_Conf!$C$5*(O82-N82)/(Links!O$191*Links!AD$191)</f>
        <v>#DIV/0!</v>
      </c>
      <c r="AE83" s="56" t="e">
        <f>AE82+ATM_Conf!$C$5*(P82-O82)/(Links!P$191*Links!AE$191)</f>
        <v>#DIV/0!</v>
      </c>
      <c r="AF83" s="46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6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6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6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6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6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6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6" t="e">
        <f>AM82+(ATM_Conf!$C$5/ATM_Conf!$C$8)*(Links!BB82*EXP((-(Links!X82/Links!BQ82)^Links!CF82)/Links!CF82)-Links!AM82)+(ATM_Conf!$C$5/Links!X$191)*Links!AM82*(Nodes!BH82-Links!AM82)</f>
        <v>#DIV/0!</v>
      </c>
      <c r="AN83" s="46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6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6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6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6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6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6" t="e">
        <f>AT82+(ATM_Conf!$C$5/ATM_Conf!$C$8)*(Links!BI82*EXP((-(Links!AE82/Links!BX82)^Links!CM82)/Links!CM82)-Links!AT82)+(ATM_Conf!$C$5/Links!AE$191)*Links!AT82*(Nodes!BN82-Links!AT82)</f>
        <v>#DIV/0!</v>
      </c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46">
        <f t="shared" si="50"/>
        <v>0</v>
      </c>
      <c r="CO83" s="46">
        <f t="shared" si="50"/>
        <v>0</v>
      </c>
      <c r="CP83" s="46">
        <f t="shared" si="50"/>
        <v>0</v>
      </c>
      <c r="CQ83" s="46">
        <f t="shared" si="50"/>
        <v>0</v>
      </c>
      <c r="CR83" s="46">
        <f t="shared" si="50"/>
        <v>0</v>
      </c>
      <c r="CS83" s="46">
        <f t="shared" si="50"/>
        <v>0</v>
      </c>
      <c r="CT83" s="46">
        <f t="shared" si="50"/>
        <v>0</v>
      </c>
      <c r="CU83" s="46">
        <f t="shared" si="50"/>
        <v>0</v>
      </c>
      <c r="CV83" s="46">
        <f t="shared" si="50"/>
        <v>0</v>
      </c>
      <c r="CW83" s="46">
        <f t="shared" si="50"/>
        <v>0</v>
      </c>
      <c r="CX83" s="46">
        <f t="shared" si="50"/>
        <v>0</v>
      </c>
      <c r="CY83" s="46">
        <f t="shared" si="50"/>
        <v>0</v>
      </c>
      <c r="CZ83" s="46">
        <f t="shared" si="50"/>
        <v>0</v>
      </c>
      <c r="DA83" s="46">
        <f t="shared" si="50"/>
        <v>0</v>
      </c>
      <c r="DB83" s="46">
        <f t="shared" si="50"/>
        <v>0</v>
      </c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</row>
    <row r="84" spans="1:121" ht="14.25" x14ac:dyDescent="0.15">
      <c r="A84" s="49">
        <v>82</v>
      </c>
      <c r="B84" s="46" t="e">
        <f t="shared" si="33"/>
        <v>#DIV/0!</v>
      </c>
      <c r="C84" s="46" t="e">
        <f t="shared" si="34"/>
        <v>#DIV/0!</v>
      </c>
      <c r="D84" s="46" t="e">
        <f t="shared" si="35"/>
        <v>#DIV/0!</v>
      </c>
      <c r="E84" s="46" t="e">
        <f t="shared" si="36"/>
        <v>#DIV/0!</v>
      </c>
      <c r="F84" s="46" t="e">
        <f t="shared" si="37"/>
        <v>#DIV/0!</v>
      </c>
      <c r="G84" s="46" t="e">
        <f t="shared" si="38"/>
        <v>#DIV/0!</v>
      </c>
      <c r="H84" s="46" t="e">
        <f t="shared" si="39"/>
        <v>#DIV/0!</v>
      </c>
      <c r="I84" s="46" t="e">
        <f t="shared" si="40"/>
        <v>#DIV/0!</v>
      </c>
      <c r="J84" s="46" t="e">
        <f t="shared" si="41"/>
        <v>#DIV/0!</v>
      </c>
      <c r="K84" s="46" t="e">
        <f t="shared" si="42"/>
        <v>#DIV/0!</v>
      </c>
      <c r="L84" s="46" t="e">
        <f t="shared" si="43"/>
        <v>#DIV/0!</v>
      </c>
      <c r="M84" s="46" t="e">
        <f t="shared" si="44"/>
        <v>#DIV/0!</v>
      </c>
      <c r="N84" s="46" t="e">
        <f t="shared" si="45"/>
        <v>#DIV/0!</v>
      </c>
      <c r="O84" s="46" t="e">
        <f t="shared" si="46"/>
        <v>#DIV/0!</v>
      </c>
      <c r="P84" s="46" t="e">
        <f t="shared" si="47"/>
        <v>#DIV/0!</v>
      </c>
      <c r="Q84" s="56" t="e">
        <f>Q83+ATM_Conf!$C$5*(B83)/(Links!B$191*Links!Q$191)</f>
        <v>#DIV/0!</v>
      </c>
      <c r="R84" s="56" t="e">
        <f>R83+ATM_Conf!$C$5*(C83-B83)/(Links!C$191*Links!R$191)</f>
        <v>#DIV/0!</v>
      </c>
      <c r="S84" s="56" t="e">
        <f>S83+ATM_Conf!$C$5*(D83-C83)/(Links!D$191*Links!S$191)</f>
        <v>#DIV/0!</v>
      </c>
      <c r="T84" s="56" t="e">
        <f>T83+ATM_Conf!$C$5*(E83-D83)/(Links!E$191*Links!T$191)</f>
        <v>#DIV/0!</v>
      </c>
      <c r="U84" s="56" t="e">
        <f>U83+ATM_Conf!$C$5*(F83-E83)/(Links!F$191*Links!U$191)</f>
        <v>#DIV/0!</v>
      </c>
      <c r="V84" s="56" t="e">
        <f>V83+ATM_Conf!$C$5*(G83-F83)/(Links!G$191*Links!V$191)</f>
        <v>#DIV/0!</v>
      </c>
      <c r="W84" s="56" t="e">
        <f>W83+ATM_Conf!$C$5*(H83-G83)/(Links!H$191*Links!W$191)</f>
        <v>#DIV/0!</v>
      </c>
      <c r="X84" s="56" t="e">
        <f>X83+ATM_Conf!$C$5*(I83-H83)/(Links!I$191*Links!X$191)</f>
        <v>#DIV/0!</v>
      </c>
      <c r="Y84" s="56" t="e">
        <f>Y83+ATM_Conf!$C$5*(J83)/(Links!J$191*Links!Y$191)</f>
        <v>#DIV/0!</v>
      </c>
      <c r="Z84" s="56" t="e">
        <f>Z83+ATM_Conf!$C$5*(K83-J83)/(Links!K$191*Links!Z$191)</f>
        <v>#DIV/0!</v>
      </c>
      <c r="AA84" s="56" t="e">
        <f>AA83+ATM_Conf!$C$5*(L83-K83)/(Links!L$191*Links!AA$191)</f>
        <v>#DIV/0!</v>
      </c>
      <c r="AB84" s="56" t="e">
        <f>AB83+ATM_Conf!$C$5*(M83-L83)/(Links!M$191*Links!AB$191)</f>
        <v>#DIV/0!</v>
      </c>
      <c r="AC84" s="56" t="e">
        <f>AC83+ATM_Conf!$C$5*(N83-M83)/(Links!N$191*Links!AC$191)</f>
        <v>#DIV/0!</v>
      </c>
      <c r="AD84" s="56" t="e">
        <f>AD83+ATM_Conf!$C$5*(O83-N83)/(Links!O$191*Links!AD$191)</f>
        <v>#DIV/0!</v>
      </c>
      <c r="AE84" s="56" t="e">
        <f>AE83+ATM_Conf!$C$5*(P83-O83)/(Links!P$191*Links!AE$191)</f>
        <v>#DIV/0!</v>
      </c>
      <c r="AF84" s="46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6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6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6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6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6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6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6" t="e">
        <f>AM83+(ATM_Conf!$C$5/ATM_Conf!$C$8)*(Links!BB83*EXP((-(Links!X83/Links!BQ83)^Links!CF83)/Links!CF83)-Links!AM83)+(ATM_Conf!$C$5/Links!X$191)*Links!AM83*(Nodes!BH83-Links!AM83)</f>
        <v>#DIV/0!</v>
      </c>
      <c r="AN84" s="46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6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6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6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6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6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6" t="e">
        <f>AT83+(ATM_Conf!$C$5/ATM_Conf!$C$8)*(Links!BI83*EXP((-(Links!AE83/Links!BX83)^Links!CM83)/Links!CM83)-Links!AT83)+(ATM_Conf!$C$5/Links!AE$191)*Links!AT83*(Nodes!BN83-Links!AT83)</f>
        <v>#DIV/0!</v>
      </c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46">
        <f t="shared" si="50"/>
        <v>0</v>
      </c>
      <c r="CO84" s="46">
        <f t="shared" si="50"/>
        <v>0</v>
      </c>
      <c r="CP84" s="46">
        <f t="shared" si="50"/>
        <v>0</v>
      </c>
      <c r="CQ84" s="46">
        <f t="shared" si="50"/>
        <v>0</v>
      </c>
      <c r="CR84" s="46">
        <f t="shared" si="50"/>
        <v>0</v>
      </c>
      <c r="CS84" s="46">
        <f t="shared" si="50"/>
        <v>0</v>
      </c>
      <c r="CT84" s="46">
        <f t="shared" si="50"/>
        <v>0</v>
      </c>
      <c r="CU84" s="46">
        <f t="shared" si="50"/>
        <v>0</v>
      </c>
      <c r="CV84" s="46">
        <f t="shared" si="50"/>
        <v>0</v>
      </c>
      <c r="CW84" s="46">
        <f t="shared" si="50"/>
        <v>0</v>
      </c>
      <c r="CX84" s="46">
        <f t="shared" si="50"/>
        <v>0</v>
      </c>
      <c r="CY84" s="46">
        <f t="shared" si="50"/>
        <v>0</v>
      </c>
      <c r="CZ84" s="46">
        <f t="shared" si="50"/>
        <v>0</v>
      </c>
      <c r="DA84" s="46">
        <f t="shared" si="50"/>
        <v>0</v>
      </c>
      <c r="DB84" s="46">
        <f t="shared" si="50"/>
        <v>0</v>
      </c>
      <c r="DC84" s="54"/>
      <c r="DD84" s="54"/>
      <c r="DE84" s="54"/>
      <c r="DF84" s="54"/>
      <c r="DG84" s="54"/>
      <c r="DH84" s="54"/>
      <c r="DI84" s="54"/>
      <c r="DJ84" s="54"/>
      <c r="DK84" s="54"/>
      <c r="DL84" s="54"/>
      <c r="DM84" s="54"/>
      <c r="DN84" s="54"/>
      <c r="DO84" s="54"/>
      <c r="DP84" s="54"/>
      <c r="DQ84" s="54"/>
    </row>
    <row r="85" spans="1:121" ht="14.25" x14ac:dyDescent="0.15">
      <c r="A85" s="49">
        <v>83</v>
      </c>
      <c r="B85" s="46" t="e">
        <f t="shared" si="33"/>
        <v>#DIV/0!</v>
      </c>
      <c r="C85" s="46" t="e">
        <f t="shared" si="34"/>
        <v>#DIV/0!</v>
      </c>
      <c r="D85" s="46" t="e">
        <f t="shared" si="35"/>
        <v>#DIV/0!</v>
      </c>
      <c r="E85" s="46" t="e">
        <f t="shared" si="36"/>
        <v>#DIV/0!</v>
      </c>
      <c r="F85" s="46" t="e">
        <f t="shared" si="37"/>
        <v>#DIV/0!</v>
      </c>
      <c r="G85" s="46" t="e">
        <f t="shared" si="38"/>
        <v>#DIV/0!</v>
      </c>
      <c r="H85" s="46" t="e">
        <f t="shared" si="39"/>
        <v>#DIV/0!</v>
      </c>
      <c r="I85" s="46" t="e">
        <f t="shared" si="40"/>
        <v>#DIV/0!</v>
      </c>
      <c r="J85" s="46" t="e">
        <f t="shared" si="41"/>
        <v>#DIV/0!</v>
      </c>
      <c r="K85" s="46" t="e">
        <f t="shared" si="42"/>
        <v>#DIV/0!</v>
      </c>
      <c r="L85" s="46" t="e">
        <f t="shared" si="43"/>
        <v>#DIV/0!</v>
      </c>
      <c r="M85" s="46" t="e">
        <f t="shared" si="44"/>
        <v>#DIV/0!</v>
      </c>
      <c r="N85" s="46" t="e">
        <f t="shared" si="45"/>
        <v>#DIV/0!</v>
      </c>
      <c r="O85" s="46" t="e">
        <f t="shared" si="46"/>
        <v>#DIV/0!</v>
      </c>
      <c r="P85" s="46" t="e">
        <f t="shared" si="47"/>
        <v>#DIV/0!</v>
      </c>
      <c r="Q85" s="56" t="e">
        <f>Q84+ATM_Conf!$C$5*(B84)/(Links!B$191*Links!Q$191)</f>
        <v>#DIV/0!</v>
      </c>
      <c r="R85" s="56" t="e">
        <f>R84+ATM_Conf!$C$5*(C84-B84)/(Links!C$191*Links!R$191)</f>
        <v>#DIV/0!</v>
      </c>
      <c r="S85" s="56" t="e">
        <f>S84+ATM_Conf!$C$5*(D84-C84)/(Links!D$191*Links!S$191)</f>
        <v>#DIV/0!</v>
      </c>
      <c r="T85" s="56" t="e">
        <f>T84+ATM_Conf!$C$5*(E84-D84)/(Links!E$191*Links!T$191)</f>
        <v>#DIV/0!</v>
      </c>
      <c r="U85" s="56" t="e">
        <f>U84+ATM_Conf!$C$5*(F84-E84)/(Links!F$191*Links!U$191)</f>
        <v>#DIV/0!</v>
      </c>
      <c r="V85" s="56" t="e">
        <f>V84+ATM_Conf!$C$5*(G84-F84)/(Links!G$191*Links!V$191)</f>
        <v>#DIV/0!</v>
      </c>
      <c r="W85" s="56" t="e">
        <f>W84+ATM_Conf!$C$5*(H84-G84)/(Links!H$191*Links!W$191)</f>
        <v>#DIV/0!</v>
      </c>
      <c r="X85" s="56" t="e">
        <f>X84+ATM_Conf!$C$5*(I84-H84)/(Links!I$191*Links!X$191)</f>
        <v>#DIV/0!</v>
      </c>
      <c r="Y85" s="56" t="e">
        <f>Y84+ATM_Conf!$C$5*(J84)/(Links!J$191*Links!Y$191)</f>
        <v>#DIV/0!</v>
      </c>
      <c r="Z85" s="56" t="e">
        <f>Z84+ATM_Conf!$C$5*(K84-J84)/(Links!K$191*Links!Z$191)</f>
        <v>#DIV/0!</v>
      </c>
      <c r="AA85" s="56" t="e">
        <f>AA84+ATM_Conf!$C$5*(L84-K84)/(Links!L$191*Links!AA$191)</f>
        <v>#DIV/0!</v>
      </c>
      <c r="AB85" s="56" t="e">
        <f>AB84+ATM_Conf!$C$5*(M84-L84)/(Links!M$191*Links!AB$191)</f>
        <v>#DIV/0!</v>
      </c>
      <c r="AC85" s="56" t="e">
        <f>AC84+ATM_Conf!$C$5*(N84-M84)/(Links!N$191*Links!AC$191)</f>
        <v>#DIV/0!</v>
      </c>
      <c r="AD85" s="56" t="e">
        <f>AD84+ATM_Conf!$C$5*(O84-N84)/(Links!O$191*Links!AD$191)</f>
        <v>#DIV/0!</v>
      </c>
      <c r="AE85" s="56" t="e">
        <f>AE84+ATM_Conf!$C$5*(P84-O84)/(Links!P$191*Links!AE$191)</f>
        <v>#DIV/0!</v>
      </c>
      <c r="AF85" s="46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6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6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6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6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6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6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6" t="e">
        <f>AM84+(ATM_Conf!$C$5/ATM_Conf!$C$8)*(Links!BB84*EXP((-(Links!X84/Links!BQ84)^Links!CF84)/Links!CF84)-Links!AM84)+(ATM_Conf!$C$5/Links!X$191)*Links!AM84*(Nodes!BH84-Links!AM84)</f>
        <v>#DIV/0!</v>
      </c>
      <c r="AN85" s="46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6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6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6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6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6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6" t="e">
        <f>AT84+(ATM_Conf!$C$5/ATM_Conf!$C$8)*(Links!BI84*EXP((-(Links!AE84/Links!BX84)^Links!CM84)/Links!CM84)-Links!AT84)+(ATM_Conf!$C$5/Links!AE$191)*Links!AT84*(Nodes!BN84-Links!AT84)</f>
        <v>#DIV/0!</v>
      </c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46">
        <f t="shared" si="50"/>
        <v>0</v>
      </c>
      <c r="CO85" s="46">
        <f t="shared" si="50"/>
        <v>0</v>
      </c>
      <c r="CP85" s="46">
        <f t="shared" si="50"/>
        <v>0</v>
      </c>
      <c r="CQ85" s="46">
        <f t="shared" si="50"/>
        <v>0</v>
      </c>
      <c r="CR85" s="46">
        <f t="shared" si="50"/>
        <v>0</v>
      </c>
      <c r="CS85" s="46">
        <f t="shared" si="50"/>
        <v>0</v>
      </c>
      <c r="CT85" s="46">
        <f t="shared" si="50"/>
        <v>0</v>
      </c>
      <c r="CU85" s="46">
        <f t="shared" si="50"/>
        <v>0</v>
      </c>
      <c r="CV85" s="46">
        <f t="shared" si="50"/>
        <v>0</v>
      </c>
      <c r="CW85" s="46">
        <f t="shared" si="50"/>
        <v>0</v>
      </c>
      <c r="CX85" s="46">
        <f t="shared" si="50"/>
        <v>0</v>
      </c>
      <c r="CY85" s="46">
        <f t="shared" si="50"/>
        <v>0</v>
      </c>
      <c r="CZ85" s="46">
        <f t="shared" si="50"/>
        <v>0</v>
      </c>
      <c r="DA85" s="46">
        <f t="shared" si="50"/>
        <v>0</v>
      </c>
      <c r="DB85" s="46">
        <f t="shared" si="50"/>
        <v>0</v>
      </c>
      <c r="DC85" s="54"/>
      <c r="DD85" s="54"/>
      <c r="DE85" s="54"/>
      <c r="DF85" s="54"/>
      <c r="DG85" s="54"/>
      <c r="DH85" s="54"/>
      <c r="DI85" s="54"/>
      <c r="DJ85" s="54"/>
      <c r="DK85" s="54"/>
      <c r="DL85" s="54"/>
      <c r="DM85" s="54"/>
      <c r="DN85" s="54"/>
      <c r="DO85" s="54"/>
      <c r="DP85" s="54"/>
      <c r="DQ85" s="54"/>
    </row>
    <row r="86" spans="1:121" ht="14.25" x14ac:dyDescent="0.15">
      <c r="A86" s="49">
        <v>84</v>
      </c>
      <c r="B86" s="46" t="e">
        <f t="shared" si="33"/>
        <v>#DIV/0!</v>
      </c>
      <c r="C86" s="46" t="e">
        <f t="shared" si="34"/>
        <v>#DIV/0!</v>
      </c>
      <c r="D86" s="46" t="e">
        <f t="shared" si="35"/>
        <v>#DIV/0!</v>
      </c>
      <c r="E86" s="46" t="e">
        <f t="shared" si="36"/>
        <v>#DIV/0!</v>
      </c>
      <c r="F86" s="46" t="e">
        <f t="shared" si="37"/>
        <v>#DIV/0!</v>
      </c>
      <c r="G86" s="46" t="e">
        <f t="shared" si="38"/>
        <v>#DIV/0!</v>
      </c>
      <c r="H86" s="46" t="e">
        <f t="shared" si="39"/>
        <v>#DIV/0!</v>
      </c>
      <c r="I86" s="46" t="e">
        <f t="shared" si="40"/>
        <v>#DIV/0!</v>
      </c>
      <c r="J86" s="46" t="e">
        <f t="shared" si="41"/>
        <v>#DIV/0!</v>
      </c>
      <c r="K86" s="46" t="e">
        <f t="shared" si="42"/>
        <v>#DIV/0!</v>
      </c>
      <c r="L86" s="46" t="e">
        <f t="shared" si="43"/>
        <v>#DIV/0!</v>
      </c>
      <c r="M86" s="46" t="e">
        <f t="shared" si="44"/>
        <v>#DIV/0!</v>
      </c>
      <c r="N86" s="46" t="e">
        <f t="shared" si="45"/>
        <v>#DIV/0!</v>
      </c>
      <c r="O86" s="46" t="e">
        <f t="shared" si="46"/>
        <v>#DIV/0!</v>
      </c>
      <c r="P86" s="46" t="e">
        <f t="shared" si="47"/>
        <v>#DIV/0!</v>
      </c>
      <c r="Q86" s="56" t="e">
        <f>Q85+ATM_Conf!$C$5*(B85)/(Links!B$191*Links!Q$191)</f>
        <v>#DIV/0!</v>
      </c>
      <c r="R86" s="56" t="e">
        <f>R85+ATM_Conf!$C$5*(C85-B85)/(Links!C$191*Links!R$191)</f>
        <v>#DIV/0!</v>
      </c>
      <c r="S86" s="56" t="e">
        <f>S85+ATM_Conf!$C$5*(D85-C85)/(Links!D$191*Links!S$191)</f>
        <v>#DIV/0!</v>
      </c>
      <c r="T86" s="56" t="e">
        <f>T85+ATM_Conf!$C$5*(E85-D85)/(Links!E$191*Links!T$191)</f>
        <v>#DIV/0!</v>
      </c>
      <c r="U86" s="56" t="e">
        <f>U85+ATM_Conf!$C$5*(F85-E85)/(Links!F$191*Links!U$191)</f>
        <v>#DIV/0!</v>
      </c>
      <c r="V86" s="56" t="e">
        <f>V85+ATM_Conf!$C$5*(G85-F85)/(Links!G$191*Links!V$191)</f>
        <v>#DIV/0!</v>
      </c>
      <c r="W86" s="56" t="e">
        <f>W85+ATM_Conf!$C$5*(H85-G85)/(Links!H$191*Links!W$191)</f>
        <v>#DIV/0!</v>
      </c>
      <c r="X86" s="56" t="e">
        <f>X85+ATM_Conf!$C$5*(I85-H85)/(Links!I$191*Links!X$191)</f>
        <v>#DIV/0!</v>
      </c>
      <c r="Y86" s="56" t="e">
        <f>Y85+ATM_Conf!$C$5*(J85)/(Links!J$191*Links!Y$191)</f>
        <v>#DIV/0!</v>
      </c>
      <c r="Z86" s="56" t="e">
        <f>Z85+ATM_Conf!$C$5*(K85-J85)/(Links!K$191*Links!Z$191)</f>
        <v>#DIV/0!</v>
      </c>
      <c r="AA86" s="56" t="e">
        <f>AA85+ATM_Conf!$C$5*(L85-K85)/(Links!L$191*Links!AA$191)</f>
        <v>#DIV/0!</v>
      </c>
      <c r="AB86" s="56" t="e">
        <f>AB85+ATM_Conf!$C$5*(M85-L85)/(Links!M$191*Links!AB$191)</f>
        <v>#DIV/0!</v>
      </c>
      <c r="AC86" s="56" t="e">
        <f>AC85+ATM_Conf!$C$5*(N85-M85)/(Links!N$191*Links!AC$191)</f>
        <v>#DIV/0!</v>
      </c>
      <c r="AD86" s="56" t="e">
        <f>AD85+ATM_Conf!$C$5*(O85-N85)/(Links!O$191*Links!AD$191)</f>
        <v>#DIV/0!</v>
      </c>
      <c r="AE86" s="56" t="e">
        <f>AE85+ATM_Conf!$C$5*(P85-O85)/(Links!P$191*Links!AE$191)</f>
        <v>#DIV/0!</v>
      </c>
      <c r="AF86" s="46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6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6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6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6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6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6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6" t="e">
        <f>AM85+(ATM_Conf!$C$5/ATM_Conf!$C$8)*(Links!BB85*EXP((-(Links!X85/Links!BQ85)^Links!CF85)/Links!CF85)-Links!AM85)+(ATM_Conf!$C$5/Links!X$191)*Links!AM85*(Nodes!BH85-Links!AM85)</f>
        <v>#DIV/0!</v>
      </c>
      <c r="AN86" s="46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6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6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6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6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6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6" t="e">
        <f>AT85+(ATM_Conf!$C$5/ATM_Conf!$C$8)*(Links!BI85*EXP((-(Links!AE85/Links!BX85)^Links!CM85)/Links!CM85)-Links!AT85)+(ATM_Conf!$C$5/Links!AE$191)*Links!AT85*(Nodes!BN85-Links!AT85)</f>
        <v>#DIV/0!</v>
      </c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46">
        <f t="shared" si="50"/>
        <v>0</v>
      </c>
      <c r="CO86" s="46">
        <f t="shared" si="50"/>
        <v>0</v>
      </c>
      <c r="CP86" s="46">
        <f t="shared" si="50"/>
        <v>0</v>
      </c>
      <c r="CQ86" s="46">
        <f t="shared" si="50"/>
        <v>0</v>
      </c>
      <c r="CR86" s="46">
        <f t="shared" si="50"/>
        <v>0</v>
      </c>
      <c r="CS86" s="46">
        <f t="shared" si="50"/>
        <v>0</v>
      </c>
      <c r="CT86" s="46">
        <f t="shared" si="50"/>
        <v>0</v>
      </c>
      <c r="CU86" s="46">
        <f t="shared" si="50"/>
        <v>0</v>
      </c>
      <c r="CV86" s="46">
        <f t="shared" si="50"/>
        <v>0</v>
      </c>
      <c r="CW86" s="46">
        <f t="shared" si="50"/>
        <v>0</v>
      </c>
      <c r="CX86" s="46">
        <f t="shared" si="50"/>
        <v>0</v>
      </c>
      <c r="CY86" s="46">
        <f t="shared" si="50"/>
        <v>0</v>
      </c>
      <c r="CZ86" s="46">
        <f t="shared" si="50"/>
        <v>0</v>
      </c>
      <c r="DA86" s="46">
        <f t="shared" si="50"/>
        <v>0</v>
      </c>
      <c r="DB86" s="46">
        <f t="shared" si="50"/>
        <v>0</v>
      </c>
      <c r="DC86" s="54"/>
      <c r="DD86" s="54"/>
      <c r="DE86" s="54"/>
      <c r="DF86" s="54"/>
      <c r="DG86" s="54"/>
      <c r="DH86" s="54"/>
      <c r="DI86" s="54"/>
      <c r="DJ86" s="54"/>
      <c r="DK86" s="54"/>
      <c r="DL86" s="54"/>
      <c r="DM86" s="54"/>
      <c r="DN86" s="54"/>
      <c r="DO86" s="54"/>
      <c r="DP86" s="54"/>
      <c r="DQ86" s="54"/>
    </row>
    <row r="87" spans="1:121" ht="14.25" x14ac:dyDescent="0.15">
      <c r="A87" s="49">
        <v>85</v>
      </c>
      <c r="B87" s="46" t="e">
        <f t="shared" si="33"/>
        <v>#DIV/0!</v>
      </c>
      <c r="C87" s="46" t="e">
        <f t="shared" si="34"/>
        <v>#DIV/0!</v>
      </c>
      <c r="D87" s="46" t="e">
        <f t="shared" si="35"/>
        <v>#DIV/0!</v>
      </c>
      <c r="E87" s="46" t="e">
        <f t="shared" si="36"/>
        <v>#DIV/0!</v>
      </c>
      <c r="F87" s="46" t="e">
        <f t="shared" si="37"/>
        <v>#DIV/0!</v>
      </c>
      <c r="G87" s="46" t="e">
        <f t="shared" si="38"/>
        <v>#DIV/0!</v>
      </c>
      <c r="H87" s="46" t="e">
        <f t="shared" si="39"/>
        <v>#DIV/0!</v>
      </c>
      <c r="I87" s="46" t="e">
        <f t="shared" si="40"/>
        <v>#DIV/0!</v>
      </c>
      <c r="J87" s="46" t="e">
        <f t="shared" si="41"/>
        <v>#DIV/0!</v>
      </c>
      <c r="K87" s="46" t="e">
        <f t="shared" si="42"/>
        <v>#DIV/0!</v>
      </c>
      <c r="L87" s="46" t="e">
        <f t="shared" si="43"/>
        <v>#DIV/0!</v>
      </c>
      <c r="M87" s="46" t="e">
        <f t="shared" si="44"/>
        <v>#DIV/0!</v>
      </c>
      <c r="N87" s="46" t="e">
        <f t="shared" si="45"/>
        <v>#DIV/0!</v>
      </c>
      <c r="O87" s="46" t="e">
        <f t="shared" si="46"/>
        <v>#DIV/0!</v>
      </c>
      <c r="P87" s="46" t="e">
        <f t="shared" si="47"/>
        <v>#DIV/0!</v>
      </c>
      <c r="Q87" s="56" t="e">
        <f>Q86+ATM_Conf!$C$5*(B86)/(Links!B$191*Links!Q$191)</f>
        <v>#DIV/0!</v>
      </c>
      <c r="R87" s="56" t="e">
        <f>R86+ATM_Conf!$C$5*(C86-B86)/(Links!C$191*Links!R$191)</f>
        <v>#DIV/0!</v>
      </c>
      <c r="S87" s="56" t="e">
        <f>S86+ATM_Conf!$C$5*(D86-C86)/(Links!D$191*Links!S$191)</f>
        <v>#DIV/0!</v>
      </c>
      <c r="T87" s="56" t="e">
        <f>T86+ATM_Conf!$C$5*(E86-D86)/(Links!E$191*Links!T$191)</f>
        <v>#DIV/0!</v>
      </c>
      <c r="U87" s="56" t="e">
        <f>U86+ATM_Conf!$C$5*(F86-E86)/(Links!F$191*Links!U$191)</f>
        <v>#DIV/0!</v>
      </c>
      <c r="V87" s="56" t="e">
        <f>V86+ATM_Conf!$C$5*(G86-F86)/(Links!G$191*Links!V$191)</f>
        <v>#DIV/0!</v>
      </c>
      <c r="W87" s="56" t="e">
        <f>W86+ATM_Conf!$C$5*(H86-G86)/(Links!H$191*Links!W$191)</f>
        <v>#DIV/0!</v>
      </c>
      <c r="X87" s="56" t="e">
        <f>X86+ATM_Conf!$C$5*(I86-H86)/(Links!I$191*Links!X$191)</f>
        <v>#DIV/0!</v>
      </c>
      <c r="Y87" s="56" t="e">
        <f>Y86+ATM_Conf!$C$5*(J86)/(Links!J$191*Links!Y$191)</f>
        <v>#DIV/0!</v>
      </c>
      <c r="Z87" s="56" t="e">
        <f>Z86+ATM_Conf!$C$5*(K86-J86)/(Links!K$191*Links!Z$191)</f>
        <v>#DIV/0!</v>
      </c>
      <c r="AA87" s="56" t="e">
        <f>AA86+ATM_Conf!$C$5*(L86-K86)/(Links!L$191*Links!AA$191)</f>
        <v>#DIV/0!</v>
      </c>
      <c r="AB87" s="56" t="e">
        <f>AB86+ATM_Conf!$C$5*(M86-L86)/(Links!M$191*Links!AB$191)</f>
        <v>#DIV/0!</v>
      </c>
      <c r="AC87" s="56" t="e">
        <f>AC86+ATM_Conf!$C$5*(N86-M86)/(Links!N$191*Links!AC$191)</f>
        <v>#DIV/0!</v>
      </c>
      <c r="AD87" s="56" t="e">
        <f>AD86+ATM_Conf!$C$5*(O86-N86)/(Links!O$191*Links!AD$191)</f>
        <v>#DIV/0!</v>
      </c>
      <c r="AE87" s="56" t="e">
        <f>AE86+ATM_Conf!$C$5*(P86-O86)/(Links!P$191*Links!AE$191)</f>
        <v>#DIV/0!</v>
      </c>
      <c r="AF87" s="46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6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6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6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6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6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6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6" t="e">
        <f>AM86+(ATM_Conf!$C$5/ATM_Conf!$C$8)*(Links!BB86*EXP((-(Links!X86/Links!BQ86)^Links!CF86)/Links!CF86)-Links!AM86)+(ATM_Conf!$C$5/Links!X$191)*Links!AM86*(Nodes!BH86-Links!AM86)</f>
        <v>#DIV/0!</v>
      </c>
      <c r="AN87" s="46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6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6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6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6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6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6" t="e">
        <f>AT86+(ATM_Conf!$C$5/ATM_Conf!$C$8)*(Links!BI86*EXP((-(Links!AE86/Links!BX86)^Links!CM86)/Links!CM86)-Links!AT86)+(ATM_Conf!$C$5/Links!AE$191)*Links!AT86*(Nodes!BN86-Links!AT86)</f>
        <v>#DIV/0!</v>
      </c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54">
        <f>(CN87-CN75)^2</f>
        <v>0</v>
      </c>
      <c r="DD87" s="54">
        <f t="shared" ref="DD87:DQ87" si="51">(CO87-CO75)^2</f>
        <v>0</v>
      </c>
      <c r="DE87" s="54">
        <f t="shared" si="51"/>
        <v>0</v>
      </c>
      <c r="DF87" s="54">
        <f t="shared" si="51"/>
        <v>0</v>
      </c>
      <c r="DG87" s="54">
        <f t="shared" si="51"/>
        <v>0</v>
      </c>
      <c r="DH87" s="54">
        <f t="shared" si="51"/>
        <v>0</v>
      </c>
      <c r="DI87" s="54">
        <f t="shared" si="51"/>
        <v>0</v>
      </c>
      <c r="DJ87" s="54">
        <f t="shared" si="51"/>
        <v>0</v>
      </c>
      <c r="DK87" s="54">
        <f t="shared" si="51"/>
        <v>0</v>
      </c>
      <c r="DL87" s="54">
        <f t="shared" si="51"/>
        <v>0</v>
      </c>
      <c r="DM87" s="54">
        <f t="shared" si="51"/>
        <v>0</v>
      </c>
      <c r="DN87" s="54">
        <f t="shared" si="51"/>
        <v>0</v>
      </c>
      <c r="DO87" s="54">
        <f t="shared" si="51"/>
        <v>0</v>
      </c>
      <c r="DP87" s="54">
        <f t="shared" si="51"/>
        <v>0</v>
      </c>
      <c r="DQ87" s="54">
        <f t="shared" si="51"/>
        <v>0</v>
      </c>
    </row>
    <row r="88" spans="1:121" ht="14.25" x14ac:dyDescent="0.15">
      <c r="A88" s="49">
        <v>86</v>
      </c>
      <c r="B88" s="46" t="e">
        <f t="shared" si="33"/>
        <v>#DIV/0!</v>
      </c>
      <c r="C88" s="46" t="e">
        <f t="shared" si="34"/>
        <v>#DIV/0!</v>
      </c>
      <c r="D88" s="46" t="e">
        <f t="shared" si="35"/>
        <v>#DIV/0!</v>
      </c>
      <c r="E88" s="46" t="e">
        <f t="shared" si="36"/>
        <v>#DIV/0!</v>
      </c>
      <c r="F88" s="46" t="e">
        <f t="shared" si="37"/>
        <v>#DIV/0!</v>
      </c>
      <c r="G88" s="46" t="e">
        <f t="shared" si="38"/>
        <v>#DIV/0!</v>
      </c>
      <c r="H88" s="46" t="e">
        <f t="shared" si="39"/>
        <v>#DIV/0!</v>
      </c>
      <c r="I88" s="46" t="e">
        <f t="shared" si="40"/>
        <v>#DIV/0!</v>
      </c>
      <c r="J88" s="46" t="e">
        <f t="shared" si="41"/>
        <v>#DIV/0!</v>
      </c>
      <c r="K88" s="46" t="e">
        <f t="shared" si="42"/>
        <v>#DIV/0!</v>
      </c>
      <c r="L88" s="46" t="e">
        <f t="shared" si="43"/>
        <v>#DIV/0!</v>
      </c>
      <c r="M88" s="46" t="e">
        <f t="shared" si="44"/>
        <v>#DIV/0!</v>
      </c>
      <c r="N88" s="46" t="e">
        <f t="shared" si="45"/>
        <v>#DIV/0!</v>
      </c>
      <c r="O88" s="46" t="e">
        <f t="shared" si="46"/>
        <v>#DIV/0!</v>
      </c>
      <c r="P88" s="46" t="e">
        <f t="shared" si="47"/>
        <v>#DIV/0!</v>
      </c>
      <c r="Q88" s="56" t="e">
        <f>Q87+ATM_Conf!$C$5*(B87)/(Links!B$191*Links!Q$191)</f>
        <v>#DIV/0!</v>
      </c>
      <c r="R88" s="56" t="e">
        <f>R87+ATM_Conf!$C$5*(C87-B87)/(Links!C$191*Links!R$191)</f>
        <v>#DIV/0!</v>
      </c>
      <c r="S88" s="56" t="e">
        <f>S87+ATM_Conf!$C$5*(D87-C87)/(Links!D$191*Links!S$191)</f>
        <v>#DIV/0!</v>
      </c>
      <c r="T88" s="56" t="e">
        <f>T87+ATM_Conf!$C$5*(E87-D87)/(Links!E$191*Links!T$191)</f>
        <v>#DIV/0!</v>
      </c>
      <c r="U88" s="56" t="e">
        <f>U87+ATM_Conf!$C$5*(F87-E87)/(Links!F$191*Links!U$191)</f>
        <v>#DIV/0!</v>
      </c>
      <c r="V88" s="56" t="e">
        <f>V87+ATM_Conf!$C$5*(G87-F87)/(Links!G$191*Links!V$191)</f>
        <v>#DIV/0!</v>
      </c>
      <c r="W88" s="56" t="e">
        <f>W87+ATM_Conf!$C$5*(H87-G87)/(Links!H$191*Links!W$191)</f>
        <v>#DIV/0!</v>
      </c>
      <c r="X88" s="56" t="e">
        <f>X87+ATM_Conf!$C$5*(I87-H87)/(Links!I$191*Links!X$191)</f>
        <v>#DIV/0!</v>
      </c>
      <c r="Y88" s="56" t="e">
        <f>Y87+ATM_Conf!$C$5*(J87)/(Links!J$191*Links!Y$191)</f>
        <v>#DIV/0!</v>
      </c>
      <c r="Z88" s="56" t="e">
        <f>Z87+ATM_Conf!$C$5*(K87-J87)/(Links!K$191*Links!Z$191)</f>
        <v>#DIV/0!</v>
      </c>
      <c r="AA88" s="56" t="e">
        <f>AA87+ATM_Conf!$C$5*(L87-K87)/(Links!L$191*Links!AA$191)</f>
        <v>#DIV/0!</v>
      </c>
      <c r="AB88" s="56" t="e">
        <f>AB87+ATM_Conf!$C$5*(M87-L87)/(Links!M$191*Links!AB$191)</f>
        <v>#DIV/0!</v>
      </c>
      <c r="AC88" s="56" t="e">
        <f>AC87+ATM_Conf!$C$5*(N87-M87)/(Links!N$191*Links!AC$191)</f>
        <v>#DIV/0!</v>
      </c>
      <c r="AD88" s="56" t="e">
        <f>AD87+ATM_Conf!$C$5*(O87-N87)/(Links!O$191*Links!AD$191)</f>
        <v>#DIV/0!</v>
      </c>
      <c r="AE88" s="56" t="e">
        <f>AE87+ATM_Conf!$C$5*(P87-O87)/(Links!P$191*Links!AE$191)</f>
        <v>#DIV/0!</v>
      </c>
      <c r="AF88" s="46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6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6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6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6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6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6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6" t="e">
        <f>AM87+(ATM_Conf!$C$5/ATM_Conf!$C$8)*(Links!BB87*EXP((-(Links!X87/Links!BQ87)^Links!CF87)/Links!CF87)-Links!AM87)+(ATM_Conf!$C$5/Links!X$191)*Links!AM87*(Nodes!BH87-Links!AM87)</f>
        <v>#DIV/0!</v>
      </c>
      <c r="AN88" s="46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6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6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6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6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6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6" t="e">
        <f>AT87+(ATM_Conf!$C$5/ATM_Conf!$C$8)*(Links!BI87*EXP((-(Links!AE87/Links!BX87)^Links!CM87)/Links!CM87)-Links!AT87)+(ATM_Conf!$C$5/Links!AE$191)*Links!AT87*(Nodes!BN87-Links!AT87)</f>
        <v>#DIV/0!</v>
      </c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46">
        <f>CN$87</f>
        <v>0</v>
      </c>
      <c r="CO88" s="46">
        <f t="shared" ref="CO88:DB88" si="52">CO$87</f>
        <v>0</v>
      </c>
      <c r="CP88" s="46">
        <f t="shared" si="52"/>
        <v>0</v>
      </c>
      <c r="CQ88" s="46">
        <f t="shared" si="52"/>
        <v>0</v>
      </c>
      <c r="CR88" s="46">
        <f t="shared" si="52"/>
        <v>0</v>
      </c>
      <c r="CS88" s="46">
        <f t="shared" si="52"/>
        <v>0</v>
      </c>
      <c r="CT88" s="46">
        <f t="shared" si="52"/>
        <v>0</v>
      </c>
      <c r="CU88" s="46">
        <f t="shared" si="52"/>
        <v>0</v>
      </c>
      <c r="CV88" s="46">
        <f t="shared" si="52"/>
        <v>0</v>
      </c>
      <c r="CW88" s="46">
        <f t="shared" si="52"/>
        <v>0</v>
      </c>
      <c r="CX88" s="46">
        <f t="shared" si="52"/>
        <v>0</v>
      </c>
      <c r="CY88" s="46">
        <f t="shared" si="52"/>
        <v>0</v>
      </c>
      <c r="CZ88" s="46">
        <f t="shared" si="52"/>
        <v>0</v>
      </c>
      <c r="DA88" s="46">
        <f t="shared" si="52"/>
        <v>0</v>
      </c>
      <c r="DB88" s="46">
        <f t="shared" si="52"/>
        <v>0</v>
      </c>
      <c r="DC88" s="54"/>
      <c r="DD88" s="54"/>
      <c r="DE88" s="54"/>
      <c r="DF88" s="54"/>
      <c r="DG88" s="54"/>
      <c r="DH88" s="54"/>
      <c r="DI88" s="54"/>
      <c r="DJ88" s="54"/>
      <c r="DK88" s="54"/>
      <c r="DL88" s="54"/>
      <c r="DM88" s="54"/>
      <c r="DN88" s="54"/>
      <c r="DO88" s="54"/>
      <c r="DP88" s="54"/>
      <c r="DQ88" s="54"/>
    </row>
    <row r="89" spans="1:121" ht="14.25" x14ac:dyDescent="0.15">
      <c r="A89" s="49">
        <v>87</v>
      </c>
      <c r="B89" s="46" t="e">
        <f t="shared" si="33"/>
        <v>#DIV/0!</v>
      </c>
      <c r="C89" s="46" t="e">
        <f t="shared" si="34"/>
        <v>#DIV/0!</v>
      </c>
      <c r="D89" s="46" t="e">
        <f t="shared" si="35"/>
        <v>#DIV/0!</v>
      </c>
      <c r="E89" s="46" t="e">
        <f t="shared" si="36"/>
        <v>#DIV/0!</v>
      </c>
      <c r="F89" s="46" t="e">
        <f t="shared" si="37"/>
        <v>#DIV/0!</v>
      </c>
      <c r="G89" s="46" t="e">
        <f t="shared" si="38"/>
        <v>#DIV/0!</v>
      </c>
      <c r="H89" s="46" t="e">
        <f t="shared" si="39"/>
        <v>#DIV/0!</v>
      </c>
      <c r="I89" s="46" t="e">
        <f t="shared" si="40"/>
        <v>#DIV/0!</v>
      </c>
      <c r="J89" s="46" t="e">
        <f t="shared" si="41"/>
        <v>#DIV/0!</v>
      </c>
      <c r="K89" s="46" t="e">
        <f t="shared" si="42"/>
        <v>#DIV/0!</v>
      </c>
      <c r="L89" s="46" t="e">
        <f t="shared" si="43"/>
        <v>#DIV/0!</v>
      </c>
      <c r="M89" s="46" t="e">
        <f t="shared" si="44"/>
        <v>#DIV/0!</v>
      </c>
      <c r="N89" s="46" t="e">
        <f t="shared" si="45"/>
        <v>#DIV/0!</v>
      </c>
      <c r="O89" s="46" t="e">
        <f t="shared" si="46"/>
        <v>#DIV/0!</v>
      </c>
      <c r="P89" s="46" t="e">
        <f t="shared" si="47"/>
        <v>#DIV/0!</v>
      </c>
      <c r="Q89" s="56" t="e">
        <f>Q88+ATM_Conf!$C$5*(B88)/(Links!B$191*Links!Q$191)</f>
        <v>#DIV/0!</v>
      </c>
      <c r="R89" s="56" t="e">
        <f>R88+ATM_Conf!$C$5*(C88-B88)/(Links!C$191*Links!R$191)</f>
        <v>#DIV/0!</v>
      </c>
      <c r="S89" s="56" t="e">
        <f>S88+ATM_Conf!$C$5*(D88-C88)/(Links!D$191*Links!S$191)</f>
        <v>#DIV/0!</v>
      </c>
      <c r="T89" s="56" t="e">
        <f>T88+ATM_Conf!$C$5*(E88-D88)/(Links!E$191*Links!T$191)</f>
        <v>#DIV/0!</v>
      </c>
      <c r="U89" s="56" t="e">
        <f>U88+ATM_Conf!$C$5*(F88-E88)/(Links!F$191*Links!U$191)</f>
        <v>#DIV/0!</v>
      </c>
      <c r="V89" s="56" t="e">
        <f>V88+ATM_Conf!$C$5*(G88-F88)/(Links!G$191*Links!V$191)</f>
        <v>#DIV/0!</v>
      </c>
      <c r="W89" s="56" t="e">
        <f>W88+ATM_Conf!$C$5*(H88-G88)/(Links!H$191*Links!W$191)</f>
        <v>#DIV/0!</v>
      </c>
      <c r="X89" s="56" t="e">
        <f>X88+ATM_Conf!$C$5*(I88-H88)/(Links!I$191*Links!X$191)</f>
        <v>#DIV/0!</v>
      </c>
      <c r="Y89" s="56" t="e">
        <f>Y88+ATM_Conf!$C$5*(J88)/(Links!J$191*Links!Y$191)</f>
        <v>#DIV/0!</v>
      </c>
      <c r="Z89" s="56" t="e">
        <f>Z88+ATM_Conf!$C$5*(K88-J88)/(Links!K$191*Links!Z$191)</f>
        <v>#DIV/0!</v>
      </c>
      <c r="AA89" s="56" t="e">
        <f>AA88+ATM_Conf!$C$5*(L88-K88)/(Links!L$191*Links!AA$191)</f>
        <v>#DIV/0!</v>
      </c>
      <c r="AB89" s="56" t="e">
        <f>AB88+ATM_Conf!$C$5*(M88-L88)/(Links!M$191*Links!AB$191)</f>
        <v>#DIV/0!</v>
      </c>
      <c r="AC89" s="56" t="e">
        <f>AC88+ATM_Conf!$C$5*(N88-M88)/(Links!N$191*Links!AC$191)</f>
        <v>#DIV/0!</v>
      </c>
      <c r="AD89" s="56" t="e">
        <f>AD88+ATM_Conf!$C$5*(O88-N88)/(Links!O$191*Links!AD$191)</f>
        <v>#DIV/0!</v>
      </c>
      <c r="AE89" s="56" t="e">
        <f>AE88+ATM_Conf!$C$5*(P88-O88)/(Links!P$191*Links!AE$191)</f>
        <v>#DIV/0!</v>
      </c>
      <c r="AF89" s="46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6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6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6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6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6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6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6" t="e">
        <f>AM88+(ATM_Conf!$C$5/ATM_Conf!$C$8)*(Links!BB88*EXP((-(Links!X88/Links!BQ88)^Links!CF88)/Links!CF88)-Links!AM88)+(ATM_Conf!$C$5/Links!X$191)*Links!AM88*(Nodes!BH88-Links!AM88)</f>
        <v>#DIV/0!</v>
      </c>
      <c r="AN89" s="46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6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6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6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6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6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6" t="e">
        <f>AT88+(ATM_Conf!$C$5/ATM_Conf!$C$8)*(Links!BI88*EXP((-(Links!AE88/Links!BX88)^Links!CM88)/Links!CM88)-Links!AT88)+(ATM_Conf!$C$5/Links!AE$191)*Links!AT88*(Nodes!BN88-Links!AT88)</f>
        <v>#DIV/0!</v>
      </c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46">
        <f t="shared" ref="CN89:DB98" si="53">CN$87</f>
        <v>0</v>
      </c>
      <c r="CO89" s="46">
        <f t="shared" si="53"/>
        <v>0</v>
      </c>
      <c r="CP89" s="46">
        <f t="shared" si="53"/>
        <v>0</v>
      </c>
      <c r="CQ89" s="46">
        <f t="shared" si="53"/>
        <v>0</v>
      </c>
      <c r="CR89" s="46">
        <f t="shared" si="53"/>
        <v>0</v>
      </c>
      <c r="CS89" s="46">
        <f t="shared" si="53"/>
        <v>0</v>
      </c>
      <c r="CT89" s="46">
        <f t="shared" si="53"/>
        <v>0</v>
      </c>
      <c r="CU89" s="46">
        <f t="shared" si="53"/>
        <v>0</v>
      </c>
      <c r="CV89" s="46">
        <f t="shared" si="53"/>
        <v>0</v>
      </c>
      <c r="CW89" s="46">
        <f t="shared" si="53"/>
        <v>0</v>
      </c>
      <c r="CX89" s="46">
        <f t="shared" si="53"/>
        <v>0</v>
      </c>
      <c r="CY89" s="46">
        <f t="shared" si="53"/>
        <v>0</v>
      </c>
      <c r="CZ89" s="46">
        <f t="shared" si="53"/>
        <v>0</v>
      </c>
      <c r="DA89" s="46">
        <f t="shared" si="53"/>
        <v>0</v>
      </c>
      <c r="DB89" s="46">
        <f t="shared" si="53"/>
        <v>0</v>
      </c>
      <c r="DC89" s="54"/>
      <c r="DD89" s="54"/>
      <c r="DE89" s="54"/>
      <c r="DF89" s="54"/>
      <c r="DG89" s="54"/>
      <c r="DH89" s="54"/>
      <c r="DI89" s="54"/>
      <c r="DJ89" s="54"/>
      <c r="DK89" s="54"/>
      <c r="DL89" s="54"/>
      <c r="DM89" s="54"/>
      <c r="DN89" s="54"/>
      <c r="DO89" s="54"/>
      <c r="DP89" s="54"/>
      <c r="DQ89" s="54"/>
    </row>
    <row r="90" spans="1:121" ht="14.25" x14ac:dyDescent="0.15">
      <c r="A90" s="49">
        <v>88</v>
      </c>
      <c r="B90" s="46" t="e">
        <f t="shared" si="33"/>
        <v>#DIV/0!</v>
      </c>
      <c r="C90" s="46" t="e">
        <f t="shared" si="34"/>
        <v>#DIV/0!</v>
      </c>
      <c r="D90" s="46" t="e">
        <f t="shared" si="35"/>
        <v>#DIV/0!</v>
      </c>
      <c r="E90" s="46" t="e">
        <f t="shared" si="36"/>
        <v>#DIV/0!</v>
      </c>
      <c r="F90" s="46" t="e">
        <f t="shared" si="37"/>
        <v>#DIV/0!</v>
      </c>
      <c r="G90" s="46" t="e">
        <f t="shared" si="38"/>
        <v>#DIV/0!</v>
      </c>
      <c r="H90" s="46" t="e">
        <f t="shared" si="39"/>
        <v>#DIV/0!</v>
      </c>
      <c r="I90" s="46" t="e">
        <f t="shared" si="40"/>
        <v>#DIV/0!</v>
      </c>
      <c r="J90" s="46" t="e">
        <f t="shared" si="41"/>
        <v>#DIV/0!</v>
      </c>
      <c r="K90" s="46" t="e">
        <f t="shared" si="42"/>
        <v>#DIV/0!</v>
      </c>
      <c r="L90" s="46" t="e">
        <f t="shared" si="43"/>
        <v>#DIV/0!</v>
      </c>
      <c r="M90" s="46" t="e">
        <f t="shared" si="44"/>
        <v>#DIV/0!</v>
      </c>
      <c r="N90" s="46" t="e">
        <f t="shared" si="45"/>
        <v>#DIV/0!</v>
      </c>
      <c r="O90" s="46" t="e">
        <f t="shared" si="46"/>
        <v>#DIV/0!</v>
      </c>
      <c r="P90" s="46" t="e">
        <f t="shared" si="47"/>
        <v>#DIV/0!</v>
      </c>
      <c r="Q90" s="56" t="e">
        <f>Q89+ATM_Conf!$C$5*(B89)/(Links!B$191*Links!Q$191)</f>
        <v>#DIV/0!</v>
      </c>
      <c r="R90" s="56" t="e">
        <f>R89+ATM_Conf!$C$5*(C89-B89)/(Links!C$191*Links!R$191)</f>
        <v>#DIV/0!</v>
      </c>
      <c r="S90" s="56" t="e">
        <f>S89+ATM_Conf!$C$5*(D89-C89)/(Links!D$191*Links!S$191)</f>
        <v>#DIV/0!</v>
      </c>
      <c r="T90" s="56" t="e">
        <f>T89+ATM_Conf!$C$5*(E89-D89)/(Links!E$191*Links!T$191)</f>
        <v>#DIV/0!</v>
      </c>
      <c r="U90" s="56" t="e">
        <f>U89+ATM_Conf!$C$5*(F89-E89)/(Links!F$191*Links!U$191)</f>
        <v>#DIV/0!</v>
      </c>
      <c r="V90" s="56" t="e">
        <f>V89+ATM_Conf!$C$5*(G89-F89)/(Links!G$191*Links!V$191)</f>
        <v>#DIV/0!</v>
      </c>
      <c r="W90" s="56" t="e">
        <f>W89+ATM_Conf!$C$5*(H89-G89)/(Links!H$191*Links!W$191)</f>
        <v>#DIV/0!</v>
      </c>
      <c r="X90" s="56" t="e">
        <f>X89+ATM_Conf!$C$5*(I89-H89)/(Links!I$191*Links!X$191)</f>
        <v>#DIV/0!</v>
      </c>
      <c r="Y90" s="56" t="e">
        <f>Y89+ATM_Conf!$C$5*(J89)/(Links!J$191*Links!Y$191)</f>
        <v>#DIV/0!</v>
      </c>
      <c r="Z90" s="56" t="e">
        <f>Z89+ATM_Conf!$C$5*(K89-J89)/(Links!K$191*Links!Z$191)</f>
        <v>#DIV/0!</v>
      </c>
      <c r="AA90" s="56" t="e">
        <f>AA89+ATM_Conf!$C$5*(L89-K89)/(Links!L$191*Links!AA$191)</f>
        <v>#DIV/0!</v>
      </c>
      <c r="AB90" s="56" t="e">
        <f>AB89+ATM_Conf!$C$5*(M89-L89)/(Links!M$191*Links!AB$191)</f>
        <v>#DIV/0!</v>
      </c>
      <c r="AC90" s="56" t="e">
        <f>AC89+ATM_Conf!$C$5*(N89-M89)/(Links!N$191*Links!AC$191)</f>
        <v>#DIV/0!</v>
      </c>
      <c r="AD90" s="56" t="e">
        <f>AD89+ATM_Conf!$C$5*(O89-N89)/(Links!O$191*Links!AD$191)</f>
        <v>#DIV/0!</v>
      </c>
      <c r="AE90" s="56" t="e">
        <f>AE89+ATM_Conf!$C$5*(P89-O89)/(Links!P$191*Links!AE$191)</f>
        <v>#DIV/0!</v>
      </c>
      <c r="AF90" s="46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6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6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6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6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6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6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6" t="e">
        <f>AM89+(ATM_Conf!$C$5/ATM_Conf!$C$8)*(Links!BB89*EXP((-(Links!X89/Links!BQ89)^Links!CF89)/Links!CF89)-Links!AM89)+(ATM_Conf!$C$5/Links!X$191)*Links!AM89*(Nodes!BH89-Links!AM89)</f>
        <v>#DIV/0!</v>
      </c>
      <c r="AN90" s="46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6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6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6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6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6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6" t="e">
        <f>AT89+(ATM_Conf!$C$5/ATM_Conf!$C$8)*(Links!BI89*EXP((-(Links!AE89/Links!BX89)^Links!CM89)/Links!CM89)-Links!AT89)+(ATM_Conf!$C$5/Links!AE$191)*Links!AT89*(Nodes!BN89-Links!AT89)</f>
        <v>#DIV/0!</v>
      </c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46">
        <f t="shared" si="53"/>
        <v>0</v>
      </c>
      <c r="CO90" s="46">
        <f t="shared" si="53"/>
        <v>0</v>
      </c>
      <c r="CP90" s="46">
        <f t="shared" si="53"/>
        <v>0</v>
      </c>
      <c r="CQ90" s="46">
        <f t="shared" si="53"/>
        <v>0</v>
      </c>
      <c r="CR90" s="46">
        <f t="shared" si="53"/>
        <v>0</v>
      </c>
      <c r="CS90" s="46">
        <f t="shared" si="53"/>
        <v>0</v>
      </c>
      <c r="CT90" s="46">
        <f t="shared" si="53"/>
        <v>0</v>
      </c>
      <c r="CU90" s="46">
        <f t="shared" si="53"/>
        <v>0</v>
      </c>
      <c r="CV90" s="46">
        <f t="shared" si="53"/>
        <v>0</v>
      </c>
      <c r="CW90" s="46">
        <f t="shared" si="53"/>
        <v>0</v>
      </c>
      <c r="CX90" s="46">
        <f t="shared" si="53"/>
        <v>0</v>
      </c>
      <c r="CY90" s="46">
        <f t="shared" si="53"/>
        <v>0</v>
      </c>
      <c r="CZ90" s="46">
        <f t="shared" si="53"/>
        <v>0</v>
      </c>
      <c r="DA90" s="46">
        <f t="shared" si="53"/>
        <v>0</v>
      </c>
      <c r="DB90" s="46">
        <f t="shared" si="53"/>
        <v>0</v>
      </c>
      <c r="DC90" s="54"/>
      <c r="DD90" s="54"/>
      <c r="DE90" s="54"/>
      <c r="DF90" s="54"/>
      <c r="DG90" s="54"/>
      <c r="DH90" s="54"/>
      <c r="DI90" s="54"/>
      <c r="DJ90" s="54"/>
      <c r="DK90" s="54"/>
      <c r="DL90" s="54"/>
      <c r="DM90" s="54"/>
      <c r="DN90" s="54"/>
      <c r="DO90" s="54"/>
      <c r="DP90" s="54"/>
      <c r="DQ90" s="54"/>
    </row>
    <row r="91" spans="1:121" ht="14.25" x14ac:dyDescent="0.15">
      <c r="A91" s="49">
        <v>89</v>
      </c>
      <c r="B91" s="46" t="e">
        <f t="shared" si="33"/>
        <v>#DIV/0!</v>
      </c>
      <c r="C91" s="46" t="e">
        <f t="shared" si="34"/>
        <v>#DIV/0!</v>
      </c>
      <c r="D91" s="46" t="e">
        <f t="shared" si="35"/>
        <v>#DIV/0!</v>
      </c>
      <c r="E91" s="46" t="e">
        <f t="shared" si="36"/>
        <v>#DIV/0!</v>
      </c>
      <c r="F91" s="46" t="e">
        <f t="shared" si="37"/>
        <v>#DIV/0!</v>
      </c>
      <c r="G91" s="46" t="e">
        <f t="shared" si="38"/>
        <v>#DIV/0!</v>
      </c>
      <c r="H91" s="46" t="e">
        <f t="shared" si="39"/>
        <v>#DIV/0!</v>
      </c>
      <c r="I91" s="46" t="e">
        <f t="shared" si="40"/>
        <v>#DIV/0!</v>
      </c>
      <c r="J91" s="46" t="e">
        <f t="shared" si="41"/>
        <v>#DIV/0!</v>
      </c>
      <c r="K91" s="46" t="e">
        <f t="shared" si="42"/>
        <v>#DIV/0!</v>
      </c>
      <c r="L91" s="46" t="e">
        <f t="shared" si="43"/>
        <v>#DIV/0!</v>
      </c>
      <c r="M91" s="46" t="e">
        <f t="shared" si="44"/>
        <v>#DIV/0!</v>
      </c>
      <c r="N91" s="46" t="e">
        <f t="shared" si="45"/>
        <v>#DIV/0!</v>
      </c>
      <c r="O91" s="46" t="e">
        <f t="shared" si="46"/>
        <v>#DIV/0!</v>
      </c>
      <c r="P91" s="46" t="e">
        <f t="shared" si="47"/>
        <v>#DIV/0!</v>
      </c>
      <c r="Q91" s="56" t="e">
        <f>Q90+ATM_Conf!$C$5*(B90)/(Links!B$191*Links!Q$191)</f>
        <v>#DIV/0!</v>
      </c>
      <c r="R91" s="56" t="e">
        <f>R90+ATM_Conf!$C$5*(C90-B90)/(Links!C$191*Links!R$191)</f>
        <v>#DIV/0!</v>
      </c>
      <c r="S91" s="56" t="e">
        <f>S90+ATM_Conf!$C$5*(D90-C90)/(Links!D$191*Links!S$191)</f>
        <v>#DIV/0!</v>
      </c>
      <c r="T91" s="56" t="e">
        <f>T90+ATM_Conf!$C$5*(E90-D90)/(Links!E$191*Links!T$191)</f>
        <v>#DIV/0!</v>
      </c>
      <c r="U91" s="56" t="e">
        <f>U90+ATM_Conf!$C$5*(F90-E90)/(Links!F$191*Links!U$191)</f>
        <v>#DIV/0!</v>
      </c>
      <c r="V91" s="56" t="e">
        <f>V90+ATM_Conf!$C$5*(G90-F90)/(Links!G$191*Links!V$191)</f>
        <v>#DIV/0!</v>
      </c>
      <c r="W91" s="56" t="e">
        <f>W90+ATM_Conf!$C$5*(H90-G90)/(Links!H$191*Links!W$191)</f>
        <v>#DIV/0!</v>
      </c>
      <c r="X91" s="56" t="e">
        <f>X90+ATM_Conf!$C$5*(I90-H90)/(Links!I$191*Links!X$191)</f>
        <v>#DIV/0!</v>
      </c>
      <c r="Y91" s="56" t="e">
        <f>Y90+ATM_Conf!$C$5*(J90)/(Links!J$191*Links!Y$191)</f>
        <v>#DIV/0!</v>
      </c>
      <c r="Z91" s="56" t="e">
        <f>Z90+ATM_Conf!$C$5*(K90-J90)/(Links!K$191*Links!Z$191)</f>
        <v>#DIV/0!</v>
      </c>
      <c r="AA91" s="56" t="e">
        <f>AA90+ATM_Conf!$C$5*(L90-K90)/(Links!L$191*Links!AA$191)</f>
        <v>#DIV/0!</v>
      </c>
      <c r="AB91" s="56" t="e">
        <f>AB90+ATM_Conf!$C$5*(M90-L90)/(Links!M$191*Links!AB$191)</f>
        <v>#DIV/0!</v>
      </c>
      <c r="AC91" s="56" t="e">
        <f>AC90+ATM_Conf!$C$5*(N90-M90)/(Links!N$191*Links!AC$191)</f>
        <v>#DIV/0!</v>
      </c>
      <c r="AD91" s="56" t="e">
        <f>AD90+ATM_Conf!$C$5*(O90-N90)/(Links!O$191*Links!AD$191)</f>
        <v>#DIV/0!</v>
      </c>
      <c r="AE91" s="56" t="e">
        <f>AE90+ATM_Conf!$C$5*(P90-O90)/(Links!P$191*Links!AE$191)</f>
        <v>#DIV/0!</v>
      </c>
      <c r="AF91" s="46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6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6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6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6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6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6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6" t="e">
        <f>AM90+(ATM_Conf!$C$5/ATM_Conf!$C$8)*(Links!BB90*EXP((-(Links!X90/Links!BQ90)^Links!CF90)/Links!CF90)-Links!AM90)+(ATM_Conf!$C$5/Links!X$191)*Links!AM90*(Nodes!BH90-Links!AM90)</f>
        <v>#DIV/0!</v>
      </c>
      <c r="AN91" s="46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6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6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6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6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6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6" t="e">
        <f>AT90+(ATM_Conf!$C$5/ATM_Conf!$C$8)*(Links!BI90*EXP((-(Links!AE90/Links!BX90)^Links!CM90)/Links!CM90)-Links!AT90)+(ATM_Conf!$C$5/Links!AE$191)*Links!AT90*(Nodes!BN90-Links!AT90)</f>
        <v>#DIV/0!</v>
      </c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46">
        <f t="shared" si="53"/>
        <v>0</v>
      </c>
      <c r="CO91" s="46">
        <f t="shared" si="53"/>
        <v>0</v>
      </c>
      <c r="CP91" s="46">
        <f t="shared" si="53"/>
        <v>0</v>
      </c>
      <c r="CQ91" s="46">
        <f t="shared" si="53"/>
        <v>0</v>
      </c>
      <c r="CR91" s="46">
        <f t="shared" si="53"/>
        <v>0</v>
      </c>
      <c r="CS91" s="46">
        <f t="shared" si="53"/>
        <v>0</v>
      </c>
      <c r="CT91" s="46">
        <f t="shared" si="53"/>
        <v>0</v>
      </c>
      <c r="CU91" s="46">
        <f t="shared" si="53"/>
        <v>0</v>
      </c>
      <c r="CV91" s="46">
        <f t="shared" si="53"/>
        <v>0</v>
      </c>
      <c r="CW91" s="46">
        <f t="shared" si="53"/>
        <v>0</v>
      </c>
      <c r="CX91" s="46">
        <f t="shared" si="53"/>
        <v>0</v>
      </c>
      <c r="CY91" s="46">
        <f t="shared" si="53"/>
        <v>0</v>
      </c>
      <c r="CZ91" s="46">
        <f t="shared" si="53"/>
        <v>0</v>
      </c>
      <c r="DA91" s="46">
        <f t="shared" si="53"/>
        <v>0</v>
      </c>
      <c r="DB91" s="46">
        <f t="shared" si="53"/>
        <v>0</v>
      </c>
      <c r="DC91" s="54"/>
      <c r="DD91" s="54"/>
      <c r="DE91" s="54"/>
      <c r="DF91" s="54"/>
      <c r="DG91" s="54"/>
      <c r="DH91" s="54"/>
      <c r="DI91" s="54"/>
      <c r="DJ91" s="54"/>
      <c r="DK91" s="54"/>
      <c r="DL91" s="54"/>
      <c r="DM91" s="54"/>
      <c r="DN91" s="54"/>
      <c r="DO91" s="54"/>
      <c r="DP91" s="54"/>
      <c r="DQ91" s="54"/>
    </row>
    <row r="92" spans="1:121" ht="14.25" x14ac:dyDescent="0.15">
      <c r="A92" s="49">
        <v>90</v>
      </c>
      <c r="B92" s="46" t="e">
        <f t="shared" si="33"/>
        <v>#DIV/0!</v>
      </c>
      <c r="C92" s="46" t="e">
        <f t="shared" si="34"/>
        <v>#DIV/0!</v>
      </c>
      <c r="D92" s="46" t="e">
        <f t="shared" si="35"/>
        <v>#DIV/0!</v>
      </c>
      <c r="E92" s="46" t="e">
        <f t="shared" si="36"/>
        <v>#DIV/0!</v>
      </c>
      <c r="F92" s="46" t="e">
        <f t="shared" si="37"/>
        <v>#DIV/0!</v>
      </c>
      <c r="G92" s="46" t="e">
        <f t="shared" si="38"/>
        <v>#DIV/0!</v>
      </c>
      <c r="H92" s="46" t="e">
        <f t="shared" si="39"/>
        <v>#DIV/0!</v>
      </c>
      <c r="I92" s="46" t="e">
        <f t="shared" si="40"/>
        <v>#DIV/0!</v>
      </c>
      <c r="J92" s="46" t="e">
        <f t="shared" si="41"/>
        <v>#DIV/0!</v>
      </c>
      <c r="K92" s="46" t="e">
        <f t="shared" si="42"/>
        <v>#DIV/0!</v>
      </c>
      <c r="L92" s="46" t="e">
        <f t="shared" si="43"/>
        <v>#DIV/0!</v>
      </c>
      <c r="M92" s="46" t="e">
        <f t="shared" si="44"/>
        <v>#DIV/0!</v>
      </c>
      <c r="N92" s="46" t="e">
        <f t="shared" si="45"/>
        <v>#DIV/0!</v>
      </c>
      <c r="O92" s="46" t="e">
        <f t="shared" si="46"/>
        <v>#DIV/0!</v>
      </c>
      <c r="P92" s="46" t="e">
        <f t="shared" si="47"/>
        <v>#DIV/0!</v>
      </c>
      <c r="Q92" s="56" t="e">
        <f>Q91+ATM_Conf!$C$5*(B91)/(Links!B$191*Links!Q$191)</f>
        <v>#DIV/0!</v>
      </c>
      <c r="R92" s="56" t="e">
        <f>R91+ATM_Conf!$C$5*(C91-B91)/(Links!C$191*Links!R$191)</f>
        <v>#DIV/0!</v>
      </c>
      <c r="S92" s="56" t="e">
        <f>S91+ATM_Conf!$C$5*(D91-C91)/(Links!D$191*Links!S$191)</f>
        <v>#DIV/0!</v>
      </c>
      <c r="T92" s="56" t="e">
        <f>T91+ATM_Conf!$C$5*(E91-D91)/(Links!E$191*Links!T$191)</f>
        <v>#DIV/0!</v>
      </c>
      <c r="U92" s="56" t="e">
        <f>U91+ATM_Conf!$C$5*(F91-E91)/(Links!F$191*Links!U$191)</f>
        <v>#DIV/0!</v>
      </c>
      <c r="V92" s="56" t="e">
        <f>V91+ATM_Conf!$C$5*(G91-F91)/(Links!G$191*Links!V$191)</f>
        <v>#DIV/0!</v>
      </c>
      <c r="W92" s="56" t="e">
        <f>W91+ATM_Conf!$C$5*(H91-G91)/(Links!H$191*Links!W$191)</f>
        <v>#DIV/0!</v>
      </c>
      <c r="X92" s="56" t="e">
        <f>X91+ATM_Conf!$C$5*(I91-H91)/(Links!I$191*Links!X$191)</f>
        <v>#DIV/0!</v>
      </c>
      <c r="Y92" s="56" t="e">
        <f>Y91+ATM_Conf!$C$5*(J91)/(Links!J$191*Links!Y$191)</f>
        <v>#DIV/0!</v>
      </c>
      <c r="Z92" s="56" t="e">
        <f>Z91+ATM_Conf!$C$5*(K91-J91)/(Links!K$191*Links!Z$191)</f>
        <v>#DIV/0!</v>
      </c>
      <c r="AA92" s="56" t="e">
        <f>AA91+ATM_Conf!$C$5*(L91-K91)/(Links!L$191*Links!AA$191)</f>
        <v>#DIV/0!</v>
      </c>
      <c r="AB92" s="56" t="e">
        <f>AB91+ATM_Conf!$C$5*(M91-L91)/(Links!M$191*Links!AB$191)</f>
        <v>#DIV/0!</v>
      </c>
      <c r="AC92" s="56" t="e">
        <f>AC91+ATM_Conf!$C$5*(N91-M91)/(Links!N$191*Links!AC$191)</f>
        <v>#DIV/0!</v>
      </c>
      <c r="AD92" s="56" t="e">
        <f>AD91+ATM_Conf!$C$5*(O91-N91)/(Links!O$191*Links!AD$191)</f>
        <v>#DIV/0!</v>
      </c>
      <c r="AE92" s="56" t="e">
        <f>AE91+ATM_Conf!$C$5*(P91-O91)/(Links!P$191*Links!AE$191)</f>
        <v>#DIV/0!</v>
      </c>
      <c r="AF92" s="46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6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6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6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6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6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6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6" t="e">
        <f>AM91+(ATM_Conf!$C$5/ATM_Conf!$C$8)*(Links!BB91*EXP((-(Links!X91/Links!BQ91)^Links!CF91)/Links!CF91)-Links!AM91)+(ATM_Conf!$C$5/Links!X$191)*Links!AM91*(Nodes!BH91-Links!AM91)</f>
        <v>#DIV/0!</v>
      </c>
      <c r="AN92" s="46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6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6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6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6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6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6" t="e">
        <f>AT91+(ATM_Conf!$C$5/ATM_Conf!$C$8)*(Links!BI91*EXP((-(Links!AE91/Links!BX91)^Links!CM91)/Links!CM91)-Links!AT91)+(ATM_Conf!$C$5/Links!AE$191)*Links!AT91*(Nodes!BN91-Links!AT91)</f>
        <v>#DIV/0!</v>
      </c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46">
        <f t="shared" si="53"/>
        <v>0</v>
      </c>
      <c r="CO92" s="46">
        <f t="shared" si="53"/>
        <v>0</v>
      </c>
      <c r="CP92" s="46">
        <f t="shared" si="53"/>
        <v>0</v>
      </c>
      <c r="CQ92" s="46">
        <f t="shared" si="53"/>
        <v>0</v>
      </c>
      <c r="CR92" s="46">
        <f t="shared" si="53"/>
        <v>0</v>
      </c>
      <c r="CS92" s="46">
        <f t="shared" si="53"/>
        <v>0</v>
      </c>
      <c r="CT92" s="46">
        <f t="shared" si="53"/>
        <v>0</v>
      </c>
      <c r="CU92" s="46">
        <f t="shared" si="53"/>
        <v>0</v>
      </c>
      <c r="CV92" s="46">
        <f t="shared" si="53"/>
        <v>0</v>
      </c>
      <c r="CW92" s="46">
        <f t="shared" si="53"/>
        <v>0</v>
      </c>
      <c r="CX92" s="46">
        <f t="shared" si="53"/>
        <v>0</v>
      </c>
      <c r="CY92" s="46">
        <f t="shared" si="53"/>
        <v>0</v>
      </c>
      <c r="CZ92" s="46">
        <f t="shared" si="53"/>
        <v>0</v>
      </c>
      <c r="DA92" s="46">
        <f t="shared" si="53"/>
        <v>0</v>
      </c>
      <c r="DB92" s="46">
        <f t="shared" si="53"/>
        <v>0</v>
      </c>
      <c r="DC92" s="54"/>
      <c r="DD92" s="54"/>
      <c r="DE92" s="54"/>
      <c r="DF92" s="54"/>
      <c r="DG92" s="54"/>
      <c r="DH92" s="54"/>
      <c r="DI92" s="54"/>
      <c r="DJ92" s="54"/>
      <c r="DK92" s="54"/>
      <c r="DL92" s="54"/>
      <c r="DM92" s="54"/>
      <c r="DN92" s="54"/>
      <c r="DO92" s="54"/>
      <c r="DP92" s="54"/>
      <c r="DQ92" s="54"/>
    </row>
    <row r="93" spans="1:121" ht="14.25" x14ac:dyDescent="0.15">
      <c r="A93" s="49">
        <v>91</v>
      </c>
      <c r="B93" s="46" t="e">
        <f t="shared" si="33"/>
        <v>#DIV/0!</v>
      </c>
      <c r="C93" s="46" t="e">
        <f t="shared" si="34"/>
        <v>#DIV/0!</v>
      </c>
      <c r="D93" s="46" t="e">
        <f t="shared" si="35"/>
        <v>#DIV/0!</v>
      </c>
      <c r="E93" s="46" t="e">
        <f t="shared" si="36"/>
        <v>#DIV/0!</v>
      </c>
      <c r="F93" s="46" t="e">
        <f t="shared" si="37"/>
        <v>#DIV/0!</v>
      </c>
      <c r="G93" s="46" t="e">
        <f t="shared" si="38"/>
        <v>#DIV/0!</v>
      </c>
      <c r="H93" s="46" t="e">
        <f t="shared" si="39"/>
        <v>#DIV/0!</v>
      </c>
      <c r="I93" s="46" t="e">
        <f t="shared" si="40"/>
        <v>#DIV/0!</v>
      </c>
      <c r="J93" s="46" t="e">
        <f t="shared" si="41"/>
        <v>#DIV/0!</v>
      </c>
      <c r="K93" s="46" t="e">
        <f t="shared" si="42"/>
        <v>#DIV/0!</v>
      </c>
      <c r="L93" s="46" t="e">
        <f t="shared" si="43"/>
        <v>#DIV/0!</v>
      </c>
      <c r="M93" s="46" t="e">
        <f t="shared" si="44"/>
        <v>#DIV/0!</v>
      </c>
      <c r="N93" s="46" t="e">
        <f t="shared" si="45"/>
        <v>#DIV/0!</v>
      </c>
      <c r="O93" s="46" t="e">
        <f t="shared" si="46"/>
        <v>#DIV/0!</v>
      </c>
      <c r="P93" s="46" t="e">
        <f t="shared" si="47"/>
        <v>#DIV/0!</v>
      </c>
      <c r="Q93" s="56" t="e">
        <f>Q92+ATM_Conf!$C$5*(B92)/(Links!B$191*Links!Q$191)</f>
        <v>#DIV/0!</v>
      </c>
      <c r="R93" s="56" t="e">
        <f>R92+ATM_Conf!$C$5*(C92-B92)/(Links!C$191*Links!R$191)</f>
        <v>#DIV/0!</v>
      </c>
      <c r="S93" s="56" t="e">
        <f>S92+ATM_Conf!$C$5*(D92-C92)/(Links!D$191*Links!S$191)</f>
        <v>#DIV/0!</v>
      </c>
      <c r="T93" s="56" t="e">
        <f>T92+ATM_Conf!$C$5*(E92-D92)/(Links!E$191*Links!T$191)</f>
        <v>#DIV/0!</v>
      </c>
      <c r="U93" s="56" t="e">
        <f>U92+ATM_Conf!$C$5*(F92-E92)/(Links!F$191*Links!U$191)</f>
        <v>#DIV/0!</v>
      </c>
      <c r="V93" s="56" t="e">
        <f>V92+ATM_Conf!$C$5*(G92-F92)/(Links!G$191*Links!V$191)</f>
        <v>#DIV/0!</v>
      </c>
      <c r="W93" s="56" t="e">
        <f>W92+ATM_Conf!$C$5*(H92-G92)/(Links!H$191*Links!W$191)</f>
        <v>#DIV/0!</v>
      </c>
      <c r="X93" s="56" t="e">
        <f>X92+ATM_Conf!$C$5*(I92-H92)/(Links!I$191*Links!X$191)</f>
        <v>#DIV/0!</v>
      </c>
      <c r="Y93" s="56" t="e">
        <f>Y92+ATM_Conf!$C$5*(J92)/(Links!J$191*Links!Y$191)</f>
        <v>#DIV/0!</v>
      </c>
      <c r="Z93" s="56" t="e">
        <f>Z92+ATM_Conf!$C$5*(K92-J92)/(Links!K$191*Links!Z$191)</f>
        <v>#DIV/0!</v>
      </c>
      <c r="AA93" s="56" t="e">
        <f>AA92+ATM_Conf!$C$5*(L92-K92)/(Links!L$191*Links!AA$191)</f>
        <v>#DIV/0!</v>
      </c>
      <c r="AB93" s="56" t="e">
        <f>AB92+ATM_Conf!$C$5*(M92-L92)/(Links!M$191*Links!AB$191)</f>
        <v>#DIV/0!</v>
      </c>
      <c r="AC93" s="56" t="e">
        <f>AC92+ATM_Conf!$C$5*(N92-M92)/(Links!N$191*Links!AC$191)</f>
        <v>#DIV/0!</v>
      </c>
      <c r="AD93" s="56" t="e">
        <f>AD92+ATM_Conf!$C$5*(O92-N92)/(Links!O$191*Links!AD$191)</f>
        <v>#DIV/0!</v>
      </c>
      <c r="AE93" s="56" t="e">
        <f>AE92+ATM_Conf!$C$5*(P92-O92)/(Links!P$191*Links!AE$191)</f>
        <v>#DIV/0!</v>
      </c>
      <c r="AF93" s="46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6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6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6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6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6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6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6" t="e">
        <f>AM92+(ATM_Conf!$C$5/ATM_Conf!$C$8)*(Links!BB92*EXP((-(Links!X92/Links!BQ92)^Links!CF92)/Links!CF92)-Links!AM92)+(ATM_Conf!$C$5/Links!X$191)*Links!AM92*(Nodes!BH92-Links!AM92)</f>
        <v>#DIV/0!</v>
      </c>
      <c r="AN93" s="46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6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6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6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6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6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6" t="e">
        <f>AT92+(ATM_Conf!$C$5/ATM_Conf!$C$8)*(Links!BI92*EXP((-(Links!AE92/Links!BX92)^Links!CM92)/Links!CM92)-Links!AT92)+(ATM_Conf!$C$5/Links!AE$191)*Links!AT92*(Nodes!BN92-Links!AT92)</f>
        <v>#DIV/0!</v>
      </c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46">
        <f t="shared" si="53"/>
        <v>0</v>
      </c>
      <c r="CO93" s="46">
        <f t="shared" si="53"/>
        <v>0</v>
      </c>
      <c r="CP93" s="46">
        <f t="shared" si="53"/>
        <v>0</v>
      </c>
      <c r="CQ93" s="46">
        <f t="shared" si="53"/>
        <v>0</v>
      </c>
      <c r="CR93" s="46">
        <f t="shared" si="53"/>
        <v>0</v>
      </c>
      <c r="CS93" s="46">
        <f t="shared" si="53"/>
        <v>0</v>
      </c>
      <c r="CT93" s="46">
        <f t="shared" si="53"/>
        <v>0</v>
      </c>
      <c r="CU93" s="46">
        <f t="shared" si="53"/>
        <v>0</v>
      </c>
      <c r="CV93" s="46">
        <f t="shared" si="53"/>
        <v>0</v>
      </c>
      <c r="CW93" s="46">
        <f t="shared" si="53"/>
        <v>0</v>
      </c>
      <c r="CX93" s="46">
        <f t="shared" si="53"/>
        <v>0</v>
      </c>
      <c r="CY93" s="46">
        <f t="shared" si="53"/>
        <v>0</v>
      </c>
      <c r="CZ93" s="46">
        <f t="shared" si="53"/>
        <v>0</v>
      </c>
      <c r="DA93" s="46">
        <f t="shared" si="53"/>
        <v>0</v>
      </c>
      <c r="DB93" s="46">
        <f t="shared" si="53"/>
        <v>0</v>
      </c>
      <c r="DC93" s="54"/>
      <c r="DD93" s="54"/>
      <c r="DE93" s="54"/>
      <c r="DF93" s="54"/>
      <c r="DG93" s="54"/>
      <c r="DH93" s="54"/>
      <c r="DI93" s="54"/>
      <c r="DJ93" s="54"/>
      <c r="DK93" s="54"/>
      <c r="DL93" s="54"/>
      <c r="DM93" s="54"/>
      <c r="DN93" s="54"/>
      <c r="DO93" s="54"/>
      <c r="DP93" s="54"/>
      <c r="DQ93" s="54"/>
    </row>
    <row r="94" spans="1:121" ht="14.25" x14ac:dyDescent="0.15">
      <c r="A94" s="49">
        <v>92</v>
      </c>
      <c r="B94" s="46" t="e">
        <f t="shared" si="33"/>
        <v>#DIV/0!</v>
      </c>
      <c r="C94" s="46" t="e">
        <f t="shared" si="34"/>
        <v>#DIV/0!</v>
      </c>
      <c r="D94" s="46" t="e">
        <f t="shared" si="35"/>
        <v>#DIV/0!</v>
      </c>
      <c r="E94" s="46" t="e">
        <f t="shared" si="36"/>
        <v>#DIV/0!</v>
      </c>
      <c r="F94" s="46" t="e">
        <f t="shared" si="37"/>
        <v>#DIV/0!</v>
      </c>
      <c r="G94" s="46" t="e">
        <f t="shared" si="38"/>
        <v>#DIV/0!</v>
      </c>
      <c r="H94" s="46" t="e">
        <f t="shared" si="39"/>
        <v>#DIV/0!</v>
      </c>
      <c r="I94" s="46" t="e">
        <f t="shared" si="40"/>
        <v>#DIV/0!</v>
      </c>
      <c r="J94" s="46" t="e">
        <f t="shared" si="41"/>
        <v>#DIV/0!</v>
      </c>
      <c r="K94" s="46" t="e">
        <f t="shared" si="42"/>
        <v>#DIV/0!</v>
      </c>
      <c r="L94" s="46" t="e">
        <f t="shared" si="43"/>
        <v>#DIV/0!</v>
      </c>
      <c r="M94" s="46" t="e">
        <f t="shared" si="44"/>
        <v>#DIV/0!</v>
      </c>
      <c r="N94" s="46" t="e">
        <f t="shared" si="45"/>
        <v>#DIV/0!</v>
      </c>
      <c r="O94" s="46" t="e">
        <f t="shared" si="46"/>
        <v>#DIV/0!</v>
      </c>
      <c r="P94" s="46" t="e">
        <f t="shared" si="47"/>
        <v>#DIV/0!</v>
      </c>
      <c r="Q94" s="56" t="e">
        <f>Q93+ATM_Conf!$C$5*(B93)/(Links!B$191*Links!Q$191)</f>
        <v>#DIV/0!</v>
      </c>
      <c r="R94" s="56" t="e">
        <f>R93+ATM_Conf!$C$5*(C93-B93)/(Links!C$191*Links!R$191)</f>
        <v>#DIV/0!</v>
      </c>
      <c r="S94" s="56" t="e">
        <f>S93+ATM_Conf!$C$5*(D93-C93)/(Links!D$191*Links!S$191)</f>
        <v>#DIV/0!</v>
      </c>
      <c r="T94" s="56" t="e">
        <f>T93+ATM_Conf!$C$5*(E93-D93)/(Links!E$191*Links!T$191)</f>
        <v>#DIV/0!</v>
      </c>
      <c r="U94" s="56" t="e">
        <f>U93+ATM_Conf!$C$5*(F93-E93)/(Links!F$191*Links!U$191)</f>
        <v>#DIV/0!</v>
      </c>
      <c r="V94" s="56" t="e">
        <f>V93+ATM_Conf!$C$5*(G93-F93)/(Links!G$191*Links!V$191)</f>
        <v>#DIV/0!</v>
      </c>
      <c r="W94" s="56" t="e">
        <f>W93+ATM_Conf!$C$5*(H93-G93)/(Links!H$191*Links!W$191)</f>
        <v>#DIV/0!</v>
      </c>
      <c r="X94" s="56" t="e">
        <f>X93+ATM_Conf!$C$5*(I93-H93)/(Links!I$191*Links!X$191)</f>
        <v>#DIV/0!</v>
      </c>
      <c r="Y94" s="56" t="e">
        <f>Y93+ATM_Conf!$C$5*(J93)/(Links!J$191*Links!Y$191)</f>
        <v>#DIV/0!</v>
      </c>
      <c r="Z94" s="56" t="e">
        <f>Z93+ATM_Conf!$C$5*(K93-J93)/(Links!K$191*Links!Z$191)</f>
        <v>#DIV/0!</v>
      </c>
      <c r="AA94" s="56" t="e">
        <f>AA93+ATM_Conf!$C$5*(L93-K93)/(Links!L$191*Links!AA$191)</f>
        <v>#DIV/0!</v>
      </c>
      <c r="AB94" s="56" t="e">
        <f>AB93+ATM_Conf!$C$5*(M93-L93)/(Links!M$191*Links!AB$191)</f>
        <v>#DIV/0!</v>
      </c>
      <c r="AC94" s="56" t="e">
        <f>AC93+ATM_Conf!$C$5*(N93-M93)/(Links!N$191*Links!AC$191)</f>
        <v>#DIV/0!</v>
      </c>
      <c r="AD94" s="56" t="e">
        <f>AD93+ATM_Conf!$C$5*(O93-N93)/(Links!O$191*Links!AD$191)</f>
        <v>#DIV/0!</v>
      </c>
      <c r="AE94" s="56" t="e">
        <f>AE93+ATM_Conf!$C$5*(P93-O93)/(Links!P$191*Links!AE$191)</f>
        <v>#DIV/0!</v>
      </c>
      <c r="AF94" s="46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6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6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6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6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6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6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6" t="e">
        <f>AM93+(ATM_Conf!$C$5/ATM_Conf!$C$8)*(Links!BB93*EXP((-(Links!X93/Links!BQ93)^Links!CF93)/Links!CF93)-Links!AM93)+(ATM_Conf!$C$5/Links!X$191)*Links!AM93*(Nodes!BH93-Links!AM93)</f>
        <v>#DIV/0!</v>
      </c>
      <c r="AN94" s="46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6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6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6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6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6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6" t="e">
        <f>AT93+(ATM_Conf!$C$5/ATM_Conf!$C$8)*(Links!BI93*EXP((-(Links!AE93/Links!BX93)^Links!CM93)/Links!CM93)-Links!AT93)+(ATM_Conf!$C$5/Links!AE$191)*Links!AT93*(Nodes!BN93-Links!AT93)</f>
        <v>#DIV/0!</v>
      </c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46">
        <f t="shared" si="53"/>
        <v>0</v>
      </c>
      <c r="CO94" s="46">
        <f t="shared" si="53"/>
        <v>0</v>
      </c>
      <c r="CP94" s="46">
        <f t="shared" si="53"/>
        <v>0</v>
      </c>
      <c r="CQ94" s="46">
        <f t="shared" si="53"/>
        <v>0</v>
      </c>
      <c r="CR94" s="46">
        <f t="shared" si="53"/>
        <v>0</v>
      </c>
      <c r="CS94" s="46">
        <f t="shared" si="53"/>
        <v>0</v>
      </c>
      <c r="CT94" s="46">
        <f t="shared" si="53"/>
        <v>0</v>
      </c>
      <c r="CU94" s="46">
        <f t="shared" si="53"/>
        <v>0</v>
      </c>
      <c r="CV94" s="46">
        <f t="shared" si="53"/>
        <v>0</v>
      </c>
      <c r="CW94" s="46">
        <f t="shared" si="53"/>
        <v>0</v>
      </c>
      <c r="CX94" s="46">
        <f t="shared" si="53"/>
        <v>0</v>
      </c>
      <c r="CY94" s="46">
        <f t="shared" si="53"/>
        <v>0</v>
      </c>
      <c r="CZ94" s="46">
        <f t="shared" si="53"/>
        <v>0</v>
      </c>
      <c r="DA94" s="46">
        <f t="shared" si="53"/>
        <v>0</v>
      </c>
      <c r="DB94" s="46">
        <f t="shared" si="53"/>
        <v>0</v>
      </c>
      <c r="DC94" s="54"/>
      <c r="DD94" s="54"/>
      <c r="DE94" s="54"/>
      <c r="DF94" s="54"/>
      <c r="DG94" s="54"/>
      <c r="DH94" s="54"/>
      <c r="DI94" s="54"/>
      <c r="DJ94" s="54"/>
      <c r="DK94" s="54"/>
      <c r="DL94" s="54"/>
      <c r="DM94" s="54"/>
      <c r="DN94" s="54"/>
      <c r="DO94" s="54"/>
      <c r="DP94" s="54"/>
      <c r="DQ94" s="54"/>
    </row>
    <row r="95" spans="1:121" ht="14.25" x14ac:dyDescent="0.15">
      <c r="A95" s="49">
        <v>93</v>
      </c>
      <c r="B95" s="46" t="e">
        <f t="shared" si="33"/>
        <v>#DIV/0!</v>
      </c>
      <c r="C95" s="46" t="e">
        <f t="shared" si="34"/>
        <v>#DIV/0!</v>
      </c>
      <c r="D95" s="46" t="e">
        <f t="shared" si="35"/>
        <v>#DIV/0!</v>
      </c>
      <c r="E95" s="46" t="e">
        <f t="shared" si="36"/>
        <v>#DIV/0!</v>
      </c>
      <c r="F95" s="46" t="e">
        <f t="shared" si="37"/>
        <v>#DIV/0!</v>
      </c>
      <c r="G95" s="46" t="e">
        <f t="shared" si="38"/>
        <v>#DIV/0!</v>
      </c>
      <c r="H95" s="46" t="e">
        <f t="shared" si="39"/>
        <v>#DIV/0!</v>
      </c>
      <c r="I95" s="46" t="e">
        <f t="shared" si="40"/>
        <v>#DIV/0!</v>
      </c>
      <c r="J95" s="46" t="e">
        <f t="shared" si="41"/>
        <v>#DIV/0!</v>
      </c>
      <c r="K95" s="46" t="e">
        <f t="shared" si="42"/>
        <v>#DIV/0!</v>
      </c>
      <c r="L95" s="46" t="e">
        <f t="shared" si="43"/>
        <v>#DIV/0!</v>
      </c>
      <c r="M95" s="46" t="e">
        <f t="shared" si="44"/>
        <v>#DIV/0!</v>
      </c>
      <c r="N95" s="46" t="e">
        <f t="shared" si="45"/>
        <v>#DIV/0!</v>
      </c>
      <c r="O95" s="46" t="e">
        <f t="shared" si="46"/>
        <v>#DIV/0!</v>
      </c>
      <c r="P95" s="46" t="e">
        <f t="shared" si="47"/>
        <v>#DIV/0!</v>
      </c>
      <c r="Q95" s="56" t="e">
        <f>Q94+ATM_Conf!$C$5*(B94)/(Links!B$191*Links!Q$191)</f>
        <v>#DIV/0!</v>
      </c>
      <c r="R95" s="56" t="e">
        <f>R94+ATM_Conf!$C$5*(C94-B94)/(Links!C$191*Links!R$191)</f>
        <v>#DIV/0!</v>
      </c>
      <c r="S95" s="56" t="e">
        <f>S94+ATM_Conf!$C$5*(D94-C94)/(Links!D$191*Links!S$191)</f>
        <v>#DIV/0!</v>
      </c>
      <c r="T95" s="56" t="e">
        <f>T94+ATM_Conf!$C$5*(E94-D94)/(Links!E$191*Links!T$191)</f>
        <v>#DIV/0!</v>
      </c>
      <c r="U95" s="56" t="e">
        <f>U94+ATM_Conf!$C$5*(F94-E94)/(Links!F$191*Links!U$191)</f>
        <v>#DIV/0!</v>
      </c>
      <c r="V95" s="56" t="e">
        <f>V94+ATM_Conf!$C$5*(G94-F94)/(Links!G$191*Links!V$191)</f>
        <v>#DIV/0!</v>
      </c>
      <c r="W95" s="56" t="e">
        <f>W94+ATM_Conf!$C$5*(H94-G94)/(Links!H$191*Links!W$191)</f>
        <v>#DIV/0!</v>
      </c>
      <c r="X95" s="56" t="e">
        <f>X94+ATM_Conf!$C$5*(I94-H94)/(Links!I$191*Links!X$191)</f>
        <v>#DIV/0!</v>
      </c>
      <c r="Y95" s="56" t="e">
        <f>Y94+ATM_Conf!$C$5*(J94)/(Links!J$191*Links!Y$191)</f>
        <v>#DIV/0!</v>
      </c>
      <c r="Z95" s="56" t="e">
        <f>Z94+ATM_Conf!$C$5*(K94-J94)/(Links!K$191*Links!Z$191)</f>
        <v>#DIV/0!</v>
      </c>
      <c r="AA95" s="56" t="e">
        <f>AA94+ATM_Conf!$C$5*(L94-K94)/(Links!L$191*Links!AA$191)</f>
        <v>#DIV/0!</v>
      </c>
      <c r="AB95" s="56" t="e">
        <f>AB94+ATM_Conf!$C$5*(M94-L94)/(Links!M$191*Links!AB$191)</f>
        <v>#DIV/0!</v>
      </c>
      <c r="AC95" s="56" t="e">
        <f>AC94+ATM_Conf!$C$5*(N94-M94)/(Links!N$191*Links!AC$191)</f>
        <v>#DIV/0!</v>
      </c>
      <c r="AD95" s="56" t="e">
        <f>AD94+ATM_Conf!$C$5*(O94-N94)/(Links!O$191*Links!AD$191)</f>
        <v>#DIV/0!</v>
      </c>
      <c r="AE95" s="56" t="e">
        <f>AE94+ATM_Conf!$C$5*(P94-O94)/(Links!P$191*Links!AE$191)</f>
        <v>#DIV/0!</v>
      </c>
      <c r="AF95" s="46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6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6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6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6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6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6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6" t="e">
        <f>AM94+(ATM_Conf!$C$5/ATM_Conf!$C$8)*(Links!BB94*EXP((-(Links!X94/Links!BQ94)^Links!CF94)/Links!CF94)-Links!AM94)+(ATM_Conf!$C$5/Links!X$191)*Links!AM94*(Nodes!BH94-Links!AM94)</f>
        <v>#DIV/0!</v>
      </c>
      <c r="AN95" s="46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6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6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6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6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6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6" t="e">
        <f>AT94+(ATM_Conf!$C$5/ATM_Conf!$C$8)*(Links!BI94*EXP((-(Links!AE94/Links!BX94)^Links!CM94)/Links!CM94)-Links!AT94)+(ATM_Conf!$C$5/Links!AE$191)*Links!AT94*(Nodes!BN94-Links!AT94)</f>
        <v>#DIV/0!</v>
      </c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46">
        <f t="shared" si="53"/>
        <v>0</v>
      </c>
      <c r="CO95" s="46">
        <f t="shared" si="53"/>
        <v>0</v>
      </c>
      <c r="CP95" s="46">
        <f t="shared" si="53"/>
        <v>0</v>
      </c>
      <c r="CQ95" s="46">
        <f t="shared" si="53"/>
        <v>0</v>
      </c>
      <c r="CR95" s="46">
        <f t="shared" si="53"/>
        <v>0</v>
      </c>
      <c r="CS95" s="46">
        <f t="shared" si="53"/>
        <v>0</v>
      </c>
      <c r="CT95" s="46">
        <f t="shared" si="53"/>
        <v>0</v>
      </c>
      <c r="CU95" s="46">
        <f t="shared" si="53"/>
        <v>0</v>
      </c>
      <c r="CV95" s="46">
        <f t="shared" si="53"/>
        <v>0</v>
      </c>
      <c r="CW95" s="46">
        <f t="shared" si="53"/>
        <v>0</v>
      </c>
      <c r="CX95" s="46">
        <f t="shared" si="53"/>
        <v>0</v>
      </c>
      <c r="CY95" s="46">
        <f t="shared" si="53"/>
        <v>0</v>
      </c>
      <c r="CZ95" s="46">
        <f t="shared" si="53"/>
        <v>0</v>
      </c>
      <c r="DA95" s="46">
        <f t="shared" si="53"/>
        <v>0</v>
      </c>
      <c r="DB95" s="46">
        <f t="shared" si="53"/>
        <v>0</v>
      </c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</row>
    <row r="96" spans="1:121" ht="14.25" x14ac:dyDescent="0.15">
      <c r="A96" s="49">
        <v>94</v>
      </c>
      <c r="B96" s="46" t="e">
        <f t="shared" si="33"/>
        <v>#DIV/0!</v>
      </c>
      <c r="C96" s="46" t="e">
        <f t="shared" si="34"/>
        <v>#DIV/0!</v>
      </c>
      <c r="D96" s="46" t="e">
        <f t="shared" si="35"/>
        <v>#DIV/0!</v>
      </c>
      <c r="E96" s="46" t="e">
        <f t="shared" si="36"/>
        <v>#DIV/0!</v>
      </c>
      <c r="F96" s="46" t="e">
        <f t="shared" si="37"/>
        <v>#DIV/0!</v>
      </c>
      <c r="G96" s="46" t="e">
        <f t="shared" si="38"/>
        <v>#DIV/0!</v>
      </c>
      <c r="H96" s="46" t="e">
        <f t="shared" si="39"/>
        <v>#DIV/0!</v>
      </c>
      <c r="I96" s="46" t="e">
        <f t="shared" si="40"/>
        <v>#DIV/0!</v>
      </c>
      <c r="J96" s="46" t="e">
        <f t="shared" si="41"/>
        <v>#DIV/0!</v>
      </c>
      <c r="K96" s="46" t="e">
        <f t="shared" si="42"/>
        <v>#DIV/0!</v>
      </c>
      <c r="L96" s="46" t="e">
        <f t="shared" si="43"/>
        <v>#DIV/0!</v>
      </c>
      <c r="M96" s="46" t="e">
        <f t="shared" si="44"/>
        <v>#DIV/0!</v>
      </c>
      <c r="N96" s="46" t="e">
        <f t="shared" si="45"/>
        <v>#DIV/0!</v>
      </c>
      <c r="O96" s="46" t="e">
        <f t="shared" si="46"/>
        <v>#DIV/0!</v>
      </c>
      <c r="P96" s="46" t="e">
        <f t="shared" si="47"/>
        <v>#DIV/0!</v>
      </c>
      <c r="Q96" s="56" t="e">
        <f>Q95+ATM_Conf!$C$5*(B95)/(Links!B$191*Links!Q$191)</f>
        <v>#DIV/0!</v>
      </c>
      <c r="R96" s="56" t="e">
        <f>R95+ATM_Conf!$C$5*(C95-B95)/(Links!C$191*Links!R$191)</f>
        <v>#DIV/0!</v>
      </c>
      <c r="S96" s="56" t="e">
        <f>S95+ATM_Conf!$C$5*(D95-C95)/(Links!D$191*Links!S$191)</f>
        <v>#DIV/0!</v>
      </c>
      <c r="T96" s="56" t="e">
        <f>T95+ATM_Conf!$C$5*(E95-D95)/(Links!E$191*Links!T$191)</f>
        <v>#DIV/0!</v>
      </c>
      <c r="U96" s="56" t="e">
        <f>U95+ATM_Conf!$C$5*(F95-E95)/(Links!F$191*Links!U$191)</f>
        <v>#DIV/0!</v>
      </c>
      <c r="V96" s="56" t="e">
        <f>V95+ATM_Conf!$C$5*(G95-F95)/(Links!G$191*Links!V$191)</f>
        <v>#DIV/0!</v>
      </c>
      <c r="W96" s="56" t="e">
        <f>W95+ATM_Conf!$C$5*(H95-G95)/(Links!H$191*Links!W$191)</f>
        <v>#DIV/0!</v>
      </c>
      <c r="X96" s="56" t="e">
        <f>X95+ATM_Conf!$C$5*(I95-H95)/(Links!I$191*Links!X$191)</f>
        <v>#DIV/0!</v>
      </c>
      <c r="Y96" s="56" t="e">
        <f>Y95+ATM_Conf!$C$5*(J95)/(Links!J$191*Links!Y$191)</f>
        <v>#DIV/0!</v>
      </c>
      <c r="Z96" s="56" t="e">
        <f>Z95+ATM_Conf!$C$5*(K95-J95)/(Links!K$191*Links!Z$191)</f>
        <v>#DIV/0!</v>
      </c>
      <c r="AA96" s="56" t="e">
        <f>AA95+ATM_Conf!$C$5*(L95-K95)/(Links!L$191*Links!AA$191)</f>
        <v>#DIV/0!</v>
      </c>
      <c r="AB96" s="56" t="e">
        <f>AB95+ATM_Conf!$C$5*(M95-L95)/(Links!M$191*Links!AB$191)</f>
        <v>#DIV/0!</v>
      </c>
      <c r="AC96" s="56" t="e">
        <f>AC95+ATM_Conf!$C$5*(N95-M95)/(Links!N$191*Links!AC$191)</f>
        <v>#DIV/0!</v>
      </c>
      <c r="AD96" s="56" t="e">
        <f>AD95+ATM_Conf!$C$5*(O95-N95)/(Links!O$191*Links!AD$191)</f>
        <v>#DIV/0!</v>
      </c>
      <c r="AE96" s="56" t="e">
        <f>AE95+ATM_Conf!$C$5*(P95-O95)/(Links!P$191*Links!AE$191)</f>
        <v>#DIV/0!</v>
      </c>
      <c r="AF96" s="46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6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6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6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6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6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6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6" t="e">
        <f>AM95+(ATM_Conf!$C$5/ATM_Conf!$C$8)*(Links!BB95*EXP((-(Links!X95/Links!BQ95)^Links!CF95)/Links!CF95)-Links!AM95)+(ATM_Conf!$C$5/Links!X$191)*Links!AM95*(Nodes!BH95-Links!AM95)</f>
        <v>#DIV/0!</v>
      </c>
      <c r="AN96" s="46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6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6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6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6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6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6" t="e">
        <f>AT95+(ATM_Conf!$C$5/ATM_Conf!$C$8)*(Links!BI95*EXP((-(Links!AE95/Links!BX95)^Links!CM95)/Links!CM95)-Links!AT95)+(ATM_Conf!$C$5/Links!AE$191)*Links!AT95*(Nodes!BN95-Links!AT95)</f>
        <v>#DIV/0!</v>
      </c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46">
        <f t="shared" si="53"/>
        <v>0</v>
      </c>
      <c r="CO96" s="46">
        <f t="shared" si="53"/>
        <v>0</v>
      </c>
      <c r="CP96" s="46">
        <f t="shared" si="53"/>
        <v>0</v>
      </c>
      <c r="CQ96" s="46">
        <f t="shared" si="53"/>
        <v>0</v>
      </c>
      <c r="CR96" s="46">
        <f t="shared" si="53"/>
        <v>0</v>
      </c>
      <c r="CS96" s="46">
        <f t="shared" si="53"/>
        <v>0</v>
      </c>
      <c r="CT96" s="46">
        <f t="shared" si="53"/>
        <v>0</v>
      </c>
      <c r="CU96" s="46">
        <f t="shared" si="53"/>
        <v>0</v>
      </c>
      <c r="CV96" s="46">
        <f t="shared" si="53"/>
        <v>0</v>
      </c>
      <c r="CW96" s="46">
        <f t="shared" si="53"/>
        <v>0</v>
      </c>
      <c r="CX96" s="46">
        <f t="shared" si="53"/>
        <v>0</v>
      </c>
      <c r="CY96" s="46">
        <f t="shared" si="53"/>
        <v>0</v>
      </c>
      <c r="CZ96" s="46">
        <f t="shared" si="53"/>
        <v>0</v>
      </c>
      <c r="DA96" s="46">
        <f t="shared" si="53"/>
        <v>0</v>
      </c>
      <c r="DB96" s="46">
        <f t="shared" si="53"/>
        <v>0</v>
      </c>
      <c r="DC96" s="54"/>
      <c r="DD96" s="54"/>
      <c r="DE96" s="54"/>
      <c r="DF96" s="54"/>
      <c r="DG96" s="54"/>
      <c r="DH96" s="54"/>
      <c r="DI96" s="54"/>
      <c r="DJ96" s="54"/>
      <c r="DK96" s="54"/>
      <c r="DL96" s="54"/>
      <c r="DM96" s="54"/>
      <c r="DN96" s="54"/>
      <c r="DO96" s="54"/>
      <c r="DP96" s="54"/>
      <c r="DQ96" s="54"/>
    </row>
    <row r="97" spans="1:121" ht="14.25" x14ac:dyDescent="0.15">
      <c r="A97" s="49">
        <v>95</v>
      </c>
      <c r="B97" s="46" t="e">
        <f t="shared" si="33"/>
        <v>#DIV/0!</v>
      </c>
      <c r="C97" s="46" t="e">
        <f t="shared" si="34"/>
        <v>#DIV/0!</v>
      </c>
      <c r="D97" s="46" t="e">
        <f t="shared" si="35"/>
        <v>#DIV/0!</v>
      </c>
      <c r="E97" s="46" t="e">
        <f t="shared" si="36"/>
        <v>#DIV/0!</v>
      </c>
      <c r="F97" s="46" t="e">
        <f t="shared" si="37"/>
        <v>#DIV/0!</v>
      </c>
      <c r="G97" s="46" t="e">
        <f t="shared" si="38"/>
        <v>#DIV/0!</v>
      </c>
      <c r="H97" s="46" t="e">
        <f t="shared" si="39"/>
        <v>#DIV/0!</v>
      </c>
      <c r="I97" s="46" t="e">
        <f t="shared" si="40"/>
        <v>#DIV/0!</v>
      </c>
      <c r="J97" s="46" t="e">
        <f t="shared" si="41"/>
        <v>#DIV/0!</v>
      </c>
      <c r="K97" s="46" t="e">
        <f t="shared" si="42"/>
        <v>#DIV/0!</v>
      </c>
      <c r="L97" s="46" t="e">
        <f t="shared" si="43"/>
        <v>#DIV/0!</v>
      </c>
      <c r="M97" s="46" t="e">
        <f t="shared" si="44"/>
        <v>#DIV/0!</v>
      </c>
      <c r="N97" s="46" t="e">
        <f t="shared" si="45"/>
        <v>#DIV/0!</v>
      </c>
      <c r="O97" s="46" t="e">
        <f t="shared" si="46"/>
        <v>#DIV/0!</v>
      </c>
      <c r="P97" s="46" t="e">
        <f t="shared" si="47"/>
        <v>#DIV/0!</v>
      </c>
      <c r="Q97" s="56" t="e">
        <f>Q96+ATM_Conf!$C$5*(B96)/(Links!B$191*Links!Q$191)</f>
        <v>#DIV/0!</v>
      </c>
      <c r="R97" s="56" t="e">
        <f>R96+ATM_Conf!$C$5*(C96-B96)/(Links!C$191*Links!R$191)</f>
        <v>#DIV/0!</v>
      </c>
      <c r="S97" s="56" t="e">
        <f>S96+ATM_Conf!$C$5*(D96-C96)/(Links!D$191*Links!S$191)</f>
        <v>#DIV/0!</v>
      </c>
      <c r="T97" s="56" t="e">
        <f>T96+ATM_Conf!$C$5*(E96-D96)/(Links!E$191*Links!T$191)</f>
        <v>#DIV/0!</v>
      </c>
      <c r="U97" s="56" t="e">
        <f>U96+ATM_Conf!$C$5*(F96-E96)/(Links!F$191*Links!U$191)</f>
        <v>#DIV/0!</v>
      </c>
      <c r="V97" s="56" t="e">
        <f>V96+ATM_Conf!$C$5*(G96-F96)/(Links!G$191*Links!V$191)</f>
        <v>#DIV/0!</v>
      </c>
      <c r="W97" s="56" t="e">
        <f>W96+ATM_Conf!$C$5*(H96-G96)/(Links!H$191*Links!W$191)</f>
        <v>#DIV/0!</v>
      </c>
      <c r="X97" s="56" t="e">
        <f>X96+ATM_Conf!$C$5*(I96-H96)/(Links!I$191*Links!X$191)</f>
        <v>#DIV/0!</v>
      </c>
      <c r="Y97" s="56" t="e">
        <f>Y96+ATM_Conf!$C$5*(J96)/(Links!J$191*Links!Y$191)</f>
        <v>#DIV/0!</v>
      </c>
      <c r="Z97" s="56" t="e">
        <f>Z96+ATM_Conf!$C$5*(K96-J96)/(Links!K$191*Links!Z$191)</f>
        <v>#DIV/0!</v>
      </c>
      <c r="AA97" s="56" t="e">
        <f>AA96+ATM_Conf!$C$5*(L96-K96)/(Links!L$191*Links!AA$191)</f>
        <v>#DIV/0!</v>
      </c>
      <c r="AB97" s="56" t="e">
        <f>AB96+ATM_Conf!$C$5*(M96-L96)/(Links!M$191*Links!AB$191)</f>
        <v>#DIV/0!</v>
      </c>
      <c r="AC97" s="56" t="e">
        <f>AC96+ATM_Conf!$C$5*(N96-M96)/(Links!N$191*Links!AC$191)</f>
        <v>#DIV/0!</v>
      </c>
      <c r="AD97" s="56" t="e">
        <f>AD96+ATM_Conf!$C$5*(O96-N96)/(Links!O$191*Links!AD$191)</f>
        <v>#DIV/0!</v>
      </c>
      <c r="AE97" s="56" t="e">
        <f>AE96+ATM_Conf!$C$5*(P96-O96)/(Links!P$191*Links!AE$191)</f>
        <v>#DIV/0!</v>
      </c>
      <c r="AF97" s="46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6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6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6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6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6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6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6" t="e">
        <f>AM96+(ATM_Conf!$C$5/ATM_Conf!$C$8)*(Links!BB96*EXP((-(Links!X96/Links!BQ96)^Links!CF96)/Links!CF96)-Links!AM96)+(ATM_Conf!$C$5/Links!X$191)*Links!AM96*(Nodes!BH96-Links!AM96)</f>
        <v>#DIV/0!</v>
      </c>
      <c r="AN97" s="46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6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6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6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6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6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6" t="e">
        <f>AT96+(ATM_Conf!$C$5/ATM_Conf!$C$8)*(Links!BI96*EXP((-(Links!AE96/Links!BX96)^Links!CM96)/Links!CM96)-Links!AT96)+(ATM_Conf!$C$5/Links!AE$191)*Links!AT96*(Nodes!BN96-Links!AT96)</f>
        <v>#DIV/0!</v>
      </c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46">
        <f t="shared" si="53"/>
        <v>0</v>
      </c>
      <c r="CO97" s="46">
        <f t="shared" si="53"/>
        <v>0</v>
      </c>
      <c r="CP97" s="46">
        <f t="shared" si="53"/>
        <v>0</v>
      </c>
      <c r="CQ97" s="46">
        <f t="shared" si="53"/>
        <v>0</v>
      </c>
      <c r="CR97" s="46">
        <f t="shared" si="53"/>
        <v>0</v>
      </c>
      <c r="CS97" s="46">
        <f t="shared" si="53"/>
        <v>0</v>
      </c>
      <c r="CT97" s="46">
        <f t="shared" si="53"/>
        <v>0</v>
      </c>
      <c r="CU97" s="46">
        <f t="shared" si="53"/>
        <v>0</v>
      </c>
      <c r="CV97" s="46">
        <f t="shared" si="53"/>
        <v>0</v>
      </c>
      <c r="CW97" s="46">
        <f t="shared" si="53"/>
        <v>0</v>
      </c>
      <c r="CX97" s="46">
        <f t="shared" si="53"/>
        <v>0</v>
      </c>
      <c r="CY97" s="46">
        <f t="shared" si="53"/>
        <v>0</v>
      </c>
      <c r="CZ97" s="46">
        <f t="shared" si="53"/>
        <v>0</v>
      </c>
      <c r="DA97" s="46">
        <f t="shared" si="53"/>
        <v>0</v>
      </c>
      <c r="DB97" s="46">
        <f t="shared" si="53"/>
        <v>0</v>
      </c>
      <c r="DC97" s="54"/>
      <c r="DD97" s="54"/>
      <c r="DE97" s="54"/>
      <c r="DF97" s="54"/>
      <c r="DG97" s="54"/>
      <c r="DH97" s="54"/>
      <c r="DI97" s="54"/>
      <c r="DJ97" s="54"/>
      <c r="DK97" s="54"/>
      <c r="DL97" s="54"/>
      <c r="DM97" s="54"/>
      <c r="DN97" s="54"/>
      <c r="DO97" s="54"/>
      <c r="DP97" s="54"/>
      <c r="DQ97" s="54"/>
    </row>
    <row r="98" spans="1:121" ht="14.25" x14ac:dyDescent="0.15">
      <c r="A98" s="49">
        <v>96</v>
      </c>
      <c r="B98" s="46" t="e">
        <f t="shared" si="33"/>
        <v>#DIV/0!</v>
      </c>
      <c r="C98" s="46" t="e">
        <f t="shared" si="34"/>
        <v>#DIV/0!</v>
      </c>
      <c r="D98" s="46" t="e">
        <f t="shared" si="35"/>
        <v>#DIV/0!</v>
      </c>
      <c r="E98" s="46" t="e">
        <f t="shared" si="36"/>
        <v>#DIV/0!</v>
      </c>
      <c r="F98" s="46" t="e">
        <f t="shared" si="37"/>
        <v>#DIV/0!</v>
      </c>
      <c r="G98" s="46" t="e">
        <f t="shared" si="38"/>
        <v>#DIV/0!</v>
      </c>
      <c r="H98" s="46" t="e">
        <f t="shared" si="39"/>
        <v>#DIV/0!</v>
      </c>
      <c r="I98" s="46" t="e">
        <f t="shared" si="40"/>
        <v>#DIV/0!</v>
      </c>
      <c r="J98" s="46" t="e">
        <f t="shared" si="41"/>
        <v>#DIV/0!</v>
      </c>
      <c r="K98" s="46" t="e">
        <f t="shared" si="42"/>
        <v>#DIV/0!</v>
      </c>
      <c r="L98" s="46" t="e">
        <f t="shared" si="43"/>
        <v>#DIV/0!</v>
      </c>
      <c r="M98" s="46" t="e">
        <f t="shared" si="44"/>
        <v>#DIV/0!</v>
      </c>
      <c r="N98" s="46" t="e">
        <f t="shared" si="45"/>
        <v>#DIV/0!</v>
      </c>
      <c r="O98" s="46" t="e">
        <f t="shared" si="46"/>
        <v>#DIV/0!</v>
      </c>
      <c r="P98" s="46" t="e">
        <f t="shared" si="47"/>
        <v>#DIV/0!</v>
      </c>
      <c r="Q98" s="56" t="e">
        <f>Q97+ATM_Conf!$C$5*(B97)/(Links!B$191*Links!Q$191)</f>
        <v>#DIV/0!</v>
      </c>
      <c r="R98" s="56" t="e">
        <f>R97+ATM_Conf!$C$5*(C97-B97)/(Links!C$191*Links!R$191)</f>
        <v>#DIV/0!</v>
      </c>
      <c r="S98" s="56" t="e">
        <f>S97+ATM_Conf!$C$5*(D97-C97)/(Links!D$191*Links!S$191)</f>
        <v>#DIV/0!</v>
      </c>
      <c r="T98" s="56" t="e">
        <f>T97+ATM_Conf!$C$5*(E97-D97)/(Links!E$191*Links!T$191)</f>
        <v>#DIV/0!</v>
      </c>
      <c r="U98" s="56" t="e">
        <f>U97+ATM_Conf!$C$5*(F97-E97)/(Links!F$191*Links!U$191)</f>
        <v>#DIV/0!</v>
      </c>
      <c r="V98" s="56" t="e">
        <f>V97+ATM_Conf!$C$5*(G97-F97)/(Links!G$191*Links!V$191)</f>
        <v>#DIV/0!</v>
      </c>
      <c r="W98" s="56" t="e">
        <f>W97+ATM_Conf!$C$5*(H97-G97)/(Links!H$191*Links!W$191)</f>
        <v>#DIV/0!</v>
      </c>
      <c r="X98" s="56" t="e">
        <f>X97+ATM_Conf!$C$5*(I97-H97)/(Links!I$191*Links!X$191)</f>
        <v>#DIV/0!</v>
      </c>
      <c r="Y98" s="56" t="e">
        <f>Y97+ATM_Conf!$C$5*(J97)/(Links!J$191*Links!Y$191)</f>
        <v>#DIV/0!</v>
      </c>
      <c r="Z98" s="56" t="e">
        <f>Z97+ATM_Conf!$C$5*(K97-J97)/(Links!K$191*Links!Z$191)</f>
        <v>#DIV/0!</v>
      </c>
      <c r="AA98" s="56" t="e">
        <f>AA97+ATM_Conf!$C$5*(L97-K97)/(Links!L$191*Links!AA$191)</f>
        <v>#DIV/0!</v>
      </c>
      <c r="AB98" s="56" t="e">
        <f>AB97+ATM_Conf!$C$5*(M97-L97)/(Links!M$191*Links!AB$191)</f>
        <v>#DIV/0!</v>
      </c>
      <c r="AC98" s="56" t="e">
        <f>AC97+ATM_Conf!$C$5*(N97-M97)/(Links!N$191*Links!AC$191)</f>
        <v>#DIV/0!</v>
      </c>
      <c r="AD98" s="56" t="e">
        <f>AD97+ATM_Conf!$C$5*(O97-N97)/(Links!O$191*Links!AD$191)</f>
        <v>#DIV/0!</v>
      </c>
      <c r="AE98" s="56" t="e">
        <f>AE97+ATM_Conf!$C$5*(P97-O97)/(Links!P$191*Links!AE$191)</f>
        <v>#DIV/0!</v>
      </c>
      <c r="AF98" s="46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6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6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6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6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6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6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6" t="e">
        <f>AM97+(ATM_Conf!$C$5/ATM_Conf!$C$8)*(Links!BB97*EXP((-(Links!X97/Links!BQ97)^Links!CF97)/Links!CF97)-Links!AM97)+(ATM_Conf!$C$5/Links!X$191)*Links!AM97*(Nodes!BH97-Links!AM97)</f>
        <v>#DIV/0!</v>
      </c>
      <c r="AN98" s="46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6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6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6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6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6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6" t="e">
        <f>AT97+(ATM_Conf!$C$5/ATM_Conf!$C$8)*(Links!BI97*EXP((-(Links!AE97/Links!BX97)^Links!CM97)/Links!CM97)-Links!AT97)+(ATM_Conf!$C$5/Links!AE$191)*Links!AT97*(Nodes!BN97-Links!AT97)</f>
        <v>#DIV/0!</v>
      </c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46">
        <f t="shared" si="53"/>
        <v>0</v>
      </c>
      <c r="CO98" s="46">
        <f t="shared" si="53"/>
        <v>0</v>
      </c>
      <c r="CP98" s="46">
        <f t="shared" si="53"/>
        <v>0</v>
      </c>
      <c r="CQ98" s="46">
        <f t="shared" si="53"/>
        <v>0</v>
      </c>
      <c r="CR98" s="46">
        <f t="shared" si="53"/>
        <v>0</v>
      </c>
      <c r="CS98" s="46">
        <f t="shared" si="53"/>
        <v>0</v>
      </c>
      <c r="CT98" s="46">
        <f t="shared" si="53"/>
        <v>0</v>
      </c>
      <c r="CU98" s="46">
        <f t="shared" si="53"/>
        <v>0</v>
      </c>
      <c r="CV98" s="46">
        <f t="shared" si="53"/>
        <v>0</v>
      </c>
      <c r="CW98" s="46">
        <f t="shared" si="53"/>
        <v>0</v>
      </c>
      <c r="CX98" s="46">
        <f t="shared" si="53"/>
        <v>0</v>
      </c>
      <c r="CY98" s="46">
        <f t="shared" si="53"/>
        <v>0</v>
      </c>
      <c r="CZ98" s="46">
        <f t="shared" si="53"/>
        <v>0</v>
      </c>
      <c r="DA98" s="46">
        <f t="shared" si="53"/>
        <v>0</v>
      </c>
      <c r="DB98" s="46">
        <f t="shared" si="53"/>
        <v>0</v>
      </c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</row>
    <row r="99" spans="1:121" ht="14.25" x14ac:dyDescent="0.15">
      <c r="A99" s="49">
        <v>97</v>
      </c>
      <c r="B99" s="46" t="e">
        <f t="shared" si="33"/>
        <v>#DIV/0!</v>
      </c>
      <c r="C99" s="46" t="e">
        <f t="shared" si="34"/>
        <v>#DIV/0!</v>
      </c>
      <c r="D99" s="46" t="e">
        <f t="shared" si="35"/>
        <v>#DIV/0!</v>
      </c>
      <c r="E99" s="46" t="e">
        <f t="shared" si="36"/>
        <v>#DIV/0!</v>
      </c>
      <c r="F99" s="46" t="e">
        <f t="shared" si="37"/>
        <v>#DIV/0!</v>
      </c>
      <c r="G99" s="46" t="e">
        <f t="shared" si="38"/>
        <v>#DIV/0!</v>
      </c>
      <c r="H99" s="46" t="e">
        <f t="shared" si="39"/>
        <v>#DIV/0!</v>
      </c>
      <c r="I99" s="46" t="e">
        <f t="shared" si="40"/>
        <v>#DIV/0!</v>
      </c>
      <c r="J99" s="46" t="e">
        <f t="shared" si="41"/>
        <v>#DIV/0!</v>
      </c>
      <c r="K99" s="46" t="e">
        <f t="shared" si="42"/>
        <v>#DIV/0!</v>
      </c>
      <c r="L99" s="46" t="e">
        <f t="shared" si="43"/>
        <v>#DIV/0!</v>
      </c>
      <c r="M99" s="46" t="e">
        <f t="shared" si="44"/>
        <v>#DIV/0!</v>
      </c>
      <c r="N99" s="46" t="e">
        <f t="shared" si="45"/>
        <v>#DIV/0!</v>
      </c>
      <c r="O99" s="46" t="e">
        <f t="shared" si="46"/>
        <v>#DIV/0!</v>
      </c>
      <c r="P99" s="46" t="e">
        <f t="shared" si="47"/>
        <v>#DIV/0!</v>
      </c>
      <c r="Q99" s="56" t="e">
        <f>Q98+ATM_Conf!$C$5*(B98)/(Links!B$191*Links!Q$191)</f>
        <v>#DIV/0!</v>
      </c>
      <c r="R99" s="56" t="e">
        <f>R98+ATM_Conf!$C$5*(C98-B98)/(Links!C$191*Links!R$191)</f>
        <v>#DIV/0!</v>
      </c>
      <c r="S99" s="56" t="e">
        <f>S98+ATM_Conf!$C$5*(D98-C98)/(Links!D$191*Links!S$191)</f>
        <v>#DIV/0!</v>
      </c>
      <c r="T99" s="56" t="e">
        <f>T98+ATM_Conf!$C$5*(E98-D98)/(Links!E$191*Links!T$191)</f>
        <v>#DIV/0!</v>
      </c>
      <c r="U99" s="56" t="e">
        <f>U98+ATM_Conf!$C$5*(F98-E98)/(Links!F$191*Links!U$191)</f>
        <v>#DIV/0!</v>
      </c>
      <c r="V99" s="56" t="e">
        <f>V98+ATM_Conf!$C$5*(G98-F98)/(Links!G$191*Links!V$191)</f>
        <v>#DIV/0!</v>
      </c>
      <c r="W99" s="56" t="e">
        <f>W98+ATM_Conf!$C$5*(H98-G98)/(Links!H$191*Links!W$191)</f>
        <v>#DIV/0!</v>
      </c>
      <c r="X99" s="56" t="e">
        <f>X98+ATM_Conf!$C$5*(I98-H98)/(Links!I$191*Links!X$191)</f>
        <v>#DIV/0!</v>
      </c>
      <c r="Y99" s="56" t="e">
        <f>Y98+ATM_Conf!$C$5*(J98)/(Links!J$191*Links!Y$191)</f>
        <v>#DIV/0!</v>
      </c>
      <c r="Z99" s="56" t="e">
        <f>Z98+ATM_Conf!$C$5*(K98-J98)/(Links!K$191*Links!Z$191)</f>
        <v>#DIV/0!</v>
      </c>
      <c r="AA99" s="56" t="e">
        <f>AA98+ATM_Conf!$C$5*(L98-K98)/(Links!L$191*Links!AA$191)</f>
        <v>#DIV/0!</v>
      </c>
      <c r="AB99" s="56" t="e">
        <f>AB98+ATM_Conf!$C$5*(M98-L98)/(Links!M$191*Links!AB$191)</f>
        <v>#DIV/0!</v>
      </c>
      <c r="AC99" s="56" t="e">
        <f>AC98+ATM_Conf!$C$5*(N98-M98)/(Links!N$191*Links!AC$191)</f>
        <v>#DIV/0!</v>
      </c>
      <c r="AD99" s="56" t="e">
        <f>AD98+ATM_Conf!$C$5*(O98-N98)/(Links!O$191*Links!AD$191)</f>
        <v>#DIV/0!</v>
      </c>
      <c r="AE99" s="56" t="e">
        <f>AE98+ATM_Conf!$C$5*(P98-O98)/(Links!P$191*Links!AE$191)</f>
        <v>#DIV/0!</v>
      </c>
      <c r="AF99" s="46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6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6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6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6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6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6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6" t="e">
        <f>AM98+(ATM_Conf!$C$5/ATM_Conf!$C$8)*(Links!BB98*EXP((-(Links!X98/Links!BQ98)^Links!CF98)/Links!CF98)-Links!AM98)+(ATM_Conf!$C$5/Links!X$191)*Links!AM98*(Nodes!BH98-Links!AM98)</f>
        <v>#DIV/0!</v>
      </c>
      <c r="AN99" s="46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6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6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6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6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6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6" t="e">
        <f>AT98+(ATM_Conf!$C$5/ATM_Conf!$C$8)*(Links!BI98*EXP((-(Links!AE98/Links!BX98)^Links!CM98)/Links!CM98)-Links!AT98)+(ATM_Conf!$C$5/Links!AE$191)*Links!AT98*(Nodes!BN98-Links!AT98)</f>
        <v>#DIV/0!</v>
      </c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54">
        <f>(CN99-CN87)^2</f>
        <v>0</v>
      </c>
      <c r="DD99" s="54">
        <f t="shared" ref="DD99:DQ99" si="54">(CO99-CO87)^2</f>
        <v>0</v>
      </c>
      <c r="DE99" s="54">
        <f t="shared" si="54"/>
        <v>0</v>
      </c>
      <c r="DF99" s="54">
        <f t="shared" si="54"/>
        <v>0</v>
      </c>
      <c r="DG99" s="54">
        <f t="shared" si="54"/>
        <v>0</v>
      </c>
      <c r="DH99" s="54">
        <f t="shared" si="54"/>
        <v>0</v>
      </c>
      <c r="DI99" s="54">
        <f t="shared" si="54"/>
        <v>0</v>
      </c>
      <c r="DJ99" s="54">
        <f t="shared" si="54"/>
        <v>0</v>
      </c>
      <c r="DK99" s="54">
        <f t="shared" si="54"/>
        <v>0</v>
      </c>
      <c r="DL99" s="54">
        <f t="shared" si="54"/>
        <v>0</v>
      </c>
      <c r="DM99" s="54">
        <f t="shared" si="54"/>
        <v>0</v>
      </c>
      <c r="DN99" s="54">
        <f t="shared" si="54"/>
        <v>0</v>
      </c>
      <c r="DO99" s="54">
        <f t="shared" si="54"/>
        <v>0</v>
      </c>
      <c r="DP99" s="54">
        <f t="shared" si="54"/>
        <v>0</v>
      </c>
      <c r="DQ99" s="54">
        <f t="shared" si="54"/>
        <v>0</v>
      </c>
    </row>
    <row r="100" spans="1:121" ht="14.25" x14ac:dyDescent="0.15">
      <c r="A100" s="49">
        <v>98</v>
      </c>
      <c r="B100" s="46" t="e">
        <f t="shared" si="33"/>
        <v>#DIV/0!</v>
      </c>
      <c r="C100" s="46" t="e">
        <f t="shared" si="34"/>
        <v>#DIV/0!</v>
      </c>
      <c r="D100" s="46" t="e">
        <f t="shared" si="35"/>
        <v>#DIV/0!</v>
      </c>
      <c r="E100" s="46" t="e">
        <f t="shared" si="36"/>
        <v>#DIV/0!</v>
      </c>
      <c r="F100" s="46" t="e">
        <f t="shared" si="37"/>
        <v>#DIV/0!</v>
      </c>
      <c r="G100" s="46" t="e">
        <f t="shared" si="38"/>
        <v>#DIV/0!</v>
      </c>
      <c r="H100" s="46" t="e">
        <f t="shared" si="39"/>
        <v>#DIV/0!</v>
      </c>
      <c r="I100" s="46" t="e">
        <f t="shared" si="40"/>
        <v>#DIV/0!</v>
      </c>
      <c r="J100" s="46" t="e">
        <f t="shared" si="41"/>
        <v>#DIV/0!</v>
      </c>
      <c r="K100" s="46" t="e">
        <f t="shared" si="42"/>
        <v>#DIV/0!</v>
      </c>
      <c r="L100" s="46" t="e">
        <f t="shared" si="43"/>
        <v>#DIV/0!</v>
      </c>
      <c r="M100" s="46" t="e">
        <f t="shared" si="44"/>
        <v>#DIV/0!</v>
      </c>
      <c r="N100" s="46" t="e">
        <f t="shared" si="45"/>
        <v>#DIV/0!</v>
      </c>
      <c r="O100" s="46" t="e">
        <f t="shared" si="46"/>
        <v>#DIV/0!</v>
      </c>
      <c r="P100" s="46" t="e">
        <f t="shared" si="47"/>
        <v>#DIV/0!</v>
      </c>
      <c r="Q100" s="56" t="e">
        <f>Q99+ATM_Conf!$C$5*(B99)/(Links!B$191*Links!Q$191)</f>
        <v>#DIV/0!</v>
      </c>
      <c r="R100" s="56" t="e">
        <f>R99+ATM_Conf!$C$5*(C99-B99)/(Links!C$191*Links!R$191)</f>
        <v>#DIV/0!</v>
      </c>
      <c r="S100" s="56" t="e">
        <f>S99+ATM_Conf!$C$5*(D99-C99)/(Links!D$191*Links!S$191)</f>
        <v>#DIV/0!</v>
      </c>
      <c r="T100" s="56" t="e">
        <f>T99+ATM_Conf!$C$5*(E99-D99)/(Links!E$191*Links!T$191)</f>
        <v>#DIV/0!</v>
      </c>
      <c r="U100" s="56" t="e">
        <f>U99+ATM_Conf!$C$5*(F99-E99)/(Links!F$191*Links!U$191)</f>
        <v>#DIV/0!</v>
      </c>
      <c r="V100" s="56" t="e">
        <f>V99+ATM_Conf!$C$5*(G99-F99)/(Links!G$191*Links!V$191)</f>
        <v>#DIV/0!</v>
      </c>
      <c r="W100" s="56" t="e">
        <f>W99+ATM_Conf!$C$5*(H99-G99)/(Links!H$191*Links!W$191)</f>
        <v>#DIV/0!</v>
      </c>
      <c r="X100" s="56" t="e">
        <f>X99+ATM_Conf!$C$5*(I99-H99)/(Links!I$191*Links!X$191)</f>
        <v>#DIV/0!</v>
      </c>
      <c r="Y100" s="56" t="e">
        <f>Y99+ATM_Conf!$C$5*(J99)/(Links!J$191*Links!Y$191)</f>
        <v>#DIV/0!</v>
      </c>
      <c r="Z100" s="56" t="e">
        <f>Z99+ATM_Conf!$C$5*(K99-J99)/(Links!K$191*Links!Z$191)</f>
        <v>#DIV/0!</v>
      </c>
      <c r="AA100" s="56" t="e">
        <f>AA99+ATM_Conf!$C$5*(L99-K99)/(Links!L$191*Links!AA$191)</f>
        <v>#DIV/0!</v>
      </c>
      <c r="AB100" s="56" t="e">
        <f>AB99+ATM_Conf!$C$5*(M99-L99)/(Links!M$191*Links!AB$191)</f>
        <v>#DIV/0!</v>
      </c>
      <c r="AC100" s="56" t="e">
        <f>AC99+ATM_Conf!$C$5*(N99-M99)/(Links!N$191*Links!AC$191)</f>
        <v>#DIV/0!</v>
      </c>
      <c r="AD100" s="56" t="e">
        <f>AD99+ATM_Conf!$C$5*(O99-N99)/(Links!O$191*Links!AD$191)</f>
        <v>#DIV/0!</v>
      </c>
      <c r="AE100" s="56" t="e">
        <f>AE99+ATM_Conf!$C$5*(P99-O99)/(Links!P$191*Links!AE$191)</f>
        <v>#DIV/0!</v>
      </c>
      <c r="AF100" s="46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6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6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6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6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6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6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6" t="e">
        <f>AM99+(ATM_Conf!$C$5/ATM_Conf!$C$8)*(Links!BB99*EXP((-(Links!X99/Links!BQ99)^Links!CF99)/Links!CF99)-Links!AM99)+(ATM_Conf!$C$5/Links!X$191)*Links!AM99*(Nodes!BH99-Links!AM99)</f>
        <v>#DIV/0!</v>
      </c>
      <c r="AN100" s="46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6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6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6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6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6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6" t="e">
        <f>AT99+(ATM_Conf!$C$5/ATM_Conf!$C$8)*(Links!BI99*EXP((-(Links!AE99/Links!BX99)^Links!CM99)/Links!CM99)-Links!AT99)+(ATM_Conf!$C$5/Links!AE$191)*Links!AT99*(Nodes!BN99-Links!AT99)</f>
        <v>#DIV/0!</v>
      </c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46">
        <f>CN$99</f>
        <v>0</v>
      </c>
      <c r="CO100" s="46">
        <f t="shared" ref="CO100:DB100" si="55">CO$99</f>
        <v>0</v>
      </c>
      <c r="CP100" s="46">
        <f t="shared" si="55"/>
        <v>0</v>
      </c>
      <c r="CQ100" s="46">
        <f t="shared" si="55"/>
        <v>0</v>
      </c>
      <c r="CR100" s="46">
        <f t="shared" si="55"/>
        <v>0</v>
      </c>
      <c r="CS100" s="46">
        <f t="shared" si="55"/>
        <v>0</v>
      </c>
      <c r="CT100" s="46">
        <f t="shared" si="55"/>
        <v>0</v>
      </c>
      <c r="CU100" s="46">
        <f t="shared" si="55"/>
        <v>0</v>
      </c>
      <c r="CV100" s="46">
        <f t="shared" si="55"/>
        <v>0</v>
      </c>
      <c r="CW100" s="46">
        <f t="shared" si="55"/>
        <v>0</v>
      </c>
      <c r="CX100" s="46">
        <f t="shared" si="55"/>
        <v>0</v>
      </c>
      <c r="CY100" s="46">
        <f t="shared" si="55"/>
        <v>0</v>
      </c>
      <c r="CZ100" s="46">
        <f t="shared" si="55"/>
        <v>0</v>
      </c>
      <c r="DA100" s="46">
        <f t="shared" si="55"/>
        <v>0</v>
      </c>
      <c r="DB100" s="46">
        <f t="shared" si="55"/>
        <v>0</v>
      </c>
      <c r="DC100" s="54"/>
      <c r="DD100" s="54"/>
      <c r="DE100" s="54"/>
      <c r="DF100" s="54"/>
      <c r="DG100" s="54"/>
      <c r="DH100" s="54"/>
      <c r="DI100" s="54"/>
      <c r="DJ100" s="54"/>
      <c r="DK100" s="54"/>
      <c r="DL100" s="54"/>
      <c r="DM100" s="54"/>
      <c r="DN100" s="54"/>
      <c r="DO100" s="54"/>
      <c r="DP100" s="54"/>
      <c r="DQ100" s="54"/>
    </row>
    <row r="101" spans="1:121" ht="14.25" x14ac:dyDescent="0.15">
      <c r="A101" s="49">
        <v>99</v>
      </c>
      <c r="B101" s="46" t="e">
        <f t="shared" si="33"/>
        <v>#DIV/0!</v>
      </c>
      <c r="C101" s="46" t="e">
        <f t="shared" si="34"/>
        <v>#DIV/0!</v>
      </c>
      <c r="D101" s="46" t="e">
        <f t="shared" si="35"/>
        <v>#DIV/0!</v>
      </c>
      <c r="E101" s="46" t="e">
        <f t="shared" si="36"/>
        <v>#DIV/0!</v>
      </c>
      <c r="F101" s="46" t="e">
        <f t="shared" si="37"/>
        <v>#DIV/0!</v>
      </c>
      <c r="G101" s="46" t="e">
        <f t="shared" si="38"/>
        <v>#DIV/0!</v>
      </c>
      <c r="H101" s="46" t="e">
        <f t="shared" si="39"/>
        <v>#DIV/0!</v>
      </c>
      <c r="I101" s="46" t="e">
        <f t="shared" si="40"/>
        <v>#DIV/0!</v>
      </c>
      <c r="J101" s="46" t="e">
        <f t="shared" si="41"/>
        <v>#DIV/0!</v>
      </c>
      <c r="K101" s="46" t="e">
        <f t="shared" si="42"/>
        <v>#DIV/0!</v>
      </c>
      <c r="L101" s="46" t="e">
        <f t="shared" si="43"/>
        <v>#DIV/0!</v>
      </c>
      <c r="M101" s="46" t="e">
        <f t="shared" si="44"/>
        <v>#DIV/0!</v>
      </c>
      <c r="N101" s="46" t="e">
        <f t="shared" si="45"/>
        <v>#DIV/0!</v>
      </c>
      <c r="O101" s="46" t="e">
        <f t="shared" si="46"/>
        <v>#DIV/0!</v>
      </c>
      <c r="P101" s="46" t="e">
        <f t="shared" si="47"/>
        <v>#DIV/0!</v>
      </c>
      <c r="Q101" s="56" t="e">
        <f>Q100+ATM_Conf!$C$5*(B100)/(Links!B$191*Links!Q$191)</f>
        <v>#DIV/0!</v>
      </c>
      <c r="R101" s="56" t="e">
        <f>R100+ATM_Conf!$C$5*(C100-B100)/(Links!C$191*Links!R$191)</f>
        <v>#DIV/0!</v>
      </c>
      <c r="S101" s="56" t="e">
        <f>S100+ATM_Conf!$C$5*(D100-C100)/(Links!D$191*Links!S$191)</f>
        <v>#DIV/0!</v>
      </c>
      <c r="T101" s="56" t="e">
        <f>T100+ATM_Conf!$C$5*(E100-D100)/(Links!E$191*Links!T$191)</f>
        <v>#DIV/0!</v>
      </c>
      <c r="U101" s="56" t="e">
        <f>U100+ATM_Conf!$C$5*(F100-E100)/(Links!F$191*Links!U$191)</f>
        <v>#DIV/0!</v>
      </c>
      <c r="V101" s="56" t="e">
        <f>V100+ATM_Conf!$C$5*(G100-F100)/(Links!G$191*Links!V$191)</f>
        <v>#DIV/0!</v>
      </c>
      <c r="W101" s="56" t="e">
        <f>W100+ATM_Conf!$C$5*(H100-G100)/(Links!H$191*Links!W$191)</f>
        <v>#DIV/0!</v>
      </c>
      <c r="X101" s="56" t="e">
        <f>X100+ATM_Conf!$C$5*(I100-H100)/(Links!I$191*Links!X$191)</f>
        <v>#DIV/0!</v>
      </c>
      <c r="Y101" s="56" t="e">
        <f>Y100+ATM_Conf!$C$5*(J100)/(Links!J$191*Links!Y$191)</f>
        <v>#DIV/0!</v>
      </c>
      <c r="Z101" s="56" t="e">
        <f>Z100+ATM_Conf!$C$5*(K100-J100)/(Links!K$191*Links!Z$191)</f>
        <v>#DIV/0!</v>
      </c>
      <c r="AA101" s="56" t="e">
        <f>AA100+ATM_Conf!$C$5*(L100-K100)/(Links!L$191*Links!AA$191)</f>
        <v>#DIV/0!</v>
      </c>
      <c r="AB101" s="56" t="e">
        <f>AB100+ATM_Conf!$C$5*(M100-L100)/(Links!M$191*Links!AB$191)</f>
        <v>#DIV/0!</v>
      </c>
      <c r="AC101" s="56" t="e">
        <f>AC100+ATM_Conf!$C$5*(N100-M100)/(Links!N$191*Links!AC$191)</f>
        <v>#DIV/0!</v>
      </c>
      <c r="AD101" s="56" t="e">
        <f>AD100+ATM_Conf!$C$5*(O100-N100)/(Links!O$191*Links!AD$191)</f>
        <v>#DIV/0!</v>
      </c>
      <c r="AE101" s="56" t="e">
        <f>AE100+ATM_Conf!$C$5*(P100-O100)/(Links!P$191*Links!AE$191)</f>
        <v>#DIV/0!</v>
      </c>
      <c r="AF101" s="46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6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6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6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6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6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6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6" t="e">
        <f>AM100+(ATM_Conf!$C$5/ATM_Conf!$C$8)*(Links!BB100*EXP((-(Links!X100/Links!BQ100)^Links!CF100)/Links!CF100)-Links!AM100)+(ATM_Conf!$C$5/Links!X$191)*Links!AM100*(Nodes!BH100-Links!AM100)</f>
        <v>#DIV/0!</v>
      </c>
      <c r="AN101" s="46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6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6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6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6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6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6" t="e">
        <f>AT100+(ATM_Conf!$C$5/ATM_Conf!$C$8)*(Links!BI100*EXP((-(Links!AE100/Links!BX100)^Links!CM100)/Links!CM100)-Links!AT100)+(ATM_Conf!$C$5/Links!AE$191)*Links!AT100*(Nodes!BN100-Links!AT100)</f>
        <v>#DIV/0!</v>
      </c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46">
        <f t="shared" ref="CN101:DB110" si="56">CN$99</f>
        <v>0</v>
      </c>
      <c r="CO101" s="46">
        <f t="shared" si="56"/>
        <v>0</v>
      </c>
      <c r="CP101" s="46">
        <f t="shared" si="56"/>
        <v>0</v>
      </c>
      <c r="CQ101" s="46">
        <f t="shared" si="56"/>
        <v>0</v>
      </c>
      <c r="CR101" s="46">
        <f t="shared" si="56"/>
        <v>0</v>
      </c>
      <c r="CS101" s="46">
        <f t="shared" si="56"/>
        <v>0</v>
      </c>
      <c r="CT101" s="46">
        <f t="shared" si="56"/>
        <v>0</v>
      </c>
      <c r="CU101" s="46">
        <f t="shared" si="56"/>
        <v>0</v>
      </c>
      <c r="CV101" s="46">
        <f t="shared" si="56"/>
        <v>0</v>
      </c>
      <c r="CW101" s="46">
        <f t="shared" si="56"/>
        <v>0</v>
      </c>
      <c r="CX101" s="46">
        <f t="shared" si="56"/>
        <v>0</v>
      </c>
      <c r="CY101" s="46">
        <f t="shared" si="56"/>
        <v>0</v>
      </c>
      <c r="CZ101" s="46">
        <f t="shared" si="56"/>
        <v>0</v>
      </c>
      <c r="DA101" s="46">
        <f t="shared" si="56"/>
        <v>0</v>
      </c>
      <c r="DB101" s="46">
        <f t="shared" si="56"/>
        <v>0</v>
      </c>
      <c r="DC101" s="54"/>
      <c r="DD101" s="54"/>
      <c r="DE101" s="54"/>
      <c r="DF101" s="54"/>
      <c r="DG101" s="54"/>
      <c r="DH101" s="54"/>
      <c r="DI101" s="54"/>
      <c r="DJ101" s="54"/>
      <c r="DK101" s="54"/>
      <c r="DL101" s="54"/>
      <c r="DM101" s="54"/>
      <c r="DN101" s="54"/>
      <c r="DO101" s="54"/>
      <c r="DP101" s="54"/>
      <c r="DQ101" s="54"/>
    </row>
    <row r="102" spans="1:121" ht="14.25" x14ac:dyDescent="0.15">
      <c r="A102" s="49">
        <v>100</v>
      </c>
      <c r="B102" s="46" t="e">
        <f t="shared" si="33"/>
        <v>#DIV/0!</v>
      </c>
      <c r="C102" s="46" t="e">
        <f t="shared" si="34"/>
        <v>#DIV/0!</v>
      </c>
      <c r="D102" s="46" t="e">
        <f t="shared" si="35"/>
        <v>#DIV/0!</v>
      </c>
      <c r="E102" s="46" t="e">
        <f t="shared" si="36"/>
        <v>#DIV/0!</v>
      </c>
      <c r="F102" s="46" t="e">
        <f t="shared" si="37"/>
        <v>#DIV/0!</v>
      </c>
      <c r="G102" s="46" t="e">
        <f t="shared" si="38"/>
        <v>#DIV/0!</v>
      </c>
      <c r="H102" s="46" t="e">
        <f t="shared" si="39"/>
        <v>#DIV/0!</v>
      </c>
      <c r="I102" s="46" t="e">
        <f t="shared" si="40"/>
        <v>#DIV/0!</v>
      </c>
      <c r="J102" s="46" t="e">
        <f t="shared" si="41"/>
        <v>#DIV/0!</v>
      </c>
      <c r="K102" s="46" t="e">
        <f t="shared" si="42"/>
        <v>#DIV/0!</v>
      </c>
      <c r="L102" s="46" t="e">
        <f t="shared" si="43"/>
        <v>#DIV/0!</v>
      </c>
      <c r="M102" s="46" t="e">
        <f t="shared" si="44"/>
        <v>#DIV/0!</v>
      </c>
      <c r="N102" s="46" t="e">
        <f t="shared" si="45"/>
        <v>#DIV/0!</v>
      </c>
      <c r="O102" s="46" t="e">
        <f t="shared" si="46"/>
        <v>#DIV/0!</v>
      </c>
      <c r="P102" s="46" t="e">
        <f t="shared" si="47"/>
        <v>#DIV/0!</v>
      </c>
      <c r="Q102" s="56" t="e">
        <f>Q101+ATM_Conf!$C$5*(B101)/(Links!B$191*Links!Q$191)</f>
        <v>#DIV/0!</v>
      </c>
      <c r="R102" s="56" t="e">
        <f>R101+ATM_Conf!$C$5*(C101-B101)/(Links!C$191*Links!R$191)</f>
        <v>#DIV/0!</v>
      </c>
      <c r="S102" s="56" t="e">
        <f>S101+ATM_Conf!$C$5*(D101-C101)/(Links!D$191*Links!S$191)</f>
        <v>#DIV/0!</v>
      </c>
      <c r="T102" s="56" t="e">
        <f>T101+ATM_Conf!$C$5*(E101-D101)/(Links!E$191*Links!T$191)</f>
        <v>#DIV/0!</v>
      </c>
      <c r="U102" s="56" t="e">
        <f>U101+ATM_Conf!$C$5*(F101-E101)/(Links!F$191*Links!U$191)</f>
        <v>#DIV/0!</v>
      </c>
      <c r="V102" s="56" t="e">
        <f>V101+ATM_Conf!$C$5*(G101-F101)/(Links!G$191*Links!V$191)</f>
        <v>#DIV/0!</v>
      </c>
      <c r="W102" s="56" t="e">
        <f>W101+ATM_Conf!$C$5*(H101-G101)/(Links!H$191*Links!W$191)</f>
        <v>#DIV/0!</v>
      </c>
      <c r="X102" s="56" t="e">
        <f>X101+ATM_Conf!$C$5*(I101-H101)/(Links!I$191*Links!X$191)</f>
        <v>#DIV/0!</v>
      </c>
      <c r="Y102" s="56" t="e">
        <f>Y101+ATM_Conf!$C$5*(J101)/(Links!J$191*Links!Y$191)</f>
        <v>#DIV/0!</v>
      </c>
      <c r="Z102" s="56" t="e">
        <f>Z101+ATM_Conf!$C$5*(K101-J101)/(Links!K$191*Links!Z$191)</f>
        <v>#DIV/0!</v>
      </c>
      <c r="AA102" s="56" t="e">
        <f>AA101+ATM_Conf!$C$5*(L101-K101)/(Links!L$191*Links!AA$191)</f>
        <v>#DIV/0!</v>
      </c>
      <c r="AB102" s="56" t="e">
        <f>AB101+ATM_Conf!$C$5*(M101-L101)/(Links!M$191*Links!AB$191)</f>
        <v>#DIV/0!</v>
      </c>
      <c r="AC102" s="56" t="e">
        <f>AC101+ATM_Conf!$C$5*(N101-M101)/(Links!N$191*Links!AC$191)</f>
        <v>#DIV/0!</v>
      </c>
      <c r="AD102" s="56" t="e">
        <f>AD101+ATM_Conf!$C$5*(O101-N101)/(Links!O$191*Links!AD$191)</f>
        <v>#DIV/0!</v>
      </c>
      <c r="AE102" s="56" t="e">
        <f>AE101+ATM_Conf!$C$5*(P101-O101)/(Links!P$191*Links!AE$191)</f>
        <v>#DIV/0!</v>
      </c>
      <c r="AF102" s="46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6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6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6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6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6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6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6" t="e">
        <f>AM101+(ATM_Conf!$C$5/ATM_Conf!$C$8)*(Links!BB101*EXP((-(Links!X101/Links!BQ101)^Links!CF101)/Links!CF101)-Links!AM101)+(ATM_Conf!$C$5/Links!X$191)*Links!AM101*(Nodes!BH101-Links!AM101)</f>
        <v>#DIV/0!</v>
      </c>
      <c r="AN102" s="46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6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6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6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6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6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6" t="e">
        <f>AT101+(ATM_Conf!$C$5/ATM_Conf!$C$8)*(Links!BI101*EXP((-(Links!AE101/Links!BX101)^Links!CM101)/Links!CM101)-Links!AT101)+(ATM_Conf!$C$5/Links!AE$191)*Links!AT101*(Nodes!BN101-Links!AT101)</f>
        <v>#DIV/0!</v>
      </c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46">
        <f t="shared" si="56"/>
        <v>0</v>
      </c>
      <c r="CO102" s="46">
        <f t="shared" si="56"/>
        <v>0</v>
      </c>
      <c r="CP102" s="46">
        <f t="shared" si="56"/>
        <v>0</v>
      </c>
      <c r="CQ102" s="46">
        <f t="shared" si="56"/>
        <v>0</v>
      </c>
      <c r="CR102" s="46">
        <f t="shared" si="56"/>
        <v>0</v>
      </c>
      <c r="CS102" s="46">
        <f t="shared" si="56"/>
        <v>0</v>
      </c>
      <c r="CT102" s="46">
        <f t="shared" si="56"/>
        <v>0</v>
      </c>
      <c r="CU102" s="46">
        <f t="shared" si="56"/>
        <v>0</v>
      </c>
      <c r="CV102" s="46">
        <f t="shared" si="56"/>
        <v>0</v>
      </c>
      <c r="CW102" s="46">
        <f t="shared" si="56"/>
        <v>0</v>
      </c>
      <c r="CX102" s="46">
        <f t="shared" si="56"/>
        <v>0</v>
      </c>
      <c r="CY102" s="46">
        <f t="shared" si="56"/>
        <v>0</v>
      </c>
      <c r="CZ102" s="46">
        <f t="shared" si="56"/>
        <v>0</v>
      </c>
      <c r="DA102" s="46">
        <f t="shared" si="56"/>
        <v>0</v>
      </c>
      <c r="DB102" s="46">
        <f t="shared" si="56"/>
        <v>0</v>
      </c>
      <c r="DC102" s="54"/>
      <c r="DD102" s="54"/>
      <c r="DE102" s="54"/>
      <c r="DF102" s="54"/>
      <c r="DG102" s="54"/>
      <c r="DH102" s="54"/>
      <c r="DI102" s="54"/>
      <c r="DJ102" s="54"/>
      <c r="DK102" s="54"/>
      <c r="DL102" s="54"/>
      <c r="DM102" s="54"/>
      <c r="DN102" s="54"/>
      <c r="DO102" s="54"/>
      <c r="DP102" s="54"/>
      <c r="DQ102" s="54"/>
    </row>
    <row r="103" spans="1:121" ht="14.25" x14ac:dyDescent="0.15">
      <c r="A103" s="49">
        <v>101</v>
      </c>
      <c r="B103" s="46" t="e">
        <f t="shared" si="33"/>
        <v>#DIV/0!</v>
      </c>
      <c r="C103" s="46" t="e">
        <f t="shared" si="34"/>
        <v>#DIV/0!</v>
      </c>
      <c r="D103" s="46" t="e">
        <f t="shared" si="35"/>
        <v>#DIV/0!</v>
      </c>
      <c r="E103" s="46" t="e">
        <f t="shared" si="36"/>
        <v>#DIV/0!</v>
      </c>
      <c r="F103" s="46" t="e">
        <f t="shared" si="37"/>
        <v>#DIV/0!</v>
      </c>
      <c r="G103" s="46" t="e">
        <f t="shared" si="38"/>
        <v>#DIV/0!</v>
      </c>
      <c r="H103" s="46" t="e">
        <f t="shared" si="39"/>
        <v>#DIV/0!</v>
      </c>
      <c r="I103" s="46" t="e">
        <f t="shared" si="40"/>
        <v>#DIV/0!</v>
      </c>
      <c r="J103" s="46" t="e">
        <f t="shared" si="41"/>
        <v>#DIV/0!</v>
      </c>
      <c r="K103" s="46" t="e">
        <f t="shared" si="42"/>
        <v>#DIV/0!</v>
      </c>
      <c r="L103" s="46" t="e">
        <f t="shared" si="43"/>
        <v>#DIV/0!</v>
      </c>
      <c r="M103" s="46" t="e">
        <f t="shared" si="44"/>
        <v>#DIV/0!</v>
      </c>
      <c r="N103" s="46" t="e">
        <f t="shared" si="45"/>
        <v>#DIV/0!</v>
      </c>
      <c r="O103" s="46" t="e">
        <f t="shared" si="46"/>
        <v>#DIV/0!</v>
      </c>
      <c r="P103" s="46" t="e">
        <f t="shared" si="47"/>
        <v>#DIV/0!</v>
      </c>
      <c r="Q103" s="56" t="e">
        <f>Q102+ATM_Conf!$C$5*(B102)/(Links!B$191*Links!Q$191)</f>
        <v>#DIV/0!</v>
      </c>
      <c r="R103" s="56" t="e">
        <f>R102+ATM_Conf!$C$5*(C102-B102)/(Links!C$191*Links!R$191)</f>
        <v>#DIV/0!</v>
      </c>
      <c r="S103" s="56" t="e">
        <f>S102+ATM_Conf!$C$5*(D102-C102)/(Links!D$191*Links!S$191)</f>
        <v>#DIV/0!</v>
      </c>
      <c r="T103" s="56" t="e">
        <f>T102+ATM_Conf!$C$5*(E102-D102)/(Links!E$191*Links!T$191)</f>
        <v>#DIV/0!</v>
      </c>
      <c r="U103" s="56" t="e">
        <f>U102+ATM_Conf!$C$5*(F102-E102)/(Links!F$191*Links!U$191)</f>
        <v>#DIV/0!</v>
      </c>
      <c r="V103" s="56" t="e">
        <f>V102+ATM_Conf!$C$5*(G102-F102)/(Links!G$191*Links!V$191)</f>
        <v>#DIV/0!</v>
      </c>
      <c r="W103" s="56" t="e">
        <f>W102+ATM_Conf!$C$5*(H102-G102)/(Links!H$191*Links!W$191)</f>
        <v>#DIV/0!</v>
      </c>
      <c r="X103" s="56" t="e">
        <f>X102+ATM_Conf!$C$5*(I102-H102)/(Links!I$191*Links!X$191)</f>
        <v>#DIV/0!</v>
      </c>
      <c r="Y103" s="56" t="e">
        <f>Y102+ATM_Conf!$C$5*(J102)/(Links!J$191*Links!Y$191)</f>
        <v>#DIV/0!</v>
      </c>
      <c r="Z103" s="56" t="e">
        <f>Z102+ATM_Conf!$C$5*(K102-J102)/(Links!K$191*Links!Z$191)</f>
        <v>#DIV/0!</v>
      </c>
      <c r="AA103" s="56" t="e">
        <f>AA102+ATM_Conf!$C$5*(L102-K102)/(Links!L$191*Links!AA$191)</f>
        <v>#DIV/0!</v>
      </c>
      <c r="AB103" s="56" t="e">
        <f>AB102+ATM_Conf!$C$5*(M102-L102)/(Links!M$191*Links!AB$191)</f>
        <v>#DIV/0!</v>
      </c>
      <c r="AC103" s="56" t="e">
        <f>AC102+ATM_Conf!$C$5*(N102-M102)/(Links!N$191*Links!AC$191)</f>
        <v>#DIV/0!</v>
      </c>
      <c r="AD103" s="56" t="e">
        <f>AD102+ATM_Conf!$C$5*(O102-N102)/(Links!O$191*Links!AD$191)</f>
        <v>#DIV/0!</v>
      </c>
      <c r="AE103" s="56" t="e">
        <f>AE102+ATM_Conf!$C$5*(P102-O102)/(Links!P$191*Links!AE$191)</f>
        <v>#DIV/0!</v>
      </c>
      <c r="AF103" s="46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6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6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6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6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6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6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6" t="e">
        <f>AM102+(ATM_Conf!$C$5/ATM_Conf!$C$8)*(Links!BB102*EXP((-(Links!X102/Links!BQ102)^Links!CF102)/Links!CF102)-Links!AM102)+(ATM_Conf!$C$5/Links!X$191)*Links!AM102*(Nodes!BH102-Links!AM102)</f>
        <v>#DIV/0!</v>
      </c>
      <c r="AN103" s="46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6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6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6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6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6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6" t="e">
        <f>AT102+(ATM_Conf!$C$5/ATM_Conf!$C$8)*(Links!BI102*EXP((-(Links!AE102/Links!BX102)^Links!CM102)/Links!CM102)-Links!AT102)+(ATM_Conf!$C$5/Links!AE$191)*Links!AT102*(Nodes!BN102-Links!AT102)</f>
        <v>#DIV/0!</v>
      </c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46">
        <f t="shared" si="56"/>
        <v>0</v>
      </c>
      <c r="CO103" s="46">
        <f t="shared" si="56"/>
        <v>0</v>
      </c>
      <c r="CP103" s="46">
        <f t="shared" si="56"/>
        <v>0</v>
      </c>
      <c r="CQ103" s="46">
        <f t="shared" si="56"/>
        <v>0</v>
      </c>
      <c r="CR103" s="46">
        <f t="shared" si="56"/>
        <v>0</v>
      </c>
      <c r="CS103" s="46">
        <f t="shared" si="56"/>
        <v>0</v>
      </c>
      <c r="CT103" s="46">
        <f t="shared" si="56"/>
        <v>0</v>
      </c>
      <c r="CU103" s="46">
        <f t="shared" si="56"/>
        <v>0</v>
      </c>
      <c r="CV103" s="46">
        <f t="shared" si="56"/>
        <v>0</v>
      </c>
      <c r="CW103" s="46">
        <f t="shared" si="56"/>
        <v>0</v>
      </c>
      <c r="CX103" s="46">
        <f t="shared" si="56"/>
        <v>0</v>
      </c>
      <c r="CY103" s="46">
        <f t="shared" si="56"/>
        <v>0</v>
      </c>
      <c r="CZ103" s="46">
        <f t="shared" si="56"/>
        <v>0</v>
      </c>
      <c r="DA103" s="46">
        <f t="shared" si="56"/>
        <v>0</v>
      </c>
      <c r="DB103" s="46">
        <f t="shared" si="56"/>
        <v>0</v>
      </c>
      <c r="DC103" s="54"/>
      <c r="DD103" s="54"/>
      <c r="DE103" s="54"/>
      <c r="DF103" s="54"/>
      <c r="DG103" s="54"/>
      <c r="DH103" s="54"/>
      <c r="DI103" s="54"/>
      <c r="DJ103" s="54"/>
      <c r="DK103" s="54"/>
      <c r="DL103" s="54"/>
      <c r="DM103" s="54"/>
      <c r="DN103" s="54"/>
      <c r="DO103" s="54"/>
      <c r="DP103" s="54"/>
      <c r="DQ103" s="54"/>
    </row>
    <row r="104" spans="1:121" ht="14.25" x14ac:dyDescent="0.15">
      <c r="A104" s="49">
        <v>102</v>
      </c>
      <c r="B104" s="46" t="e">
        <f t="shared" si="33"/>
        <v>#DIV/0!</v>
      </c>
      <c r="C104" s="46" t="e">
        <f t="shared" si="34"/>
        <v>#DIV/0!</v>
      </c>
      <c r="D104" s="46" t="e">
        <f t="shared" si="35"/>
        <v>#DIV/0!</v>
      </c>
      <c r="E104" s="46" t="e">
        <f t="shared" si="36"/>
        <v>#DIV/0!</v>
      </c>
      <c r="F104" s="46" t="e">
        <f t="shared" si="37"/>
        <v>#DIV/0!</v>
      </c>
      <c r="G104" s="46" t="e">
        <f t="shared" si="38"/>
        <v>#DIV/0!</v>
      </c>
      <c r="H104" s="46" t="e">
        <f t="shared" si="39"/>
        <v>#DIV/0!</v>
      </c>
      <c r="I104" s="46" t="e">
        <f t="shared" si="40"/>
        <v>#DIV/0!</v>
      </c>
      <c r="J104" s="46" t="e">
        <f t="shared" si="41"/>
        <v>#DIV/0!</v>
      </c>
      <c r="K104" s="46" t="e">
        <f t="shared" si="42"/>
        <v>#DIV/0!</v>
      </c>
      <c r="L104" s="46" t="e">
        <f t="shared" si="43"/>
        <v>#DIV/0!</v>
      </c>
      <c r="M104" s="46" t="e">
        <f t="shared" si="44"/>
        <v>#DIV/0!</v>
      </c>
      <c r="N104" s="46" t="e">
        <f t="shared" si="45"/>
        <v>#DIV/0!</v>
      </c>
      <c r="O104" s="46" t="e">
        <f t="shared" si="46"/>
        <v>#DIV/0!</v>
      </c>
      <c r="P104" s="46" t="e">
        <f t="shared" si="47"/>
        <v>#DIV/0!</v>
      </c>
      <c r="Q104" s="56" t="e">
        <f>Q103+ATM_Conf!$C$5*(B103)/(Links!B$191*Links!Q$191)</f>
        <v>#DIV/0!</v>
      </c>
      <c r="R104" s="56" t="e">
        <f>R103+ATM_Conf!$C$5*(C103-B103)/(Links!C$191*Links!R$191)</f>
        <v>#DIV/0!</v>
      </c>
      <c r="S104" s="56" t="e">
        <f>S103+ATM_Conf!$C$5*(D103-C103)/(Links!D$191*Links!S$191)</f>
        <v>#DIV/0!</v>
      </c>
      <c r="T104" s="56" t="e">
        <f>T103+ATM_Conf!$C$5*(E103-D103)/(Links!E$191*Links!T$191)</f>
        <v>#DIV/0!</v>
      </c>
      <c r="U104" s="56" t="e">
        <f>U103+ATM_Conf!$C$5*(F103-E103)/(Links!F$191*Links!U$191)</f>
        <v>#DIV/0!</v>
      </c>
      <c r="V104" s="56" t="e">
        <f>V103+ATM_Conf!$C$5*(G103-F103)/(Links!G$191*Links!V$191)</f>
        <v>#DIV/0!</v>
      </c>
      <c r="W104" s="56" t="e">
        <f>W103+ATM_Conf!$C$5*(H103-G103)/(Links!H$191*Links!W$191)</f>
        <v>#DIV/0!</v>
      </c>
      <c r="X104" s="56" t="e">
        <f>X103+ATM_Conf!$C$5*(I103-H103)/(Links!I$191*Links!X$191)</f>
        <v>#DIV/0!</v>
      </c>
      <c r="Y104" s="56" t="e">
        <f>Y103+ATM_Conf!$C$5*(J103)/(Links!J$191*Links!Y$191)</f>
        <v>#DIV/0!</v>
      </c>
      <c r="Z104" s="56" t="e">
        <f>Z103+ATM_Conf!$C$5*(K103-J103)/(Links!K$191*Links!Z$191)</f>
        <v>#DIV/0!</v>
      </c>
      <c r="AA104" s="56" t="e">
        <f>AA103+ATM_Conf!$C$5*(L103-K103)/(Links!L$191*Links!AA$191)</f>
        <v>#DIV/0!</v>
      </c>
      <c r="AB104" s="56" t="e">
        <f>AB103+ATM_Conf!$C$5*(M103-L103)/(Links!M$191*Links!AB$191)</f>
        <v>#DIV/0!</v>
      </c>
      <c r="AC104" s="56" t="e">
        <f>AC103+ATM_Conf!$C$5*(N103-M103)/(Links!N$191*Links!AC$191)</f>
        <v>#DIV/0!</v>
      </c>
      <c r="AD104" s="56" t="e">
        <f>AD103+ATM_Conf!$C$5*(O103-N103)/(Links!O$191*Links!AD$191)</f>
        <v>#DIV/0!</v>
      </c>
      <c r="AE104" s="56" t="e">
        <f>AE103+ATM_Conf!$C$5*(P103-O103)/(Links!P$191*Links!AE$191)</f>
        <v>#DIV/0!</v>
      </c>
      <c r="AF104" s="46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6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6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6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6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6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6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6" t="e">
        <f>AM103+(ATM_Conf!$C$5/ATM_Conf!$C$8)*(Links!BB103*EXP((-(Links!X103/Links!BQ103)^Links!CF103)/Links!CF103)-Links!AM103)+(ATM_Conf!$C$5/Links!X$191)*Links!AM103*(Nodes!BH103-Links!AM103)</f>
        <v>#DIV/0!</v>
      </c>
      <c r="AN104" s="46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6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6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6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6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6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6" t="e">
        <f>AT103+(ATM_Conf!$C$5/ATM_Conf!$C$8)*(Links!BI103*EXP((-(Links!AE103/Links!BX103)^Links!CM103)/Links!CM103)-Links!AT103)+(ATM_Conf!$C$5/Links!AE$191)*Links!AT103*(Nodes!BN103-Links!AT103)</f>
        <v>#DIV/0!</v>
      </c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46">
        <f t="shared" si="56"/>
        <v>0</v>
      </c>
      <c r="CO104" s="46">
        <f t="shared" si="56"/>
        <v>0</v>
      </c>
      <c r="CP104" s="46">
        <f t="shared" si="56"/>
        <v>0</v>
      </c>
      <c r="CQ104" s="46">
        <f t="shared" si="56"/>
        <v>0</v>
      </c>
      <c r="CR104" s="46">
        <f t="shared" si="56"/>
        <v>0</v>
      </c>
      <c r="CS104" s="46">
        <f t="shared" si="56"/>
        <v>0</v>
      </c>
      <c r="CT104" s="46">
        <f t="shared" si="56"/>
        <v>0</v>
      </c>
      <c r="CU104" s="46">
        <f t="shared" si="56"/>
        <v>0</v>
      </c>
      <c r="CV104" s="46">
        <f t="shared" si="56"/>
        <v>0</v>
      </c>
      <c r="CW104" s="46">
        <f t="shared" si="56"/>
        <v>0</v>
      </c>
      <c r="CX104" s="46">
        <f t="shared" si="56"/>
        <v>0</v>
      </c>
      <c r="CY104" s="46">
        <f t="shared" si="56"/>
        <v>0</v>
      </c>
      <c r="CZ104" s="46">
        <f t="shared" si="56"/>
        <v>0</v>
      </c>
      <c r="DA104" s="46">
        <f t="shared" si="56"/>
        <v>0</v>
      </c>
      <c r="DB104" s="46">
        <f t="shared" si="56"/>
        <v>0</v>
      </c>
      <c r="DC104" s="54"/>
      <c r="DD104" s="54"/>
      <c r="DE104" s="54"/>
      <c r="DF104" s="54"/>
      <c r="DG104" s="54"/>
      <c r="DH104" s="54"/>
      <c r="DI104" s="54"/>
      <c r="DJ104" s="54"/>
      <c r="DK104" s="54"/>
      <c r="DL104" s="54"/>
      <c r="DM104" s="54"/>
      <c r="DN104" s="54"/>
      <c r="DO104" s="54"/>
      <c r="DP104" s="54"/>
      <c r="DQ104" s="54"/>
    </row>
    <row r="105" spans="1:121" ht="14.25" x14ac:dyDescent="0.15">
      <c r="A105" s="49">
        <v>103</v>
      </c>
      <c r="B105" s="46" t="e">
        <f t="shared" si="33"/>
        <v>#DIV/0!</v>
      </c>
      <c r="C105" s="46" t="e">
        <f t="shared" si="34"/>
        <v>#DIV/0!</v>
      </c>
      <c r="D105" s="46" t="e">
        <f t="shared" si="35"/>
        <v>#DIV/0!</v>
      </c>
      <c r="E105" s="46" t="e">
        <f t="shared" si="36"/>
        <v>#DIV/0!</v>
      </c>
      <c r="F105" s="46" t="e">
        <f t="shared" si="37"/>
        <v>#DIV/0!</v>
      </c>
      <c r="G105" s="46" t="e">
        <f t="shared" si="38"/>
        <v>#DIV/0!</v>
      </c>
      <c r="H105" s="46" t="e">
        <f t="shared" si="39"/>
        <v>#DIV/0!</v>
      </c>
      <c r="I105" s="46" t="e">
        <f t="shared" si="40"/>
        <v>#DIV/0!</v>
      </c>
      <c r="J105" s="46" t="e">
        <f t="shared" si="41"/>
        <v>#DIV/0!</v>
      </c>
      <c r="K105" s="46" t="e">
        <f t="shared" si="42"/>
        <v>#DIV/0!</v>
      </c>
      <c r="L105" s="46" t="e">
        <f t="shared" si="43"/>
        <v>#DIV/0!</v>
      </c>
      <c r="M105" s="46" t="e">
        <f t="shared" si="44"/>
        <v>#DIV/0!</v>
      </c>
      <c r="N105" s="46" t="e">
        <f t="shared" si="45"/>
        <v>#DIV/0!</v>
      </c>
      <c r="O105" s="46" t="e">
        <f t="shared" si="46"/>
        <v>#DIV/0!</v>
      </c>
      <c r="P105" s="46" t="e">
        <f t="shared" si="47"/>
        <v>#DIV/0!</v>
      </c>
      <c r="Q105" s="56" t="e">
        <f>Q104+ATM_Conf!$C$5*(B104)/(Links!B$191*Links!Q$191)</f>
        <v>#DIV/0!</v>
      </c>
      <c r="R105" s="56" t="e">
        <f>R104+ATM_Conf!$C$5*(C104-B104)/(Links!C$191*Links!R$191)</f>
        <v>#DIV/0!</v>
      </c>
      <c r="S105" s="56" t="e">
        <f>S104+ATM_Conf!$C$5*(D104-C104)/(Links!D$191*Links!S$191)</f>
        <v>#DIV/0!</v>
      </c>
      <c r="T105" s="56" t="e">
        <f>T104+ATM_Conf!$C$5*(E104-D104)/(Links!E$191*Links!T$191)</f>
        <v>#DIV/0!</v>
      </c>
      <c r="U105" s="56" t="e">
        <f>U104+ATM_Conf!$C$5*(F104-E104)/(Links!F$191*Links!U$191)</f>
        <v>#DIV/0!</v>
      </c>
      <c r="V105" s="56" t="e">
        <f>V104+ATM_Conf!$C$5*(G104-F104)/(Links!G$191*Links!V$191)</f>
        <v>#DIV/0!</v>
      </c>
      <c r="W105" s="56" t="e">
        <f>W104+ATM_Conf!$C$5*(H104-G104)/(Links!H$191*Links!W$191)</f>
        <v>#DIV/0!</v>
      </c>
      <c r="X105" s="56" t="e">
        <f>X104+ATM_Conf!$C$5*(I104-H104)/(Links!I$191*Links!X$191)</f>
        <v>#DIV/0!</v>
      </c>
      <c r="Y105" s="56" t="e">
        <f>Y104+ATM_Conf!$C$5*(J104)/(Links!J$191*Links!Y$191)</f>
        <v>#DIV/0!</v>
      </c>
      <c r="Z105" s="56" t="e">
        <f>Z104+ATM_Conf!$C$5*(K104-J104)/(Links!K$191*Links!Z$191)</f>
        <v>#DIV/0!</v>
      </c>
      <c r="AA105" s="56" t="e">
        <f>AA104+ATM_Conf!$C$5*(L104-K104)/(Links!L$191*Links!AA$191)</f>
        <v>#DIV/0!</v>
      </c>
      <c r="AB105" s="56" t="e">
        <f>AB104+ATM_Conf!$C$5*(M104-L104)/(Links!M$191*Links!AB$191)</f>
        <v>#DIV/0!</v>
      </c>
      <c r="AC105" s="56" t="e">
        <f>AC104+ATM_Conf!$C$5*(N104-M104)/(Links!N$191*Links!AC$191)</f>
        <v>#DIV/0!</v>
      </c>
      <c r="AD105" s="56" t="e">
        <f>AD104+ATM_Conf!$C$5*(O104-N104)/(Links!O$191*Links!AD$191)</f>
        <v>#DIV/0!</v>
      </c>
      <c r="AE105" s="56" t="e">
        <f>AE104+ATM_Conf!$C$5*(P104-O104)/(Links!P$191*Links!AE$191)</f>
        <v>#DIV/0!</v>
      </c>
      <c r="AF105" s="46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6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6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6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6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6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6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6" t="e">
        <f>AM104+(ATM_Conf!$C$5/ATM_Conf!$C$8)*(Links!BB104*EXP((-(Links!X104/Links!BQ104)^Links!CF104)/Links!CF104)-Links!AM104)+(ATM_Conf!$C$5/Links!X$191)*Links!AM104*(Nodes!BH104-Links!AM104)</f>
        <v>#DIV/0!</v>
      </c>
      <c r="AN105" s="46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6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6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6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6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6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6" t="e">
        <f>AT104+(ATM_Conf!$C$5/ATM_Conf!$C$8)*(Links!BI104*EXP((-(Links!AE104/Links!BX104)^Links!CM104)/Links!CM104)-Links!AT104)+(ATM_Conf!$C$5/Links!AE$191)*Links!AT104*(Nodes!BN104-Links!AT104)</f>
        <v>#DIV/0!</v>
      </c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46">
        <f t="shared" si="56"/>
        <v>0</v>
      </c>
      <c r="CO105" s="46">
        <f t="shared" si="56"/>
        <v>0</v>
      </c>
      <c r="CP105" s="46">
        <f t="shared" si="56"/>
        <v>0</v>
      </c>
      <c r="CQ105" s="46">
        <f t="shared" si="56"/>
        <v>0</v>
      </c>
      <c r="CR105" s="46">
        <f t="shared" si="56"/>
        <v>0</v>
      </c>
      <c r="CS105" s="46">
        <f t="shared" si="56"/>
        <v>0</v>
      </c>
      <c r="CT105" s="46">
        <f t="shared" si="56"/>
        <v>0</v>
      </c>
      <c r="CU105" s="46">
        <f t="shared" si="56"/>
        <v>0</v>
      </c>
      <c r="CV105" s="46">
        <f t="shared" si="56"/>
        <v>0</v>
      </c>
      <c r="CW105" s="46">
        <f t="shared" si="56"/>
        <v>0</v>
      </c>
      <c r="CX105" s="46">
        <f t="shared" si="56"/>
        <v>0</v>
      </c>
      <c r="CY105" s="46">
        <f t="shared" si="56"/>
        <v>0</v>
      </c>
      <c r="CZ105" s="46">
        <f t="shared" si="56"/>
        <v>0</v>
      </c>
      <c r="DA105" s="46">
        <f t="shared" si="56"/>
        <v>0</v>
      </c>
      <c r="DB105" s="46">
        <f t="shared" si="56"/>
        <v>0</v>
      </c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Q105" s="54"/>
    </row>
    <row r="106" spans="1:121" ht="14.25" x14ac:dyDescent="0.15">
      <c r="A106" s="49">
        <v>104</v>
      </c>
      <c r="B106" s="46" t="e">
        <f t="shared" si="33"/>
        <v>#DIV/0!</v>
      </c>
      <c r="C106" s="46" t="e">
        <f t="shared" si="34"/>
        <v>#DIV/0!</v>
      </c>
      <c r="D106" s="46" t="e">
        <f t="shared" si="35"/>
        <v>#DIV/0!</v>
      </c>
      <c r="E106" s="46" t="e">
        <f t="shared" si="36"/>
        <v>#DIV/0!</v>
      </c>
      <c r="F106" s="46" t="e">
        <f t="shared" si="37"/>
        <v>#DIV/0!</v>
      </c>
      <c r="G106" s="46" t="e">
        <f t="shared" si="38"/>
        <v>#DIV/0!</v>
      </c>
      <c r="H106" s="46" t="e">
        <f t="shared" si="39"/>
        <v>#DIV/0!</v>
      </c>
      <c r="I106" s="46" t="e">
        <f t="shared" si="40"/>
        <v>#DIV/0!</v>
      </c>
      <c r="J106" s="46" t="e">
        <f t="shared" si="41"/>
        <v>#DIV/0!</v>
      </c>
      <c r="K106" s="46" t="e">
        <f t="shared" si="42"/>
        <v>#DIV/0!</v>
      </c>
      <c r="L106" s="46" t="e">
        <f t="shared" si="43"/>
        <v>#DIV/0!</v>
      </c>
      <c r="M106" s="46" t="e">
        <f t="shared" si="44"/>
        <v>#DIV/0!</v>
      </c>
      <c r="N106" s="46" t="e">
        <f t="shared" si="45"/>
        <v>#DIV/0!</v>
      </c>
      <c r="O106" s="46" t="e">
        <f t="shared" si="46"/>
        <v>#DIV/0!</v>
      </c>
      <c r="P106" s="46" t="e">
        <f t="shared" si="47"/>
        <v>#DIV/0!</v>
      </c>
      <c r="Q106" s="56" t="e">
        <f>Q105+ATM_Conf!$C$5*(B105)/(Links!B$191*Links!Q$191)</f>
        <v>#DIV/0!</v>
      </c>
      <c r="R106" s="56" t="e">
        <f>R105+ATM_Conf!$C$5*(C105-B105)/(Links!C$191*Links!R$191)</f>
        <v>#DIV/0!</v>
      </c>
      <c r="S106" s="56" t="e">
        <f>S105+ATM_Conf!$C$5*(D105-C105)/(Links!D$191*Links!S$191)</f>
        <v>#DIV/0!</v>
      </c>
      <c r="T106" s="56" t="e">
        <f>T105+ATM_Conf!$C$5*(E105-D105)/(Links!E$191*Links!T$191)</f>
        <v>#DIV/0!</v>
      </c>
      <c r="U106" s="56" t="e">
        <f>U105+ATM_Conf!$C$5*(F105-E105)/(Links!F$191*Links!U$191)</f>
        <v>#DIV/0!</v>
      </c>
      <c r="V106" s="56" t="e">
        <f>V105+ATM_Conf!$C$5*(G105-F105)/(Links!G$191*Links!V$191)</f>
        <v>#DIV/0!</v>
      </c>
      <c r="W106" s="56" t="e">
        <f>W105+ATM_Conf!$C$5*(H105-G105)/(Links!H$191*Links!W$191)</f>
        <v>#DIV/0!</v>
      </c>
      <c r="X106" s="56" t="e">
        <f>X105+ATM_Conf!$C$5*(I105-H105)/(Links!I$191*Links!X$191)</f>
        <v>#DIV/0!</v>
      </c>
      <c r="Y106" s="56" t="e">
        <f>Y105+ATM_Conf!$C$5*(J105)/(Links!J$191*Links!Y$191)</f>
        <v>#DIV/0!</v>
      </c>
      <c r="Z106" s="56" t="e">
        <f>Z105+ATM_Conf!$C$5*(K105-J105)/(Links!K$191*Links!Z$191)</f>
        <v>#DIV/0!</v>
      </c>
      <c r="AA106" s="56" t="e">
        <f>AA105+ATM_Conf!$C$5*(L105-K105)/(Links!L$191*Links!AA$191)</f>
        <v>#DIV/0!</v>
      </c>
      <c r="AB106" s="56" t="e">
        <f>AB105+ATM_Conf!$C$5*(M105-L105)/(Links!M$191*Links!AB$191)</f>
        <v>#DIV/0!</v>
      </c>
      <c r="AC106" s="56" t="e">
        <f>AC105+ATM_Conf!$C$5*(N105-M105)/(Links!N$191*Links!AC$191)</f>
        <v>#DIV/0!</v>
      </c>
      <c r="AD106" s="56" t="e">
        <f>AD105+ATM_Conf!$C$5*(O105-N105)/(Links!O$191*Links!AD$191)</f>
        <v>#DIV/0!</v>
      </c>
      <c r="AE106" s="56" t="e">
        <f>AE105+ATM_Conf!$C$5*(P105-O105)/(Links!P$191*Links!AE$191)</f>
        <v>#DIV/0!</v>
      </c>
      <c r="AF106" s="46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6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6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6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6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6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6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6" t="e">
        <f>AM105+(ATM_Conf!$C$5/ATM_Conf!$C$8)*(Links!BB105*EXP((-(Links!X105/Links!BQ105)^Links!CF105)/Links!CF105)-Links!AM105)+(ATM_Conf!$C$5/Links!X$191)*Links!AM105*(Nodes!BH105-Links!AM105)</f>
        <v>#DIV/0!</v>
      </c>
      <c r="AN106" s="46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6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6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6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6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6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6" t="e">
        <f>AT105+(ATM_Conf!$C$5/ATM_Conf!$C$8)*(Links!BI105*EXP((-(Links!AE105/Links!BX105)^Links!CM105)/Links!CM105)-Links!AT105)+(ATM_Conf!$C$5/Links!AE$191)*Links!AT105*(Nodes!BN105-Links!AT105)</f>
        <v>#DIV/0!</v>
      </c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46">
        <f t="shared" si="56"/>
        <v>0</v>
      </c>
      <c r="CO106" s="46">
        <f t="shared" si="56"/>
        <v>0</v>
      </c>
      <c r="CP106" s="46">
        <f t="shared" si="56"/>
        <v>0</v>
      </c>
      <c r="CQ106" s="46">
        <f t="shared" si="56"/>
        <v>0</v>
      </c>
      <c r="CR106" s="46">
        <f t="shared" si="56"/>
        <v>0</v>
      </c>
      <c r="CS106" s="46">
        <f t="shared" si="56"/>
        <v>0</v>
      </c>
      <c r="CT106" s="46">
        <f t="shared" si="56"/>
        <v>0</v>
      </c>
      <c r="CU106" s="46">
        <f t="shared" si="56"/>
        <v>0</v>
      </c>
      <c r="CV106" s="46">
        <f t="shared" si="56"/>
        <v>0</v>
      </c>
      <c r="CW106" s="46">
        <f t="shared" si="56"/>
        <v>0</v>
      </c>
      <c r="CX106" s="46">
        <f t="shared" si="56"/>
        <v>0</v>
      </c>
      <c r="CY106" s="46">
        <f t="shared" si="56"/>
        <v>0</v>
      </c>
      <c r="CZ106" s="46">
        <f t="shared" si="56"/>
        <v>0</v>
      </c>
      <c r="DA106" s="46">
        <f t="shared" si="56"/>
        <v>0</v>
      </c>
      <c r="DB106" s="46">
        <f t="shared" si="56"/>
        <v>0</v>
      </c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Q106" s="54"/>
    </row>
    <row r="107" spans="1:121" ht="14.25" x14ac:dyDescent="0.15">
      <c r="A107" s="49">
        <v>105</v>
      </c>
      <c r="B107" s="46" t="e">
        <f t="shared" si="33"/>
        <v>#DIV/0!</v>
      </c>
      <c r="C107" s="46" t="e">
        <f t="shared" si="34"/>
        <v>#DIV/0!</v>
      </c>
      <c r="D107" s="46" t="e">
        <f t="shared" si="35"/>
        <v>#DIV/0!</v>
      </c>
      <c r="E107" s="46" t="e">
        <f t="shared" si="36"/>
        <v>#DIV/0!</v>
      </c>
      <c r="F107" s="46" t="e">
        <f t="shared" si="37"/>
        <v>#DIV/0!</v>
      </c>
      <c r="G107" s="46" t="e">
        <f t="shared" si="38"/>
        <v>#DIV/0!</v>
      </c>
      <c r="H107" s="46" t="e">
        <f t="shared" si="39"/>
        <v>#DIV/0!</v>
      </c>
      <c r="I107" s="46" t="e">
        <f t="shared" si="40"/>
        <v>#DIV/0!</v>
      </c>
      <c r="J107" s="46" t="e">
        <f t="shared" si="41"/>
        <v>#DIV/0!</v>
      </c>
      <c r="K107" s="46" t="e">
        <f t="shared" si="42"/>
        <v>#DIV/0!</v>
      </c>
      <c r="L107" s="46" t="e">
        <f t="shared" si="43"/>
        <v>#DIV/0!</v>
      </c>
      <c r="M107" s="46" t="e">
        <f t="shared" si="44"/>
        <v>#DIV/0!</v>
      </c>
      <c r="N107" s="46" t="e">
        <f t="shared" si="45"/>
        <v>#DIV/0!</v>
      </c>
      <c r="O107" s="46" t="e">
        <f t="shared" si="46"/>
        <v>#DIV/0!</v>
      </c>
      <c r="P107" s="46" t="e">
        <f t="shared" si="47"/>
        <v>#DIV/0!</v>
      </c>
      <c r="Q107" s="56" t="e">
        <f>Q106+ATM_Conf!$C$5*(B106)/(Links!B$191*Links!Q$191)</f>
        <v>#DIV/0!</v>
      </c>
      <c r="R107" s="56" t="e">
        <f>R106+ATM_Conf!$C$5*(C106-B106)/(Links!C$191*Links!R$191)</f>
        <v>#DIV/0!</v>
      </c>
      <c r="S107" s="56" t="e">
        <f>S106+ATM_Conf!$C$5*(D106-C106)/(Links!D$191*Links!S$191)</f>
        <v>#DIV/0!</v>
      </c>
      <c r="T107" s="56" t="e">
        <f>T106+ATM_Conf!$C$5*(E106-D106)/(Links!E$191*Links!T$191)</f>
        <v>#DIV/0!</v>
      </c>
      <c r="U107" s="56" t="e">
        <f>U106+ATM_Conf!$C$5*(F106-E106)/(Links!F$191*Links!U$191)</f>
        <v>#DIV/0!</v>
      </c>
      <c r="V107" s="56" t="e">
        <f>V106+ATM_Conf!$C$5*(G106-F106)/(Links!G$191*Links!V$191)</f>
        <v>#DIV/0!</v>
      </c>
      <c r="W107" s="56" t="e">
        <f>W106+ATM_Conf!$C$5*(H106-G106)/(Links!H$191*Links!W$191)</f>
        <v>#DIV/0!</v>
      </c>
      <c r="X107" s="56" t="e">
        <f>X106+ATM_Conf!$C$5*(I106-H106)/(Links!I$191*Links!X$191)</f>
        <v>#DIV/0!</v>
      </c>
      <c r="Y107" s="56" t="e">
        <f>Y106+ATM_Conf!$C$5*(J106)/(Links!J$191*Links!Y$191)</f>
        <v>#DIV/0!</v>
      </c>
      <c r="Z107" s="56" t="e">
        <f>Z106+ATM_Conf!$C$5*(K106-J106)/(Links!K$191*Links!Z$191)</f>
        <v>#DIV/0!</v>
      </c>
      <c r="AA107" s="56" t="e">
        <f>AA106+ATM_Conf!$C$5*(L106-K106)/(Links!L$191*Links!AA$191)</f>
        <v>#DIV/0!</v>
      </c>
      <c r="AB107" s="56" t="e">
        <f>AB106+ATM_Conf!$C$5*(M106-L106)/(Links!M$191*Links!AB$191)</f>
        <v>#DIV/0!</v>
      </c>
      <c r="AC107" s="56" t="e">
        <f>AC106+ATM_Conf!$C$5*(N106-M106)/(Links!N$191*Links!AC$191)</f>
        <v>#DIV/0!</v>
      </c>
      <c r="AD107" s="56" t="e">
        <f>AD106+ATM_Conf!$C$5*(O106-N106)/(Links!O$191*Links!AD$191)</f>
        <v>#DIV/0!</v>
      </c>
      <c r="AE107" s="56" t="e">
        <f>AE106+ATM_Conf!$C$5*(P106-O106)/(Links!P$191*Links!AE$191)</f>
        <v>#DIV/0!</v>
      </c>
      <c r="AF107" s="46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6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6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6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6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6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6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6" t="e">
        <f>AM106+(ATM_Conf!$C$5/ATM_Conf!$C$8)*(Links!BB106*EXP((-(Links!X106/Links!BQ106)^Links!CF106)/Links!CF106)-Links!AM106)+(ATM_Conf!$C$5/Links!X$191)*Links!AM106*(Nodes!BH106-Links!AM106)</f>
        <v>#DIV/0!</v>
      </c>
      <c r="AN107" s="46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6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6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6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6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6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6" t="e">
        <f>AT106+(ATM_Conf!$C$5/ATM_Conf!$C$8)*(Links!BI106*EXP((-(Links!AE106/Links!BX106)^Links!CM106)/Links!CM106)-Links!AT106)+(ATM_Conf!$C$5/Links!AE$191)*Links!AT106*(Nodes!BN106-Links!AT106)</f>
        <v>#DIV/0!</v>
      </c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46">
        <f t="shared" si="56"/>
        <v>0</v>
      </c>
      <c r="CO107" s="46">
        <f t="shared" si="56"/>
        <v>0</v>
      </c>
      <c r="CP107" s="46">
        <f t="shared" si="56"/>
        <v>0</v>
      </c>
      <c r="CQ107" s="46">
        <f t="shared" si="56"/>
        <v>0</v>
      </c>
      <c r="CR107" s="46">
        <f t="shared" si="56"/>
        <v>0</v>
      </c>
      <c r="CS107" s="46">
        <f t="shared" si="56"/>
        <v>0</v>
      </c>
      <c r="CT107" s="46">
        <f t="shared" si="56"/>
        <v>0</v>
      </c>
      <c r="CU107" s="46">
        <f t="shared" si="56"/>
        <v>0</v>
      </c>
      <c r="CV107" s="46">
        <f t="shared" si="56"/>
        <v>0</v>
      </c>
      <c r="CW107" s="46">
        <f t="shared" si="56"/>
        <v>0</v>
      </c>
      <c r="CX107" s="46">
        <f t="shared" si="56"/>
        <v>0</v>
      </c>
      <c r="CY107" s="46">
        <f t="shared" si="56"/>
        <v>0</v>
      </c>
      <c r="CZ107" s="46">
        <f t="shared" si="56"/>
        <v>0</v>
      </c>
      <c r="DA107" s="46">
        <f t="shared" si="56"/>
        <v>0</v>
      </c>
      <c r="DB107" s="46">
        <f t="shared" si="56"/>
        <v>0</v>
      </c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Q107" s="54"/>
    </row>
    <row r="108" spans="1:121" ht="14.25" x14ac:dyDescent="0.15">
      <c r="A108" s="49">
        <v>106</v>
      </c>
      <c r="B108" s="46" t="e">
        <f t="shared" si="33"/>
        <v>#DIV/0!</v>
      </c>
      <c r="C108" s="46" t="e">
        <f t="shared" si="34"/>
        <v>#DIV/0!</v>
      </c>
      <c r="D108" s="46" t="e">
        <f t="shared" si="35"/>
        <v>#DIV/0!</v>
      </c>
      <c r="E108" s="46" t="e">
        <f t="shared" si="36"/>
        <v>#DIV/0!</v>
      </c>
      <c r="F108" s="46" t="e">
        <f t="shared" si="37"/>
        <v>#DIV/0!</v>
      </c>
      <c r="G108" s="46" t="e">
        <f t="shared" si="38"/>
        <v>#DIV/0!</v>
      </c>
      <c r="H108" s="46" t="e">
        <f t="shared" si="39"/>
        <v>#DIV/0!</v>
      </c>
      <c r="I108" s="46" t="e">
        <f t="shared" si="40"/>
        <v>#DIV/0!</v>
      </c>
      <c r="J108" s="46" t="e">
        <f t="shared" si="41"/>
        <v>#DIV/0!</v>
      </c>
      <c r="K108" s="46" t="e">
        <f t="shared" si="42"/>
        <v>#DIV/0!</v>
      </c>
      <c r="L108" s="46" t="e">
        <f t="shared" si="43"/>
        <v>#DIV/0!</v>
      </c>
      <c r="M108" s="46" t="e">
        <f t="shared" si="44"/>
        <v>#DIV/0!</v>
      </c>
      <c r="N108" s="46" t="e">
        <f t="shared" si="45"/>
        <v>#DIV/0!</v>
      </c>
      <c r="O108" s="46" t="e">
        <f t="shared" si="46"/>
        <v>#DIV/0!</v>
      </c>
      <c r="P108" s="46" t="e">
        <f t="shared" si="47"/>
        <v>#DIV/0!</v>
      </c>
      <c r="Q108" s="56" t="e">
        <f>Q107+ATM_Conf!$C$5*(B107)/(Links!B$191*Links!Q$191)</f>
        <v>#DIV/0!</v>
      </c>
      <c r="R108" s="56" t="e">
        <f>R107+ATM_Conf!$C$5*(C107-B107)/(Links!C$191*Links!R$191)</f>
        <v>#DIV/0!</v>
      </c>
      <c r="S108" s="56" t="e">
        <f>S107+ATM_Conf!$C$5*(D107-C107)/(Links!D$191*Links!S$191)</f>
        <v>#DIV/0!</v>
      </c>
      <c r="T108" s="56" t="e">
        <f>T107+ATM_Conf!$C$5*(E107-D107)/(Links!E$191*Links!T$191)</f>
        <v>#DIV/0!</v>
      </c>
      <c r="U108" s="56" t="e">
        <f>U107+ATM_Conf!$C$5*(F107-E107)/(Links!F$191*Links!U$191)</f>
        <v>#DIV/0!</v>
      </c>
      <c r="V108" s="56" t="e">
        <f>V107+ATM_Conf!$C$5*(G107-F107)/(Links!G$191*Links!V$191)</f>
        <v>#DIV/0!</v>
      </c>
      <c r="W108" s="56" t="e">
        <f>W107+ATM_Conf!$C$5*(H107-G107)/(Links!H$191*Links!W$191)</f>
        <v>#DIV/0!</v>
      </c>
      <c r="X108" s="56" t="e">
        <f>X107+ATM_Conf!$C$5*(I107-H107)/(Links!I$191*Links!X$191)</f>
        <v>#DIV/0!</v>
      </c>
      <c r="Y108" s="56" t="e">
        <f>Y107+ATM_Conf!$C$5*(J107)/(Links!J$191*Links!Y$191)</f>
        <v>#DIV/0!</v>
      </c>
      <c r="Z108" s="56" t="e">
        <f>Z107+ATM_Conf!$C$5*(K107-J107)/(Links!K$191*Links!Z$191)</f>
        <v>#DIV/0!</v>
      </c>
      <c r="AA108" s="56" t="e">
        <f>AA107+ATM_Conf!$C$5*(L107-K107)/(Links!L$191*Links!AA$191)</f>
        <v>#DIV/0!</v>
      </c>
      <c r="AB108" s="56" t="e">
        <f>AB107+ATM_Conf!$C$5*(M107-L107)/(Links!M$191*Links!AB$191)</f>
        <v>#DIV/0!</v>
      </c>
      <c r="AC108" s="56" t="e">
        <f>AC107+ATM_Conf!$C$5*(N107-M107)/(Links!N$191*Links!AC$191)</f>
        <v>#DIV/0!</v>
      </c>
      <c r="AD108" s="56" t="e">
        <f>AD107+ATM_Conf!$C$5*(O107-N107)/(Links!O$191*Links!AD$191)</f>
        <v>#DIV/0!</v>
      </c>
      <c r="AE108" s="56" t="e">
        <f>AE107+ATM_Conf!$C$5*(P107-O107)/(Links!P$191*Links!AE$191)</f>
        <v>#DIV/0!</v>
      </c>
      <c r="AF108" s="46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6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6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6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6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6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6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6" t="e">
        <f>AM107+(ATM_Conf!$C$5/ATM_Conf!$C$8)*(Links!BB107*EXP((-(Links!X107/Links!BQ107)^Links!CF107)/Links!CF107)-Links!AM107)+(ATM_Conf!$C$5/Links!X$191)*Links!AM107*(Nodes!BH107-Links!AM107)</f>
        <v>#DIV/0!</v>
      </c>
      <c r="AN108" s="46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6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6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6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6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6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6" t="e">
        <f>AT107+(ATM_Conf!$C$5/ATM_Conf!$C$8)*(Links!BI107*EXP((-(Links!AE107/Links!BX107)^Links!CM107)/Links!CM107)-Links!AT107)+(ATM_Conf!$C$5/Links!AE$191)*Links!AT107*(Nodes!BN107-Links!AT107)</f>
        <v>#DIV/0!</v>
      </c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46"/>
      <c r="BK108" s="46"/>
      <c r="BL108" s="46"/>
      <c r="BM108" s="46"/>
      <c r="BN108" s="46"/>
      <c r="BO108" s="46"/>
      <c r="BP108" s="46"/>
      <c r="BQ108" s="46"/>
      <c r="BR108" s="46"/>
      <c r="BS108" s="46"/>
      <c r="BT108" s="46"/>
      <c r="BU108" s="46"/>
      <c r="BV108" s="46"/>
      <c r="BW108" s="46"/>
      <c r="BX108" s="4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46">
        <f t="shared" si="56"/>
        <v>0</v>
      </c>
      <c r="CO108" s="46">
        <f t="shared" si="56"/>
        <v>0</v>
      </c>
      <c r="CP108" s="46">
        <f t="shared" si="56"/>
        <v>0</v>
      </c>
      <c r="CQ108" s="46">
        <f t="shared" si="56"/>
        <v>0</v>
      </c>
      <c r="CR108" s="46">
        <f t="shared" si="56"/>
        <v>0</v>
      </c>
      <c r="CS108" s="46">
        <f t="shared" si="56"/>
        <v>0</v>
      </c>
      <c r="CT108" s="46">
        <f t="shared" si="56"/>
        <v>0</v>
      </c>
      <c r="CU108" s="46">
        <f t="shared" si="56"/>
        <v>0</v>
      </c>
      <c r="CV108" s="46">
        <f t="shared" si="56"/>
        <v>0</v>
      </c>
      <c r="CW108" s="46">
        <f t="shared" si="56"/>
        <v>0</v>
      </c>
      <c r="CX108" s="46">
        <f t="shared" si="56"/>
        <v>0</v>
      </c>
      <c r="CY108" s="46">
        <f t="shared" si="56"/>
        <v>0</v>
      </c>
      <c r="CZ108" s="46">
        <f t="shared" si="56"/>
        <v>0</v>
      </c>
      <c r="DA108" s="46">
        <f t="shared" si="56"/>
        <v>0</v>
      </c>
      <c r="DB108" s="46">
        <f t="shared" si="56"/>
        <v>0</v>
      </c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Q108" s="54"/>
    </row>
    <row r="109" spans="1:121" ht="14.25" x14ac:dyDescent="0.15">
      <c r="A109" s="49">
        <v>107</v>
      </c>
      <c r="B109" s="46" t="e">
        <f t="shared" si="33"/>
        <v>#DIV/0!</v>
      </c>
      <c r="C109" s="46" t="e">
        <f t="shared" si="34"/>
        <v>#DIV/0!</v>
      </c>
      <c r="D109" s="46" t="e">
        <f t="shared" si="35"/>
        <v>#DIV/0!</v>
      </c>
      <c r="E109" s="46" t="e">
        <f t="shared" si="36"/>
        <v>#DIV/0!</v>
      </c>
      <c r="F109" s="46" t="e">
        <f t="shared" si="37"/>
        <v>#DIV/0!</v>
      </c>
      <c r="G109" s="46" t="e">
        <f t="shared" si="38"/>
        <v>#DIV/0!</v>
      </c>
      <c r="H109" s="46" t="e">
        <f t="shared" si="39"/>
        <v>#DIV/0!</v>
      </c>
      <c r="I109" s="46" t="e">
        <f t="shared" si="40"/>
        <v>#DIV/0!</v>
      </c>
      <c r="J109" s="46" t="e">
        <f t="shared" si="41"/>
        <v>#DIV/0!</v>
      </c>
      <c r="K109" s="46" t="e">
        <f t="shared" si="42"/>
        <v>#DIV/0!</v>
      </c>
      <c r="L109" s="46" t="e">
        <f t="shared" si="43"/>
        <v>#DIV/0!</v>
      </c>
      <c r="M109" s="46" t="e">
        <f t="shared" si="44"/>
        <v>#DIV/0!</v>
      </c>
      <c r="N109" s="46" t="e">
        <f t="shared" si="45"/>
        <v>#DIV/0!</v>
      </c>
      <c r="O109" s="46" t="e">
        <f t="shared" si="46"/>
        <v>#DIV/0!</v>
      </c>
      <c r="P109" s="46" t="e">
        <f t="shared" si="47"/>
        <v>#DIV/0!</v>
      </c>
      <c r="Q109" s="56" t="e">
        <f>Q108+ATM_Conf!$C$5*(B108)/(Links!B$191*Links!Q$191)</f>
        <v>#DIV/0!</v>
      </c>
      <c r="R109" s="56" t="e">
        <f>R108+ATM_Conf!$C$5*(C108-B108)/(Links!C$191*Links!R$191)</f>
        <v>#DIV/0!</v>
      </c>
      <c r="S109" s="56" t="e">
        <f>S108+ATM_Conf!$C$5*(D108-C108)/(Links!D$191*Links!S$191)</f>
        <v>#DIV/0!</v>
      </c>
      <c r="T109" s="56" t="e">
        <f>T108+ATM_Conf!$C$5*(E108-D108)/(Links!E$191*Links!T$191)</f>
        <v>#DIV/0!</v>
      </c>
      <c r="U109" s="56" t="e">
        <f>U108+ATM_Conf!$C$5*(F108-E108)/(Links!F$191*Links!U$191)</f>
        <v>#DIV/0!</v>
      </c>
      <c r="V109" s="56" t="e">
        <f>V108+ATM_Conf!$C$5*(G108-F108)/(Links!G$191*Links!V$191)</f>
        <v>#DIV/0!</v>
      </c>
      <c r="W109" s="56" t="e">
        <f>W108+ATM_Conf!$C$5*(H108-G108)/(Links!H$191*Links!W$191)</f>
        <v>#DIV/0!</v>
      </c>
      <c r="X109" s="56" t="e">
        <f>X108+ATM_Conf!$C$5*(I108-H108)/(Links!I$191*Links!X$191)</f>
        <v>#DIV/0!</v>
      </c>
      <c r="Y109" s="56" t="e">
        <f>Y108+ATM_Conf!$C$5*(J108)/(Links!J$191*Links!Y$191)</f>
        <v>#DIV/0!</v>
      </c>
      <c r="Z109" s="56" t="e">
        <f>Z108+ATM_Conf!$C$5*(K108-J108)/(Links!K$191*Links!Z$191)</f>
        <v>#DIV/0!</v>
      </c>
      <c r="AA109" s="56" t="e">
        <f>AA108+ATM_Conf!$C$5*(L108-K108)/(Links!L$191*Links!AA$191)</f>
        <v>#DIV/0!</v>
      </c>
      <c r="AB109" s="56" t="e">
        <f>AB108+ATM_Conf!$C$5*(M108-L108)/(Links!M$191*Links!AB$191)</f>
        <v>#DIV/0!</v>
      </c>
      <c r="AC109" s="56" t="e">
        <f>AC108+ATM_Conf!$C$5*(N108-M108)/(Links!N$191*Links!AC$191)</f>
        <v>#DIV/0!</v>
      </c>
      <c r="AD109" s="56" t="e">
        <f>AD108+ATM_Conf!$C$5*(O108-N108)/(Links!O$191*Links!AD$191)</f>
        <v>#DIV/0!</v>
      </c>
      <c r="AE109" s="56" t="e">
        <f>AE108+ATM_Conf!$C$5*(P108-O108)/(Links!P$191*Links!AE$191)</f>
        <v>#DIV/0!</v>
      </c>
      <c r="AF109" s="46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6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6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6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6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6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6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6" t="e">
        <f>AM108+(ATM_Conf!$C$5/ATM_Conf!$C$8)*(Links!BB108*EXP((-(Links!X108/Links!BQ108)^Links!CF108)/Links!CF108)-Links!AM108)+(ATM_Conf!$C$5/Links!X$191)*Links!AM108*(Nodes!BH108-Links!AM108)</f>
        <v>#DIV/0!</v>
      </c>
      <c r="AN109" s="46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6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6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6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6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6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6" t="e">
        <f>AT108+(ATM_Conf!$C$5/ATM_Conf!$C$8)*(Links!BI108*EXP((-(Links!AE108/Links!BX108)^Links!CM108)/Links!CM108)-Links!AT108)+(ATM_Conf!$C$5/Links!AE$191)*Links!AT108*(Nodes!BN108-Links!AT108)</f>
        <v>#DIV/0!</v>
      </c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46"/>
      <c r="BK109" s="46"/>
      <c r="BL109" s="46"/>
      <c r="BM109" s="46"/>
      <c r="BN109" s="46"/>
      <c r="BO109" s="46"/>
      <c r="BP109" s="46"/>
      <c r="BQ109" s="46"/>
      <c r="BR109" s="46"/>
      <c r="BS109" s="46"/>
      <c r="BT109" s="46"/>
      <c r="BU109" s="46"/>
      <c r="BV109" s="46"/>
      <c r="BW109" s="46"/>
      <c r="BX109" s="4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46">
        <f t="shared" si="56"/>
        <v>0</v>
      </c>
      <c r="CO109" s="46">
        <f t="shared" si="56"/>
        <v>0</v>
      </c>
      <c r="CP109" s="46">
        <f t="shared" si="56"/>
        <v>0</v>
      </c>
      <c r="CQ109" s="46">
        <f t="shared" si="56"/>
        <v>0</v>
      </c>
      <c r="CR109" s="46">
        <f t="shared" si="56"/>
        <v>0</v>
      </c>
      <c r="CS109" s="46">
        <f t="shared" si="56"/>
        <v>0</v>
      </c>
      <c r="CT109" s="46">
        <f t="shared" si="56"/>
        <v>0</v>
      </c>
      <c r="CU109" s="46">
        <f t="shared" si="56"/>
        <v>0</v>
      </c>
      <c r="CV109" s="46">
        <f t="shared" si="56"/>
        <v>0</v>
      </c>
      <c r="CW109" s="46">
        <f t="shared" si="56"/>
        <v>0</v>
      </c>
      <c r="CX109" s="46">
        <f t="shared" si="56"/>
        <v>0</v>
      </c>
      <c r="CY109" s="46">
        <f t="shared" si="56"/>
        <v>0</v>
      </c>
      <c r="CZ109" s="46">
        <f t="shared" si="56"/>
        <v>0</v>
      </c>
      <c r="DA109" s="46">
        <f t="shared" si="56"/>
        <v>0</v>
      </c>
      <c r="DB109" s="46">
        <f t="shared" si="56"/>
        <v>0</v>
      </c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Q109" s="54"/>
    </row>
    <row r="110" spans="1:121" ht="14.25" x14ac:dyDescent="0.15">
      <c r="A110" s="49">
        <v>108</v>
      </c>
      <c r="B110" s="46" t="e">
        <f t="shared" si="33"/>
        <v>#DIV/0!</v>
      </c>
      <c r="C110" s="46" t="e">
        <f t="shared" si="34"/>
        <v>#DIV/0!</v>
      </c>
      <c r="D110" s="46" t="e">
        <f t="shared" si="35"/>
        <v>#DIV/0!</v>
      </c>
      <c r="E110" s="46" t="e">
        <f t="shared" si="36"/>
        <v>#DIV/0!</v>
      </c>
      <c r="F110" s="46" t="e">
        <f t="shared" si="37"/>
        <v>#DIV/0!</v>
      </c>
      <c r="G110" s="46" t="e">
        <f t="shared" si="38"/>
        <v>#DIV/0!</v>
      </c>
      <c r="H110" s="46" t="e">
        <f t="shared" si="39"/>
        <v>#DIV/0!</v>
      </c>
      <c r="I110" s="46" t="e">
        <f t="shared" si="40"/>
        <v>#DIV/0!</v>
      </c>
      <c r="J110" s="46" t="e">
        <f t="shared" si="41"/>
        <v>#DIV/0!</v>
      </c>
      <c r="K110" s="46" t="e">
        <f t="shared" si="42"/>
        <v>#DIV/0!</v>
      </c>
      <c r="L110" s="46" t="e">
        <f t="shared" si="43"/>
        <v>#DIV/0!</v>
      </c>
      <c r="M110" s="46" t="e">
        <f t="shared" si="44"/>
        <v>#DIV/0!</v>
      </c>
      <c r="N110" s="46" t="e">
        <f t="shared" si="45"/>
        <v>#DIV/0!</v>
      </c>
      <c r="O110" s="46" t="e">
        <f t="shared" si="46"/>
        <v>#DIV/0!</v>
      </c>
      <c r="P110" s="46" t="e">
        <f t="shared" si="47"/>
        <v>#DIV/0!</v>
      </c>
      <c r="Q110" s="56" t="e">
        <f>Q109+ATM_Conf!$C$5*(B109)/(Links!B$191*Links!Q$191)</f>
        <v>#DIV/0!</v>
      </c>
      <c r="R110" s="56" t="e">
        <f>R109+ATM_Conf!$C$5*(C109-B109)/(Links!C$191*Links!R$191)</f>
        <v>#DIV/0!</v>
      </c>
      <c r="S110" s="56" t="e">
        <f>S109+ATM_Conf!$C$5*(D109-C109)/(Links!D$191*Links!S$191)</f>
        <v>#DIV/0!</v>
      </c>
      <c r="T110" s="56" t="e">
        <f>T109+ATM_Conf!$C$5*(E109-D109)/(Links!E$191*Links!T$191)</f>
        <v>#DIV/0!</v>
      </c>
      <c r="U110" s="56" t="e">
        <f>U109+ATM_Conf!$C$5*(F109-E109)/(Links!F$191*Links!U$191)</f>
        <v>#DIV/0!</v>
      </c>
      <c r="V110" s="56" t="e">
        <f>V109+ATM_Conf!$C$5*(G109-F109)/(Links!G$191*Links!V$191)</f>
        <v>#DIV/0!</v>
      </c>
      <c r="W110" s="56" t="e">
        <f>W109+ATM_Conf!$C$5*(H109-G109)/(Links!H$191*Links!W$191)</f>
        <v>#DIV/0!</v>
      </c>
      <c r="X110" s="56" t="e">
        <f>X109+ATM_Conf!$C$5*(I109-H109)/(Links!I$191*Links!X$191)</f>
        <v>#DIV/0!</v>
      </c>
      <c r="Y110" s="56" t="e">
        <f>Y109+ATM_Conf!$C$5*(J109)/(Links!J$191*Links!Y$191)</f>
        <v>#DIV/0!</v>
      </c>
      <c r="Z110" s="56" t="e">
        <f>Z109+ATM_Conf!$C$5*(K109-J109)/(Links!K$191*Links!Z$191)</f>
        <v>#DIV/0!</v>
      </c>
      <c r="AA110" s="56" t="e">
        <f>AA109+ATM_Conf!$C$5*(L109-K109)/(Links!L$191*Links!AA$191)</f>
        <v>#DIV/0!</v>
      </c>
      <c r="AB110" s="56" t="e">
        <f>AB109+ATM_Conf!$C$5*(M109-L109)/(Links!M$191*Links!AB$191)</f>
        <v>#DIV/0!</v>
      </c>
      <c r="AC110" s="56" t="e">
        <f>AC109+ATM_Conf!$C$5*(N109-M109)/(Links!N$191*Links!AC$191)</f>
        <v>#DIV/0!</v>
      </c>
      <c r="AD110" s="56" t="e">
        <f>AD109+ATM_Conf!$C$5*(O109-N109)/(Links!O$191*Links!AD$191)</f>
        <v>#DIV/0!</v>
      </c>
      <c r="AE110" s="56" t="e">
        <f>AE109+ATM_Conf!$C$5*(P109-O109)/(Links!P$191*Links!AE$191)</f>
        <v>#DIV/0!</v>
      </c>
      <c r="AF110" s="46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6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6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6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6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6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6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6" t="e">
        <f>AM109+(ATM_Conf!$C$5/ATM_Conf!$C$8)*(Links!BB109*EXP((-(Links!X109/Links!BQ109)^Links!CF109)/Links!CF109)-Links!AM109)+(ATM_Conf!$C$5/Links!X$191)*Links!AM109*(Nodes!BH109-Links!AM109)</f>
        <v>#DIV/0!</v>
      </c>
      <c r="AN110" s="46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6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6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6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6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6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6" t="e">
        <f>AT109+(ATM_Conf!$C$5/ATM_Conf!$C$8)*(Links!BI109*EXP((-(Links!AE109/Links!BX109)^Links!CM109)/Links!CM109)-Links!AT109)+(ATM_Conf!$C$5/Links!AE$191)*Links!AT109*(Nodes!BN109-Links!AT109)</f>
        <v>#DIV/0!</v>
      </c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46">
        <f t="shared" si="56"/>
        <v>0</v>
      </c>
      <c r="CO110" s="46">
        <f t="shared" si="56"/>
        <v>0</v>
      </c>
      <c r="CP110" s="46">
        <f t="shared" si="56"/>
        <v>0</v>
      </c>
      <c r="CQ110" s="46">
        <f t="shared" si="56"/>
        <v>0</v>
      </c>
      <c r="CR110" s="46">
        <f t="shared" si="56"/>
        <v>0</v>
      </c>
      <c r="CS110" s="46">
        <f t="shared" si="56"/>
        <v>0</v>
      </c>
      <c r="CT110" s="46">
        <f t="shared" si="56"/>
        <v>0</v>
      </c>
      <c r="CU110" s="46">
        <f t="shared" si="56"/>
        <v>0</v>
      </c>
      <c r="CV110" s="46">
        <f t="shared" si="56"/>
        <v>0</v>
      </c>
      <c r="CW110" s="46">
        <f t="shared" si="56"/>
        <v>0</v>
      </c>
      <c r="CX110" s="46">
        <f t="shared" si="56"/>
        <v>0</v>
      </c>
      <c r="CY110" s="46">
        <f t="shared" si="56"/>
        <v>0</v>
      </c>
      <c r="CZ110" s="46">
        <f t="shared" si="56"/>
        <v>0</v>
      </c>
      <c r="DA110" s="46">
        <f t="shared" si="56"/>
        <v>0</v>
      </c>
      <c r="DB110" s="46">
        <f t="shared" si="56"/>
        <v>0</v>
      </c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Q110" s="54"/>
    </row>
    <row r="111" spans="1:121" ht="14.25" x14ac:dyDescent="0.15">
      <c r="A111" s="49">
        <v>109</v>
      </c>
      <c r="B111" s="46" t="e">
        <f t="shared" si="33"/>
        <v>#DIV/0!</v>
      </c>
      <c r="C111" s="46" t="e">
        <f t="shared" si="34"/>
        <v>#DIV/0!</v>
      </c>
      <c r="D111" s="46" t="e">
        <f t="shared" si="35"/>
        <v>#DIV/0!</v>
      </c>
      <c r="E111" s="46" t="e">
        <f t="shared" si="36"/>
        <v>#DIV/0!</v>
      </c>
      <c r="F111" s="46" t="e">
        <f t="shared" si="37"/>
        <v>#DIV/0!</v>
      </c>
      <c r="G111" s="46" t="e">
        <f t="shared" si="38"/>
        <v>#DIV/0!</v>
      </c>
      <c r="H111" s="46" t="e">
        <f t="shared" si="39"/>
        <v>#DIV/0!</v>
      </c>
      <c r="I111" s="46" t="e">
        <f t="shared" si="40"/>
        <v>#DIV/0!</v>
      </c>
      <c r="J111" s="46" t="e">
        <f t="shared" si="41"/>
        <v>#DIV/0!</v>
      </c>
      <c r="K111" s="46" t="e">
        <f t="shared" si="42"/>
        <v>#DIV/0!</v>
      </c>
      <c r="L111" s="46" t="e">
        <f t="shared" si="43"/>
        <v>#DIV/0!</v>
      </c>
      <c r="M111" s="46" t="e">
        <f t="shared" si="44"/>
        <v>#DIV/0!</v>
      </c>
      <c r="N111" s="46" t="e">
        <f t="shared" si="45"/>
        <v>#DIV/0!</v>
      </c>
      <c r="O111" s="46" t="e">
        <f t="shared" si="46"/>
        <v>#DIV/0!</v>
      </c>
      <c r="P111" s="46" t="e">
        <f t="shared" si="47"/>
        <v>#DIV/0!</v>
      </c>
      <c r="Q111" s="56" t="e">
        <f>Q110+ATM_Conf!$C$5*(B110)/(Links!B$191*Links!Q$191)</f>
        <v>#DIV/0!</v>
      </c>
      <c r="R111" s="56" t="e">
        <f>R110+ATM_Conf!$C$5*(C110-B110)/(Links!C$191*Links!R$191)</f>
        <v>#DIV/0!</v>
      </c>
      <c r="S111" s="56" t="e">
        <f>S110+ATM_Conf!$C$5*(D110-C110)/(Links!D$191*Links!S$191)</f>
        <v>#DIV/0!</v>
      </c>
      <c r="T111" s="56" t="e">
        <f>T110+ATM_Conf!$C$5*(E110-D110)/(Links!E$191*Links!T$191)</f>
        <v>#DIV/0!</v>
      </c>
      <c r="U111" s="56" t="e">
        <f>U110+ATM_Conf!$C$5*(F110-E110)/(Links!F$191*Links!U$191)</f>
        <v>#DIV/0!</v>
      </c>
      <c r="V111" s="56" t="e">
        <f>V110+ATM_Conf!$C$5*(G110-F110)/(Links!G$191*Links!V$191)</f>
        <v>#DIV/0!</v>
      </c>
      <c r="W111" s="56" t="e">
        <f>W110+ATM_Conf!$C$5*(H110-G110)/(Links!H$191*Links!W$191)</f>
        <v>#DIV/0!</v>
      </c>
      <c r="X111" s="56" t="e">
        <f>X110+ATM_Conf!$C$5*(I110-H110)/(Links!I$191*Links!X$191)</f>
        <v>#DIV/0!</v>
      </c>
      <c r="Y111" s="56" t="e">
        <f>Y110+ATM_Conf!$C$5*(J110)/(Links!J$191*Links!Y$191)</f>
        <v>#DIV/0!</v>
      </c>
      <c r="Z111" s="56" t="e">
        <f>Z110+ATM_Conf!$C$5*(K110-J110)/(Links!K$191*Links!Z$191)</f>
        <v>#DIV/0!</v>
      </c>
      <c r="AA111" s="56" t="e">
        <f>AA110+ATM_Conf!$C$5*(L110-K110)/(Links!L$191*Links!AA$191)</f>
        <v>#DIV/0!</v>
      </c>
      <c r="AB111" s="56" t="e">
        <f>AB110+ATM_Conf!$C$5*(M110-L110)/(Links!M$191*Links!AB$191)</f>
        <v>#DIV/0!</v>
      </c>
      <c r="AC111" s="56" t="e">
        <f>AC110+ATM_Conf!$C$5*(N110-M110)/(Links!N$191*Links!AC$191)</f>
        <v>#DIV/0!</v>
      </c>
      <c r="AD111" s="56" t="e">
        <f>AD110+ATM_Conf!$C$5*(O110-N110)/(Links!O$191*Links!AD$191)</f>
        <v>#DIV/0!</v>
      </c>
      <c r="AE111" s="56" t="e">
        <f>AE110+ATM_Conf!$C$5*(P110-O110)/(Links!P$191*Links!AE$191)</f>
        <v>#DIV/0!</v>
      </c>
      <c r="AF111" s="46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6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6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6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6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6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6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6" t="e">
        <f>AM110+(ATM_Conf!$C$5/ATM_Conf!$C$8)*(Links!BB110*EXP((-(Links!X110/Links!BQ110)^Links!CF110)/Links!CF110)-Links!AM110)+(ATM_Conf!$C$5/Links!X$191)*Links!AM110*(Nodes!BH110-Links!AM110)</f>
        <v>#DIV/0!</v>
      </c>
      <c r="AN111" s="46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6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6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6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6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6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6" t="e">
        <f>AT110+(ATM_Conf!$C$5/ATM_Conf!$C$8)*(Links!BI110*EXP((-(Links!AE110/Links!BX110)^Links!CM110)/Links!CM110)-Links!AT110)+(ATM_Conf!$C$5/Links!AE$191)*Links!AT110*(Nodes!BN110-Links!AT110)</f>
        <v>#DIV/0!</v>
      </c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54">
        <f>(CN111-CN99)^2</f>
        <v>0</v>
      </c>
      <c r="DD111" s="54">
        <f t="shared" ref="DD111:DQ111" si="57">(CO111-CO99)^2</f>
        <v>0</v>
      </c>
      <c r="DE111" s="54">
        <f t="shared" si="57"/>
        <v>0</v>
      </c>
      <c r="DF111" s="54">
        <f t="shared" si="57"/>
        <v>0</v>
      </c>
      <c r="DG111" s="54">
        <f t="shared" si="57"/>
        <v>0</v>
      </c>
      <c r="DH111" s="54">
        <f t="shared" si="57"/>
        <v>0</v>
      </c>
      <c r="DI111" s="54">
        <f t="shared" si="57"/>
        <v>0</v>
      </c>
      <c r="DJ111" s="54">
        <f t="shared" si="57"/>
        <v>0</v>
      </c>
      <c r="DK111" s="54">
        <f t="shared" si="57"/>
        <v>0</v>
      </c>
      <c r="DL111" s="54">
        <f t="shared" si="57"/>
        <v>0</v>
      </c>
      <c r="DM111" s="54">
        <f t="shared" si="57"/>
        <v>0</v>
      </c>
      <c r="DN111" s="54">
        <f t="shared" si="57"/>
        <v>0</v>
      </c>
      <c r="DO111" s="54">
        <f t="shared" si="57"/>
        <v>0</v>
      </c>
      <c r="DP111" s="54">
        <f t="shared" si="57"/>
        <v>0</v>
      </c>
      <c r="DQ111" s="54">
        <f t="shared" si="57"/>
        <v>0</v>
      </c>
    </row>
    <row r="112" spans="1:121" ht="14.25" x14ac:dyDescent="0.15">
      <c r="A112" s="49">
        <v>110</v>
      </c>
      <c r="B112" s="46" t="e">
        <f t="shared" si="33"/>
        <v>#DIV/0!</v>
      </c>
      <c r="C112" s="46" t="e">
        <f t="shared" si="34"/>
        <v>#DIV/0!</v>
      </c>
      <c r="D112" s="46" t="e">
        <f t="shared" si="35"/>
        <v>#DIV/0!</v>
      </c>
      <c r="E112" s="46" t="e">
        <f t="shared" si="36"/>
        <v>#DIV/0!</v>
      </c>
      <c r="F112" s="46" t="e">
        <f t="shared" si="37"/>
        <v>#DIV/0!</v>
      </c>
      <c r="G112" s="46" t="e">
        <f t="shared" si="38"/>
        <v>#DIV/0!</v>
      </c>
      <c r="H112" s="46" t="e">
        <f t="shared" si="39"/>
        <v>#DIV/0!</v>
      </c>
      <c r="I112" s="46" t="e">
        <f t="shared" si="40"/>
        <v>#DIV/0!</v>
      </c>
      <c r="J112" s="46" t="e">
        <f t="shared" si="41"/>
        <v>#DIV/0!</v>
      </c>
      <c r="K112" s="46" t="e">
        <f t="shared" si="42"/>
        <v>#DIV/0!</v>
      </c>
      <c r="L112" s="46" t="e">
        <f t="shared" si="43"/>
        <v>#DIV/0!</v>
      </c>
      <c r="M112" s="46" t="e">
        <f t="shared" si="44"/>
        <v>#DIV/0!</v>
      </c>
      <c r="N112" s="46" t="e">
        <f t="shared" si="45"/>
        <v>#DIV/0!</v>
      </c>
      <c r="O112" s="46" t="e">
        <f t="shared" si="46"/>
        <v>#DIV/0!</v>
      </c>
      <c r="P112" s="46" t="e">
        <f t="shared" si="47"/>
        <v>#DIV/0!</v>
      </c>
      <c r="Q112" s="56" t="e">
        <f>Q111+ATM_Conf!$C$5*(B111)/(Links!B$191*Links!Q$191)</f>
        <v>#DIV/0!</v>
      </c>
      <c r="R112" s="56" t="e">
        <f>R111+ATM_Conf!$C$5*(C111-B111)/(Links!C$191*Links!R$191)</f>
        <v>#DIV/0!</v>
      </c>
      <c r="S112" s="56" t="e">
        <f>S111+ATM_Conf!$C$5*(D111-C111)/(Links!D$191*Links!S$191)</f>
        <v>#DIV/0!</v>
      </c>
      <c r="T112" s="56" t="e">
        <f>T111+ATM_Conf!$C$5*(E111-D111)/(Links!E$191*Links!T$191)</f>
        <v>#DIV/0!</v>
      </c>
      <c r="U112" s="56" t="e">
        <f>U111+ATM_Conf!$C$5*(F111-E111)/(Links!F$191*Links!U$191)</f>
        <v>#DIV/0!</v>
      </c>
      <c r="V112" s="56" t="e">
        <f>V111+ATM_Conf!$C$5*(G111-F111)/(Links!G$191*Links!V$191)</f>
        <v>#DIV/0!</v>
      </c>
      <c r="W112" s="56" t="e">
        <f>W111+ATM_Conf!$C$5*(H111-G111)/(Links!H$191*Links!W$191)</f>
        <v>#DIV/0!</v>
      </c>
      <c r="X112" s="56" t="e">
        <f>X111+ATM_Conf!$C$5*(I111-H111)/(Links!I$191*Links!X$191)</f>
        <v>#DIV/0!</v>
      </c>
      <c r="Y112" s="56" t="e">
        <f>Y111+ATM_Conf!$C$5*(J111)/(Links!J$191*Links!Y$191)</f>
        <v>#DIV/0!</v>
      </c>
      <c r="Z112" s="56" t="e">
        <f>Z111+ATM_Conf!$C$5*(K111-J111)/(Links!K$191*Links!Z$191)</f>
        <v>#DIV/0!</v>
      </c>
      <c r="AA112" s="56" t="e">
        <f>AA111+ATM_Conf!$C$5*(L111-K111)/(Links!L$191*Links!AA$191)</f>
        <v>#DIV/0!</v>
      </c>
      <c r="AB112" s="56" t="e">
        <f>AB111+ATM_Conf!$C$5*(M111-L111)/(Links!M$191*Links!AB$191)</f>
        <v>#DIV/0!</v>
      </c>
      <c r="AC112" s="56" t="e">
        <f>AC111+ATM_Conf!$C$5*(N111-M111)/(Links!N$191*Links!AC$191)</f>
        <v>#DIV/0!</v>
      </c>
      <c r="AD112" s="56" t="e">
        <f>AD111+ATM_Conf!$C$5*(O111-N111)/(Links!O$191*Links!AD$191)</f>
        <v>#DIV/0!</v>
      </c>
      <c r="AE112" s="56" t="e">
        <f>AE111+ATM_Conf!$C$5*(P111-O111)/(Links!P$191*Links!AE$191)</f>
        <v>#DIV/0!</v>
      </c>
      <c r="AF112" s="46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6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6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6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6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6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6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6" t="e">
        <f>AM111+(ATM_Conf!$C$5/ATM_Conf!$C$8)*(Links!BB111*EXP((-(Links!X111/Links!BQ111)^Links!CF111)/Links!CF111)-Links!AM111)+(ATM_Conf!$C$5/Links!X$191)*Links!AM111*(Nodes!BH111-Links!AM111)</f>
        <v>#DIV/0!</v>
      </c>
      <c r="AN112" s="46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6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6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6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6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6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6" t="e">
        <f>AT111+(ATM_Conf!$C$5/ATM_Conf!$C$8)*(Links!BI111*EXP((-(Links!AE111/Links!BX111)^Links!CM111)/Links!CM111)-Links!AT111)+(ATM_Conf!$C$5/Links!AE$191)*Links!AT111*(Nodes!BN111-Links!AT111)</f>
        <v>#DIV/0!</v>
      </c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46">
        <f>CN$111</f>
        <v>0</v>
      </c>
      <c r="CO112" s="46">
        <f t="shared" ref="CO112:DB122" si="58">CO$111</f>
        <v>0</v>
      </c>
      <c r="CP112" s="46">
        <f t="shared" si="58"/>
        <v>0</v>
      </c>
      <c r="CQ112" s="46">
        <f t="shared" si="58"/>
        <v>0</v>
      </c>
      <c r="CR112" s="46">
        <f t="shared" si="58"/>
        <v>0</v>
      </c>
      <c r="CS112" s="46">
        <f t="shared" si="58"/>
        <v>0</v>
      </c>
      <c r="CT112" s="46">
        <f t="shared" si="58"/>
        <v>0</v>
      </c>
      <c r="CU112" s="46">
        <f t="shared" si="58"/>
        <v>0</v>
      </c>
      <c r="CV112" s="46">
        <f t="shared" si="58"/>
        <v>0</v>
      </c>
      <c r="CW112" s="46">
        <f t="shared" si="58"/>
        <v>0</v>
      </c>
      <c r="CX112" s="46">
        <f t="shared" si="58"/>
        <v>0</v>
      </c>
      <c r="CY112" s="46">
        <f t="shared" si="58"/>
        <v>0</v>
      </c>
      <c r="CZ112" s="46">
        <f t="shared" si="58"/>
        <v>0</v>
      </c>
      <c r="DA112" s="46">
        <f t="shared" si="58"/>
        <v>0</v>
      </c>
      <c r="DB112" s="46">
        <f t="shared" si="58"/>
        <v>0</v>
      </c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Q112" s="54"/>
    </row>
    <row r="113" spans="1:121" ht="14.25" x14ac:dyDescent="0.15">
      <c r="A113" s="49">
        <v>111</v>
      </c>
      <c r="B113" s="46" t="e">
        <f t="shared" si="33"/>
        <v>#DIV/0!</v>
      </c>
      <c r="C113" s="46" t="e">
        <f t="shared" si="34"/>
        <v>#DIV/0!</v>
      </c>
      <c r="D113" s="46" t="e">
        <f t="shared" si="35"/>
        <v>#DIV/0!</v>
      </c>
      <c r="E113" s="46" t="e">
        <f t="shared" si="36"/>
        <v>#DIV/0!</v>
      </c>
      <c r="F113" s="46" t="e">
        <f t="shared" si="37"/>
        <v>#DIV/0!</v>
      </c>
      <c r="G113" s="46" t="e">
        <f t="shared" si="38"/>
        <v>#DIV/0!</v>
      </c>
      <c r="H113" s="46" t="e">
        <f t="shared" si="39"/>
        <v>#DIV/0!</v>
      </c>
      <c r="I113" s="46" t="e">
        <f t="shared" si="40"/>
        <v>#DIV/0!</v>
      </c>
      <c r="J113" s="46" t="e">
        <f t="shared" si="41"/>
        <v>#DIV/0!</v>
      </c>
      <c r="K113" s="46" t="e">
        <f t="shared" si="42"/>
        <v>#DIV/0!</v>
      </c>
      <c r="L113" s="46" t="e">
        <f t="shared" si="43"/>
        <v>#DIV/0!</v>
      </c>
      <c r="M113" s="46" t="e">
        <f t="shared" si="44"/>
        <v>#DIV/0!</v>
      </c>
      <c r="N113" s="46" t="e">
        <f t="shared" si="45"/>
        <v>#DIV/0!</v>
      </c>
      <c r="O113" s="46" t="e">
        <f t="shared" si="46"/>
        <v>#DIV/0!</v>
      </c>
      <c r="P113" s="46" t="e">
        <f t="shared" si="47"/>
        <v>#DIV/0!</v>
      </c>
      <c r="Q113" s="56" t="e">
        <f>Q112+ATM_Conf!$C$5*(B112)/(Links!B$191*Links!Q$191)</f>
        <v>#DIV/0!</v>
      </c>
      <c r="R113" s="56" t="e">
        <f>R112+ATM_Conf!$C$5*(C112-B112)/(Links!C$191*Links!R$191)</f>
        <v>#DIV/0!</v>
      </c>
      <c r="S113" s="56" t="e">
        <f>S112+ATM_Conf!$C$5*(D112-C112)/(Links!D$191*Links!S$191)</f>
        <v>#DIV/0!</v>
      </c>
      <c r="T113" s="56" t="e">
        <f>T112+ATM_Conf!$C$5*(E112-D112)/(Links!E$191*Links!T$191)</f>
        <v>#DIV/0!</v>
      </c>
      <c r="U113" s="56" t="e">
        <f>U112+ATM_Conf!$C$5*(F112-E112)/(Links!F$191*Links!U$191)</f>
        <v>#DIV/0!</v>
      </c>
      <c r="V113" s="56" t="e">
        <f>V112+ATM_Conf!$C$5*(G112-F112)/(Links!G$191*Links!V$191)</f>
        <v>#DIV/0!</v>
      </c>
      <c r="W113" s="56" t="e">
        <f>W112+ATM_Conf!$C$5*(H112-G112)/(Links!H$191*Links!W$191)</f>
        <v>#DIV/0!</v>
      </c>
      <c r="X113" s="56" t="e">
        <f>X112+ATM_Conf!$C$5*(I112-H112)/(Links!I$191*Links!X$191)</f>
        <v>#DIV/0!</v>
      </c>
      <c r="Y113" s="56" t="e">
        <f>Y112+ATM_Conf!$C$5*(J112)/(Links!J$191*Links!Y$191)</f>
        <v>#DIV/0!</v>
      </c>
      <c r="Z113" s="56" t="e">
        <f>Z112+ATM_Conf!$C$5*(K112-J112)/(Links!K$191*Links!Z$191)</f>
        <v>#DIV/0!</v>
      </c>
      <c r="AA113" s="56" t="e">
        <f>AA112+ATM_Conf!$C$5*(L112-K112)/(Links!L$191*Links!AA$191)</f>
        <v>#DIV/0!</v>
      </c>
      <c r="AB113" s="56" t="e">
        <f>AB112+ATM_Conf!$C$5*(M112-L112)/(Links!M$191*Links!AB$191)</f>
        <v>#DIV/0!</v>
      </c>
      <c r="AC113" s="56" t="e">
        <f>AC112+ATM_Conf!$C$5*(N112-M112)/(Links!N$191*Links!AC$191)</f>
        <v>#DIV/0!</v>
      </c>
      <c r="AD113" s="56" t="e">
        <f>AD112+ATM_Conf!$C$5*(O112-N112)/(Links!O$191*Links!AD$191)</f>
        <v>#DIV/0!</v>
      </c>
      <c r="AE113" s="56" t="e">
        <f>AE112+ATM_Conf!$C$5*(P112-O112)/(Links!P$191*Links!AE$191)</f>
        <v>#DIV/0!</v>
      </c>
      <c r="AF113" s="46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6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6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6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6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6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6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6" t="e">
        <f>AM112+(ATM_Conf!$C$5/ATM_Conf!$C$8)*(Links!BB112*EXP((-(Links!X112/Links!BQ112)^Links!CF112)/Links!CF112)-Links!AM112)+(ATM_Conf!$C$5/Links!X$191)*Links!AM112*(Nodes!BH112-Links!AM112)</f>
        <v>#DIV/0!</v>
      </c>
      <c r="AN113" s="46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6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6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6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6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6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6" t="e">
        <f>AT112+(ATM_Conf!$C$5/ATM_Conf!$C$8)*(Links!BI112*EXP((-(Links!AE112/Links!BX112)^Links!CM112)/Links!CM112)-Links!AT112)+(ATM_Conf!$C$5/Links!AE$191)*Links!AT112*(Nodes!BN112-Links!AT112)</f>
        <v>#DIV/0!</v>
      </c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46">
        <f t="shared" ref="CN113:CN122" si="59">CN$111</f>
        <v>0</v>
      </c>
      <c r="CO113" s="46">
        <f t="shared" si="58"/>
        <v>0</v>
      </c>
      <c r="CP113" s="46">
        <f t="shared" si="58"/>
        <v>0</v>
      </c>
      <c r="CQ113" s="46">
        <f t="shared" si="58"/>
        <v>0</v>
      </c>
      <c r="CR113" s="46">
        <f t="shared" si="58"/>
        <v>0</v>
      </c>
      <c r="CS113" s="46">
        <f t="shared" si="58"/>
        <v>0</v>
      </c>
      <c r="CT113" s="46">
        <f t="shared" si="58"/>
        <v>0</v>
      </c>
      <c r="CU113" s="46">
        <f t="shared" si="58"/>
        <v>0</v>
      </c>
      <c r="CV113" s="46">
        <f t="shared" si="58"/>
        <v>0</v>
      </c>
      <c r="CW113" s="46">
        <f t="shared" si="58"/>
        <v>0</v>
      </c>
      <c r="CX113" s="46">
        <f t="shared" si="58"/>
        <v>0</v>
      </c>
      <c r="CY113" s="46">
        <f t="shared" si="58"/>
        <v>0</v>
      </c>
      <c r="CZ113" s="46">
        <f t="shared" si="58"/>
        <v>0</v>
      </c>
      <c r="DA113" s="46">
        <f t="shared" si="58"/>
        <v>0</v>
      </c>
      <c r="DB113" s="46">
        <f t="shared" si="58"/>
        <v>0</v>
      </c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Q113" s="54"/>
    </row>
    <row r="114" spans="1:121" ht="14.25" x14ac:dyDescent="0.15">
      <c r="A114" s="49">
        <v>112</v>
      </c>
      <c r="B114" s="46" t="e">
        <f t="shared" si="33"/>
        <v>#DIV/0!</v>
      </c>
      <c r="C114" s="46" t="e">
        <f t="shared" si="34"/>
        <v>#DIV/0!</v>
      </c>
      <c r="D114" s="46" t="e">
        <f t="shared" si="35"/>
        <v>#DIV/0!</v>
      </c>
      <c r="E114" s="46" t="e">
        <f t="shared" si="36"/>
        <v>#DIV/0!</v>
      </c>
      <c r="F114" s="46" t="e">
        <f t="shared" si="37"/>
        <v>#DIV/0!</v>
      </c>
      <c r="G114" s="46" t="e">
        <f t="shared" si="38"/>
        <v>#DIV/0!</v>
      </c>
      <c r="H114" s="46" t="e">
        <f t="shared" si="39"/>
        <v>#DIV/0!</v>
      </c>
      <c r="I114" s="46" t="e">
        <f t="shared" si="40"/>
        <v>#DIV/0!</v>
      </c>
      <c r="J114" s="46" t="e">
        <f t="shared" si="41"/>
        <v>#DIV/0!</v>
      </c>
      <c r="K114" s="46" t="e">
        <f t="shared" si="42"/>
        <v>#DIV/0!</v>
      </c>
      <c r="L114" s="46" t="e">
        <f t="shared" si="43"/>
        <v>#DIV/0!</v>
      </c>
      <c r="M114" s="46" t="e">
        <f t="shared" si="44"/>
        <v>#DIV/0!</v>
      </c>
      <c r="N114" s="46" t="e">
        <f t="shared" si="45"/>
        <v>#DIV/0!</v>
      </c>
      <c r="O114" s="46" t="e">
        <f t="shared" si="46"/>
        <v>#DIV/0!</v>
      </c>
      <c r="P114" s="46" t="e">
        <f t="shared" si="47"/>
        <v>#DIV/0!</v>
      </c>
      <c r="Q114" s="56" t="e">
        <f>Q113+ATM_Conf!$C$5*(B113)/(Links!B$191*Links!Q$191)</f>
        <v>#DIV/0!</v>
      </c>
      <c r="R114" s="56" t="e">
        <f>R113+ATM_Conf!$C$5*(C113-B113)/(Links!C$191*Links!R$191)</f>
        <v>#DIV/0!</v>
      </c>
      <c r="S114" s="56" t="e">
        <f>S113+ATM_Conf!$C$5*(D113-C113)/(Links!D$191*Links!S$191)</f>
        <v>#DIV/0!</v>
      </c>
      <c r="T114" s="56" t="e">
        <f>T113+ATM_Conf!$C$5*(E113-D113)/(Links!E$191*Links!T$191)</f>
        <v>#DIV/0!</v>
      </c>
      <c r="U114" s="56" t="e">
        <f>U113+ATM_Conf!$C$5*(F113-E113)/(Links!F$191*Links!U$191)</f>
        <v>#DIV/0!</v>
      </c>
      <c r="V114" s="56" t="e">
        <f>V113+ATM_Conf!$C$5*(G113-F113)/(Links!G$191*Links!V$191)</f>
        <v>#DIV/0!</v>
      </c>
      <c r="W114" s="56" t="e">
        <f>W113+ATM_Conf!$C$5*(H113-G113)/(Links!H$191*Links!W$191)</f>
        <v>#DIV/0!</v>
      </c>
      <c r="X114" s="56" t="e">
        <f>X113+ATM_Conf!$C$5*(I113-H113)/(Links!I$191*Links!X$191)</f>
        <v>#DIV/0!</v>
      </c>
      <c r="Y114" s="56" t="e">
        <f>Y113+ATM_Conf!$C$5*(J113)/(Links!J$191*Links!Y$191)</f>
        <v>#DIV/0!</v>
      </c>
      <c r="Z114" s="56" t="e">
        <f>Z113+ATM_Conf!$C$5*(K113-J113)/(Links!K$191*Links!Z$191)</f>
        <v>#DIV/0!</v>
      </c>
      <c r="AA114" s="56" t="e">
        <f>AA113+ATM_Conf!$C$5*(L113-K113)/(Links!L$191*Links!AA$191)</f>
        <v>#DIV/0!</v>
      </c>
      <c r="AB114" s="56" t="e">
        <f>AB113+ATM_Conf!$C$5*(M113-L113)/(Links!M$191*Links!AB$191)</f>
        <v>#DIV/0!</v>
      </c>
      <c r="AC114" s="56" t="e">
        <f>AC113+ATM_Conf!$C$5*(N113-M113)/(Links!N$191*Links!AC$191)</f>
        <v>#DIV/0!</v>
      </c>
      <c r="AD114" s="56" t="e">
        <f>AD113+ATM_Conf!$C$5*(O113-N113)/(Links!O$191*Links!AD$191)</f>
        <v>#DIV/0!</v>
      </c>
      <c r="AE114" s="56" t="e">
        <f>AE113+ATM_Conf!$C$5*(P113-O113)/(Links!P$191*Links!AE$191)</f>
        <v>#DIV/0!</v>
      </c>
      <c r="AF114" s="46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6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6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6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6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6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6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6" t="e">
        <f>AM113+(ATM_Conf!$C$5/ATM_Conf!$C$8)*(Links!BB113*EXP((-(Links!X113/Links!BQ113)^Links!CF113)/Links!CF113)-Links!AM113)+(ATM_Conf!$C$5/Links!X$191)*Links!AM113*(Nodes!BH113-Links!AM113)</f>
        <v>#DIV/0!</v>
      </c>
      <c r="AN114" s="46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6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6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6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6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6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6" t="e">
        <f>AT113+(ATM_Conf!$C$5/ATM_Conf!$C$8)*(Links!BI113*EXP((-(Links!AE113/Links!BX113)^Links!CM113)/Links!CM113)-Links!AT113)+(ATM_Conf!$C$5/Links!AE$191)*Links!AT113*(Nodes!BN113-Links!AT113)</f>
        <v>#DIV/0!</v>
      </c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46">
        <f t="shared" si="59"/>
        <v>0</v>
      </c>
      <c r="CO114" s="46">
        <f t="shared" si="58"/>
        <v>0</v>
      </c>
      <c r="CP114" s="46">
        <f t="shared" si="58"/>
        <v>0</v>
      </c>
      <c r="CQ114" s="46">
        <f t="shared" si="58"/>
        <v>0</v>
      </c>
      <c r="CR114" s="46">
        <f t="shared" si="58"/>
        <v>0</v>
      </c>
      <c r="CS114" s="46">
        <f t="shared" si="58"/>
        <v>0</v>
      </c>
      <c r="CT114" s="46">
        <f t="shared" si="58"/>
        <v>0</v>
      </c>
      <c r="CU114" s="46">
        <f t="shared" si="58"/>
        <v>0</v>
      </c>
      <c r="CV114" s="46">
        <f t="shared" si="58"/>
        <v>0</v>
      </c>
      <c r="CW114" s="46">
        <f t="shared" si="58"/>
        <v>0</v>
      </c>
      <c r="CX114" s="46">
        <f t="shared" si="58"/>
        <v>0</v>
      </c>
      <c r="CY114" s="46">
        <f t="shared" si="58"/>
        <v>0</v>
      </c>
      <c r="CZ114" s="46">
        <f t="shared" si="58"/>
        <v>0</v>
      </c>
      <c r="DA114" s="46">
        <f t="shared" si="58"/>
        <v>0</v>
      </c>
      <c r="DB114" s="46">
        <f t="shared" si="58"/>
        <v>0</v>
      </c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Q114" s="54"/>
    </row>
    <row r="115" spans="1:121" ht="14.25" x14ac:dyDescent="0.15">
      <c r="A115" s="49">
        <v>113</v>
      </c>
      <c r="B115" s="46" t="e">
        <f t="shared" si="33"/>
        <v>#DIV/0!</v>
      </c>
      <c r="C115" s="46" t="e">
        <f t="shared" si="34"/>
        <v>#DIV/0!</v>
      </c>
      <c r="D115" s="46" t="e">
        <f t="shared" si="35"/>
        <v>#DIV/0!</v>
      </c>
      <c r="E115" s="46" t="e">
        <f t="shared" si="36"/>
        <v>#DIV/0!</v>
      </c>
      <c r="F115" s="46" t="e">
        <f t="shared" si="37"/>
        <v>#DIV/0!</v>
      </c>
      <c r="G115" s="46" t="e">
        <f t="shared" si="38"/>
        <v>#DIV/0!</v>
      </c>
      <c r="H115" s="46" t="e">
        <f t="shared" si="39"/>
        <v>#DIV/0!</v>
      </c>
      <c r="I115" s="46" t="e">
        <f t="shared" si="40"/>
        <v>#DIV/0!</v>
      </c>
      <c r="J115" s="46" t="e">
        <f t="shared" si="41"/>
        <v>#DIV/0!</v>
      </c>
      <c r="K115" s="46" t="e">
        <f t="shared" si="42"/>
        <v>#DIV/0!</v>
      </c>
      <c r="L115" s="46" t="e">
        <f t="shared" si="43"/>
        <v>#DIV/0!</v>
      </c>
      <c r="M115" s="46" t="e">
        <f t="shared" si="44"/>
        <v>#DIV/0!</v>
      </c>
      <c r="N115" s="46" t="e">
        <f t="shared" si="45"/>
        <v>#DIV/0!</v>
      </c>
      <c r="O115" s="46" t="e">
        <f t="shared" si="46"/>
        <v>#DIV/0!</v>
      </c>
      <c r="P115" s="46" t="e">
        <f t="shared" si="47"/>
        <v>#DIV/0!</v>
      </c>
      <c r="Q115" s="56" t="e">
        <f>Q114+ATM_Conf!$C$5*(B114)/(Links!B$191*Links!Q$191)</f>
        <v>#DIV/0!</v>
      </c>
      <c r="R115" s="56" t="e">
        <f>R114+ATM_Conf!$C$5*(C114-B114)/(Links!C$191*Links!R$191)</f>
        <v>#DIV/0!</v>
      </c>
      <c r="S115" s="56" t="e">
        <f>S114+ATM_Conf!$C$5*(D114-C114)/(Links!D$191*Links!S$191)</f>
        <v>#DIV/0!</v>
      </c>
      <c r="T115" s="56" t="e">
        <f>T114+ATM_Conf!$C$5*(E114-D114)/(Links!E$191*Links!T$191)</f>
        <v>#DIV/0!</v>
      </c>
      <c r="U115" s="56" t="e">
        <f>U114+ATM_Conf!$C$5*(F114-E114)/(Links!F$191*Links!U$191)</f>
        <v>#DIV/0!</v>
      </c>
      <c r="V115" s="56" t="e">
        <f>V114+ATM_Conf!$C$5*(G114-F114)/(Links!G$191*Links!V$191)</f>
        <v>#DIV/0!</v>
      </c>
      <c r="W115" s="56" t="e">
        <f>W114+ATM_Conf!$C$5*(H114-G114)/(Links!H$191*Links!W$191)</f>
        <v>#DIV/0!</v>
      </c>
      <c r="X115" s="56" t="e">
        <f>X114+ATM_Conf!$C$5*(I114-H114)/(Links!I$191*Links!X$191)</f>
        <v>#DIV/0!</v>
      </c>
      <c r="Y115" s="56" t="e">
        <f>Y114+ATM_Conf!$C$5*(J114)/(Links!J$191*Links!Y$191)</f>
        <v>#DIV/0!</v>
      </c>
      <c r="Z115" s="56" t="e">
        <f>Z114+ATM_Conf!$C$5*(K114-J114)/(Links!K$191*Links!Z$191)</f>
        <v>#DIV/0!</v>
      </c>
      <c r="AA115" s="56" t="e">
        <f>AA114+ATM_Conf!$C$5*(L114-K114)/(Links!L$191*Links!AA$191)</f>
        <v>#DIV/0!</v>
      </c>
      <c r="AB115" s="56" t="e">
        <f>AB114+ATM_Conf!$C$5*(M114-L114)/(Links!M$191*Links!AB$191)</f>
        <v>#DIV/0!</v>
      </c>
      <c r="AC115" s="56" t="e">
        <f>AC114+ATM_Conf!$C$5*(N114-M114)/(Links!N$191*Links!AC$191)</f>
        <v>#DIV/0!</v>
      </c>
      <c r="AD115" s="56" t="e">
        <f>AD114+ATM_Conf!$C$5*(O114-N114)/(Links!O$191*Links!AD$191)</f>
        <v>#DIV/0!</v>
      </c>
      <c r="AE115" s="56" t="e">
        <f>AE114+ATM_Conf!$C$5*(P114-O114)/(Links!P$191*Links!AE$191)</f>
        <v>#DIV/0!</v>
      </c>
      <c r="AF115" s="46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6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6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6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6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6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6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6" t="e">
        <f>AM114+(ATM_Conf!$C$5/ATM_Conf!$C$8)*(Links!BB114*EXP((-(Links!X114/Links!BQ114)^Links!CF114)/Links!CF114)-Links!AM114)+(ATM_Conf!$C$5/Links!X$191)*Links!AM114*(Nodes!BH114-Links!AM114)</f>
        <v>#DIV/0!</v>
      </c>
      <c r="AN115" s="46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6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6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6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6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6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6" t="e">
        <f>AT114+(ATM_Conf!$C$5/ATM_Conf!$C$8)*(Links!BI114*EXP((-(Links!AE114/Links!BX114)^Links!CM114)/Links!CM114)-Links!AT114)+(ATM_Conf!$C$5/Links!AE$191)*Links!AT114*(Nodes!BN114-Links!AT114)</f>
        <v>#DIV/0!</v>
      </c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46">
        <f t="shared" si="59"/>
        <v>0</v>
      </c>
      <c r="CO115" s="46">
        <f t="shared" si="58"/>
        <v>0</v>
      </c>
      <c r="CP115" s="46">
        <f t="shared" si="58"/>
        <v>0</v>
      </c>
      <c r="CQ115" s="46">
        <f t="shared" si="58"/>
        <v>0</v>
      </c>
      <c r="CR115" s="46">
        <f t="shared" si="58"/>
        <v>0</v>
      </c>
      <c r="CS115" s="46">
        <f t="shared" si="58"/>
        <v>0</v>
      </c>
      <c r="CT115" s="46">
        <f t="shared" si="58"/>
        <v>0</v>
      </c>
      <c r="CU115" s="46">
        <f t="shared" si="58"/>
        <v>0</v>
      </c>
      <c r="CV115" s="46">
        <f t="shared" si="58"/>
        <v>0</v>
      </c>
      <c r="CW115" s="46">
        <f t="shared" si="58"/>
        <v>0</v>
      </c>
      <c r="CX115" s="46">
        <f t="shared" si="58"/>
        <v>0</v>
      </c>
      <c r="CY115" s="46">
        <f t="shared" si="58"/>
        <v>0</v>
      </c>
      <c r="CZ115" s="46">
        <f t="shared" si="58"/>
        <v>0</v>
      </c>
      <c r="DA115" s="46">
        <f t="shared" si="58"/>
        <v>0</v>
      </c>
      <c r="DB115" s="46">
        <f t="shared" si="58"/>
        <v>0</v>
      </c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Q115" s="54"/>
    </row>
    <row r="116" spans="1:121" ht="14.25" x14ac:dyDescent="0.15">
      <c r="A116" s="49">
        <v>114</v>
      </c>
      <c r="B116" s="46" t="e">
        <f t="shared" si="33"/>
        <v>#DIV/0!</v>
      </c>
      <c r="C116" s="46" t="e">
        <f t="shared" si="34"/>
        <v>#DIV/0!</v>
      </c>
      <c r="D116" s="46" t="e">
        <f t="shared" si="35"/>
        <v>#DIV/0!</v>
      </c>
      <c r="E116" s="46" t="e">
        <f t="shared" si="36"/>
        <v>#DIV/0!</v>
      </c>
      <c r="F116" s="46" t="e">
        <f t="shared" si="37"/>
        <v>#DIV/0!</v>
      </c>
      <c r="G116" s="46" t="e">
        <f t="shared" si="38"/>
        <v>#DIV/0!</v>
      </c>
      <c r="H116" s="46" t="e">
        <f t="shared" si="39"/>
        <v>#DIV/0!</v>
      </c>
      <c r="I116" s="46" t="e">
        <f t="shared" si="40"/>
        <v>#DIV/0!</v>
      </c>
      <c r="J116" s="46" t="e">
        <f t="shared" si="41"/>
        <v>#DIV/0!</v>
      </c>
      <c r="K116" s="46" t="e">
        <f t="shared" si="42"/>
        <v>#DIV/0!</v>
      </c>
      <c r="L116" s="46" t="e">
        <f t="shared" si="43"/>
        <v>#DIV/0!</v>
      </c>
      <c r="M116" s="46" t="e">
        <f t="shared" si="44"/>
        <v>#DIV/0!</v>
      </c>
      <c r="N116" s="46" t="e">
        <f t="shared" si="45"/>
        <v>#DIV/0!</v>
      </c>
      <c r="O116" s="46" t="e">
        <f t="shared" si="46"/>
        <v>#DIV/0!</v>
      </c>
      <c r="P116" s="46" t="e">
        <f t="shared" si="47"/>
        <v>#DIV/0!</v>
      </c>
      <c r="Q116" s="56" t="e">
        <f>Q115+ATM_Conf!$C$5*(B115)/(Links!B$191*Links!Q$191)</f>
        <v>#DIV/0!</v>
      </c>
      <c r="R116" s="56" t="e">
        <f>R115+ATM_Conf!$C$5*(C115-B115)/(Links!C$191*Links!R$191)</f>
        <v>#DIV/0!</v>
      </c>
      <c r="S116" s="56" t="e">
        <f>S115+ATM_Conf!$C$5*(D115-C115)/(Links!D$191*Links!S$191)</f>
        <v>#DIV/0!</v>
      </c>
      <c r="T116" s="56" t="e">
        <f>T115+ATM_Conf!$C$5*(E115-D115)/(Links!E$191*Links!T$191)</f>
        <v>#DIV/0!</v>
      </c>
      <c r="U116" s="56" t="e">
        <f>U115+ATM_Conf!$C$5*(F115-E115)/(Links!F$191*Links!U$191)</f>
        <v>#DIV/0!</v>
      </c>
      <c r="V116" s="56" t="e">
        <f>V115+ATM_Conf!$C$5*(G115-F115)/(Links!G$191*Links!V$191)</f>
        <v>#DIV/0!</v>
      </c>
      <c r="W116" s="56" t="e">
        <f>W115+ATM_Conf!$C$5*(H115-G115)/(Links!H$191*Links!W$191)</f>
        <v>#DIV/0!</v>
      </c>
      <c r="X116" s="56" t="e">
        <f>X115+ATM_Conf!$C$5*(I115-H115)/(Links!I$191*Links!X$191)</f>
        <v>#DIV/0!</v>
      </c>
      <c r="Y116" s="56" t="e">
        <f>Y115+ATM_Conf!$C$5*(J115)/(Links!J$191*Links!Y$191)</f>
        <v>#DIV/0!</v>
      </c>
      <c r="Z116" s="56" t="e">
        <f>Z115+ATM_Conf!$C$5*(K115-J115)/(Links!K$191*Links!Z$191)</f>
        <v>#DIV/0!</v>
      </c>
      <c r="AA116" s="56" t="e">
        <f>AA115+ATM_Conf!$C$5*(L115-K115)/(Links!L$191*Links!AA$191)</f>
        <v>#DIV/0!</v>
      </c>
      <c r="AB116" s="56" t="e">
        <f>AB115+ATM_Conf!$C$5*(M115-L115)/(Links!M$191*Links!AB$191)</f>
        <v>#DIV/0!</v>
      </c>
      <c r="AC116" s="56" t="e">
        <f>AC115+ATM_Conf!$C$5*(N115-M115)/(Links!N$191*Links!AC$191)</f>
        <v>#DIV/0!</v>
      </c>
      <c r="AD116" s="56" t="e">
        <f>AD115+ATM_Conf!$C$5*(O115-N115)/(Links!O$191*Links!AD$191)</f>
        <v>#DIV/0!</v>
      </c>
      <c r="AE116" s="56" t="e">
        <f>AE115+ATM_Conf!$C$5*(P115-O115)/(Links!P$191*Links!AE$191)</f>
        <v>#DIV/0!</v>
      </c>
      <c r="AF116" s="46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6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6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6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6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6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6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6" t="e">
        <f>AM115+(ATM_Conf!$C$5/ATM_Conf!$C$8)*(Links!BB115*EXP((-(Links!X115/Links!BQ115)^Links!CF115)/Links!CF115)-Links!AM115)+(ATM_Conf!$C$5/Links!X$191)*Links!AM115*(Nodes!BH115-Links!AM115)</f>
        <v>#DIV/0!</v>
      </c>
      <c r="AN116" s="46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6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6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6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6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6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6" t="e">
        <f>AT115+(ATM_Conf!$C$5/ATM_Conf!$C$8)*(Links!BI115*EXP((-(Links!AE115/Links!BX115)^Links!CM115)/Links!CM115)-Links!AT115)+(ATM_Conf!$C$5/Links!AE$191)*Links!AT115*(Nodes!BN115-Links!AT115)</f>
        <v>#DIV/0!</v>
      </c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46">
        <f t="shared" si="59"/>
        <v>0</v>
      </c>
      <c r="CO116" s="46">
        <f t="shared" si="58"/>
        <v>0</v>
      </c>
      <c r="CP116" s="46">
        <f t="shared" si="58"/>
        <v>0</v>
      </c>
      <c r="CQ116" s="46">
        <f t="shared" si="58"/>
        <v>0</v>
      </c>
      <c r="CR116" s="46">
        <f t="shared" si="58"/>
        <v>0</v>
      </c>
      <c r="CS116" s="46">
        <f t="shared" si="58"/>
        <v>0</v>
      </c>
      <c r="CT116" s="46">
        <f t="shared" si="58"/>
        <v>0</v>
      </c>
      <c r="CU116" s="46">
        <f t="shared" si="58"/>
        <v>0</v>
      </c>
      <c r="CV116" s="46">
        <f t="shared" si="58"/>
        <v>0</v>
      </c>
      <c r="CW116" s="46">
        <f t="shared" si="58"/>
        <v>0</v>
      </c>
      <c r="CX116" s="46">
        <f t="shared" si="58"/>
        <v>0</v>
      </c>
      <c r="CY116" s="46">
        <f t="shared" si="58"/>
        <v>0</v>
      </c>
      <c r="CZ116" s="46">
        <f t="shared" si="58"/>
        <v>0</v>
      </c>
      <c r="DA116" s="46">
        <f t="shared" si="58"/>
        <v>0</v>
      </c>
      <c r="DB116" s="46">
        <f t="shared" si="58"/>
        <v>0</v>
      </c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Q116" s="54"/>
    </row>
    <row r="117" spans="1:121" ht="14.25" x14ac:dyDescent="0.15">
      <c r="A117" s="49">
        <v>115</v>
      </c>
      <c r="B117" s="46" t="e">
        <f t="shared" si="33"/>
        <v>#DIV/0!</v>
      </c>
      <c r="C117" s="46" t="e">
        <f t="shared" si="34"/>
        <v>#DIV/0!</v>
      </c>
      <c r="D117" s="46" t="e">
        <f t="shared" si="35"/>
        <v>#DIV/0!</v>
      </c>
      <c r="E117" s="46" t="e">
        <f t="shared" si="36"/>
        <v>#DIV/0!</v>
      </c>
      <c r="F117" s="46" t="e">
        <f t="shared" si="37"/>
        <v>#DIV/0!</v>
      </c>
      <c r="G117" s="46" t="e">
        <f t="shared" si="38"/>
        <v>#DIV/0!</v>
      </c>
      <c r="H117" s="46" t="e">
        <f t="shared" si="39"/>
        <v>#DIV/0!</v>
      </c>
      <c r="I117" s="46" t="e">
        <f t="shared" si="40"/>
        <v>#DIV/0!</v>
      </c>
      <c r="J117" s="46" t="e">
        <f t="shared" si="41"/>
        <v>#DIV/0!</v>
      </c>
      <c r="K117" s="46" t="e">
        <f t="shared" si="42"/>
        <v>#DIV/0!</v>
      </c>
      <c r="L117" s="46" t="e">
        <f t="shared" si="43"/>
        <v>#DIV/0!</v>
      </c>
      <c r="M117" s="46" t="e">
        <f t="shared" si="44"/>
        <v>#DIV/0!</v>
      </c>
      <c r="N117" s="46" t="e">
        <f t="shared" si="45"/>
        <v>#DIV/0!</v>
      </c>
      <c r="O117" s="46" t="e">
        <f t="shared" si="46"/>
        <v>#DIV/0!</v>
      </c>
      <c r="P117" s="46" t="e">
        <f t="shared" si="47"/>
        <v>#DIV/0!</v>
      </c>
      <c r="Q117" s="56" t="e">
        <f>Q116+ATM_Conf!$C$5*(B116)/(Links!B$191*Links!Q$191)</f>
        <v>#DIV/0!</v>
      </c>
      <c r="R117" s="56" t="e">
        <f>R116+ATM_Conf!$C$5*(C116-B116)/(Links!C$191*Links!R$191)</f>
        <v>#DIV/0!</v>
      </c>
      <c r="S117" s="56" t="e">
        <f>S116+ATM_Conf!$C$5*(D116-C116)/(Links!D$191*Links!S$191)</f>
        <v>#DIV/0!</v>
      </c>
      <c r="T117" s="56" t="e">
        <f>T116+ATM_Conf!$C$5*(E116-D116)/(Links!E$191*Links!T$191)</f>
        <v>#DIV/0!</v>
      </c>
      <c r="U117" s="56" t="e">
        <f>U116+ATM_Conf!$C$5*(F116-E116)/(Links!F$191*Links!U$191)</f>
        <v>#DIV/0!</v>
      </c>
      <c r="V117" s="56" t="e">
        <f>V116+ATM_Conf!$C$5*(G116-F116)/(Links!G$191*Links!V$191)</f>
        <v>#DIV/0!</v>
      </c>
      <c r="W117" s="56" t="e">
        <f>W116+ATM_Conf!$C$5*(H116-G116)/(Links!H$191*Links!W$191)</f>
        <v>#DIV/0!</v>
      </c>
      <c r="X117" s="56" t="e">
        <f>X116+ATM_Conf!$C$5*(I116-H116)/(Links!I$191*Links!X$191)</f>
        <v>#DIV/0!</v>
      </c>
      <c r="Y117" s="56" t="e">
        <f>Y116+ATM_Conf!$C$5*(J116)/(Links!J$191*Links!Y$191)</f>
        <v>#DIV/0!</v>
      </c>
      <c r="Z117" s="56" t="e">
        <f>Z116+ATM_Conf!$C$5*(K116-J116)/(Links!K$191*Links!Z$191)</f>
        <v>#DIV/0!</v>
      </c>
      <c r="AA117" s="56" t="e">
        <f>AA116+ATM_Conf!$C$5*(L116-K116)/(Links!L$191*Links!AA$191)</f>
        <v>#DIV/0!</v>
      </c>
      <c r="AB117" s="56" t="e">
        <f>AB116+ATM_Conf!$C$5*(M116-L116)/(Links!M$191*Links!AB$191)</f>
        <v>#DIV/0!</v>
      </c>
      <c r="AC117" s="56" t="e">
        <f>AC116+ATM_Conf!$C$5*(N116-M116)/(Links!N$191*Links!AC$191)</f>
        <v>#DIV/0!</v>
      </c>
      <c r="AD117" s="56" t="e">
        <f>AD116+ATM_Conf!$C$5*(O116-N116)/(Links!O$191*Links!AD$191)</f>
        <v>#DIV/0!</v>
      </c>
      <c r="AE117" s="56" t="e">
        <f>AE116+ATM_Conf!$C$5*(P116-O116)/(Links!P$191*Links!AE$191)</f>
        <v>#DIV/0!</v>
      </c>
      <c r="AF117" s="46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6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6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6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6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6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6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6" t="e">
        <f>AM116+(ATM_Conf!$C$5/ATM_Conf!$C$8)*(Links!BB116*EXP((-(Links!X116/Links!BQ116)^Links!CF116)/Links!CF116)-Links!AM116)+(ATM_Conf!$C$5/Links!X$191)*Links!AM116*(Nodes!BH116-Links!AM116)</f>
        <v>#DIV/0!</v>
      </c>
      <c r="AN117" s="46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6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6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6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6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6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6" t="e">
        <f>AT116+(ATM_Conf!$C$5/ATM_Conf!$C$8)*(Links!BI116*EXP((-(Links!AE116/Links!BX116)^Links!CM116)/Links!CM116)-Links!AT116)+(ATM_Conf!$C$5/Links!AE$191)*Links!AT116*(Nodes!BN116-Links!AT116)</f>
        <v>#DIV/0!</v>
      </c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46">
        <f t="shared" si="59"/>
        <v>0</v>
      </c>
      <c r="CO117" s="46">
        <f t="shared" si="58"/>
        <v>0</v>
      </c>
      <c r="CP117" s="46">
        <f t="shared" si="58"/>
        <v>0</v>
      </c>
      <c r="CQ117" s="46">
        <f t="shared" si="58"/>
        <v>0</v>
      </c>
      <c r="CR117" s="46">
        <f t="shared" si="58"/>
        <v>0</v>
      </c>
      <c r="CS117" s="46">
        <f t="shared" si="58"/>
        <v>0</v>
      </c>
      <c r="CT117" s="46">
        <f t="shared" si="58"/>
        <v>0</v>
      </c>
      <c r="CU117" s="46">
        <f t="shared" si="58"/>
        <v>0</v>
      </c>
      <c r="CV117" s="46">
        <f t="shared" si="58"/>
        <v>0</v>
      </c>
      <c r="CW117" s="46">
        <f t="shared" si="58"/>
        <v>0</v>
      </c>
      <c r="CX117" s="46">
        <f t="shared" si="58"/>
        <v>0</v>
      </c>
      <c r="CY117" s="46">
        <f t="shared" si="58"/>
        <v>0</v>
      </c>
      <c r="CZ117" s="46">
        <f t="shared" si="58"/>
        <v>0</v>
      </c>
      <c r="DA117" s="46">
        <f t="shared" si="58"/>
        <v>0</v>
      </c>
      <c r="DB117" s="46">
        <f t="shared" si="58"/>
        <v>0</v>
      </c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</row>
    <row r="118" spans="1:121" ht="14.25" x14ac:dyDescent="0.15">
      <c r="A118" s="49">
        <v>116</v>
      </c>
      <c r="B118" s="46" t="e">
        <f t="shared" si="33"/>
        <v>#DIV/0!</v>
      </c>
      <c r="C118" s="46" t="e">
        <f t="shared" si="34"/>
        <v>#DIV/0!</v>
      </c>
      <c r="D118" s="46" t="e">
        <f t="shared" si="35"/>
        <v>#DIV/0!</v>
      </c>
      <c r="E118" s="46" t="e">
        <f t="shared" si="36"/>
        <v>#DIV/0!</v>
      </c>
      <c r="F118" s="46" t="e">
        <f t="shared" si="37"/>
        <v>#DIV/0!</v>
      </c>
      <c r="G118" s="46" t="e">
        <f t="shared" si="38"/>
        <v>#DIV/0!</v>
      </c>
      <c r="H118" s="46" t="e">
        <f t="shared" si="39"/>
        <v>#DIV/0!</v>
      </c>
      <c r="I118" s="46" t="e">
        <f t="shared" si="40"/>
        <v>#DIV/0!</v>
      </c>
      <c r="J118" s="46" t="e">
        <f t="shared" si="41"/>
        <v>#DIV/0!</v>
      </c>
      <c r="K118" s="46" t="e">
        <f t="shared" si="42"/>
        <v>#DIV/0!</v>
      </c>
      <c r="L118" s="46" t="e">
        <f t="shared" si="43"/>
        <v>#DIV/0!</v>
      </c>
      <c r="M118" s="46" t="e">
        <f t="shared" si="44"/>
        <v>#DIV/0!</v>
      </c>
      <c r="N118" s="46" t="e">
        <f t="shared" si="45"/>
        <v>#DIV/0!</v>
      </c>
      <c r="O118" s="46" t="e">
        <f t="shared" si="46"/>
        <v>#DIV/0!</v>
      </c>
      <c r="P118" s="46" t="e">
        <f t="shared" si="47"/>
        <v>#DIV/0!</v>
      </c>
      <c r="Q118" s="56" t="e">
        <f>Q117+ATM_Conf!$C$5*(B117)/(Links!B$191*Links!Q$191)</f>
        <v>#DIV/0!</v>
      </c>
      <c r="R118" s="56" t="e">
        <f>R117+ATM_Conf!$C$5*(C117-B117)/(Links!C$191*Links!R$191)</f>
        <v>#DIV/0!</v>
      </c>
      <c r="S118" s="56" t="e">
        <f>S117+ATM_Conf!$C$5*(D117-C117)/(Links!D$191*Links!S$191)</f>
        <v>#DIV/0!</v>
      </c>
      <c r="T118" s="56" t="e">
        <f>T117+ATM_Conf!$C$5*(E117-D117)/(Links!E$191*Links!T$191)</f>
        <v>#DIV/0!</v>
      </c>
      <c r="U118" s="56" t="e">
        <f>U117+ATM_Conf!$C$5*(F117-E117)/(Links!F$191*Links!U$191)</f>
        <v>#DIV/0!</v>
      </c>
      <c r="V118" s="56" t="e">
        <f>V117+ATM_Conf!$C$5*(G117-F117)/(Links!G$191*Links!V$191)</f>
        <v>#DIV/0!</v>
      </c>
      <c r="W118" s="56" t="e">
        <f>W117+ATM_Conf!$C$5*(H117-G117)/(Links!H$191*Links!W$191)</f>
        <v>#DIV/0!</v>
      </c>
      <c r="X118" s="56" t="e">
        <f>X117+ATM_Conf!$C$5*(I117-H117)/(Links!I$191*Links!X$191)</f>
        <v>#DIV/0!</v>
      </c>
      <c r="Y118" s="56" t="e">
        <f>Y117+ATM_Conf!$C$5*(J117)/(Links!J$191*Links!Y$191)</f>
        <v>#DIV/0!</v>
      </c>
      <c r="Z118" s="56" t="e">
        <f>Z117+ATM_Conf!$C$5*(K117-J117)/(Links!K$191*Links!Z$191)</f>
        <v>#DIV/0!</v>
      </c>
      <c r="AA118" s="56" t="e">
        <f>AA117+ATM_Conf!$C$5*(L117-K117)/(Links!L$191*Links!AA$191)</f>
        <v>#DIV/0!</v>
      </c>
      <c r="AB118" s="56" t="e">
        <f>AB117+ATM_Conf!$C$5*(M117-L117)/(Links!M$191*Links!AB$191)</f>
        <v>#DIV/0!</v>
      </c>
      <c r="AC118" s="56" t="e">
        <f>AC117+ATM_Conf!$C$5*(N117-M117)/(Links!N$191*Links!AC$191)</f>
        <v>#DIV/0!</v>
      </c>
      <c r="AD118" s="56" t="e">
        <f>AD117+ATM_Conf!$C$5*(O117-N117)/(Links!O$191*Links!AD$191)</f>
        <v>#DIV/0!</v>
      </c>
      <c r="AE118" s="56" t="e">
        <f>AE117+ATM_Conf!$C$5*(P117-O117)/(Links!P$191*Links!AE$191)</f>
        <v>#DIV/0!</v>
      </c>
      <c r="AF118" s="46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6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6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6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6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6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6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6" t="e">
        <f>AM117+(ATM_Conf!$C$5/ATM_Conf!$C$8)*(Links!BB117*EXP((-(Links!X117/Links!BQ117)^Links!CF117)/Links!CF117)-Links!AM117)+(ATM_Conf!$C$5/Links!X$191)*Links!AM117*(Nodes!BH117-Links!AM117)</f>
        <v>#DIV/0!</v>
      </c>
      <c r="AN118" s="46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6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6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6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6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6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6" t="e">
        <f>AT117+(ATM_Conf!$C$5/ATM_Conf!$C$8)*(Links!BI117*EXP((-(Links!AE117/Links!BX117)^Links!CM117)/Links!CM117)-Links!AT117)+(ATM_Conf!$C$5/Links!AE$191)*Links!AT117*(Nodes!BN117-Links!AT117)</f>
        <v>#DIV/0!</v>
      </c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46">
        <f t="shared" si="59"/>
        <v>0</v>
      </c>
      <c r="CO118" s="46">
        <f t="shared" si="58"/>
        <v>0</v>
      </c>
      <c r="CP118" s="46">
        <f t="shared" si="58"/>
        <v>0</v>
      </c>
      <c r="CQ118" s="46">
        <f t="shared" si="58"/>
        <v>0</v>
      </c>
      <c r="CR118" s="46">
        <f t="shared" si="58"/>
        <v>0</v>
      </c>
      <c r="CS118" s="46">
        <f t="shared" si="58"/>
        <v>0</v>
      </c>
      <c r="CT118" s="46">
        <f t="shared" si="58"/>
        <v>0</v>
      </c>
      <c r="CU118" s="46">
        <f t="shared" si="58"/>
        <v>0</v>
      </c>
      <c r="CV118" s="46">
        <f t="shared" si="58"/>
        <v>0</v>
      </c>
      <c r="CW118" s="46">
        <f t="shared" si="58"/>
        <v>0</v>
      </c>
      <c r="CX118" s="46">
        <f t="shared" si="58"/>
        <v>0</v>
      </c>
      <c r="CY118" s="46">
        <f t="shared" si="58"/>
        <v>0</v>
      </c>
      <c r="CZ118" s="46">
        <f t="shared" si="58"/>
        <v>0</v>
      </c>
      <c r="DA118" s="46">
        <f t="shared" si="58"/>
        <v>0</v>
      </c>
      <c r="DB118" s="46">
        <f t="shared" si="58"/>
        <v>0</v>
      </c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Q118" s="54"/>
    </row>
    <row r="119" spans="1:121" ht="14.25" x14ac:dyDescent="0.15">
      <c r="A119" s="49">
        <v>117</v>
      </c>
      <c r="B119" s="46" t="e">
        <f t="shared" si="33"/>
        <v>#DIV/0!</v>
      </c>
      <c r="C119" s="46" t="e">
        <f t="shared" si="34"/>
        <v>#DIV/0!</v>
      </c>
      <c r="D119" s="46" t="e">
        <f t="shared" si="35"/>
        <v>#DIV/0!</v>
      </c>
      <c r="E119" s="46" t="e">
        <f t="shared" si="36"/>
        <v>#DIV/0!</v>
      </c>
      <c r="F119" s="46" t="e">
        <f t="shared" si="37"/>
        <v>#DIV/0!</v>
      </c>
      <c r="G119" s="46" t="e">
        <f t="shared" si="38"/>
        <v>#DIV/0!</v>
      </c>
      <c r="H119" s="46" t="e">
        <f t="shared" si="39"/>
        <v>#DIV/0!</v>
      </c>
      <c r="I119" s="46" t="e">
        <f t="shared" si="40"/>
        <v>#DIV/0!</v>
      </c>
      <c r="J119" s="46" t="e">
        <f t="shared" si="41"/>
        <v>#DIV/0!</v>
      </c>
      <c r="K119" s="46" t="e">
        <f t="shared" si="42"/>
        <v>#DIV/0!</v>
      </c>
      <c r="L119" s="46" t="e">
        <f t="shared" si="43"/>
        <v>#DIV/0!</v>
      </c>
      <c r="M119" s="46" t="e">
        <f t="shared" si="44"/>
        <v>#DIV/0!</v>
      </c>
      <c r="N119" s="46" t="e">
        <f t="shared" si="45"/>
        <v>#DIV/0!</v>
      </c>
      <c r="O119" s="46" t="e">
        <f t="shared" si="46"/>
        <v>#DIV/0!</v>
      </c>
      <c r="P119" s="46" t="e">
        <f t="shared" si="47"/>
        <v>#DIV/0!</v>
      </c>
      <c r="Q119" s="56" t="e">
        <f>Q118+ATM_Conf!$C$5*(B118)/(Links!B$191*Links!Q$191)</f>
        <v>#DIV/0!</v>
      </c>
      <c r="R119" s="56" t="e">
        <f>R118+ATM_Conf!$C$5*(C118-B118)/(Links!C$191*Links!R$191)</f>
        <v>#DIV/0!</v>
      </c>
      <c r="S119" s="56" t="e">
        <f>S118+ATM_Conf!$C$5*(D118-C118)/(Links!D$191*Links!S$191)</f>
        <v>#DIV/0!</v>
      </c>
      <c r="T119" s="56" t="e">
        <f>T118+ATM_Conf!$C$5*(E118-D118)/(Links!E$191*Links!T$191)</f>
        <v>#DIV/0!</v>
      </c>
      <c r="U119" s="56" t="e">
        <f>U118+ATM_Conf!$C$5*(F118-E118)/(Links!F$191*Links!U$191)</f>
        <v>#DIV/0!</v>
      </c>
      <c r="V119" s="56" t="e">
        <f>V118+ATM_Conf!$C$5*(G118-F118)/(Links!G$191*Links!V$191)</f>
        <v>#DIV/0!</v>
      </c>
      <c r="W119" s="56" t="e">
        <f>W118+ATM_Conf!$C$5*(H118-G118)/(Links!H$191*Links!W$191)</f>
        <v>#DIV/0!</v>
      </c>
      <c r="X119" s="56" t="e">
        <f>X118+ATM_Conf!$C$5*(I118-H118)/(Links!I$191*Links!X$191)</f>
        <v>#DIV/0!</v>
      </c>
      <c r="Y119" s="56" t="e">
        <f>Y118+ATM_Conf!$C$5*(J118)/(Links!J$191*Links!Y$191)</f>
        <v>#DIV/0!</v>
      </c>
      <c r="Z119" s="56" t="e">
        <f>Z118+ATM_Conf!$C$5*(K118-J118)/(Links!K$191*Links!Z$191)</f>
        <v>#DIV/0!</v>
      </c>
      <c r="AA119" s="56" t="e">
        <f>AA118+ATM_Conf!$C$5*(L118-K118)/(Links!L$191*Links!AA$191)</f>
        <v>#DIV/0!</v>
      </c>
      <c r="AB119" s="56" t="e">
        <f>AB118+ATM_Conf!$C$5*(M118-L118)/(Links!M$191*Links!AB$191)</f>
        <v>#DIV/0!</v>
      </c>
      <c r="AC119" s="56" t="e">
        <f>AC118+ATM_Conf!$C$5*(N118-M118)/(Links!N$191*Links!AC$191)</f>
        <v>#DIV/0!</v>
      </c>
      <c r="AD119" s="56" t="e">
        <f>AD118+ATM_Conf!$C$5*(O118-N118)/(Links!O$191*Links!AD$191)</f>
        <v>#DIV/0!</v>
      </c>
      <c r="AE119" s="56" t="e">
        <f>AE118+ATM_Conf!$C$5*(P118-O118)/(Links!P$191*Links!AE$191)</f>
        <v>#DIV/0!</v>
      </c>
      <c r="AF119" s="46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6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6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6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6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6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6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6" t="e">
        <f>AM118+(ATM_Conf!$C$5/ATM_Conf!$C$8)*(Links!BB118*EXP((-(Links!X118/Links!BQ118)^Links!CF118)/Links!CF118)-Links!AM118)+(ATM_Conf!$C$5/Links!X$191)*Links!AM118*(Nodes!BH118-Links!AM118)</f>
        <v>#DIV/0!</v>
      </c>
      <c r="AN119" s="46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6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6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6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6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6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6" t="e">
        <f>AT118+(ATM_Conf!$C$5/ATM_Conf!$C$8)*(Links!BI118*EXP((-(Links!AE118/Links!BX118)^Links!CM118)/Links!CM118)-Links!AT118)+(ATM_Conf!$C$5/Links!AE$191)*Links!AT118*(Nodes!BN118-Links!AT118)</f>
        <v>#DIV/0!</v>
      </c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46">
        <f t="shared" si="59"/>
        <v>0</v>
      </c>
      <c r="CO119" s="46">
        <f t="shared" si="58"/>
        <v>0</v>
      </c>
      <c r="CP119" s="46">
        <f t="shared" si="58"/>
        <v>0</v>
      </c>
      <c r="CQ119" s="46">
        <f t="shared" si="58"/>
        <v>0</v>
      </c>
      <c r="CR119" s="46">
        <f t="shared" si="58"/>
        <v>0</v>
      </c>
      <c r="CS119" s="46">
        <f t="shared" si="58"/>
        <v>0</v>
      </c>
      <c r="CT119" s="46">
        <f t="shared" si="58"/>
        <v>0</v>
      </c>
      <c r="CU119" s="46">
        <f t="shared" si="58"/>
        <v>0</v>
      </c>
      <c r="CV119" s="46">
        <f t="shared" si="58"/>
        <v>0</v>
      </c>
      <c r="CW119" s="46">
        <f t="shared" si="58"/>
        <v>0</v>
      </c>
      <c r="CX119" s="46">
        <f t="shared" si="58"/>
        <v>0</v>
      </c>
      <c r="CY119" s="46">
        <f t="shared" si="58"/>
        <v>0</v>
      </c>
      <c r="CZ119" s="46">
        <f t="shared" si="58"/>
        <v>0</v>
      </c>
      <c r="DA119" s="46">
        <f t="shared" si="58"/>
        <v>0</v>
      </c>
      <c r="DB119" s="46">
        <f t="shared" si="58"/>
        <v>0</v>
      </c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Q119" s="54"/>
    </row>
    <row r="120" spans="1:121" ht="14.25" x14ac:dyDescent="0.15">
      <c r="A120" s="49">
        <v>118</v>
      </c>
      <c r="B120" s="46" t="e">
        <f t="shared" si="33"/>
        <v>#DIV/0!</v>
      </c>
      <c r="C120" s="46" t="e">
        <f t="shared" si="34"/>
        <v>#DIV/0!</v>
      </c>
      <c r="D120" s="46" t="e">
        <f t="shared" si="35"/>
        <v>#DIV/0!</v>
      </c>
      <c r="E120" s="46" t="e">
        <f t="shared" si="36"/>
        <v>#DIV/0!</v>
      </c>
      <c r="F120" s="46" t="e">
        <f t="shared" si="37"/>
        <v>#DIV/0!</v>
      </c>
      <c r="G120" s="46" t="e">
        <f t="shared" si="38"/>
        <v>#DIV/0!</v>
      </c>
      <c r="H120" s="46" t="e">
        <f t="shared" si="39"/>
        <v>#DIV/0!</v>
      </c>
      <c r="I120" s="46" t="e">
        <f t="shared" si="40"/>
        <v>#DIV/0!</v>
      </c>
      <c r="J120" s="46" t="e">
        <f t="shared" si="41"/>
        <v>#DIV/0!</v>
      </c>
      <c r="K120" s="46" t="e">
        <f t="shared" si="42"/>
        <v>#DIV/0!</v>
      </c>
      <c r="L120" s="46" t="e">
        <f t="shared" si="43"/>
        <v>#DIV/0!</v>
      </c>
      <c r="M120" s="46" t="e">
        <f t="shared" si="44"/>
        <v>#DIV/0!</v>
      </c>
      <c r="N120" s="46" t="e">
        <f t="shared" si="45"/>
        <v>#DIV/0!</v>
      </c>
      <c r="O120" s="46" t="e">
        <f t="shared" si="46"/>
        <v>#DIV/0!</v>
      </c>
      <c r="P120" s="46" t="e">
        <f t="shared" si="47"/>
        <v>#DIV/0!</v>
      </c>
      <c r="Q120" s="56" t="e">
        <f>Q119+ATM_Conf!$C$5*(B119)/(Links!B$191*Links!Q$191)</f>
        <v>#DIV/0!</v>
      </c>
      <c r="R120" s="56" t="e">
        <f>R119+ATM_Conf!$C$5*(C119-B119)/(Links!C$191*Links!R$191)</f>
        <v>#DIV/0!</v>
      </c>
      <c r="S120" s="56" t="e">
        <f>S119+ATM_Conf!$C$5*(D119-C119)/(Links!D$191*Links!S$191)</f>
        <v>#DIV/0!</v>
      </c>
      <c r="T120" s="56" t="e">
        <f>T119+ATM_Conf!$C$5*(E119-D119)/(Links!E$191*Links!T$191)</f>
        <v>#DIV/0!</v>
      </c>
      <c r="U120" s="56" t="e">
        <f>U119+ATM_Conf!$C$5*(F119-E119)/(Links!F$191*Links!U$191)</f>
        <v>#DIV/0!</v>
      </c>
      <c r="V120" s="56" t="e">
        <f>V119+ATM_Conf!$C$5*(G119-F119)/(Links!G$191*Links!V$191)</f>
        <v>#DIV/0!</v>
      </c>
      <c r="W120" s="56" t="e">
        <f>W119+ATM_Conf!$C$5*(H119-G119)/(Links!H$191*Links!W$191)</f>
        <v>#DIV/0!</v>
      </c>
      <c r="X120" s="56" t="e">
        <f>X119+ATM_Conf!$C$5*(I119-H119)/(Links!I$191*Links!X$191)</f>
        <v>#DIV/0!</v>
      </c>
      <c r="Y120" s="56" t="e">
        <f>Y119+ATM_Conf!$C$5*(J119)/(Links!J$191*Links!Y$191)</f>
        <v>#DIV/0!</v>
      </c>
      <c r="Z120" s="56" t="e">
        <f>Z119+ATM_Conf!$C$5*(K119-J119)/(Links!K$191*Links!Z$191)</f>
        <v>#DIV/0!</v>
      </c>
      <c r="AA120" s="56" t="e">
        <f>AA119+ATM_Conf!$C$5*(L119-K119)/(Links!L$191*Links!AA$191)</f>
        <v>#DIV/0!</v>
      </c>
      <c r="AB120" s="56" t="e">
        <f>AB119+ATM_Conf!$C$5*(M119-L119)/(Links!M$191*Links!AB$191)</f>
        <v>#DIV/0!</v>
      </c>
      <c r="AC120" s="56" t="e">
        <f>AC119+ATM_Conf!$C$5*(N119-M119)/(Links!N$191*Links!AC$191)</f>
        <v>#DIV/0!</v>
      </c>
      <c r="AD120" s="56" t="e">
        <f>AD119+ATM_Conf!$C$5*(O119-N119)/(Links!O$191*Links!AD$191)</f>
        <v>#DIV/0!</v>
      </c>
      <c r="AE120" s="56" t="e">
        <f>AE119+ATM_Conf!$C$5*(P119-O119)/(Links!P$191*Links!AE$191)</f>
        <v>#DIV/0!</v>
      </c>
      <c r="AF120" s="46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6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6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6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6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6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6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6" t="e">
        <f>AM119+(ATM_Conf!$C$5/ATM_Conf!$C$8)*(Links!BB119*EXP((-(Links!X119/Links!BQ119)^Links!CF119)/Links!CF119)-Links!AM119)+(ATM_Conf!$C$5/Links!X$191)*Links!AM119*(Nodes!BH119-Links!AM119)</f>
        <v>#DIV/0!</v>
      </c>
      <c r="AN120" s="46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6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6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6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6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6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6" t="e">
        <f>AT119+(ATM_Conf!$C$5/ATM_Conf!$C$8)*(Links!BI119*EXP((-(Links!AE119/Links!BX119)^Links!CM119)/Links!CM119)-Links!AT119)+(ATM_Conf!$C$5/Links!AE$191)*Links!AT119*(Nodes!BN119-Links!AT119)</f>
        <v>#DIV/0!</v>
      </c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46"/>
      <c r="BK120" s="46"/>
      <c r="BL120" s="46"/>
      <c r="BM120" s="46"/>
      <c r="BN120" s="46"/>
      <c r="BO120" s="46"/>
      <c r="BP120" s="46"/>
      <c r="BQ120" s="46"/>
      <c r="BR120" s="46"/>
      <c r="BS120" s="46"/>
      <c r="BT120" s="46"/>
      <c r="BU120" s="46"/>
      <c r="BV120" s="46"/>
      <c r="BW120" s="46"/>
      <c r="BX120" s="4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46">
        <f t="shared" si="59"/>
        <v>0</v>
      </c>
      <c r="CO120" s="46">
        <f t="shared" si="58"/>
        <v>0</v>
      </c>
      <c r="CP120" s="46">
        <f t="shared" si="58"/>
        <v>0</v>
      </c>
      <c r="CQ120" s="46">
        <f t="shared" si="58"/>
        <v>0</v>
      </c>
      <c r="CR120" s="46">
        <f t="shared" si="58"/>
        <v>0</v>
      </c>
      <c r="CS120" s="46">
        <f t="shared" si="58"/>
        <v>0</v>
      </c>
      <c r="CT120" s="46">
        <f t="shared" si="58"/>
        <v>0</v>
      </c>
      <c r="CU120" s="46">
        <f t="shared" si="58"/>
        <v>0</v>
      </c>
      <c r="CV120" s="46">
        <f t="shared" si="58"/>
        <v>0</v>
      </c>
      <c r="CW120" s="46">
        <f t="shared" si="58"/>
        <v>0</v>
      </c>
      <c r="CX120" s="46">
        <f t="shared" si="58"/>
        <v>0</v>
      </c>
      <c r="CY120" s="46">
        <f t="shared" si="58"/>
        <v>0</v>
      </c>
      <c r="CZ120" s="46">
        <f t="shared" si="58"/>
        <v>0</v>
      </c>
      <c r="DA120" s="46">
        <f t="shared" si="58"/>
        <v>0</v>
      </c>
      <c r="DB120" s="46">
        <f t="shared" si="58"/>
        <v>0</v>
      </c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Q120" s="54"/>
    </row>
    <row r="121" spans="1:121" ht="14.25" x14ac:dyDescent="0.15">
      <c r="A121" s="49">
        <v>119</v>
      </c>
      <c r="B121" s="46" t="e">
        <f t="shared" si="33"/>
        <v>#DIV/0!</v>
      </c>
      <c r="C121" s="46" t="e">
        <f t="shared" si="34"/>
        <v>#DIV/0!</v>
      </c>
      <c r="D121" s="46" t="e">
        <f t="shared" si="35"/>
        <v>#DIV/0!</v>
      </c>
      <c r="E121" s="46" t="e">
        <f t="shared" si="36"/>
        <v>#DIV/0!</v>
      </c>
      <c r="F121" s="46" t="e">
        <f t="shared" si="37"/>
        <v>#DIV/0!</v>
      </c>
      <c r="G121" s="46" t="e">
        <f t="shared" si="38"/>
        <v>#DIV/0!</v>
      </c>
      <c r="H121" s="46" t="e">
        <f t="shared" si="39"/>
        <v>#DIV/0!</v>
      </c>
      <c r="I121" s="46" t="e">
        <f t="shared" si="40"/>
        <v>#DIV/0!</v>
      </c>
      <c r="J121" s="46" t="e">
        <f t="shared" si="41"/>
        <v>#DIV/0!</v>
      </c>
      <c r="K121" s="46" t="e">
        <f t="shared" si="42"/>
        <v>#DIV/0!</v>
      </c>
      <c r="L121" s="46" t="e">
        <f t="shared" si="43"/>
        <v>#DIV/0!</v>
      </c>
      <c r="M121" s="46" t="e">
        <f t="shared" si="44"/>
        <v>#DIV/0!</v>
      </c>
      <c r="N121" s="46" t="e">
        <f t="shared" si="45"/>
        <v>#DIV/0!</v>
      </c>
      <c r="O121" s="46" t="e">
        <f t="shared" si="46"/>
        <v>#DIV/0!</v>
      </c>
      <c r="P121" s="46" t="e">
        <f t="shared" si="47"/>
        <v>#DIV/0!</v>
      </c>
      <c r="Q121" s="56" t="e">
        <f>Q120+ATM_Conf!$C$5*(B120)/(Links!B$191*Links!Q$191)</f>
        <v>#DIV/0!</v>
      </c>
      <c r="R121" s="56" t="e">
        <f>R120+ATM_Conf!$C$5*(C120-B120)/(Links!C$191*Links!R$191)</f>
        <v>#DIV/0!</v>
      </c>
      <c r="S121" s="56" t="e">
        <f>S120+ATM_Conf!$C$5*(D120-C120)/(Links!D$191*Links!S$191)</f>
        <v>#DIV/0!</v>
      </c>
      <c r="T121" s="56" t="e">
        <f>T120+ATM_Conf!$C$5*(E120-D120)/(Links!E$191*Links!T$191)</f>
        <v>#DIV/0!</v>
      </c>
      <c r="U121" s="56" t="e">
        <f>U120+ATM_Conf!$C$5*(F120-E120)/(Links!F$191*Links!U$191)</f>
        <v>#DIV/0!</v>
      </c>
      <c r="V121" s="56" t="e">
        <f>V120+ATM_Conf!$C$5*(G120-F120)/(Links!G$191*Links!V$191)</f>
        <v>#DIV/0!</v>
      </c>
      <c r="W121" s="56" t="e">
        <f>W120+ATM_Conf!$C$5*(H120-G120)/(Links!H$191*Links!W$191)</f>
        <v>#DIV/0!</v>
      </c>
      <c r="X121" s="56" t="e">
        <f>X120+ATM_Conf!$C$5*(I120-H120)/(Links!I$191*Links!X$191)</f>
        <v>#DIV/0!</v>
      </c>
      <c r="Y121" s="56" t="e">
        <f>Y120+ATM_Conf!$C$5*(J120)/(Links!J$191*Links!Y$191)</f>
        <v>#DIV/0!</v>
      </c>
      <c r="Z121" s="56" t="e">
        <f>Z120+ATM_Conf!$C$5*(K120-J120)/(Links!K$191*Links!Z$191)</f>
        <v>#DIV/0!</v>
      </c>
      <c r="AA121" s="56" t="e">
        <f>AA120+ATM_Conf!$C$5*(L120-K120)/(Links!L$191*Links!AA$191)</f>
        <v>#DIV/0!</v>
      </c>
      <c r="AB121" s="56" t="e">
        <f>AB120+ATM_Conf!$C$5*(M120-L120)/(Links!M$191*Links!AB$191)</f>
        <v>#DIV/0!</v>
      </c>
      <c r="AC121" s="56" t="e">
        <f>AC120+ATM_Conf!$C$5*(N120-M120)/(Links!N$191*Links!AC$191)</f>
        <v>#DIV/0!</v>
      </c>
      <c r="AD121" s="56" t="e">
        <f>AD120+ATM_Conf!$C$5*(O120-N120)/(Links!O$191*Links!AD$191)</f>
        <v>#DIV/0!</v>
      </c>
      <c r="AE121" s="56" t="e">
        <f>AE120+ATM_Conf!$C$5*(P120-O120)/(Links!P$191*Links!AE$191)</f>
        <v>#DIV/0!</v>
      </c>
      <c r="AF121" s="46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6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6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6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6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6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6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6" t="e">
        <f>AM120+(ATM_Conf!$C$5/ATM_Conf!$C$8)*(Links!BB120*EXP((-(Links!X120/Links!BQ120)^Links!CF120)/Links!CF120)-Links!AM120)+(ATM_Conf!$C$5/Links!X$191)*Links!AM120*(Nodes!BH120-Links!AM120)</f>
        <v>#DIV/0!</v>
      </c>
      <c r="AN121" s="46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6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6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6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6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6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6" t="e">
        <f>AT120+(ATM_Conf!$C$5/ATM_Conf!$C$8)*(Links!BI120*EXP((-(Links!AE120/Links!BX120)^Links!CM120)/Links!CM120)-Links!AT120)+(ATM_Conf!$C$5/Links!AE$191)*Links!AT120*(Nodes!BN120-Links!AT120)</f>
        <v>#DIV/0!</v>
      </c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46"/>
      <c r="BK121" s="46"/>
      <c r="BL121" s="46"/>
      <c r="BM121" s="46"/>
      <c r="BN121" s="46"/>
      <c r="BO121" s="46"/>
      <c r="BP121" s="46"/>
      <c r="BQ121" s="46"/>
      <c r="BR121" s="46"/>
      <c r="BS121" s="46"/>
      <c r="BT121" s="46"/>
      <c r="BU121" s="46"/>
      <c r="BV121" s="46"/>
      <c r="BW121" s="46"/>
      <c r="BX121" s="4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46">
        <f t="shared" si="59"/>
        <v>0</v>
      </c>
      <c r="CO121" s="46">
        <f t="shared" si="58"/>
        <v>0</v>
      </c>
      <c r="CP121" s="46">
        <f t="shared" si="58"/>
        <v>0</v>
      </c>
      <c r="CQ121" s="46">
        <f t="shared" si="58"/>
        <v>0</v>
      </c>
      <c r="CR121" s="46">
        <f t="shared" si="58"/>
        <v>0</v>
      </c>
      <c r="CS121" s="46">
        <f t="shared" si="58"/>
        <v>0</v>
      </c>
      <c r="CT121" s="46">
        <f t="shared" si="58"/>
        <v>0</v>
      </c>
      <c r="CU121" s="46">
        <f t="shared" si="58"/>
        <v>0</v>
      </c>
      <c r="CV121" s="46">
        <f t="shared" si="58"/>
        <v>0</v>
      </c>
      <c r="CW121" s="46">
        <f t="shared" si="58"/>
        <v>0</v>
      </c>
      <c r="CX121" s="46">
        <f t="shared" si="58"/>
        <v>0</v>
      </c>
      <c r="CY121" s="46">
        <f t="shared" si="58"/>
        <v>0</v>
      </c>
      <c r="CZ121" s="46">
        <f t="shared" si="58"/>
        <v>0</v>
      </c>
      <c r="DA121" s="46">
        <f t="shared" si="58"/>
        <v>0</v>
      </c>
      <c r="DB121" s="46">
        <f t="shared" si="58"/>
        <v>0</v>
      </c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Q121" s="54"/>
    </row>
    <row r="122" spans="1:121" ht="14.25" x14ac:dyDescent="0.15">
      <c r="A122" s="49">
        <v>120</v>
      </c>
      <c r="B122" s="46" t="e">
        <f t="shared" si="33"/>
        <v>#DIV/0!</v>
      </c>
      <c r="C122" s="46" t="e">
        <f t="shared" si="34"/>
        <v>#DIV/0!</v>
      </c>
      <c r="D122" s="46" t="e">
        <f t="shared" si="35"/>
        <v>#DIV/0!</v>
      </c>
      <c r="E122" s="46" t="e">
        <f t="shared" si="36"/>
        <v>#DIV/0!</v>
      </c>
      <c r="F122" s="46" t="e">
        <f t="shared" si="37"/>
        <v>#DIV/0!</v>
      </c>
      <c r="G122" s="46" t="e">
        <f t="shared" si="38"/>
        <v>#DIV/0!</v>
      </c>
      <c r="H122" s="46" t="e">
        <f t="shared" si="39"/>
        <v>#DIV/0!</v>
      </c>
      <c r="I122" s="46" t="e">
        <f t="shared" si="40"/>
        <v>#DIV/0!</v>
      </c>
      <c r="J122" s="46" t="e">
        <f t="shared" si="41"/>
        <v>#DIV/0!</v>
      </c>
      <c r="K122" s="46" t="e">
        <f t="shared" si="42"/>
        <v>#DIV/0!</v>
      </c>
      <c r="L122" s="46" t="e">
        <f t="shared" si="43"/>
        <v>#DIV/0!</v>
      </c>
      <c r="M122" s="46" t="e">
        <f t="shared" si="44"/>
        <v>#DIV/0!</v>
      </c>
      <c r="N122" s="46" t="e">
        <f t="shared" si="45"/>
        <v>#DIV/0!</v>
      </c>
      <c r="O122" s="46" t="e">
        <f t="shared" si="46"/>
        <v>#DIV/0!</v>
      </c>
      <c r="P122" s="46" t="e">
        <f t="shared" si="47"/>
        <v>#DIV/0!</v>
      </c>
      <c r="Q122" s="56" t="e">
        <f>Q121+ATM_Conf!$C$5*(B121)/(Links!B$191*Links!Q$191)</f>
        <v>#DIV/0!</v>
      </c>
      <c r="R122" s="56" t="e">
        <f>R121+ATM_Conf!$C$5*(C121-B121)/(Links!C$191*Links!R$191)</f>
        <v>#DIV/0!</v>
      </c>
      <c r="S122" s="56" t="e">
        <f>S121+ATM_Conf!$C$5*(D121-C121)/(Links!D$191*Links!S$191)</f>
        <v>#DIV/0!</v>
      </c>
      <c r="T122" s="56" t="e">
        <f>T121+ATM_Conf!$C$5*(E121-D121)/(Links!E$191*Links!T$191)</f>
        <v>#DIV/0!</v>
      </c>
      <c r="U122" s="56" t="e">
        <f>U121+ATM_Conf!$C$5*(F121-E121)/(Links!F$191*Links!U$191)</f>
        <v>#DIV/0!</v>
      </c>
      <c r="V122" s="56" t="e">
        <f>V121+ATM_Conf!$C$5*(G121-F121)/(Links!G$191*Links!V$191)</f>
        <v>#DIV/0!</v>
      </c>
      <c r="W122" s="56" t="e">
        <f>W121+ATM_Conf!$C$5*(H121-G121)/(Links!H$191*Links!W$191)</f>
        <v>#DIV/0!</v>
      </c>
      <c r="X122" s="56" t="e">
        <f>X121+ATM_Conf!$C$5*(I121-H121)/(Links!I$191*Links!X$191)</f>
        <v>#DIV/0!</v>
      </c>
      <c r="Y122" s="56" t="e">
        <f>Y121+ATM_Conf!$C$5*(J121)/(Links!J$191*Links!Y$191)</f>
        <v>#DIV/0!</v>
      </c>
      <c r="Z122" s="56" t="e">
        <f>Z121+ATM_Conf!$C$5*(K121-J121)/(Links!K$191*Links!Z$191)</f>
        <v>#DIV/0!</v>
      </c>
      <c r="AA122" s="56" t="e">
        <f>AA121+ATM_Conf!$C$5*(L121-K121)/(Links!L$191*Links!AA$191)</f>
        <v>#DIV/0!</v>
      </c>
      <c r="AB122" s="56" t="e">
        <f>AB121+ATM_Conf!$C$5*(M121-L121)/(Links!M$191*Links!AB$191)</f>
        <v>#DIV/0!</v>
      </c>
      <c r="AC122" s="56" t="e">
        <f>AC121+ATM_Conf!$C$5*(N121-M121)/(Links!N$191*Links!AC$191)</f>
        <v>#DIV/0!</v>
      </c>
      <c r="AD122" s="56" t="e">
        <f>AD121+ATM_Conf!$C$5*(O121-N121)/(Links!O$191*Links!AD$191)</f>
        <v>#DIV/0!</v>
      </c>
      <c r="AE122" s="56" t="e">
        <f>AE121+ATM_Conf!$C$5*(P121-O121)/(Links!P$191*Links!AE$191)</f>
        <v>#DIV/0!</v>
      </c>
      <c r="AF122" s="46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6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6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6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6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6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6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6" t="e">
        <f>AM121+(ATM_Conf!$C$5/ATM_Conf!$C$8)*(Links!BB121*EXP((-(Links!X121/Links!BQ121)^Links!CF121)/Links!CF121)-Links!AM121)+(ATM_Conf!$C$5/Links!X$191)*Links!AM121*(Nodes!BH121-Links!AM121)</f>
        <v>#DIV/0!</v>
      </c>
      <c r="AN122" s="46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6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6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6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6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6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6" t="e">
        <f>AT121+(ATM_Conf!$C$5/ATM_Conf!$C$8)*(Links!BI121*EXP((-(Links!AE121/Links!BX121)^Links!CM121)/Links!CM121)-Links!AT121)+(ATM_Conf!$C$5/Links!AE$191)*Links!AT121*(Nodes!BN121-Links!AT121)</f>
        <v>#DIV/0!</v>
      </c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46"/>
      <c r="BK122" s="46"/>
      <c r="BL122" s="46"/>
      <c r="BM122" s="46"/>
      <c r="BN122" s="46"/>
      <c r="BO122" s="46"/>
      <c r="BP122" s="46"/>
      <c r="BQ122" s="46"/>
      <c r="BR122" s="46"/>
      <c r="BS122" s="46"/>
      <c r="BT122" s="46"/>
      <c r="BU122" s="46"/>
      <c r="BV122" s="46"/>
      <c r="BW122" s="46"/>
      <c r="BX122" s="4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46">
        <f t="shared" si="59"/>
        <v>0</v>
      </c>
      <c r="CO122" s="46">
        <f t="shared" si="58"/>
        <v>0</v>
      </c>
      <c r="CP122" s="46">
        <f t="shared" si="58"/>
        <v>0</v>
      </c>
      <c r="CQ122" s="46">
        <f t="shared" si="58"/>
        <v>0</v>
      </c>
      <c r="CR122" s="46">
        <f t="shared" si="58"/>
        <v>0</v>
      </c>
      <c r="CS122" s="46">
        <f t="shared" si="58"/>
        <v>0</v>
      </c>
      <c r="CT122" s="46">
        <f t="shared" si="58"/>
        <v>0</v>
      </c>
      <c r="CU122" s="46">
        <f t="shared" si="58"/>
        <v>0</v>
      </c>
      <c r="CV122" s="46">
        <f t="shared" si="58"/>
        <v>0</v>
      </c>
      <c r="CW122" s="46">
        <f t="shared" si="58"/>
        <v>0</v>
      </c>
      <c r="CX122" s="46">
        <f t="shared" si="58"/>
        <v>0</v>
      </c>
      <c r="CY122" s="46">
        <f t="shared" si="58"/>
        <v>0</v>
      </c>
      <c r="CZ122" s="46">
        <f t="shared" si="58"/>
        <v>0</v>
      </c>
      <c r="DA122" s="46">
        <f t="shared" si="58"/>
        <v>0</v>
      </c>
      <c r="DB122" s="46">
        <f t="shared" si="58"/>
        <v>0</v>
      </c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Q122" s="54"/>
    </row>
    <row r="123" spans="1:121" ht="14.25" x14ac:dyDescent="0.15">
      <c r="A123" s="49">
        <v>121</v>
      </c>
      <c r="B123" s="46" t="e">
        <f t="shared" si="33"/>
        <v>#DIV/0!</v>
      </c>
      <c r="C123" s="46" t="e">
        <f t="shared" si="34"/>
        <v>#DIV/0!</v>
      </c>
      <c r="D123" s="46" t="e">
        <f t="shared" si="35"/>
        <v>#DIV/0!</v>
      </c>
      <c r="E123" s="46" t="e">
        <f t="shared" si="36"/>
        <v>#DIV/0!</v>
      </c>
      <c r="F123" s="46" t="e">
        <f t="shared" si="37"/>
        <v>#DIV/0!</v>
      </c>
      <c r="G123" s="46" t="e">
        <f t="shared" si="38"/>
        <v>#DIV/0!</v>
      </c>
      <c r="H123" s="46" t="e">
        <f t="shared" si="39"/>
        <v>#DIV/0!</v>
      </c>
      <c r="I123" s="46" t="e">
        <f t="shared" si="40"/>
        <v>#DIV/0!</v>
      </c>
      <c r="J123" s="46" t="e">
        <f t="shared" si="41"/>
        <v>#DIV/0!</v>
      </c>
      <c r="K123" s="46" t="e">
        <f t="shared" si="42"/>
        <v>#DIV/0!</v>
      </c>
      <c r="L123" s="46" t="e">
        <f t="shared" si="43"/>
        <v>#DIV/0!</v>
      </c>
      <c r="M123" s="46" t="e">
        <f t="shared" si="44"/>
        <v>#DIV/0!</v>
      </c>
      <c r="N123" s="46" t="e">
        <f t="shared" si="45"/>
        <v>#DIV/0!</v>
      </c>
      <c r="O123" s="46" t="e">
        <f t="shared" si="46"/>
        <v>#DIV/0!</v>
      </c>
      <c r="P123" s="46" t="e">
        <f t="shared" si="47"/>
        <v>#DIV/0!</v>
      </c>
      <c r="Q123" s="56" t="e">
        <f>Q122+ATM_Conf!$C$5*(B122)/(Links!B$191*Links!Q$191)</f>
        <v>#DIV/0!</v>
      </c>
      <c r="R123" s="56" t="e">
        <f>R122+ATM_Conf!$C$5*(C122-B122)/(Links!C$191*Links!R$191)</f>
        <v>#DIV/0!</v>
      </c>
      <c r="S123" s="56" t="e">
        <f>S122+ATM_Conf!$C$5*(D122-C122)/(Links!D$191*Links!S$191)</f>
        <v>#DIV/0!</v>
      </c>
      <c r="T123" s="56" t="e">
        <f>T122+ATM_Conf!$C$5*(E122-D122)/(Links!E$191*Links!T$191)</f>
        <v>#DIV/0!</v>
      </c>
      <c r="U123" s="56" t="e">
        <f>U122+ATM_Conf!$C$5*(F122-E122)/(Links!F$191*Links!U$191)</f>
        <v>#DIV/0!</v>
      </c>
      <c r="V123" s="56" t="e">
        <f>V122+ATM_Conf!$C$5*(G122-F122)/(Links!G$191*Links!V$191)</f>
        <v>#DIV/0!</v>
      </c>
      <c r="W123" s="56" t="e">
        <f>W122+ATM_Conf!$C$5*(H122-G122)/(Links!H$191*Links!W$191)</f>
        <v>#DIV/0!</v>
      </c>
      <c r="X123" s="56" t="e">
        <f>X122+ATM_Conf!$C$5*(I122-H122)/(Links!I$191*Links!X$191)</f>
        <v>#DIV/0!</v>
      </c>
      <c r="Y123" s="56" t="e">
        <f>Y122+ATM_Conf!$C$5*(J122)/(Links!J$191*Links!Y$191)</f>
        <v>#DIV/0!</v>
      </c>
      <c r="Z123" s="56" t="e">
        <f>Z122+ATM_Conf!$C$5*(K122-J122)/(Links!K$191*Links!Z$191)</f>
        <v>#DIV/0!</v>
      </c>
      <c r="AA123" s="56" t="e">
        <f>AA122+ATM_Conf!$C$5*(L122-K122)/(Links!L$191*Links!AA$191)</f>
        <v>#DIV/0!</v>
      </c>
      <c r="AB123" s="56" t="e">
        <f>AB122+ATM_Conf!$C$5*(M122-L122)/(Links!M$191*Links!AB$191)</f>
        <v>#DIV/0!</v>
      </c>
      <c r="AC123" s="56" t="e">
        <f>AC122+ATM_Conf!$C$5*(N122-M122)/(Links!N$191*Links!AC$191)</f>
        <v>#DIV/0!</v>
      </c>
      <c r="AD123" s="56" t="e">
        <f>AD122+ATM_Conf!$C$5*(O122-N122)/(Links!O$191*Links!AD$191)</f>
        <v>#DIV/0!</v>
      </c>
      <c r="AE123" s="56" t="e">
        <f>AE122+ATM_Conf!$C$5*(P122-O122)/(Links!P$191*Links!AE$191)</f>
        <v>#DIV/0!</v>
      </c>
      <c r="AF123" s="46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6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6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6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6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6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6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6" t="e">
        <f>AM122+(ATM_Conf!$C$5/ATM_Conf!$C$8)*(Links!BB122*EXP((-(Links!X122/Links!BQ122)^Links!CF122)/Links!CF122)-Links!AM122)+(ATM_Conf!$C$5/Links!X$191)*Links!AM122*(Nodes!BH122-Links!AM122)</f>
        <v>#DIV/0!</v>
      </c>
      <c r="AN123" s="46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6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6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6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6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6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6" t="e">
        <f>AT122+(ATM_Conf!$C$5/ATM_Conf!$C$8)*(Links!BI122*EXP((-(Links!AE122/Links!BX122)^Links!CM122)/Links!CM122)-Links!AT122)+(ATM_Conf!$C$5/Links!AE$191)*Links!AT122*(Nodes!BN122-Links!AT122)</f>
        <v>#DIV/0!</v>
      </c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46"/>
      <c r="BK123" s="46"/>
      <c r="BL123" s="46"/>
      <c r="BM123" s="46"/>
      <c r="BN123" s="46"/>
      <c r="BO123" s="46"/>
      <c r="BP123" s="46"/>
      <c r="BQ123" s="46"/>
      <c r="BR123" s="46"/>
      <c r="BS123" s="46"/>
      <c r="BT123" s="46"/>
      <c r="BU123" s="46"/>
      <c r="BV123" s="46"/>
      <c r="BW123" s="46"/>
      <c r="BX123" s="4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54">
        <f>(CN123-CN111)^2</f>
        <v>0</v>
      </c>
      <c r="DD123" s="54">
        <f t="shared" ref="DD123:DQ123" si="60">(CO123-CO111)^2</f>
        <v>0</v>
      </c>
      <c r="DE123" s="54">
        <f t="shared" si="60"/>
        <v>0</v>
      </c>
      <c r="DF123" s="54">
        <f t="shared" si="60"/>
        <v>0</v>
      </c>
      <c r="DG123" s="54">
        <f t="shared" si="60"/>
        <v>0</v>
      </c>
      <c r="DH123" s="54">
        <f t="shared" si="60"/>
        <v>0</v>
      </c>
      <c r="DI123" s="54">
        <f t="shared" si="60"/>
        <v>0</v>
      </c>
      <c r="DJ123" s="54">
        <f t="shared" si="60"/>
        <v>0</v>
      </c>
      <c r="DK123" s="54">
        <f t="shared" si="60"/>
        <v>0</v>
      </c>
      <c r="DL123" s="54">
        <f t="shared" si="60"/>
        <v>0</v>
      </c>
      <c r="DM123" s="54">
        <f t="shared" si="60"/>
        <v>0</v>
      </c>
      <c r="DN123" s="54">
        <f t="shared" si="60"/>
        <v>0</v>
      </c>
      <c r="DO123" s="54">
        <f t="shared" si="60"/>
        <v>0</v>
      </c>
      <c r="DP123" s="54">
        <f t="shared" si="60"/>
        <v>0</v>
      </c>
      <c r="DQ123" s="54">
        <f t="shared" si="60"/>
        <v>0</v>
      </c>
    </row>
    <row r="124" spans="1:121" ht="14.25" x14ac:dyDescent="0.15">
      <c r="A124" s="49">
        <v>122</v>
      </c>
      <c r="B124" s="46" t="e">
        <f t="shared" si="33"/>
        <v>#DIV/0!</v>
      </c>
      <c r="C124" s="46" t="e">
        <f t="shared" si="34"/>
        <v>#DIV/0!</v>
      </c>
      <c r="D124" s="46" t="e">
        <f t="shared" si="35"/>
        <v>#DIV/0!</v>
      </c>
      <c r="E124" s="46" t="e">
        <f t="shared" si="36"/>
        <v>#DIV/0!</v>
      </c>
      <c r="F124" s="46" t="e">
        <f t="shared" si="37"/>
        <v>#DIV/0!</v>
      </c>
      <c r="G124" s="46" t="e">
        <f t="shared" si="38"/>
        <v>#DIV/0!</v>
      </c>
      <c r="H124" s="46" t="e">
        <f t="shared" si="39"/>
        <v>#DIV/0!</v>
      </c>
      <c r="I124" s="46" t="e">
        <f t="shared" si="40"/>
        <v>#DIV/0!</v>
      </c>
      <c r="J124" s="46" t="e">
        <f t="shared" si="41"/>
        <v>#DIV/0!</v>
      </c>
      <c r="K124" s="46" t="e">
        <f t="shared" si="42"/>
        <v>#DIV/0!</v>
      </c>
      <c r="L124" s="46" t="e">
        <f t="shared" si="43"/>
        <v>#DIV/0!</v>
      </c>
      <c r="M124" s="46" t="e">
        <f t="shared" si="44"/>
        <v>#DIV/0!</v>
      </c>
      <c r="N124" s="46" t="e">
        <f t="shared" si="45"/>
        <v>#DIV/0!</v>
      </c>
      <c r="O124" s="46" t="e">
        <f t="shared" si="46"/>
        <v>#DIV/0!</v>
      </c>
      <c r="P124" s="46" t="e">
        <f t="shared" si="47"/>
        <v>#DIV/0!</v>
      </c>
      <c r="Q124" s="56" t="e">
        <f>Q123+ATM_Conf!$C$5*(B123)/(Links!B$191*Links!Q$191)</f>
        <v>#DIV/0!</v>
      </c>
      <c r="R124" s="56" t="e">
        <f>R123+ATM_Conf!$C$5*(C123-B123)/(Links!C$191*Links!R$191)</f>
        <v>#DIV/0!</v>
      </c>
      <c r="S124" s="56" t="e">
        <f>S123+ATM_Conf!$C$5*(D123-C123)/(Links!D$191*Links!S$191)</f>
        <v>#DIV/0!</v>
      </c>
      <c r="T124" s="56" t="e">
        <f>T123+ATM_Conf!$C$5*(E123-D123)/(Links!E$191*Links!T$191)</f>
        <v>#DIV/0!</v>
      </c>
      <c r="U124" s="56" t="e">
        <f>U123+ATM_Conf!$C$5*(F123-E123)/(Links!F$191*Links!U$191)</f>
        <v>#DIV/0!</v>
      </c>
      <c r="V124" s="56" t="e">
        <f>V123+ATM_Conf!$C$5*(G123-F123)/(Links!G$191*Links!V$191)</f>
        <v>#DIV/0!</v>
      </c>
      <c r="W124" s="56" t="e">
        <f>W123+ATM_Conf!$C$5*(H123-G123)/(Links!H$191*Links!W$191)</f>
        <v>#DIV/0!</v>
      </c>
      <c r="X124" s="56" t="e">
        <f>X123+ATM_Conf!$C$5*(I123-H123)/(Links!I$191*Links!X$191)</f>
        <v>#DIV/0!</v>
      </c>
      <c r="Y124" s="56" t="e">
        <f>Y123+ATM_Conf!$C$5*(J123)/(Links!J$191*Links!Y$191)</f>
        <v>#DIV/0!</v>
      </c>
      <c r="Z124" s="56" t="e">
        <f>Z123+ATM_Conf!$C$5*(K123-J123)/(Links!K$191*Links!Z$191)</f>
        <v>#DIV/0!</v>
      </c>
      <c r="AA124" s="56" t="e">
        <f>AA123+ATM_Conf!$C$5*(L123-K123)/(Links!L$191*Links!AA$191)</f>
        <v>#DIV/0!</v>
      </c>
      <c r="AB124" s="56" t="e">
        <f>AB123+ATM_Conf!$C$5*(M123-L123)/(Links!M$191*Links!AB$191)</f>
        <v>#DIV/0!</v>
      </c>
      <c r="AC124" s="56" t="e">
        <f>AC123+ATM_Conf!$C$5*(N123-M123)/(Links!N$191*Links!AC$191)</f>
        <v>#DIV/0!</v>
      </c>
      <c r="AD124" s="56" t="e">
        <f>AD123+ATM_Conf!$C$5*(O123-N123)/(Links!O$191*Links!AD$191)</f>
        <v>#DIV/0!</v>
      </c>
      <c r="AE124" s="56" t="e">
        <f>AE123+ATM_Conf!$C$5*(P123-O123)/(Links!P$191*Links!AE$191)</f>
        <v>#DIV/0!</v>
      </c>
      <c r="AF124" s="46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6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6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6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6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6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6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6" t="e">
        <f>AM123+(ATM_Conf!$C$5/ATM_Conf!$C$8)*(Links!BB123*EXP((-(Links!X123/Links!BQ123)^Links!CF123)/Links!CF123)-Links!AM123)+(ATM_Conf!$C$5/Links!X$191)*Links!AM123*(Nodes!BH123-Links!AM123)</f>
        <v>#DIV/0!</v>
      </c>
      <c r="AN124" s="46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6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6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6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6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6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6" t="e">
        <f>AT123+(ATM_Conf!$C$5/ATM_Conf!$C$8)*(Links!BI123*EXP((-(Links!AE123/Links!BX123)^Links!CM123)/Links!CM123)-Links!AT123)+(ATM_Conf!$C$5/Links!AE$191)*Links!AT123*(Nodes!BN123-Links!AT123)</f>
        <v>#DIV/0!</v>
      </c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46"/>
      <c r="BK124" s="46"/>
      <c r="BL124" s="46"/>
      <c r="BM124" s="46"/>
      <c r="BN124" s="46"/>
      <c r="BO124" s="46"/>
      <c r="BP124" s="46"/>
      <c r="BQ124" s="46"/>
      <c r="BR124" s="46"/>
      <c r="BS124" s="46"/>
      <c r="BT124" s="46"/>
      <c r="BU124" s="46"/>
      <c r="BV124" s="46"/>
      <c r="BW124" s="46"/>
      <c r="BX124" s="4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46">
        <f>CN$123</f>
        <v>0</v>
      </c>
      <c r="CO124" s="46">
        <f t="shared" ref="CO124:DB124" si="61">CO$123</f>
        <v>0</v>
      </c>
      <c r="CP124" s="46">
        <f t="shared" si="61"/>
        <v>0</v>
      </c>
      <c r="CQ124" s="46">
        <f t="shared" si="61"/>
        <v>0</v>
      </c>
      <c r="CR124" s="46">
        <f t="shared" si="61"/>
        <v>0</v>
      </c>
      <c r="CS124" s="46">
        <f t="shared" si="61"/>
        <v>0</v>
      </c>
      <c r="CT124" s="46">
        <f t="shared" si="61"/>
        <v>0</v>
      </c>
      <c r="CU124" s="46">
        <f t="shared" si="61"/>
        <v>0</v>
      </c>
      <c r="CV124" s="46">
        <f t="shared" si="61"/>
        <v>0</v>
      </c>
      <c r="CW124" s="46">
        <f t="shared" si="61"/>
        <v>0</v>
      </c>
      <c r="CX124" s="46">
        <f t="shared" si="61"/>
        <v>0</v>
      </c>
      <c r="CY124" s="46">
        <f t="shared" si="61"/>
        <v>0</v>
      </c>
      <c r="CZ124" s="46">
        <f t="shared" si="61"/>
        <v>0</v>
      </c>
      <c r="DA124" s="46">
        <f t="shared" si="61"/>
        <v>0</v>
      </c>
      <c r="DB124" s="46">
        <f t="shared" si="61"/>
        <v>0</v>
      </c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Q124" s="54"/>
    </row>
    <row r="125" spans="1:121" ht="14.25" x14ac:dyDescent="0.15">
      <c r="A125" s="49">
        <v>123</v>
      </c>
      <c r="B125" s="46" t="e">
        <f t="shared" si="33"/>
        <v>#DIV/0!</v>
      </c>
      <c r="C125" s="46" t="e">
        <f t="shared" si="34"/>
        <v>#DIV/0!</v>
      </c>
      <c r="D125" s="46" t="e">
        <f t="shared" si="35"/>
        <v>#DIV/0!</v>
      </c>
      <c r="E125" s="46" t="e">
        <f t="shared" si="36"/>
        <v>#DIV/0!</v>
      </c>
      <c r="F125" s="46" t="e">
        <f t="shared" si="37"/>
        <v>#DIV/0!</v>
      </c>
      <c r="G125" s="46" t="e">
        <f t="shared" si="38"/>
        <v>#DIV/0!</v>
      </c>
      <c r="H125" s="46" t="e">
        <f t="shared" si="39"/>
        <v>#DIV/0!</v>
      </c>
      <c r="I125" s="46" t="e">
        <f t="shared" si="40"/>
        <v>#DIV/0!</v>
      </c>
      <c r="J125" s="46" t="e">
        <f t="shared" si="41"/>
        <v>#DIV/0!</v>
      </c>
      <c r="K125" s="46" t="e">
        <f t="shared" si="42"/>
        <v>#DIV/0!</v>
      </c>
      <c r="L125" s="46" t="e">
        <f t="shared" si="43"/>
        <v>#DIV/0!</v>
      </c>
      <c r="M125" s="46" t="e">
        <f t="shared" si="44"/>
        <v>#DIV/0!</v>
      </c>
      <c r="N125" s="46" t="e">
        <f t="shared" si="45"/>
        <v>#DIV/0!</v>
      </c>
      <c r="O125" s="46" t="e">
        <f t="shared" si="46"/>
        <v>#DIV/0!</v>
      </c>
      <c r="P125" s="46" t="e">
        <f t="shared" si="47"/>
        <v>#DIV/0!</v>
      </c>
      <c r="Q125" s="56" t="e">
        <f>Q124+ATM_Conf!$C$5*(B124)/(Links!B$191*Links!Q$191)</f>
        <v>#DIV/0!</v>
      </c>
      <c r="R125" s="56" t="e">
        <f>R124+ATM_Conf!$C$5*(C124-B124)/(Links!C$191*Links!R$191)</f>
        <v>#DIV/0!</v>
      </c>
      <c r="S125" s="56" t="e">
        <f>S124+ATM_Conf!$C$5*(D124-C124)/(Links!D$191*Links!S$191)</f>
        <v>#DIV/0!</v>
      </c>
      <c r="T125" s="56" t="e">
        <f>T124+ATM_Conf!$C$5*(E124-D124)/(Links!E$191*Links!T$191)</f>
        <v>#DIV/0!</v>
      </c>
      <c r="U125" s="56" t="e">
        <f>U124+ATM_Conf!$C$5*(F124-E124)/(Links!F$191*Links!U$191)</f>
        <v>#DIV/0!</v>
      </c>
      <c r="V125" s="56" t="e">
        <f>V124+ATM_Conf!$C$5*(G124-F124)/(Links!G$191*Links!V$191)</f>
        <v>#DIV/0!</v>
      </c>
      <c r="W125" s="56" t="e">
        <f>W124+ATM_Conf!$C$5*(H124-G124)/(Links!H$191*Links!W$191)</f>
        <v>#DIV/0!</v>
      </c>
      <c r="X125" s="56" t="e">
        <f>X124+ATM_Conf!$C$5*(I124-H124)/(Links!I$191*Links!X$191)</f>
        <v>#DIV/0!</v>
      </c>
      <c r="Y125" s="56" t="e">
        <f>Y124+ATM_Conf!$C$5*(J124)/(Links!J$191*Links!Y$191)</f>
        <v>#DIV/0!</v>
      </c>
      <c r="Z125" s="56" t="e">
        <f>Z124+ATM_Conf!$C$5*(K124-J124)/(Links!K$191*Links!Z$191)</f>
        <v>#DIV/0!</v>
      </c>
      <c r="AA125" s="56" t="e">
        <f>AA124+ATM_Conf!$C$5*(L124-K124)/(Links!L$191*Links!AA$191)</f>
        <v>#DIV/0!</v>
      </c>
      <c r="AB125" s="56" t="e">
        <f>AB124+ATM_Conf!$C$5*(M124-L124)/(Links!M$191*Links!AB$191)</f>
        <v>#DIV/0!</v>
      </c>
      <c r="AC125" s="56" t="e">
        <f>AC124+ATM_Conf!$C$5*(N124-M124)/(Links!N$191*Links!AC$191)</f>
        <v>#DIV/0!</v>
      </c>
      <c r="AD125" s="56" t="e">
        <f>AD124+ATM_Conf!$C$5*(O124-N124)/(Links!O$191*Links!AD$191)</f>
        <v>#DIV/0!</v>
      </c>
      <c r="AE125" s="56" t="e">
        <f>AE124+ATM_Conf!$C$5*(P124-O124)/(Links!P$191*Links!AE$191)</f>
        <v>#DIV/0!</v>
      </c>
      <c r="AF125" s="46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6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6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6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6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6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6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6" t="e">
        <f>AM124+(ATM_Conf!$C$5/ATM_Conf!$C$8)*(Links!BB124*EXP((-(Links!X124/Links!BQ124)^Links!CF124)/Links!CF124)-Links!AM124)+(ATM_Conf!$C$5/Links!X$191)*Links!AM124*(Nodes!BH124-Links!AM124)</f>
        <v>#DIV/0!</v>
      </c>
      <c r="AN125" s="46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6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6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6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6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6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6" t="e">
        <f>AT124+(ATM_Conf!$C$5/ATM_Conf!$C$8)*(Links!BI124*EXP((-(Links!AE124/Links!BX124)^Links!CM124)/Links!CM124)-Links!AT124)+(ATM_Conf!$C$5/Links!AE$191)*Links!AT124*(Nodes!BN124-Links!AT124)</f>
        <v>#DIV/0!</v>
      </c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46"/>
      <c r="BK125" s="46"/>
      <c r="BL125" s="46"/>
      <c r="BM125" s="46"/>
      <c r="BN125" s="46"/>
      <c r="BO125" s="46"/>
      <c r="BP125" s="46"/>
      <c r="BQ125" s="46"/>
      <c r="BR125" s="46"/>
      <c r="BS125" s="46"/>
      <c r="BT125" s="46"/>
      <c r="BU125" s="46"/>
      <c r="BV125" s="46"/>
      <c r="BW125" s="46"/>
      <c r="BX125" s="4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46">
        <f t="shared" ref="CN125:DB134" si="62">CN$123</f>
        <v>0</v>
      </c>
      <c r="CO125" s="46">
        <f t="shared" si="62"/>
        <v>0</v>
      </c>
      <c r="CP125" s="46">
        <f t="shared" si="62"/>
        <v>0</v>
      </c>
      <c r="CQ125" s="46">
        <f t="shared" si="62"/>
        <v>0</v>
      </c>
      <c r="CR125" s="46">
        <f t="shared" si="62"/>
        <v>0</v>
      </c>
      <c r="CS125" s="46">
        <f t="shared" si="62"/>
        <v>0</v>
      </c>
      <c r="CT125" s="46">
        <f t="shared" si="62"/>
        <v>0</v>
      </c>
      <c r="CU125" s="46">
        <f t="shared" si="62"/>
        <v>0</v>
      </c>
      <c r="CV125" s="46">
        <f t="shared" si="62"/>
        <v>0</v>
      </c>
      <c r="CW125" s="46">
        <f t="shared" si="62"/>
        <v>0</v>
      </c>
      <c r="CX125" s="46">
        <f t="shared" si="62"/>
        <v>0</v>
      </c>
      <c r="CY125" s="46">
        <f t="shared" si="62"/>
        <v>0</v>
      </c>
      <c r="CZ125" s="46">
        <f t="shared" si="62"/>
        <v>0</v>
      </c>
      <c r="DA125" s="46">
        <f t="shared" si="62"/>
        <v>0</v>
      </c>
      <c r="DB125" s="46">
        <f t="shared" si="62"/>
        <v>0</v>
      </c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Q125" s="54"/>
    </row>
    <row r="126" spans="1:121" ht="14.25" x14ac:dyDescent="0.15">
      <c r="A126" s="49">
        <v>124</v>
      </c>
      <c r="B126" s="46" t="e">
        <f t="shared" si="33"/>
        <v>#DIV/0!</v>
      </c>
      <c r="C126" s="46" t="e">
        <f t="shared" si="34"/>
        <v>#DIV/0!</v>
      </c>
      <c r="D126" s="46" t="e">
        <f t="shared" si="35"/>
        <v>#DIV/0!</v>
      </c>
      <c r="E126" s="46" t="e">
        <f t="shared" si="36"/>
        <v>#DIV/0!</v>
      </c>
      <c r="F126" s="46" t="e">
        <f t="shared" si="37"/>
        <v>#DIV/0!</v>
      </c>
      <c r="G126" s="46" t="e">
        <f t="shared" si="38"/>
        <v>#DIV/0!</v>
      </c>
      <c r="H126" s="46" t="e">
        <f t="shared" si="39"/>
        <v>#DIV/0!</v>
      </c>
      <c r="I126" s="46" t="e">
        <f t="shared" si="40"/>
        <v>#DIV/0!</v>
      </c>
      <c r="J126" s="46" t="e">
        <f t="shared" si="41"/>
        <v>#DIV/0!</v>
      </c>
      <c r="K126" s="46" t="e">
        <f t="shared" si="42"/>
        <v>#DIV/0!</v>
      </c>
      <c r="L126" s="46" t="e">
        <f t="shared" si="43"/>
        <v>#DIV/0!</v>
      </c>
      <c r="M126" s="46" t="e">
        <f t="shared" si="44"/>
        <v>#DIV/0!</v>
      </c>
      <c r="N126" s="46" t="e">
        <f t="shared" si="45"/>
        <v>#DIV/0!</v>
      </c>
      <c r="O126" s="46" t="e">
        <f t="shared" si="46"/>
        <v>#DIV/0!</v>
      </c>
      <c r="P126" s="46" t="e">
        <f t="shared" si="47"/>
        <v>#DIV/0!</v>
      </c>
      <c r="Q126" s="56" t="e">
        <f>Q125+ATM_Conf!$C$5*(B125)/(Links!B$191*Links!Q$191)</f>
        <v>#DIV/0!</v>
      </c>
      <c r="R126" s="56" t="e">
        <f>R125+ATM_Conf!$C$5*(C125-B125)/(Links!C$191*Links!R$191)</f>
        <v>#DIV/0!</v>
      </c>
      <c r="S126" s="56" t="e">
        <f>S125+ATM_Conf!$C$5*(D125-C125)/(Links!D$191*Links!S$191)</f>
        <v>#DIV/0!</v>
      </c>
      <c r="T126" s="56" t="e">
        <f>T125+ATM_Conf!$C$5*(E125-D125)/(Links!E$191*Links!T$191)</f>
        <v>#DIV/0!</v>
      </c>
      <c r="U126" s="56" t="e">
        <f>U125+ATM_Conf!$C$5*(F125-E125)/(Links!F$191*Links!U$191)</f>
        <v>#DIV/0!</v>
      </c>
      <c r="V126" s="56" t="e">
        <f>V125+ATM_Conf!$C$5*(G125-F125)/(Links!G$191*Links!V$191)</f>
        <v>#DIV/0!</v>
      </c>
      <c r="W126" s="56" t="e">
        <f>W125+ATM_Conf!$C$5*(H125-G125)/(Links!H$191*Links!W$191)</f>
        <v>#DIV/0!</v>
      </c>
      <c r="X126" s="56" t="e">
        <f>X125+ATM_Conf!$C$5*(I125-H125)/(Links!I$191*Links!X$191)</f>
        <v>#DIV/0!</v>
      </c>
      <c r="Y126" s="56" t="e">
        <f>Y125+ATM_Conf!$C$5*(J125)/(Links!J$191*Links!Y$191)</f>
        <v>#DIV/0!</v>
      </c>
      <c r="Z126" s="56" t="e">
        <f>Z125+ATM_Conf!$C$5*(K125-J125)/(Links!K$191*Links!Z$191)</f>
        <v>#DIV/0!</v>
      </c>
      <c r="AA126" s="56" t="e">
        <f>AA125+ATM_Conf!$C$5*(L125-K125)/(Links!L$191*Links!AA$191)</f>
        <v>#DIV/0!</v>
      </c>
      <c r="AB126" s="56" t="e">
        <f>AB125+ATM_Conf!$C$5*(M125-L125)/(Links!M$191*Links!AB$191)</f>
        <v>#DIV/0!</v>
      </c>
      <c r="AC126" s="56" t="e">
        <f>AC125+ATM_Conf!$C$5*(N125-M125)/(Links!N$191*Links!AC$191)</f>
        <v>#DIV/0!</v>
      </c>
      <c r="AD126" s="56" t="e">
        <f>AD125+ATM_Conf!$C$5*(O125-N125)/(Links!O$191*Links!AD$191)</f>
        <v>#DIV/0!</v>
      </c>
      <c r="AE126" s="56" t="e">
        <f>AE125+ATM_Conf!$C$5*(P125-O125)/(Links!P$191*Links!AE$191)</f>
        <v>#DIV/0!</v>
      </c>
      <c r="AF126" s="46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6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6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6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6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6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6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6" t="e">
        <f>AM125+(ATM_Conf!$C$5/ATM_Conf!$C$8)*(Links!BB125*EXP((-(Links!X125/Links!BQ125)^Links!CF125)/Links!CF125)-Links!AM125)+(ATM_Conf!$C$5/Links!X$191)*Links!AM125*(Nodes!BH125-Links!AM125)</f>
        <v>#DIV/0!</v>
      </c>
      <c r="AN126" s="46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6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6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6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6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6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6" t="e">
        <f>AT125+(ATM_Conf!$C$5/ATM_Conf!$C$8)*(Links!BI125*EXP((-(Links!AE125/Links!BX125)^Links!CM125)/Links!CM125)-Links!AT125)+(ATM_Conf!$C$5/Links!AE$191)*Links!AT125*(Nodes!BN125-Links!AT125)</f>
        <v>#DIV/0!</v>
      </c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46"/>
      <c r="BK126" s="46"/>
      <c r="BL126" s="46"/>
      <c r="BM126" s="46"/>
      <c r="BN126" s="46"/>
      <c r="BO126" s="46"/>
      <c r="BP126" s="46"/>
      <c r="BQ126" s="46"/>
      <c r="BR126" s="46"/>
      <c r="BS126" s="46"/>
      <c r="BT126" s="46"/>
      <c r="BU126" s="46"/>
      <c r="BV126" s="46"/>
      <c r="BW126" s="46"/>
      <c r="BX126" s="4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46">
        <f t="shared" si="62"/>
        <v>0</v>
      </c>
      <c r="CO126" s="46">
        <f t="shared" si="62"/>
        <v>0</v>
      </c>
      <c r="CP126" s="46">
        <f t="shared" si="62"/>
        <v>0</v>
      </c>
      <c r="CQ126" s="46">
        <f t="shared" si="62"/>
        <v>0</v>
      </c>
      <c r="CR126" s="46">
        <f t="shared" si="62"/>
        <v>0</v>
      </c>
      <c r="CS126" s="46">
        <f t="shared" si="62"/>
        <v>0</v>
      </c>
      <c r="CT126" s="46">
        <f t="shared" si="62"/>
        <v>0</v>
      </c>
      <c r="CU126" s="46">
        <f t="shared" si="62"/>
        <v>0</v>
      </c>
      <c r="CV126" s="46">
        <f t="shared" si="62"/>
        <v>0</v>
      </c>
      <c r="CW126" s="46">
        <f t="shared" si="62"/>
        <v>0</v>
      </c>
      <c r="CX126" s="46">
        <f t="shared" si="62"/>
        <v>0</v>
      </c>
      <c r="CY126" s="46">
        <f t="shared" si="62"/>
        <v>0</v>
      </c>
      <c r="CZ126" s="46">
        <f t="shared" si="62"/>
        <v>0</v>
      </c>
      <c r="DA126" s="46">
        <f t="shared" si="62"/>
        <v>0</v>
      </c>
      <c r="DB126" s="46">
        <f t="shared" si="62"/>
        <v>0</v>
      </c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Q126" s="54"/>
    </row>
    <row r="127" spans="1:121" ht="14.25" x14ac:dyDescent="0.15">
      <c r="A127" s="49">
        <v>125</v>
      </c>
      <c r="B127" s="46" t="e">
        <f t="shared" si="33"/>
        <v>#DIV/0!</v>
      </c>
      <c r="C127" s="46" t="e">
        <f t="shared" si="34"/>
        <v>#DIV/0!</v>
      </c>
      <c r="D127" s="46" t="e">
        <f t="shared" si="35"/>
        <v>#DIV/0!</v>
      </c>
      <c r="E127" s="46" t="e">
        <f t="shared" si="36"/>
        <v>#DIV/0!</v>
      </c>
      <c r="F127" s="46" t="e">
        <f t="shared" si="37"/>
        <v>#DIV/0!</v>
      </c>
      <c r="G127" s="46" t="e">
        <f t="shared" si="38"/>
        <v>#DIV/0!</v>
      </c>
      <c r="H127" s="46" t="e">
        <f t="shared" si="39"/>
        <v>#DIV/0!</v>
      </c>
      <c r="I127" s="46" t="e">
        <f t="shared" si="40"/>
        <v>#DIV/0!</v>
      </c>
      <c r="J127" s="46" t="e">
        <f t="shared" si="41"/>
        <v>#DIV/0!</v>
      </c>
      <c r="K127" s="46" t="e">
        <f t="shared" si="42"/>
        <v>#DIV/0!</v>
      </c>
      <c r="L127" s="46" t="e">
        <f t="shared" si="43"/>
        <v>#DIV/0!</v>
      </c>
      <c r="M127" s="46" t="e">
        <f t="shared" si="44"/>
        <v>#DIV/0!</v>
      </c>
      <c r="N127" s="46" t="e">
        <f t="shared" si="45"/>
        <v>#DIV/0!</v>
      </c>
      <c r="O127" s="46" t="e">
        <f t="shared" si="46"/>
        <v>#DIV/0!</v>
      </c>
      <c r="P127" s="46" t="e">
        <f t="shared" si="47"/>
        <v>#DIV/0!</v>
      </c>
      <c r="Q127" s="56" t="e">
        <f>Q126+ATM_Conf!$C$5*(B126)/(Links!B$191*Links!Q$191)</f>
        <v>#DIV/0!</v>
      </c>
      <c r="R127" s="56" t="e">
        <f>R126+ATM_Conf!$C$5*(C126-B126)/(Links!C$191*Links!R$191)</f>
        <v>#DIV/0!</v>
      </c>
      <c r="S127" s="56" t="e">
        <f>S126+ATM_Conf!$C$5*(D126-C126)/(Links!D$191*Links!S$191)</f>
        <v>#DIV/0!</v>
      </c>
      <c r="T127" s="56" t="e">
        <f>T126+ATM_Conf!$C$5*(E126-D126)/(Links!E$191*Links!T$191)</f>
        <v>#DIV/0!</v>
      </c>
      <c r="U127" s="56" t="e">
        <f>U126+ATM_Conf!$C$5*(F126-E126)/(Links!F$191*Links!U$191)</f>
        <v>#DIV/0!</v>
      </c>
      <c r="V127" s="56" t="e">
        <f>V126+ATM_Conf!$C$5*(G126-F126)/(Links!G$191*Links!V$191)</f>
        <v>#DIV/0!</v>
      </c>
      <c r="W127" s="56" t="e">
        <f>W126+ATM_Conf!$C$5*(H126-G126)/(Links!H$191*Links!W$191)</f>
        <v>#DIV/0!</v>
      </c>
      <c r="X127" s="56" t="e">
        <f>X126+ATM_Conf!$C$5*(I126-H126)/(Links!I$191*Links!X$191)</f>
        <v>#DIV/0!</v>
      </c>
      <c r="Y127" s="56" t="e">
        <f>Y126+ATM_Conf!$C$5*(J126)/(Links!J$191*Links!Y$191)</f>
        <v>#DIV/0!</v>
      </c>
      <c r="Z127" s="56" t="e">
        <f>Z126+ATM_Conf!$C$5*(K126-J126)/(Links!K$191*Links!Z$191)</f>
        <v>#DIV/0!</v>
      </c>
      <c r="AA127" s="56" t="e">
        <f>AA126+ATM_Conf!$C$5*(L126-K126)/(Links!L$191*Links!AA$191)</f>
        <v>#DIV/0!</v>
      </c>
      <c r="AB127" s="56" t="e">
        <f>AB126+ATM_Conf!$C$5*(M126-L126)/(Links!M$191*Links!AB$191)</f>
        <v>#DIV/0!</v>
      </c>
      <c r="AC127" s="56" t="e">
        <f>AC126+ATM_Conf!$C$5*(N126-M126)/(Links!N$191*Links!AC$191)</f>
        <v>#DIV/0!</v>
      </c>
      <c r="AD127" s="56" t="e">
        <f>AD126+ATM_Conf!$C$5*(O126-N126)/(Links!O$191*Links!AD$191)</f>
        <v>#DIV/0!</v>
      </c>
      <c r="AE127" s="56" t="e">
        <f>AE126+ATM_Conf!$C$5*(P126-O126)/(Links!P$191*Links!AE$191)</f>
        <v>#DIV/0!</v>
      </c>
      <c r="AF127" s="46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6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6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6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6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6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6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6" t="e">
        <f>AM126+(ATM_Conf!$C$5/ATM_Conf!$C$8)*(Links!BB126*EXP((-(Links!X126/Links!BQ126)^Links!CF126)/Links!CF126)-Links!AM126)+(ATM_Conf!$C$5/Links!X$191)*Links!AM126*(Nodes!BH126-Links!AM126)</f>
        <v>#DIV/0!</v>
      </c>
      <c r="AN127" s="46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6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6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6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6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6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6" t="e">
        <f>AT126+(ATM_Conf!$C$5/ATM_Conf!$C$8)*(Links!BI126*EXP((-(Links!AE126/Links!BX126)^Links!CM126)/Links!CM126)-Links!AT126)+(ATM_Conf!$C$5/Links!AE$191)*Links!AT126*(Nodes!BN126-Links!AT126)</f>
        <v>#DIV/0!</v>
      </c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46"/>
      <c r="BK127" s="46"/>
      <c r="BL127" s="46"/>
      <c r="BM127" s="46"/>
      <c r="BN127" s="46"/>
      <c r="BO127" s="46"/>
      <c r="BP127" s="46"/>
      <c r="BQ127" s="46"/>
      <c r="BR127" s="46"/>
      <c r="BS127" s="46"/>
      <c r="BT127" s="46"/>
      <c r="BU127" s="46"/>
      <c r="BV127" s="46"/>
      <c r="BW127" s="46"/>
      <c r="BX127" s="4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46">
        <f t="shared" si="62"/>
        <v>0</v>
      </c>
      <c r="CO127" s="46">
        <f t="shared" si="62"/>
        <v>0</v>
      </c>
      <c r="CP127" s="46">
        <f t="shared" si="62"/>
        <v>0</v>
      </c>
      <c r="CQ127" s="46">
        <f t="shared" si="62"/>
        <v>0</v>
      </c>
      <c r="CR127" s="46">
        <f t="shared" si="62"/>
        <v>0</v>
      </c>
      <c r="CS127" s="46">
        <f t="shared" si="62"/>
        <v>0</v>
      </c>
      <c r="CT127" s="46">
        <f t="shared" si="62"/>
        <v>0</v>
      </c>
      <c r="CU127" s="46">
        <f t="shared" si="62"/>
        <v>0</v>
      </c>
      <c r="CV127" s="46">
        <f t="shared" si="62"/>
        <v>0</v>
      </c>
      <c r="CW127" s="46">
        <f t="shared" si="62"/>
        <v>0</v>
      </c>
      <c r="CX127" s="46">
        <f t="shared" si="62"/>
        <v>0</v>
      </c>
      <c r="CY127" s="46">
        <f t="shared" si="62"/>
        <v>0</v>
      </c>
      <c r="CZ127" s="46">
        <f t="shared" si="62"/>
        <v>0</v>
      </c>
      <c r="DA127" s="46">
        <f t="shared" si="62"/>
        <v>0</v>
      </c>
      <c r="DB127" s="46">
        <f t="shared" si="62"/>
        <v>0</v>
      </c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Q127" s="54"/>
    </row>
    <row r="128" spans="1:121" ht="14.25" x14ac:dyDescent="0.15">
      <c r="A128" s="49">
        <v>126</v>
      </c>
      <c r="B128" s="46" t="e">
        <f t="shared" si="33"/>
        <v>#DIV/0!</v>
      </c>
      <c r="C128" s="46" t="e">
        <f t="shared" si="34"/>
        <v>#DIV/0!</v>
      </c>
      <c r="D128" s="46" t="e">
        <f t="shared" si="35"/>
        <v>#DIV/0!</v>
      </c>
      <c r="E128" s="46" t="e">
        <f t="shared" si="36"/>
        <v>#DIV/0!</v>
      </c>
      <c r="F128" s="46" t="e">
        <f t="shared" si="37"/>
        <v>#DIV/0!</v>
      </c>
      <c r="G128" s="46" t="e">
        <f t="shared" si="38"/>
        <v>#DIV/0!</v>
      </c>
      <c r="H128" s="46" t="e">
        <f t="shared" si="39"/>
        <v>#DIV/0!</v>
      </c>
      <c r="I128" s="46" t="e">
        <f t="shared" si="40"/>
        <v>#DIV/0!</v>
      </c>
      <c r="J128" s="46" t="e">
        <f t="shared" si="41"/>
        <v>#DIV/0!</v>
      </c>
      <c r="K128" s="46" t="e">
        <f t="shared" si="42"/>
        <v>#DIV/0!</v>
      </c>
      <c r="L128" s="46" t="e">
        <f t="shared" si="43"/>
        <v>#DIV/0!</v>
      </c>
      <c r="M128" s="46" t="e">
        <f t="shared" si="44"/>
        <v>#DIV/0!</v>
      </c>
      <c r="N128" s="46" t="e">
        <f t="shared" si="45"/>
        <v>#DIV/0!</v>
      </c>
      <c r="O128" s="46" t="e">
        <f t="shared" si="46"/>
        <v>#DIV/0!</v>
      </c>
      <c r="P128" s="46" t="e">
        <f t="shared" si="47"/>
        <v>#DIV/0!</v>
      </c>
      <c r="Q128" s="56" t="e">
        <f>Q127+ATM_Conf!$C$5*(B127)/(Links!B$191*Links!Q$191)</f>
        <v>#DIV/0!</v>
      </c>
      <c r="R128" s="56" t="e">
        <f>R127+ATM_Conf!$C$5*(C127-B127)/(Links!C$191*Links!R$191)</f>
        <v>#DIV/0!</v>
      </c>
      <c r="S128" s="56" t="e">
        <f>S127+ATM_Conf!$C$5*(D127-C127)/(Links!D$191*Links!S$191)</f>
        <v>#DIV/0!</v>
      </c>
      <c r="T128" s="56" t="e">
        <f>T127+ATM_Conf!$C$5*(E127-D127)/(Links!E$191*Links!T$191)</f>
        <v>#DIV/0!</v>
      </c>
      <c r="U128" s="56" t="e">
        <f>U127+ATM_Conf!$C$5*(F127-E127)/(Links!F$191*Links!U$191)</f>
        <v>#DIV/0!</v>
      </c>
      <c r="V128" s="56" t="e">
        <f>V127+ATM_Conf!$C$5*(G127-F127)/(Links!G$191*Links!V$191)</f>
        <v>#DIV/0!</v>
      </c>
      <c r="W128" s="56" t="e">
        <f>W127+ATM_Conf!$C$5*(H127-G127)/(Links!H$191*Links!W$191)</f>
        <v>#DIV/0!</v>
      </c>
      <c r="X128" s="56" t="e">
        <f>X127+ATM_Conf!$C$5*(I127-H127)/(Links!I$191*Links!X$191)</f>
        <v>#DIV/0!</v>
      </c>
      <c r="Y128" s="56" t="e">
        <f>Y127+ATM_Conf!$C$5*(J127)/(Links!J$191*Links!Y$191)</f>
        <v>#DIV/0!</v>
      </c>
      <c r="Z128" s="56" t="e">
        <f>Z127+ATM_Conf!$C$5*(K127-J127)/(Links!K$191*Links!Z$191)</f>
        <v>#DIV/0!</v>
      </c>
      <c r="AA128" s="56" t="e">
        <f>AA127+ATM_Conf!$C$5*(L127-K127)/(Links!L$191*Links!AA$191)</f>
        <v>#DIV/0!</v>
      </c>
      <c r="AB128" s="56" t="e">
        <f>AB127+ATM_Conf!$C$5*(M127-L127)/(Links!M$191*Links!AB$191)</f>
        <v>#DIV/0!</v>
      </c>
      <c r="AC128" s="56" t="e">
        <f>AC127+ATM_Conf!$C$5*(N127-M127)/(Links!N$191*Links!AC$191)</f>
        <v>#DIV/0!</v>
      </c>
      <c r="AD128" s="56" t="e">
        <f>AD127+ATM_Conf!$C$5*(O127-N127)/(Links!O$191*Links!AD$191)</f>
        <v>#DIV/0!</v>
      </c>
      <c r="AE128" s="56" t="e">
        <f>AE127+ATM_Conf!$C$5*(P127-O127)/(Links!P$191*Links!AE$191)</f>
        <v>#DIV/0!</v>
      </c>
      <c r="AF128" s="46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6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6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6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6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6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6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6" t="e">
        <f>AM127+(ATM_Conf!$C$5/ATM_Conf!$C$8)*(Links!BB127*EXP((-(Links!X127/Links!BQ127)^Links!CF127)/Links!CF127)-Links!AM127)+(ATM_Conf!$C$5/Links!X$191)*Links!AM127*(Nodes!BH127-Links!AM127)</f>
        <v>#DIV/0!</v>
      </c>
      <c r="AN128" s="46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6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6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6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6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6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6" t="e">
        <f>AT127+(ATM_Conf!$C$5/ATM_Conf!$C$8)*(Links!BI127*EXP((-(Links!AE127/Links!BX127)^Links!CM127)/Links!CM127)-Links!AT127)+(ATM_Conf!$C$5/Links!AE$191)*Links!AT127*(Nodes!BN127-Links!AT127)</f>
        <v>#DIV/0!</v>
      </c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46"/>
      <c r="BK128" s="46"/>
      <c r="BL128" s="46"/>
      <c r="BM128" s="46"/>
      <c r="BN128" s="46"/>
      <c r="BO128" s="46"/>
      <c r="BP128" s="46"/>
      <c r="BQ128" s="46"/>
      <c r="BR128" s="46"/>
      <c r="BS128" s="46"/>
      <c r="BT128" s="46"/>
      <c r="BU128" s="46"/>
      <c r="BV128" s="46"/>
      <c r="BW128" s="46"/>
      <c r="BX128" s="4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46">
        <f t="shared" si="62"/>
        <v>0</v>
      </c>
      <c r="CO128" s="46">
        <f t="shared" si="62"/>
        <v>0</v>
      </c>
      <c r="CP128" s="46">
        <f t="shared" si="62"/>
        <v>0</v>
      </c>
      <c r="CQ128" s="46">
        <f t="shared" si="62"/>
        <v>0</v>
      </c>
      <c r="CR128" s="46">
        <f t="shared" si="62"/>
        <v>0</v>
      </c>
      <c r="CS128" s="46">
        <f t="shared" si="62"/>
        <v>0</v>
      </c>
      <c r="CT128" s="46">
        <f t="shared" si="62"/>
        <v>0</v>
      </c>
      <c r="CU128" s="46">
        <f t="shared" si="62"/>
        <v>0</v>
      </c>
      <c r="CV128" s="46">
        <f t="shared" si="62"/>
        <v>0</v>
      </c>
      <c r="CW128" s="46">
        <f t="shared" si="62"/>
        <v>0</v>
      </c>
      <c r="CX128" s="46">
        <f t="shared" si="62"/>
        <v>0</v>
      </c>
      <c r="CY128" s="46">
        <f t="shared" si="62"/>
        <v>0</v>
      </c>
      <c r="CZ128" s="46">
        <f t="shared" si="62"/>
        <v>0</v>
      </c>
      <c r="DA128" s="46">
        <f t="shared" si="62"/>
        <v>0</v>
      </c>
      <c r="DB128" s="46">
        <f t="shared" si="62"/>
        <v>0</v>
      </c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Q128" s="54"/>
    </row>
    <row r="129" spans="1:121" ht="14.25" x14ac:dyDescent="0.15">
      <c r="A129" s="49">
        <v>127</v>
      </c>
      <c r="B129" s="46" t="e">
        <f t="shared" si="33"/>
        <v>#DIV/0!</v>
      </c>
      <c r="C129" s="46" t="e">
        <f t="shared" si="34"/>
        <v>#DIV/0!</v>
      </c>
      <c r="D129" s="46" t="e">
        <f t="shared" si="35"/>
        <v>#DIV/0!</v>
      </c>
      <c r="E129" s="46" t="e">
        <f t="shared" si="36"/>
        <v>#DIV/0!</v>
      </c>
      <c r="F129" s="46" t="e">
        <f t="shared" si="37"/>
        <v>#DIV/0!</v>
      </c>
      <c r="G129" s="46" t="e">
        <f t="shared" si="38"/>
        <v>#DIV/0!</v>
      </c>
      <c r="H129" s="46" t="e">
        <f t="shared" si="39"/>
        <v>#DIV/0!</v>
      </c>
      <c r="I129" s="46" t="e">
        <f t="shared" si="40"/>
        <v>#DIV/0!</v>
      </c>
      <c r="J129" s="46" t="e">
        <f t="shared" si="41"/>
        <v>#DIV/0!</v>
      </c>
      <c r="K129" s="46" t="e">
        <f t="shared" si="42"/>
        <v>#DIV/0!</v>
      </c>
      <c r="L129" s="46" t="e">
        <f t="shared" si="43"/>
        <v>#DIV/0!</v>
      </c>
      <c r="M129" s="46" t="e">
        <f t="shared" si="44"/>
        <v>#DIV/0!</v>
      </c>
      <c r="N129" s="46" t="e">
        <f t="shared" si="45"/>
        <v>#DIV/0!</v>
      </c>
      <c r="O129" s="46" t="e">
        <f t="shared" si="46"/>
        <v>#DIV/0!</v>
      </c>
      <c r="P129" s="46" t="e">
        <f t="shared" si="47"/>
        <v>#DIV/0!</v>
      </c>
      <c r="Q129" s="56" t="e">
        <f>Q128+ATM_Conf!$C$5*(B128)/(Links!B$191*Links!Q$191)</f>
        <v>#DIV/0!</v>
      </c>
      <c r="R129" s="56" t="e">
        <f>R128+ATM_Conf!$C$5*(C128-B128)/(Links!C$191*Links!R$191)</f>
        <v>#DIV/0!</v>
      </c>
      <c r="S129" s="56" t="e">
        <f>S128+ATM_Conf!$C$5*(D128-C128)/(Links!D$191*Links!S$191)</f>
        <v>#DIV/0!</v>
      </c>
      <c r="T129" s="56" t="e">
        <f>T128+ATM_Conf!$C$5*(E128-D128)/(Links!E$191*Links!T$191)</f>
        <v>#DIV/0!</v>
      </c>
      <c r="U129" s="56" t="e">
        <f>U128+ATM_Conf!$C$5*(F128-E128)/(Links!F$191*Links!U$191)</f>
        <v>#DIV/0!</v>
      </c>
      <c r="V129" s="56" t="e">
        <f>V128+ATM_Conf!$C$5*(G128-F128)/(Links!G$191*Links!V$191)</f>
        <v>#DIV/0!</v>
      </c>
      <c r="W129" s="56" t="e">
        <f>W128+ATM_Conf!$C$5*(H128-G128)/(Links!H$191*Links!W$191)</f>
        <v>#DIV/0!</v>
      </c>
      <c r="X129" s="56" t="e">
        <f>X128+ATM_Conf!$C$5*(I128-H128)/(Links!I$191*Links!X$191)</f>
        <v>#DIV/0!</v>
      </c>
      <c r="Y129" s="56" t="e">
        <f>Y128+ATM_Conf!$C$5*(J128)/(Links!J$191*Links!Y$191)</f>
        <v>#DIV/0!</v>
      </c>
      <c r="Z129" s="56" t="e">
        <f>Z128+ATM_Conf!$C$5*(K128-J128)/(Links!K$191*Links!Z$191)</f>
        <v>#DIV/0!</v>
      </c>
      <c r="AA129" s="56" t="e">
        <f>AA128+ATM_Conf!$C$5*(L128-K128)/(Links!L$191*Links!AA$191)</f>
        <v>#DIV/0!</v>
      </c>
      <c r="AB129" s="56" t="e">
        <f>AB128+ATM_Conf!$C$5*(M128-L128)/(Links!M$191*Links!AB$191)</f>
        <v>#DIV/0!</v>
      </c>
      <c r="AC129" s="56" t="e">
        <f>AC128+ATM_Conf!$C$5*(N128-M128)/(Links!N$191*Links!AC$191)</f>
        <v>#DIV/0!</v>
      </c>
      <c r="AD129" s="56" t="e">
        <f>AD128+ATM_Conf!$C$5*(O128-N128)/(Links!O$191*Links!AD$191)</f>
        <v>#DIV/0!</v>
      </c>
      <c r="AE129" s="56" t="e">
        <f>AE128+ATM_Conf!$C$5*(P128-O128)/(Links!P$191*Links!AE$191)</f>
        <v>#DIV/0!</v>
      </c>
      <c r="AF129" s="46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6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6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6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6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6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6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6" t="e">
        <f>AM128+(ATM_Conf!$C$5/ATM_Conf!$C$8)*(Links!BB128*EXP((-(Links!X128/Links!BQ128)^Links!CF128)/Links!CF128)-Links!AM128)+(ATM_Conf!$C$5/Links!X$191)*Links!AM128*(Nodes!BH128-Links!AM128)</f>
        <v>#DIV/0!</v>
      </c>
      <c r="AN129" s="46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6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6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6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6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6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6" t="e">
        <f>AT128+(ATM_Conf!$C$5/ATM_Conf!$C$8)*(Links!BI128*EXP((-(Links!AE128/Links!BX128)^Links!CM128)/Links!CM128)-Links!AT128)+(ATM_Conf!$C$5/Links!AE$191)*Links!AT128*(Nodes!BN128-Links!AT128)</f>
        <v>#DIV/0!</v>
      </c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46"/>
      <c r="BK129" s="46"/>
      <c r="BL129" s="46"/>
      <c r="BM129" s="46"/>
      <c r="BN129" s="46"/>
      <c r="BO129" s="46"/>
      <c r="BP129" s="46"/>
      <c r="BQ129" s="46"/>
      <c r="BR129" s="46"/>
      <c r="BS129" s="46"/>
      <c r="BT129" s="46"/>
      <c r="BU129" s="46"/>
      <c r="BV129" s="46"/>
      <c r="BW129" s="46"/>
      <c r="BX129" s="4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46">
        <f t="shared" si="62"/>
        <v>0</v>
      </c>
      <c r="CO129" s="46">
        <f t="shared" si="62"/>
        <v>0</v>
      </c>
      <c r="CP129" s="46">
        <f t="shared" si="62"/>
        <v>0</v>
      </c>
      <c r="CQ129" s="46">
        <f t="shared" si="62"/>
        <v>0</v>
      </c>
      <c r="CR129" s="46">
        <f t="shared" si="62"/>
        <v>0</v>
      </c>
      <c r="CS129" s="46">
        <f t="shared" si="62"/>
        <v>0</v>
      </c>
      <c r="CT129" s="46">
        <f t="shared" si="62"/>
        <v>0</v>
      </c>
      <c r="CU129" s="46">
        <f t="shared" si="62"/>
        <v>0</v>
      </c>
      <c r="CV129" s="46">
        <f t="shared" si="62"/>
        <v>0</v>
      </c>
      <c r="CW129" s="46">
        <f t="shared" si="62"/>
        <v>0</v>
      </c>
      <c r="CX129" s="46">
        <f t="shared" si="62"/>
        <v>0</v>
      </c>
      <c r="CY129" s="46">
        <f t="shared" si="62"/>
        <v>0</v>
      </c>
      <c r="CZ129" s="46">
        <f t="shared" si="62"/>
        <v>0</v>
      </c>
      <c r="DA129" s="46">
        <f t="shared" si="62"/>
        <v>0</v>
      </c>
      <c r="DB129" s="46">
        <f t="shared" si="62"/>
        <v>0</v>
      </c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Q129" s="54"/>
    </row>
    <row r="130" spans="1:121" ht="14.25" x14ac:dyDescent="0.15">
      <c r="A130" s="49">
        <v>128</v>
      </c>
      <c r="B130" s="46" t="e">
        <f t="shared" si="33"/>
        <v>#DIV/0!</v>
      </c>
      <c r="C130" s="46" t="e">
        <f t="shared" si="34"/>
        <v>#DIV/0!</v>
      </c>
      <c r="D130" s="46" t="e">
        <f t="shared" si="35"/>
        <v>#DIV/0!</v>
      </c>
      <c r="E130" s="46" t="e">
        <f t="shared" si="36"/>
        <v>#DIV/0!</v>
      </c>
      <c r="F130" s="46" t="e">
        <f t="shared" si="37"/>
        <v>#DIV/0!</v>
      </c>
      <c r="G130" s="46" t="e">
        <f t="shared" si="38"/>
        <v>#DIV/0!</v>
      </c>
      <c r="H130" s="46" t="e">
        <f t="shared" si="39"/>
        <v>#DIV/0!</v>
      </c>
      <c r="I130" s="46" t="e">
        <f t="shared" si="40"/>
        <v>#DIV/0!</v>
      </c>
      <c r="J130" s="46" t="e">
        <f t="shared" si="41"/>
        <v>#DIV/0!</v>
      </c>
      <c r="K130" s="46" t="e">
        <f t="shared" si="42"/>
        <v>#DIV/0!</v>
      </c>
      <c r="L130" s="46" t="e">
        <f t="shared" si="43"/>
        <v>#DIV/0!</v>
      </c>
      <c r="M130" s="46" t="e">
        <f t="shared" si="44"/>
        <v>#DIV/0!</v>
      </c>
      <c r="N130" s="46" t="e">
        <f t="shared" si="45"/>
        <v>#DIV/0!</v>
      </c>
      <c r="O130" s="46" t="e">
        <f t="shared" si="46"/>
        <v>#DIV/0!</v>
      </c>
      <c r="P130" s="46" t="e">
        <f t="shared" si="47"/>
        <v>#DIV/0!</v>
      </c>
      <c r="Q130" s="56" t="e">
        <f>Q129+ATM_Conf!$C$5*(B129)/(Links!B$191*Links!Q$191)</f>
        <v>#DIV/0!</v>
      </c>
      <c r="R130" s="56" t="e">
        <f>R129+ATM_Conf!$C$5*(C129-B129)/(Links!C$191*Links!R$191)</f>
        <v>#DIV/0!</v>
      </c>
      <c r="S130" s="56" t="e">
        <f>S129+ATM_Conf!$C$5*(D129-C129)/(Links!D$191*Links!S$191)</f>
        <v>#DIV/0!</v>
      </c>
      <c r="T130" s="56" t="e">
        <f>T129+ATM_Conf!$C$5*(E129-D129)/(Links!E$191*Links!T$191)</f>
        <v>#DIV/0!</v>
      </c>
      <c r="U130" s="56" t="e">
        <f>U129+ATM_Conf!$C$5*(F129-E129)/(Links!F$191*Links!U$191)</f>
        <v>#DIV/0!</v>
      </c>
      <c r="V130" s="56" t="e">
        <f>V129+ATM_Conf!$C$5*(G129-F129)/(Links!G$191*Links!V$191)</f>
        <v>#DIV/0!</v>
      </c>
      <c r="W130" s="56" t="e">
        <f>W129+ATM_Conf!$C$5*(H129-G129)/(Links!H$191*Links!W$191)</f>
        <v>#DIV/0!</v>
      </c>
      <c r="X130" s="56" t="e">
        <f>X129+ATM_Conf!$C$5*(I129-H129)/(Links!I$191*Links!X$191)</f>
        <v>#DIV/0!</v>
      </c>
      <c r="Y130" s="56" t="e">
        <f>Y129+ATM_Conf!$C$5*(J129)/(Links!J$191*Links!Y$191)</f>
        <v>#DIV/0!</v>
      </c>
      <c r="Z130" s="56" t="e">
        <f>Z129+ATM_Conf!$C$5*(K129-J129)/(Links!K$191*Links!Z$191)</f>
        <v>#DIV/0!</v>
      </c>
      <c r="AA130" s="56" t="e">
        <f>AA129+ATM_Conf!$C$5*(L129-K129)/(Links!L$191*Links!AA$191)</f>
        <v>#DIV/0!</v>
      </c>
      <c r="AB130" s="56" t="e">
        <f>AB129+ATM_Conf!$C$5*(M129-L129)/(Links!M$191*Links!AB$191)</f>
        <v>#DIV/0!</v>
      </c>
      <c r="AC130" s="56" t="e">
        <f>AC129+ATM_Conf!$C$5*(N129-M129)/(Links!N$191*Links!AC$191)</f>
        <v>#DIV/0!</v>
      </c>
      <c r="AD130" s="56" t="e">
        <f>AD129+ATM_Conf!$C$5*(O129-N129)/(Links!O$191*Links!AD$191)</f>
        <v>#DIV/0!</v>
      </c>
      <c r="AE130" s="56" t="e">
        <f>AE129+ATM_Conf!$C$5*(P129-O129)/(Links!P$191*Links!AE$191)</f>
        <v>#DIV/0!</v>
      </c>
      <c r="AF130" s="46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6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6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6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6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6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6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6" t="e">
        <f>AM129+(ATM_Conf!$C$5/ATM_Conf!$C$8)*(Links!BB129*EXP((-(Links!X129/Links!BQ129)^Links!CF129)/Links!CF129)-Links!AM129)+(ATM_Conf!$C$5/Links!X$191)*Links!AM129*(Nodes!BH129-Links!AM129)</f>
        <v>#DIV/0!</v>
      </c>
      <c r="AN130" s="46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6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6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6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6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6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6" t="e">
        <f>AT129+(ATM_Conf!$C$5/ATM_Conf!$C$8)*(Links!BI129*EXP((-(Links!AE129/Links!BX129)^Links!CM129)/Links!CM129)-Links!AT129)+(ATM_Conf!$C$5/Links!AE$191)*Links!AT129*(Nodes!BN129-Links!AT129)</f>
        <v>#DIV/0!</v>
      </c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46"/>
      <c r="BK130" s="46"/>
      <c r="BL130" s="46"/>
      <c r="BM130" s="46"/>
      <c r="BN130" s="46"/>
      <c r="BO130" s="46"/>
      <c r="BP130" s="46"/>
      <c r="BQ130" s="46"/>
      <c r="BR130" s="46"/>
      <c r="BS130" s="46"/>
      <c r="BT130" s="46"/>
      <c r="BU130" s="46"/>
      <c r="BV130" s="46"/>
      <c r="BW130" s="46"/>
      <c r="BX130" s="4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46">
        <f t="shared" si="62"/>
        <v>0</v>
      </c>
      <c r="CO130" s="46">
        <f t="shared" si="62"/>
        <v>0</v>
      </c>
      <c r="CP130" s="46">
        <f t="shared" si="62"/>
        <v>0</v>
      </c>
      <c r="CQ130" s="46">
        <f t="shared" si="62"/>
        <v>0</v>
      </c>
      <c r="CR130" s="46">
        <f t="shared" si="62"/>
        <v>0</v>
      </c>
      <c r="CS130" s="46">
        <f t="shared" si="62"/>
        <v>0</v>
      </c>
      <c r="CT130" s="46">
        <f t="shared" si="62"/>
        <v>0</v>
      </c>
      <c r="CU130" s="46">
        <f t="shared" si="62"/>
        <v>0</v>
      </c>
      <c r="CV130" s="46">
        <f t="shared" si="62"/>
        <v>0</v>
      </c>
      <c r="CW130" s="46">
        <f t="shared" si="62"/>
        <v>0</v>
      </c>
      <c r="CX130" s="46">
        <f t="shared" si="62"/>
        <v>0</v>
      </c>
      <c r="CY130" s="46">
        <f t="shared" si="62"/>
        <v>0</v>
      </c>
      <c r="CZ130" s="46">
        <f t="shared" si="62"/>
        <v>0</v>
      </c>
      <c r="DA130" s="46">
        <f t="shared" si="62"/>
        <v>0</v>
      </c>
      <c r="DB130" s="46">
        <f t="shared" si="62"/>
        <v>0</v>
      </c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Q130" s="54"/>
    </row>
    <row r="131" spans="1:121" ht="14.25" x14ac:dyDescent="0.15">
      <c r="A131" s="49">
        <v>129</v>
      </c>
      <c r="B131" s="46" t="e">
        <f t="shared" si="33"/>
        <v>#DIV/0!</v>
      </c>
      <c r="C131" s="46" t="e">
        <f t="shared" si="34"/>
        <v>#DIV/0!</v>
      </c>
      <c r="D131" s="46" t="e">
        <f t="shared" si="35"/>
        <v>#DIV/0!</v>
      </c>
      <c r="E131" s="46" t="e">
        <f t="shared" si="36"/>
        <v>#DIV/0!</v>
      </c>
      <c r="F131" s="46" t="e">
        <f t="shared" si="37"/>
        <v>#DIV/0!</v>
      </c>
      <c r="G131" s="46" t="e">
        <f t="shared" si="38"/>
        <v>#DIV/0!</v>
      </c>
      <c r="H131" s="46" t="e">
        <f t="shared" si="39"/>
        <v>#DIV/0!</v>
      </c>
      <c r="I131" s="46" t="e">
        <f t="shared" si="40"/>
        <v>#DIV/0!</v>
      </c>
      <c r="J131" s="46" t="e">
        <f t="shared" si="41"/>
        <v>#DIV/0!</v>
      </c>
      <c r="K131" s="46" t="e">
        <f t="shared" si="42"/>
        <v>#DIV/0!</v>
      </c>
      <c r="L131" s="46" t="e">
        <f t="shared" si="43"/>
        <v>#DIV/0!</v>
      </c>
      <c r="M131" s="46" t="e">
        <f t="shared" si="44"/>
        <v>#DIV/0!</v>
      </c>
      <c r="N131" s="46" t="e">
        <f t="shared" si="45"/>
        <v>#DIV/0!</v>
      </c>
      <c r="O131" s="46" t="e">
        <f t="shared" si="46"/>
        <v>#DIV/0!</v>
      </c>
      <c r="P131" s="46" t="e">
        <f t="shared" si="47"/>
        <v>#DIV/0!</v>
      </c>
      <c r="Q131" s="56" t="e">
        <f>Q130+ATM_Conf!$C$5*(B130)/(Links!B$191*Links!Q$191)</f>
        <v>#DIV/0!</v>
      </c>
      <c r="R131" s="56" t="e">
        <f>R130+ATM_Conf!$C$5*(C130-B130)/(Links!C$191*Links!R$191)</f>
        <v>#DIV/0!</v>
      </c>
      <c r="S131" s="56" t="e">
        <f>S130+ATM_Conf!$C$5*(D130-C130)/(Links!D$191*Links!S$191)</f>
        <v>#DIV/0!</v>
      </c>
      <c r="T131" s="56" t="e">
        <f>T130+ATM_Conf!$C$5*(E130-D130)/(Links!E$191*Links!T$191)</f>
        <v>#DIV/0!</v>
      </c>
      <c r="U131" s="56" t="e">
        <f>U130+ATM_Conf!$C$5*(F130-E130)/(Links!F$191*Links!U$191)</f>
        <v>#DIV/0!</v>
      </c>
      <c r="V131" s="56" t="e">
        <f>V130+ATM_Conf!$C$5*(G130-F130)/(Links!G$191*Links!V$191)</f>
        <v>#DIV/0!</v>
      </c>
      <c r="W131" s="56" t="e">
        <f>W130+ATM_Conf!$C$5*(H130-G130)/(Links!H$191*Links!W$191)</f>
        <v>#DIV/0!</v>
      </c>
      <c r="X131" s="56" t="e">
        <f>X130+ATM_Conf!$C$5*(I130-H130)/(Links!I$191*Links!X$191)</f>
        <v>#DIV/0!</v>
      </c>
      <c r="Y131" s="56" t="e">
        <f>Y130+ATM_Conf!$C$5*(J130)/(Links!J$191*Links!Y$191)</f>
        <v>#DIV/0!</v>
      </c>
      <c r="Z131" s="56" t="e">
        <f>Z130+ATM_Conf!$C$5*(K130-J130)/(Links!K$191*Links!Z$191)</f>
        <v>#DIV/0!</v>
      </c>
      <c r="AA131" s="56" t="e">
        <f>AA130+ATM_Conf!$C$5*(L130-K130)/(Links!L$191*Links!AA$191)</f>
        <v>#DIV/0!</v>
      </c>
      <c r="AB131" s="56" t="e">
        <f>AB130+ATM_Conf!$C$5*(M130-L130)/(Links!M$191*Links!AB$191)</f>
        <v>#DIV/0!</v>
      </c>
      <c r="AC131" s="56" t="e">
        <f>AC130+ATM_Conf!$C$5*(N130-M130)/(Links!N$191*Links!AC$191)</f>
        <v>#DIV/0!</v>
      </c>
      <c r="AD131" s="56" t="e">
        <f>AD130+ATM_Conf!$C$5*(O130-N130)/(Links!O$191*Links!AD$191)</f>
        <v>#DIV/0!</v>
      </c>
      <c r="AE131" s="56" t="e">
        <f>AE130+ATM_Conf!$C$5*(P130-O130)/(Links!P$191*Links!AE$191)</f>
        <v>#DIV/0!</v>
      </c>
      <c r="AF131" s="46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6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6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6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6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6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6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6" t="e">
        <f>AM130+(ATM_Conf!$C$5/ATM_Conf!$C$8)*(Links!BB130*EXP((-(Links!X130/Links!BQ130)^Links!CF130)/Links!CF130)-Links!AM130)+(ATM_Conf!$C$5/Links!X$191)*Links!AM130*(Nodes!BH130-Links!AM130)</f>
        <v>#DIV/0!</v>
      </c>
      <c r="AN131" s="46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6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6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6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6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6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6" t="e">
        <f>AT130+(ATM_Conf!$C$5/ATM_Conf!$C$8)*(Links!BI130*EXP((-(Links!AE130/Links!BX130)^Links!CM130)/Links!CM130)-Links!AT130)+(ATM_Conf!$C$5/Links!AE$191)*Links!AT130*(Nodes!BN130-Links!AT130)</f>
        <v>#DIV/0!</v>
      </c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46"/>
      <c r="BK131" s="46"/>
      <c r="BL131" s="46"/>
      <c r="BM131" s="46"/>
      <c r="BN131" s="46"/>
      <c r="BO131" s="46"/>
      <c r="BP131" s="46"/>
      <c r="BQ131" s="46"/>
      <c r="BR131" s="46"/>
      <c r="BS131" s="46"/>
      <c r="BT131" s="46"/>
      <c r="BU131" s="46"/>
      <c r="BV131" s="46"/>
      <c r="BW131" s="46"/>
      <c r="BX131" s="4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46">
        <f t="shared" si="62"/>
        <v>0</v>
      </c>
      <c r="CO131" s="46">
        <f t="shared" si="62"/>
        <v>0</v>
      </c>
      <c r="CP131" s="46">
        <f t="shared" si="62"/>
        <v>0</v>
      </c>
      <c r="CQ131" s="46">
        <f t="shared" si="62"/>
        <v>0</v>
      </c>
      <c r="CR131" s="46">
        <f t="shared" si="62"/>
        <v>0</v>
      </c>
      <c r="CS131" s="46">
        <f t="shared" si="62"/>
        <v>0</v>
      </c>
      <c r="CT131" s="46">
        <f t="shared" si="62"/>
        <v>0</v>
      </c>
      <c r="CU131" s="46">
        <f t="shared" si="62"/>
        <v>0</v>
      </c>
      <c r="CV131" s="46">
        <f t="shared" si="62"/>
        <v>0</v>
      </c>
      <c r="CW131" s="46">
        <f t="shared" si="62"/>
        <v>0</v>
      </c>
      <c r="CX131" s="46">
        <f t="shared" si="62"/>
        <v>0</v>
      </c>
      <c r="CY131" s="46">
        <f t="shared" si="62"/>
        <v>0</v>
      </c>
      <c r="CZ131" s="46">
        <f t="shared" si="62"/>
        <v>0</v>
      </c>
      <c r="DA131" s="46">
        <f t="shared" si="62"/>
        <v>0</v>
      </c>
      <c r="DB131" s="46">
        <f t="shared" si="62"/>
        <v>0</v>
      </c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</row>
    <row r="132" spans="1:121" ht="14.25" x14ac:dyDescent="0.15">
      <c r="A132" s="49">
        <v>130</v>
      </c>
      <c r="B132" s="46" t="e">
        <f t="shared" ref="B132:B182" si="63">Q132*AF132*B$191</f>
        <v>#DIV/0!</v>
      </c>
      <c r="C132" s="46" t="e">
        <f t="shared" ref="C132:C182" si="64">R132*AG132*C$191</f>
        <v>#DIV/0!</v>
      </c>
      <c r="D132" s="46" t="e">
        <f t="shared" ref="D132:D182" si="65">S132*AH132*D$191</f>
        <v>#DIV/0!</v>
      </c>
      <c r="E132" s="46" t="e">
        <f t="shared" ref="E132:E182" si="66">T132*AI132*E$191</f>
        <v>#DIV/0!</v>
      </c>
      <c r="F132" s="46" t="e">
        <f t="shared" ref="F132:F182" si="67">U132*AJ132*F$191</f>
        <v>#DIV/0!</v>
      </c>
      <c r="G132" s="46" t="e">
        <f t="shared" ref="G132:G182" si="68">V132*AK132*G$191</f>
        <v>#DIV/0!</v>
      </c>
      <c r="H132" s="46" t="e">
        <f t="shared" ref="H132:H182" si="69">W132*AL132*H$191</f>
        <v>#DIV/0!</v>
      </c>
      <c r="I132" s="46" t="e">
        <f t="shared" ref="I132:I182" si="70">X132*AM132*I$191</f>
        <v>#DIV/0!</v>
      </c>
      <c r="J132" s="46" t="e">
        <f t="shared" ref="J132:J182" si="71">Y132*AN132*J$191</f>
        <v>#DIV/0!</v>
      </c>
      <c r="K132" s="46" t="e">
        <f t="shared" ref="K132:K182" si="72">Z132*AO132*K$191</f>
        <v>#DIV/0!</v>
      </c>
      <c r="L132" s="46" t="e">
        <f t="shared" ref="L132:L182" si="73">AA132*AP132*L$191</f>
        <v>#DIV/0!</v>
      </c>
      <c r="M132" s="46" t="e">
        <f t="shared" ref="M132:M182" si="74">AB132*AQ132*M$191</f>
        <v>#DIV/0!</v>
      </c>
      <c r="N132" s="46" t="e">
        <f t="shared" ref="N132:N182" si="75">AC132*AR132*N$191</f>
        <v>#DIV/0!</v>
      </c>
      <c r="O132" s="46" t="e">
        <f t="shared" ref="O132:O182" si="76">AD132*AS132*O$191</f>
        <v>#DIV/0!</v>
      </c>
      <c r="P132" s="46" t="e">
        <f t="shared" ref="P132:P182" si="77">AE132*AT132*P$191</f>
        <v>#DIV/0!</v>
      </c>
      <c r="Q132" s="56" t="e">
        <f>Q131+ATM_Conf!$C$5*(B131)/(Links!B$191*Links!Q$191)</f>
        <v>#DIV/0!</v>
      </c>
      <c r="R132" s="56" t="e">
        <f>R131+ATM_Conf!$C$5*(C131-B131)/(Links!C$191*Links!R$191)</f>
        <v>#DIV/0!</v>
      </c>
      <c r="S132" s="56" t="e">
        <f>S131+ATM_Conf!$C$5*(D131-C131)/(Links!D$191*Links!S$191)</f>
        <v>#DIV/0!</v>
      </c>
      <c r="T132" s="56" t="e">
        <f>T131+ATM_Conf!$C$5*(E131-D131)/(Links!E$191*Links!T$191)</f>
        <v>#DIV/0!</v>
      </c>
      <c r="U132" s="56" t="e">
        <f>U131+ATM_Conf!$C$5*(F131-E131)/(Links!F$191*Links!U$191)</f>
        <v>#DIV/0!</v>
      </c>
      <c r="V132" s="56" t="e">
        <f>V131+ATM_Conf!$C$5*(G131-F131)/(Links!G$191*Links!V$191)</f>
        <v>#DIV/0!</v>
      </c>
      <c r="W132" s="56" t="e">
        <f>W131+ATM_Conf!$C$5*(H131-G131)/(Links!H$191*Links!W$191)</f>
        <v>#DIV/0!</v>
      </c>
      <c r="X132" s="56" t="e">
        <f>X131+ATM_Conf!$C$5*(I131-H131)/(Links!I$191*Links!X$191)</f>
        <v>#DIV/0!</v>
      </c>
      <c r="Y132" s="56" t="e">
        <f>Y131+ATM_Conf!$C$5*(J131)/(Links!J$191*Links!Y$191)</f>
        <v>#DIV/0!</v>
      </c>
      <c r="Z132" s="56" t="e">
        <f>Z131+ATM_Conf!$C$5*(K131-J131)/(Links!K$191*Links!Z$191)</f>
        <v>#DIV/0!</v>
      </c>
      <c r="AA132" s="56" t="e">
        <f>AA131+ATM_Conf!$C$5*(L131-K131)/(Links!L$191*Links!AA$191)</f>
        <v>#DIV/0!</v>
      </c>
      <c r="AB132" s="56" t="e">
        <f>AB131+ATM_Conf!$C$5*(M131-L131)/(Links!M$191*Links!AB$191)</f>
        <v>#DIV/0!</v>
      </c>
      <c r="AC132" s="56" t="e">
        <f>AC131+ATM_Conf!$C$5*(N131-M131)/(Links!N$191*Links!AC$191)</f>
        <v>#DIV/0!</v>
      </c>
      <c r="AD132" s="56" t="e">
        <f>AD131+ATM_Conf!$C$5*(O131-N131)/(Links!O$191*Links!AD$191)</f>
        <v>#DIV/0!</v>
      </c>
      <c r="AE132" s="56" t="e">
        <f>AE131+ATM_Conf!$C$5*(P131-O131)/(Links!P$191*Links!AE$191)</f>
        <v>#DIV/0!</v>
      </c>
      <c r="AF132" s="46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6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6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6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6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6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6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6" t="e">
        <f>AM131+(ATM_Conf!$C$5/ATM_Conf!$C$8)*(Links!BB131*EXP((-(Links!X131/Links!BQ131)^Links!CF131)/Links!CF131)-Links!AM131)+(ATM_Conf!$C$5/Links!X$191)*Links!AM131*(Nodes!BH131-Links!AM131)</f>
        <v>#DIV/0!</v>
      </c>
      <c r="AN132" s="46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6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6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6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6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6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6" t="e">
        <f>AT131+(ATM_Conf!$C$5/ATM_Conf!$C$8)*(Links!BI131*EXP((-(Links!AE131/Links!BX131)^Links!CM131)/Links!CM131)-Links!AT131)+(ATM_Conf!$C$5/Links!AE$191)*Links!AT131*(Nodes!BN131-Links!AT131)</f>
        <v>#DIV/0!</v>
      </c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46"/>
      <c r="BK132" s="46"/>
      <c r="BL132" s="46"/>
      <c r="BM132" s="46"/>
      <c r="BN132" s="46"/>
      <c r="BO132" s="46"/>
      <c r="BP132" s="46"/>
      <c r="BQ132" s="46"/>
      <c r="BR132" s="46"/>
      <c r="BS132" s="46"/>
      <c r="BT132" s="46"/>
      <c r="BU132" s="46"/>
      <c r="BV132" s="46"/>
      <c r="BW132" s="46"/>
      <c r="BX132" s="4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46">
        <f t="shared" si="62"/>
        <v>0</v>
      </c>
      <c r="CO132" s="46">
        <f t="shared" si="62"/>
        <v>0</v>
      </c>
      <c r="CP132" s="46">
        <f t="shared" si="62"/>
        <v>0</v>
      </c>
      <c r="CQ132" s="46">
        <f t="shared" si="62"/>
        <v>0</v>
      </c>
      <c r="CR132" s="46">
        <f t="shared" si="62"/>
        <v>0</v>
      </c>
      <c r="CS132" s="46">
        <f t="shared" si="62"/>
        <v>0</v>
      </c>
      <c r="CT132" s="46">
        <f t="shared" si="62"/>
        <v>0</v>
      </c>
      <c r="CU132" s="46">
        <f t="shared" si="62"/>
        <v>0</v>
      </c>
      <c r="CV132" s="46">
        <f t="shared" si="62"/>
        <v>0</v>
      </c>
      <c r="CW132" s="46">
        <f t="shared" si="62"/>
        <v>0</v>
      </c>
      <c r="CX132" s="46">
        <f t="shared" si="62"/>
        <v>0</v>
      </c>
      <c r="CY132" s="46">
        <f t="shared" si="62"/>
        <v>0</v>
      </c>
      <c r="CZ132" s="46">
        <f t="shared" si="62"/>
        <v>0</v>
      </c>
      <c r="DA132" s="46">
        <f t="shared" si="62"/>
        <v>0</v>
      </c>
      <c r="DB132" s="46">
        <f t="shared" si="62"/>
        <v>0</v>
      </c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Q132" s="54"/>
    </row>
    <row r="133" spans="1:121" ht="14.25" x14ac:dyDescent="0.15">
      <c r="A133" s="49">
        <v>131</v>
      </c>
      <c r="B133" s="46" t="e">
        <f t="shared" si="63"/>
        <v>#DIV/0!</v>
      </c>
      <c r="C133" s="46" t="e">
        <f t="shared" si="64"/>
        <v>#DIV/0!</v>
      </c>
      <c r="D133" s="46" t="e">
        <f t="shared" si="65"/>
        <v>#DIV/0!</v>
      </c>
      <c r="E133" s="46" t="e">
        <f t="shared" si="66"/>
        <v>#DIV/0!</v>
      </c>
      <c r="F133" s="46" t="e">
        <f t="shared" si="67"/>
        <v>#DIV/0!</v>
      </c>
      <c r="G133" s="46" t="e">
        <f t="shared" si="68"/>
        <v>#DIV/0!</v>
      </c>
      <c r="H133" s="46" t="e">
        <f t="shared" si="69"/>
        <v>#DIV/0!</v>
      </c>
      <c r="I133" s="46" t="e">
        <f t="shared" si="70"/>
        <v>#DIV/0!</v>
      </c>
      <c r="J133" s="46" t="e">
        <f t="shared" si="71"/>
        <v>#DIV/0!</v>
      </c>
      <c r="K133" s="46" t="e">
        <f t="shared" si="72"/>
        <v>#DIV/0!</v>
      </c>
      <c r="L133" s="46" t="e">
        <f t="shared" si="73"/>
        <v>#DIV/0!</v>
      </c>
      <c r="M133" s="46" t="e">
        <f t="shared" si="74"/>
        <v>#DIV/0!</v>
      </c>
      <c r="N133" s="46" t="e">
        <f t="shared" si="75"/>
        <v>#DIV/0!</v>
      </c>
      <c r="O133" s="46" t="e">
        <f t="shared" si="76"/>
        <v>#DIV/0!</v>
      </c>
      <c r="P133" s="46" t="e">
        <f t="shared" si="77"/>
        <v>#DIV/0!</v>
      </c>
      <c r="Q133" s="56" t="e">
        <f>Q132+ATM_Conf!$C$5*(B132)/(Links!B$191*Links!Q$191)</f>
        <v>#DIV/0!</v>
      </c>
      <c r="R133" s="56" t="e">
        <f>R132+ATM_Conf!$C$5*(C132-B132)/(Links!C$191*Links!R$191)</f>
        <v>#DIV/0!</v>
      </c>
      <c r="S133" s="56" t="e">
        <f>S132+ATM_Conf!$C$5*(D132-C132)/(Links!D$191*Links!S$191)</f>
        <v>#DIV/0!</v>
      </c>
      <c r="T133" s="56" t="e">
        <f>T132+ATM_Conf!$C$5*(E132-D132)/(Links!E$191*Links!T$191)</f>
        <v>#DIV/0!</v>
      </c>
      <c r="U133" s="56" t="e">
        <f>U132+ATM_Conf!$C$5*(F132-E132)/(Links!F$191*Links!U$191)</f>
        <v>#DIV/0!</v>
      </c>
      <c r="V133" s="56" t="e">
        <f>V132+ATM_Conf!$C$5*(G132-F132)/(Links!G$191*Links!V$191)</f>
        <v>#DIV/0!</v>
      </c>
      <c r="W133" s="56" t="e">
        <f>W132+ATM_Conf!$C$5*(H132-G132)/(Links!H$191*Links!W$191)</f>
        <v>#DIV/0!</v>
      </c>
      <c r="X133" s="56" t="e">
        <f>X132+ATM_Conf!$C$5*(I132-H132)/(Links!I$191*Links!X$191)</f>
        <v>#DIV/0!</v>
      </c>
      <c r="Y133" s="56" t="e">
        <f>Y132+ATM_Conf!$C$5*(J132)/(Links!J$191*Links!Y$191)</f>
        <v>#DIV/0!</v>
      </c>
      <c r="Z133" s="56" t="e">
        <f>Z132+ATM_Conf!$C$5*(K132-J132)/(Links!K$191*Links!Z$191)</f>
        <v>#DIV/0!</v>
      </c>
      <c r="AA133" s="56" t="e">
        <f>AA132+ATM_Conf!$C$5*(L132-K132)/(Links!L$191*Links!AA$191)</f>
        <v>#DIV/0!</v>
      </c>
      <c r="AB133" s="56" t="e">
        <f>AB132+ATM_Conf!$C$5*(M132-L132)/(Links!M$191*Links!AB$191)</f>
        <v>#DIV/0!</v>
      </c>
      <c r="AC133" s="56" t="e">
        <f>AC132+ATM_Conf!$C$5*(N132-M132)/(Links!N$191*Links!AC$191)</f>
        <v>#DIV/0!</v>
      </c>
      <c r="AD133" s="56" t="e">
        <f>AD132+ATM_Conf!$C$5*(O132-N132)/(Links!O$191*Links!AD$191)</f>
        <v>#DIV/0!</v>
      </c>
      <c r="AE133" s="56" t="e">
        <f>AE132+ATM_Conf!$C$5*(P132-O132)/(Links!P$191*Links!AE$191)</f>
        <v>#DIV/0!</v>
      </c>
      <c r="AF133" s="46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6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6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6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6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6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6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6" t="e">
        <f>AM132+(ATM_Conf!$C$5/ATM_Conf!$C$8)*(Links!BB132*EXP((-(Links!X132/Links!BQ132)^Links!CF132)/Links!CF132)-Links!AM132)+(ATM_Conf!$C$5/Links!X$191)*Links!AM132*(Nodes!BH132-Links!AM132)</f>
        <v>#DIV/0!</v>
      </c>
      <c r="AN133" s="46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6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6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6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6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6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6" t="e">
        <f>AT132+(ATM_Conf!$C$5/ATM_Conf!$C$8)*(Links!BI132*EXP((-(Links!AE132/Links!BX132)^Links!CM132)/Links!CM132)-Links!AT132)+(ATM_Conf!$C$5/Links!AE$191)*Links!AT132*(Nodes!BN132-Links!AT132)</f>
        <v>#DIV/0!</v>
      </c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46"/>
      <c r="BK133" s="46"/>
      <c r="BL133" s="46"/>
      <c r="BM133" s="46"/>
      <c r="BN133" s="46"/>
      <c r="BO133" s="46"/>
      <c r="BP133" s="46"/>
      <c r="BQ133" s="46"/>
      <c r="BR133" s="46"/>
      <c r="BS133" s="46"/>
      <c r="BT133" s="46"/>
      <c r="BU133" s="46"/>
      <c r="BV133" s="46"/>
      <c r="BW133" s="46"/>
      <c r="BX133" s="4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46">
        <f t="shared" si="62"/>
        <v>0</v>
      </c>
      <c r="CO133" s="46">
        <f t="shared" si="62"/>
        <v>0</v>
      </c>
      <c r="CP133" s="46">
        <f t="shared" si="62"/>
        <v>0</v>
      </c>
      <c r="CQ133" s="46">
        <f t="shared" si="62"/>
        <v>0</v>
      </c>
      <c r="CR133" s="46">
        <f t="shared" si="62"/>
        <v>0</v>
      </c>
      <c r="CS133" s="46">
        <f t="shared" si="62"/>
        <v>0</v>
      </c>
      <c r="CT133" s="46">
        <f t="shared" si="62"/>
        <v>0</v>
      </c>
      <c r="CU133" s="46">
        <f t="shared" si="62"/>
        <v>0</v>
      </c>
      <c r="CV133" s="46">
        <f t="shared" si="62"/>
        <v>0</v>
      </c>
      <c r="CW133" s="46">
        <f t="shared" si="62"/>
        <v>0</v>
      </c>
      <c r="CX133" s="46">
        <f t="shared" si="62"/>
        <v>0</v>
      </c>
      <c r="CY133" s="46">
        <f t="shared" si="62"/>
        <v>0</v>
      </c>
      <c r="CZ133" s="46">
        <f t="shared" si="62"/>
        <v>0</v>
      </c>
      <c r="DA133" s="46">
        <f t="shared" si="62"/>
        <v>0</v>
      </c>
      <c r="DB133" s="46">
        <f t="shared" si="62"/>
        <v>0</v>
      </c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Q133" s="54"/>
    </row>
    <row r="134" spans="1:121" ht="14.25" x14ac:dyDescent="0.15">
      <c r="A134" s="49">
        <v>132</v>
      </c>
      <c r="B134" s="46" t="e">
        <f t="shared" si="63"/>
        <v>#DIV/0!</v>
      </c>
      <c r="C134" s="46" t="e">
        <f t="shared" si="64"/>
        <v>#DIV/0!</v>
      </c>
      <c r="D134" s="46" t="e">
        <f t="shared" si="65"/>
        <v>#DIV/0!</v>
      </c>
      <c r="E134" s="46" t="e">
        <f t="shared" si="66"/>
        <v>#DIV/0!</v>
      </c>
      <c r="F134" s="46" t="e">
        <f t="shared" si="67"/>
        <v>#DIV/0!</v>
      </c>
      <c r="G134" s="46" t="e">
        <f t="shared" si="68"/>
        <v>#DIV/0!</v>
      </c>
      <c r="H134" s="46" t="e">
        <f t="shared" si="69"/>
        <v>#DIV/0!</v>
      </c>
      <c r="I134" s="46" t="e">
        <f t="shared" si="70"/>
        <v>#DIV/0!</v>
      </c>
      <c r="J134" s="46" t="e">
        <f t="shared" si="71"/>
        <v>#DIV/0!</v>
      </c>
      <c r="K134" s="46" t="e">
        <f t="shared" si="72"/>
        <v>#DIV/0!</v>
      </c>
      <c r="L134" s="46" t="e">
        <f t="shared" si="73"/>
        <v>#DIV/0!</v>
      </c>
      <c r="M134" s="46" t="e">
        <f t="shared" si="74"/>
        <v>#DIV/0!</v>
      </c>
      <c r="N134" s="46" t="e">
        <f t="shared" si="75"/>
        <v>#DIV/0!</v>
      </c>
      <c r="O134" s="46" t="e">
        <f t="shared" si="76"/>
        <v>#DIV/0!</v>
      </c>
      <c r="P134" s="46" t="e">
        <f t="shared" si="77"/>
        <v>#DIV/0!</v>
      </c>
      <c r="Q134" s="56" t="e">
        <f>Q133+ATM_Conf!$C$5*(B133)/(Links!B$191*Links!Q$191)</f>
        <v>#DIV/0!</v>
      </c>
      <c r="R134" s="56" t="e">
        <f>R133+ATM_Conf!$C$5*(C133-B133)/(Links!C$191*Links!R$191)</f>
        <v>#DIV/0!</v>
      </c>
      <c r="S134" s="56" t="e">
        <f>S133+ATM_Conf!$C$5*(D133-C133)/(Links!D$191*Links!S$191)</f>
        <v>#DIV/0!</v>
      </c>
      <c r="T134" s="56" t="e">
        <f>T133+ATM_Conf!$C$5*(E133-D133)/(Links!E$191*Links!T$191)</f>
        <v>#DIV/0!</v>
      </c>
      <c r="U134" s="56" t="e">
        <f>U133+ATM_Conf!$C$5*(F133-E133)/(Links!F$191*Links!U$191)</f>
        <v>#DIV/0!</v>
      </c>
      <c r="V134" s="56" t="e">
        <f>V133+ATM_Conf!$C$5*(G133-F133)/(Links!G$191*Links!V$191)</f>
        <v>#DIV/0!</v>
      </c>
      <c r="W134" s="56" t="e">
        <f>W133+ATM_Conf!$C$5*(H133-G133)/(Links!H$191*Links!W$191)</f>
        <v>#DIV/0!</v>
      </c>
      <c r="X134" s="56" t="e">
        <f>X133+ATM_Conf!$C$5*(I133-H133)/(Links!I$191*Links!X$191)</f>
        <v>#DIV/0!</v>
      </c>
      <c r="Y134" s="56" t="e">
        <f>Y133+ATM_Conf!$C$5*(J133)/(Links!J$191*Links!Y$191)</f>
        <v>#DIV/0!</v>
      </c>
      <c r="Z134" s="56" t="e">
        <f>Z133+ATM_Conf!$C$5*(K133-J133)/(Links!K$191*Links!Z$191)</f>
        <v>#DIV/0!</v>
      </c>
      <c r="AA134" s="56" t="e">
        <f>AA133+ATM_Conf!$C$5*(L133-K133)/(Links!L$191*Links!AA$191)</f>
        <v>#DIV/0!</v>
      </c>
      <c r="AB134" s="56" t="e">
        <f>AB133+ATM_Conf!$C$5*(M133-L133)/(Links!M$191*Links!AB$191)</f>
        <v>#DIV/0!</v>
      </c>
      <c r="AC134" s="56" t="e">
        <f>AC133+ATM_Conf!$C$5*(N133-M133)/(Links!N$191*Links!AC$191)</f>
        <v>#DIV/0!</v>
      </c>
      <c r="AD134" s="56" t="e">
        <f>AD133+ATM_Conf!$C$5*(O133-N133)/(Links!O$191*Links!AD$191)</f>
        <v>#DIV/0!</v>
      </c>
      <c r="AE134" s="56" t="e">
        <f>AE133+ATM_Conf!$C$5*(P133-O133)/(Links!P$191*Links!AE$191)</f>
        <v>#DIV/0!</v>
      </c>
      <c r="AF134" s="46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6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6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6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6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6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6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6" t="e">
        <f>AM133+(ATM_Conf!$C$5/ATM_Conf!$C$8)*(Links!BB133*EXP((-(Links!X133/Links!BQ133)^Links!CF133)/Links!CF133)-Links!AM133)+(ATM_Conf!$C$5/Links!X$191)*Links!AM133*(Nodes!BH133-Links!AM133)</f>
        <v>#DIV/0!</v>
      </c>
      <c r="AN134" s="46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6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6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6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6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6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6" t="e">
        <f>AT133+(ATM_Conf!$C$5/ATM_Conf!$C$8)*(Links!BI133*EXP((-(Links!AE133/Links!BX133)^Links!CM133)/Links!CM133)-Links!AT133)+(ATM_Conf!$C$5/Links!AE$191)*Links!AT133*(Nodes!BN133-Links!AT133)</f>
        <v>#DIV/0!</v>
      </c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46"/>
      <c r="BK134" s="46"/>
      <c r="BL134" s="46"/>
      <c r="BM134" s="46"/>
      <c r="BN134" s="46"/>
      <c r="BO134" s="46"/>
      <c r="BP134" s="46"/>
      <c r="BQ134" s="46"/>
      <c r="BR134" s="46"/>
      <c r="BS134" s="46"/>
      <c r="BT134" s="46"/>
      <c r="BU134" s="46"/>
      <c r="BV134" s="46"/>
      <c r="BW134" s="46"/>
      <c r="BX134" s="4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46">
        <f t="shared" si="62"/>
        <v>0</v>
      </c>
      <c r="CO134" s="46">
        <f t="shared" si="62"/>
        <v>0</v>
      </c>
      <c r="CP134" s="46">
        <f t="shared" si="62"/>
        <v>0</v>
      </c>
      <c r="CQ134" s="46">
        <f t="shared" si="62"/>
        <v>0</v>
      </c>
      <c r="CR134" s="46">
        <f t="shared" si="62"/>
        <v>0</v>
      </c>
      <c r="CS134" s="46">
        <f t="shared" si="62"/>
        <v>0</v>
      </c>
      <c r="CT134" s="46">
        <f t="shared" si="62"/>
        <v>0</v>
      </c>
      <c r="CU134" s="46">
        <f t="shared" si="62"/>
        <v>0</v>
      </c>
      <c r="CV134" s="46">
        <f t="shared" si="62"/>
        <v>0</v>
      </c>
      <c r="CW134" s="46">
        <f t="shared" si="62"/>
        <v>0</v>
      </c>
      <c r="CX134" s="46">
        <f t="shared" si="62"/>
        <v>0</v>
      </c>
      <c r="CY134" s="46">
        <f t="shared" si="62"/>
        <v>0</v>
      </c>
      <c r="CZ134" s="46">
        <f t="shared" si="62"/>
        <v>0</v>
      </c>
      <c r="DA134" s="46">
        <f t="shared" si="62"/>
        <v>0</v>
      </c>
      <c r="DB134" s="46">
        <f t="shared" si="62"/>
        <v>0</v>
      </c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Q134" s="54"/>
    </row>
    <row r="135" spans="1:121" ht="14.25" x14ac:dyDescent="0.15">
      <c r="A135" s="49">
        <v>133</v>
      </c>
      <c r="B135" s="46" t="e">
        <f t="shared" si="63"/>
        <v>#DIV/0!</v>
      </c>
      <c r="C135" s="46" t="e">
        <f t="shared" si="64"/>
        <v>#DIV/0!</v>
      </c>
      <c r="D135" s="46" t="e">
        <f t="shared" si="65"/>
        <v>#DIV/0!</v>
      </c>
      <c r="E135" s="46" t="e">
        <f t="shared" si="66"/>
        <v>#DIV/0!</v>
      </c>
      <c r="F135" s="46" t="e">
        <f t="shared" si="67"/>
        <v>#DIV/0!</v>
      </c>
      <c r="G135" s="46" t="e">
        <f t="shared" si="68"/>
        <v>#DIV/0!</v>
      </c>
      <c r="H135" s="46" t="e">
        <f t="shared" si="69"/>
        <v>#DIV/0!</v>
      </c>
      <c r="I135" s="46" t="e">
        <f t="shared" si="70"/>
        <v>#DIV/0!</v>
      </c>
      <c r="J135" s="46" t="e">
        <f t="shared" si="71"/>
        <v>#DIV/0!</v>
      </c>
      <c r="K135" s="46" t="e">
        <f t="shared" si="72"/>
        <v>#DIV/0!</v>
      </c>
      <c r="L135" s="46" t="e">
        <f t="shared" si="73"/>
        <v>#DIV/0!</v>
      </c>
      <c r="M135" s="46" t="e">
        <f t="shared" si="74"/>
        <v>#DIV/0!</v>
      </c>
      <c r="N135" s="46" t="e">
        <f t="shared" si="75"/>
        <v>#DIV/0!</v>
      </c>
      <c r="O135" s="46" t="e">
        <f t="shared" si="76"/>
        <v>#DIV/0!</v>
      </c>
      <c r="P135" s="46" t="e">
        <f t="shared" si="77"/>
        <v>#DIV/0!</v>
      </c>
      <c r="Q135" s="56" t="e">
        <f>Q134+ATM_Conf!$C$5*(B134)/(Links!B$191*Links!Q$191)</f>
        <v>#DIV/0!</v>
      </c>
      <c r="R135" s="56" t="e">
        <f>R134+ATM_Conf!$C$5*(C134-B134)/(Links!C$191*Links!R$191)</f>
        <v>#DIV/0!</v>
      </c>
      <c r="S135" s="56" t="e">
        <f>S134+ATM_Conf!$C$5*(D134-C134)/(Links!D$191*Links!S$191)</f>
        <v>#DIV/0!</v>
      </c>
      <c r="T135" s="56" t="e">
        <f>T134+ATM_Conf!$C$5*(E134-D134)/(Links!E$191*Links!T$191)</f>
        <v>#DIV/0!</v>
      </c>
      <c r="U135" s="56" t="e">
        <f>U134+ATM_Conf!$C$5*(F134-E134)/(Links!F$191*Links!U$191)</f>
        <v>#DIV/0!</v>
      </c>
      <c r="V135" s="56" t="e">
        <f>V134+ATM_Conf!$C$5*(G134-F134)/(Links!G$191*Links!V$191)</f>
        <v>#DIV/0!</v>
      </c>
      <c r="W135" s="56" t="e">
        <f>W134+ATM_Conf!$C$5*(H134-G134)/(Links!H$191*Links!W$191)</f>
        <v>#DIV/0!</v>
      </c>
      <c r="X135" s="56" t="e">
        <f>X134+ATM_Conf!$C$5*(I134-H134)/(Links!I$191*Links!X$191)</f>
        <v>#DIV/0!</v>
      </c>
      <c r="Y135" s="56" t="e">
        <f>Y134+ATM_Conf!$C$5*(J134)/(Links!J$191*Links!Y$191)</f>
        <v>#DIV/0!</v>
      </c>
      <c r="Z135" s="56" t="e">
        <f>Z134+ATM_Conf!$C$5*(K134-J134)/(Links!K$191*Links!Z$191)</f>
        <v>#DIV/0!</v>
      </c>
      <c r="AA135" s="56" t="e">
        <f>AA134+ATM_Conf!$C$5*(L134-K134)/(Links!L$191*Links!AA$191)</f>
        <v>#DIV/0!</v>
      </c>
      <c r="AB135" s="56" t="e">
        <f>AB134+ATM_Conf!$C$5*(M134-L134)/(Links!M$191*Links!AB$191)</f>
        <v>#DIV/0!</v>
      </c>
      <c r="AC135" s="56" t="e">
        <f>AC134+ATM_Conf!$C$5*(N134-M134)/(Links!N$191*Links!AC$191)</f>
        <v>#DIV/0!</v>
      </c>
      <c r="AD135" s="56" t="e">
        <f>AD134+ATM_Conf!$C$5*(O134-N134)/(Links!O$191*Links!AD$191)</f>
        <v>#DIV/0!</v>
      </c>
      <c r="AE135" s="56" t="e">
        <f>AE134+ATM_Conf!$C$5*(P134-O134)/(Links!P$191*Links!AE$191)</f>
        <v>#DIV/0!</v>
      </c>
      <c r="AF135" s="46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6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6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6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6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6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6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6" t="e">
        <f>AM134+(ATM_Conf!$C$5/ATM_Conf!$C$8)*(Links!BB134*EXP((-(Links!X134/Links!BQ134)^Links!CF134)/Links!CF134)-Links!AM134)+(ATM_Conf!$C$5/Links!X$191)*Links!AM134*(Nodes!BH134-Links!AM134)</f>
        <v>#DIV/0!</v>
      </c>
      <c r="AN135" s="46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6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6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6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6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6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6" t="e">
        <f>AT134+(ATM_Conf!$C$5/ATM_Conf!$C$8)*(Links!BI134*EXP((-(Links!AE134/Links!BX134)^Links!CM134)/Links!CM134)-Links!AT134)+(ATM_Conf!$C$5/Links!AE$191)*Links!AT134*(Nodes!BN134-Links!AT134)</f>
        <v>#DIV/0!</v>
      </c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46"/>
      <c r="BK135" s="46"/>
      <c r="BL135" s="46"/>
      <c r="BM135" s="46"/>
      <c r="BN135" s="46"/>
      <c r="BO135" s="46"/>
      <c r="BP135" s="46"/>
      <c r="BQ135" s="46"/>
      <c r="BR135" s="46"/>
      <c r="BS135" s="46"/>
      <c r="BT135" s="46"/>
      <c r="BU135" s="46"/>
      <c r="BV135" s="46"/>
      <c r="BW135" s="46"/>
      <c r="BX135" s="4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54">
        <f>(CN135-CN123)^2</f>
        <v>0</v>
      </c>
      <c r="DD135" s="54">
        <f t="shared" ref="DD135:DQ135" si="78">(CO135-CO123)^2</f>
        <v>0</v>
      </c>
      <c r="DE135" s="54">
        <f t="shared" si="78"/>
        <v>0</v>
      </c>
      <c r="DF135" s="54">
        <f t="shared" si="78"/>
        <v>0</v>
      </c>
      <c r="DG135" s="54">
        <f t="shared" si="78"/>
        <v>0</v>
      </c>
      <c r="DH135" s="54">
        <f t="shared" si="78"/>
        <v>0</v>
      </c>
      <c r="DI135" s="54">
        <f t="shared" si="78"/>
        <v>0</v>
      </c>
      <c r="DJ135" s="54">
        <f t="shared" si="78"/>
        <v>0</v>
      </c>
      <c r="DK135" s="54">
        <f t="shared" si="78"/>
        <v>0</v>
      </c>
      <c r="DL135" s="54">
        <f t="shared" si="78"/>
        <v>0</v>
      </c>
      <c r="DM135" s="54">
        <f t="shared" si="78"/>
        <v>0</v>
      </c>
      <c r="DN135" s="54">
        <f t="shared" si="78"/>
        <v>0</v>
      </c>
      <c r="DO135" s="54">
        <f t="shared" si="78"/>
        <v>0</v>
      </c>
      <c r="DP135" s="54">
        <f t="shared" si="78"/>
        <v>0</v>
      </c>
      <c r="DQ135" s="54">
        <f t="shared" si="78"/>
        <v>0</v>
      </c>
    </row>
    <row r="136" spans="1:121" ht="14.25" x14ac:dyDescent="0.15">
      <c r="A136" s="49">
        <v>134</v>
      </c>
      <c r="B136" s="46" t="e">
        <f t="shared" si="63"/>
        <v>#DIV/0!</v>
      </c>
      <c r="C136" s="46" t="e">
        <f t="shared" si="64"/>
        <v>#DIV/0!</v>
      </c>
      <c r="D136" s="46" t="e">
        <f t="shared" si="65"/>
        <v>#DIV/0!</v>
      </c>
      <c r="E136" s="46" t="e">
        <f t="shared" si="66"/>
        <v>#DIV/0!</v>
      </c>
      <c r="F136" s="46" t="e">
        <f t="shared" si="67"/>
        <v>#DIV/0!</v>
      </c>
      <c r="G136" s="46" t="e">
        <f t="shared" si="68"/>
        <v>#DIV/0!</v>
      </c>
      <c r="H136" s="46" t="e">
        <f t="shared" si="69"/>
        <v>#DIV/0!</v>
      </c>
      <c r="I136" s="46" t="e">
        <f t="shared" si="70"/>
        <v>#DIV/0!</v>
      </c>
      <c r="J136" s="46" t="e">
        <f t="shared" si="71"/>
        <v>#DIV/0!</v>
      </c>
      <c r="K136" s="46" t="e">
        <f t="shared" si="72"/>
        <v>#DIV/0!</v>
      </c>
      <c r="L136" s="46" t="e">
        <f t="shared" si="73"/>
        <v>#DIV/0!</v>
      </c>
      <c r="M136" s="46" t="e">
        <f t="shared" si="74"/>
        <v>#DIV/0!</v>
      </c>
      <c r="N136" s="46" t="e">
        <f t="shared" si="75"/>
        <v>#DIV/0!</v>
      </c>
      <c r="O136" s="46" t="e">
        <f t="shared" si="76"/>
        <v>#DIV/0!</v>
      </c>
      <c r="P136" s="46" t="e">
        <f t="shared" si="77"/>
        <v>#DIV/0!</v>
      </c>
      <c r="Q136" s="56" t="e">
        <f>Q135+ATM_Conf!$C$5*(B135)/(Links!B$191*Links!Q$191)</f>
        <v>#DIV/0!</v>
      </c>
      <c r="R136" s="56" t="e">
        <f>R135+ATM_Conf!$C$5*(C135-B135)/(Links!C$191*Links!R$191)</f>
        <v>#DIV/0!</v>
      </c>
      <c r="S136" s="56" t="e">
        <f>S135+ATM_Conf!$C$5*(D135-C135)/(Links!D$191*Links!S$191)</f>
        <v>#DIV/0!</v>
      </c>
      <c r="T136" s="56" t="e">
        <f>T135+ATM_Conf!$C$5*(E135-D135)/(Links!E$191*Links!T$191)</f>
        <v>#DIV/0!</v>
      </c>
      <c r="U136" s="56" t="e">
        <f>U135+ATM_Conf!$C$5*(F135-E135)/(Links!F$191*Links!U$191)</f>
        <v>#DIV/0!</v>
      </c>
      <c r="V136" s="56" t="e">
        <f>V135+ATM_Conf!$C$5*(G135-F135)/(Links!G$191*Links!V$191)</f>
        <v>#DIV/0!</v>
      </c>
      <c r="W136" s="56" t="e">
        <f>W135+ATM_Conf!$C$5*(H135-G135)/(Links!H$191*Links!W$191)</f>
        <v>#DIV/0!</v>
      </c>
      <c r="X136" s="56" t="e">
        <f>X135+ATM_Conf!$C$5*(I135-H135)/(Links!I$191*Links!X$191)</f>
        <v>#DIV/0!</v>
      </c>
      <c r="Y136" s="56" t="e">
        <f>Y135+ATM_Conf!$C$5*(J135)/(Links!J$191*Links!Y$191)</f>
        <v>#DIV/0!</v>
      </c>
      <c r="Z136" s="56" t="e">
        <f>Z135+ATM_Conf!$C$5*(K135-J135)/(Links!K$191*Links!Z$191)</f>
        <v>#DIV/0!</v>
      </c>
      <c r="AA136" s="56" t="e">
        <f>AA135+ATM_Conf!$C$5*(L135-K135)/(Links!L$191*Links!AA$191)</f>
        <v>#DIV/0!</v>
      </c>
      <c r="AB136" s="56" t="e">
        <f>AB135+ATM_Conf!$C$5*(M135-L135)/(Links!M$191*Links!AB$191)</f>
        <v>#DIV/0!</v>
      </c>
      <c r="AC136" s="56" t="e">
        <f>AC135+ATM_Conf!$C$5*(N135-M135)/(Links!N$191*Links!AC$191)</f>
        <v>#DIV/0!</v>
      </c>
      <c r="AD136" s="56" t="e">
        <f>AD135+ATM_Conf!$C$5*(O135-N135)/(Links!O$191*Links!AD$191)</f>
        <v>#DIV/0!</v>
      </c>
      <c r="AE136" s="56" t="e">
        <f>AE135+ATM_Conf!$C$5*(P135-O135)/(Links!P$191*Links!AE$191)</f>
        <v>#DIV/0!</v>
      </c>
      <c r="AF136" s="46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6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6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6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6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6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6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6" t="e">
        <f>AM135+(ATM_Conf!$C$5/ATM_Conf!$C$8)*(Links!BB135*EXP((-(Links!X135/Links!BQ135)^Links!CF135)/Links!CF135)-Links!AM135)+(ATM_Conf!$C$5/Links!X$191)*Links!AM135*(Nodes!BH135-Links!AM135)</f>
        <v>#DIV/0!</v>
      </c>
      <c r="AN136" s="46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6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6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6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6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6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6" t="e">
        <f>AT135+(ATM_Conf!$C$5/ATM_Conf!$C$8)*(Links!BI135*EXP((-(Links!AE135/Links!BX135)^Links!CM135)/Links!CM135)-Links!AT135)+(ATM_Conf!$C$5/Links!AE$191)*Links!AT135*(Nodes!BN135-Links!AT135)</f>
        <v>#DIV/0!</v>
      </c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46"/>
      <c r="BK136" s="46"/>
      <c r="BL136" s="46"/>
      <c r="BM136" s="46"/>
      <c r="BN136" s="46"/>
      <c r="BO136" s="46"/>
      <c r="BP136" s="46"/>
      <c r="BQ136" s="46"/>
      <c r="BR136" s="46"/>
      <c r="BS136" s="46"/>
      <c r="BT136" s="46"/>
      <c r="BU136" s="46"/>
      <c r="BV136" s="46"/>
      <c r="BW136" s="46"/>
      <c r="BX136" s="4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46">
        <f>CN$135</f>
        <v>0</v>
      </c>
      <c r="CO136" s="46">
        <f t="shared" ref="CO136:DB136" si="79">CO$135</f>
        <v>0</v>
      </c>
      <c r="CP136" s="46">
        <f t="shared" si="79"/>
        <v>0</v>
      </c>
      <c r="CQ136" s="46">
        <f t="shared" si="79"/>
        <v>0</v>
      </c>
      <c r="CR136" s="46">
        <f t="shared" si="79"/>
        <v>0</v>
      </c>
      <c r="CS136" s="46">
        <f t="shared" si="79"/>
        <v>0</v>
      </c>
      <c r="CT136" s="46">
        <f t="shared" si="79"/>
        <v>0</v>
      </c>
      <c r="CU136" s="46">
        <f t="shared" si="79"/>
        <v>0</v>
      </c>
      <c r="CV136" s="46">
        <f t="shared" si="79"/>
        <v>0</v>
      </c>
      <c r="CW136" s="46">
        <f t="shared" si="79"/>
        <v>0</v>
      </c>
      <c r="CX136" s="46">
        <f t="shared" si="79"/>
        <v>0</v>
      </c>
      <c r="CY136" s="46">
        <f t="shared" si="79"/>
        <v>0</v>
      </c>
      <c r="CZ136" s="46">
        <f t="shared" si="79"/>
        <v>0</v>
      </c>
      <c r="DA136" s="46">
        <f t="shared" si="79"/>
        <v>0</v>
      </c>
      <c r="DB136" s="46">
        <f t="shared" si="79"/>
        <v>0</v>
      </c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Q136" s="54"/>
    </row>
    <row r="137" spans="1:121" ht="14.25" x14ac:dyDescent="0.15">
      <c r="A137" s="49">
        <v>135</v>
      </c>
      <c r="B137" s="46" t="e">
        <f t="shared" si="63"/>
        <v>#DIV/0!</v>
      </c>
      <c r="C137" s="46" t="e">
        <f t="shared" si="64"/>
        <v>#DIV/0!</v>
      </c>
      <c r="D137" s="46" t="e">
        <f t="shared" si="65"/>
        <v>#DIV/0!</v>
      </c>
      <c r="E137" s="46" t="e">
        <f t="shared" si="66"/>
        <v>#DIV/0!</v>
      </c>
      <c r="F137" s="46" t="e">
        <f t="shared" si="67"/>
        <v>#DIV/0!</v>
      </c>
      <c r="G137" s="46" t="e">
        <f t="shared" si="68"/>
        <v>#DIV/0!</v>
      </c>
      <c r="H137" s="46" t="e">
        <f t="shared" si="69"/>
        <v>#DIV/0!</v>
      </c>
      <c r="I137" s="46" t="e">
        <f t="shared" si="70"/>
        <v>#DIV/0!</v>
      </c>
      <c r="J137" s="46" t="e">
        <f t="shared" si="71"/>
        <v>#DIV/0!</v>
      </c>
      <c r="K137" s="46" t="e">
        <f t="shared" si="72"/>
        <v>#DIV/0!</v>
      </c>
      <c r="L137" s="46" t="e">
        <f t="shared" si="73"/>
        <v>#DIV/0!</v>
      </c>
      <c r="M137" s="46" t="e">
        <f t="shared" si="74"/>
        <v>#DIV/0!</v>
      </c>
      <c r="N137" s="46" t="e">
        <f t="shared" si="75"/>
        <v>#DIV/0!</v>
      </c>
      <c r="O137" s="46" t="e">
        <f t="shared" si="76"/>
        <v>#DIV/0!</v>
      </c>
      <c r="P137" s="46" t="e">
        <f t="shared" si="77"/>
        <v>#DIV/0!</v>
      </c>
      <c r="Q137" s="56" t="e">
        <f>Q136+ATM_Conf!$C$5*(B136)/(Links!B$191*Links!Q$191)</f>
        <v>#DIV/0!</v>
      </c>
      <c r="R137" s="56" t="e">
        <f>R136+ATM_Conf!$C$5*(C136-B136)/(Links!C$191*Links!R$191)</f>
        <v>#DIV/0!</v>
      </c>
      <c r="S137" s="56" t="e">
        <f>S136+ATM_Conf!$C$5*(D136-C136)/(Links!D$191*Links!S$191)</f>
        <v>#DIV/0!</v>
      </c>
      <c r="T137" s="56" t="e">
        <f>T136+ATM_Conf!$C$5*(E136-D136)/(Links!E$191*Links!T$191)</f>
        <v>#DIV/0!</v>
      </c>
      <c r="U137" s="56" t="e">
        <f>U136+ATM_Conf!$C$5*(F136-E136)/(Links!F$191*Links!U$191)</f>
        <v>#DIV/0!</v>
      </c>
      <c r="V137" s="56" t="e">
        <f>V136+ATM_Conf!$C$5*(G136-F136)/(Links!G$191*Links!V$191)</f>
        <v>#DIV/0!</v>
      </c>
      <c r="W137" s="56" t="e">
        <f>W136+ATM_Conf!$C$5*(H136-G136)/(Links!H$191*Links!W$191)</f>
        <v>#DIV/0!</v>
      </c>
      <c r="X137" s="56" t="e">
        <f>X136+ATM_Conf!$C$5*(I136-H136)/(Links!I$191*Links!X$191)</f>
        <v>#DIV/0!</v>
      </c>
      <c r="Y137" s="56" t="e">
        <f>Y136+ATM_Conf!$C$5*(J136)/(Links!J$191*Links!Y$191)</f>
        <v>#DIV/0!</v>
      </c>
      <c r="Z137" s="56" t="e">
        <f>Z136+ATM_Conf!$C$5*(K136-J136)/(Links!K$191*Links!Z$191)</f>
        <v>#DIV/0!</v>
      </c>
      <c r="AA137" s="56" t="e">
        <f>AA136+ATM_Conf!$C$5*(L136-K136)/(Links!L$191*Links!AA$191)</f>
        <v>#DIV/0!</v>
      </c>
      <c r="AB137" s="56" t="e">
        <f>AB136+ATM_Conf!$C$5*(M136-L136)/(Links!M$191*Links!AB$191)</f>
        <v>#DIV/0!</v>
      </c>
      <c r="AC137" s="56" t="e">
        <f>AC136+ATM_Conf!$C$5*(N136-M136)/(Links!N$191*Links!AC$191)</f>
        <v>#DIV/0!</v>
      </c>
      <c r="AD137" s="56" t="e">
        <f>AD136+ATM_Conf!$C$5*(O136-N136)/(Links!O$191*Links!AD$191)</f>
        <v>#DIV/0!</v>
      </c>
      <c r="AE137" s="56" t="e">
        <f>AE136+ATM_Conf!$C$5*(P136-O136)/(Links!P$191*Links!AE$191)</f>
        <v>#DIV/0!</v>
      </c>
      <c r="AF137" s="46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6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6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6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6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6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6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6" t="e">
        <f>AM136+(ATM_Conf!$C$5/ATM_Conf!$C$8)*(Links!BB136*EXP((-(Links!X136/Links!BQ136)^Links!CF136)/Links!CF136)-Links!AM136)+(ATM_Conf!$C$5/Links!X$191)*Links!AM136*(Nodes!BH136-Links!AM136)</f>
        <v>#DIV/0!</v>
      </c>
      <c r="AN137" s="46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6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6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6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6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6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6" t="e">
        <f>AT136+(ATM_Conf!$C$5/ATM_Conf!$C$8)*(Links!BI136*EXP((-(Links!AE136/Links!BX136)^Links!CM136)/Links!CM136)-Links!AT136)+(ATM_Conf!$C$5/Links!AE$191)*Links!AT136*(Nodes!BN136-Links!AT136)</f>
        <v>#DIV/0!</v>
      </c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46"/>
      <c r="BK137" s="46"/>
      <c r="BL137" s="46"/>
      <c r="BM137" s="46"/>
      <c r="BN137" s="46"/>
      <c r="BO137" s="46"/>
      <c r="BP137" s="46"/>
      <c r="BQ137" s="46"/>
      <c r="BR137" s="46"/>
      <c r="BS137" s="46"/>
      <c r="BT137" s="46"/>
      <c r="BU137" s="46"/>
      <c r="BV137" s="46"/>
      <c r="BW137" s="46"/>
      <c r="BX137" s="4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46">
        <f t="shared" ref="CN137:DB146" si="80">CN$135</f>
        <v>0</v>
      </c>
      <c r="CO137" s="46">
        <f t="shared" si="80"/>
        <v>0</v>
      </c>
      <c r="CP137" s="46">
        <f t="shared" si="80"/>
        <v>0</v>
      </c>
      <c r="CQ137" s="46">
        <f t="shared" si="80"/>
        <v>0</v>
      </c>
      <c r="CR137" s="46">
        <f t="shared" si="80"/>
        <v>0</v>
      </c>
      <c r="CS137" s="46">
        <f t="shared" si="80"/>
        <v>0</v>
      </c>
      <c r="CT137" s="46">
        <f t="shared" si="80"/>
        <v>0</v>
      </c>
      <c r="CU137" s="46">
        <f t="shared" si="80"/>
        <v>0</v>
      </c>
      <c r="CV137" s="46">
        <f t="shared" si="80"/>
        <v>0</v>
      </c>
      <c r="CW137" s="46">
        <f t="shared" si="80"/>
        <v>0</v>
      </c>
      <c r="CX137" s="46">
        <f t="shared" si="80"/>
        <v>0</v>
      </c>
      <c r="CY137" s="46">
        <f t="shared" si="80"/>
        <v>0</v>
      </c>
      <c r="CZ137" s="46">
        <f t="shared" si="80"/>
        <v>0</v>
      </c>
      <c r="DA137" s="46">
        <f t="shared" si="80"/>
        <v>0</v>
      </c>
      <c r="DB137" s="46">
        <f t="shared" si="80"/>
        <v>0</v>
      </c>
      <c r="DC137" s="54"/>
      <c r="DD137" s="54"/>
      <c r="DE137" s="54"/>
      <c r="DF137" s="54"/>
      <c r="DG137" s="54"/>
      <c r="DH137" s="54"/>
      <c r="DI137" s="54"/>
      <c r="DJ137" s="54"/>
      <c r="DK137" s="54"/>
      <c r="DL137" s="54"/>
      <c r="DM137" s="54"/>
      <c r="DN137" s="54"/>
      <c r="DO137" s="54"/>
      <c r="DP137" s="54"/>
      <c r="DQ137" s="54"/>
    </row>
    <row r="138" spans="1:121" ht="14.25" x14ac:dyDescent="0.15">
      <c r="A138" s="49">
        <v>136</v>
      </c>
      <c r="B138" s="46" t="e">
        <f t="shared" si="63"/>
        <v>#DIV/0!</v>
      </c>
      <c r="C138" s="46" t="e">
        <f t="shared" si="64"/>
        <v>#DIV/0!</v>
      </c>
      <c r="D138" s="46" t="e">
        <f t="shared" si="65"/>
        <v>#DIV/0!</v>
      </c>
      <c r="E138" s="46" t="e">
        <f t="shared" si="66"/>
        <v>#DIV/0!</v>
      </c>
      <c r="F138" s="46" t="e">
        <f t="shared" si="67"/>
        <v>#DIV/0!</v>
      </c>
      <c r="G138" s="46" t="e">
        <f t="shared" si="68"/>
        <v>#DIV/0!</v>
      </c>
      <c r="H138" s="46" t="e">
        <f t="shared" si="69"/>
        <v>#DIV/0!</v>
      </c>
      <c r="I138" s="46" t="e">
        <f t="shared" si="70"/>
        <v>#DIV/0!</v>
      </c>
      <c r="J138" s="46" t="e">
        <f t="shared" si="71"/>
        <v>#DIV/0!</v>
      </c>
      <c r="K138" s="46" t="e">
        <f t="shared" si="72"/>
        <v>#DIV/0!</v>
      </c>
      <c r="L138" s="46" t="e">
        <f t="shared" si="73"/>
        <v>#DIV/0!</v>
      </c>
      <c r="M138" s="46" t="e">
        <f t="shared" si="74"/>
        <v>#DIV/0!</v>
      </c>
      <c r="N138" s="46" t="e">
        <f t="shared" si="75"/>
        <v>#DIV/0!</v>
      </c>
      <c r="O138" s="46" t="e">
        <f t="shared" si="76"/>
        <v>#DIV/0!</v>
      </c>
      <c r="P138" s="46" t="e">
        <f t="shared" si="77"/>
        <v>#DIV/0!</v>
      </c>
      <c r="Q138" s="56" t="e">
        <f>Q137+ATM_Conf!$C$5*(B137)/(Links!B$191*Links!Q$191)</f>
        <v>#DIV/0!</v>
      </c>
      <c r="R138" s="56" t="e">
        <f>R137+ATM_Conf!$C$5*(C137-B137)/(Links!C$191*Links!R$191)</f>
        <v>#DIV/0!</v>
      </c>
      <c r="S138" s="56" t="e">
        <f>S137+ATM_Conf!$C$5*(D137-C137)/(Links!D$191*Links!S$191)</f>
        <v>#DIV/0!</v>
      </c>
      <c r="T138" s="56" t="e">
        <f>T137+ATM_Conf!$C$5*(E137-D137)/(Links!E$191*Links!T$191)</f>
        <v>#DIV/0!</v>
      </c>
      <c r="U138" s="56" t="e">
        <f>U137+ATM_Conf!$C$5*(F137-E137)/(Links!F$191*Links!U$191)</f>
        <v>#DIV/0!</v>
      </c>
      <c r="V138" s="56" t="e">
        <f>V137+ATM_Conf!$C$5*(G137-F137)/(Links!G$191*Links!V$191)</f>
        <v>#DIV/0!</v>
      </c>
      <c r="W138" s="56" t="e">
        <f>W137+ATM_Conf!$C$5*(H137-G137)/(Links!H$191*Links!W$191)</f>
        <v>#DIV/0!</v>
      </c>
      <c r="X138" s="56" t="e">
        <f>X137+ATM_Conf!$C$5*(I137-H137)/(Links!I$191*Links!X$191)</f>
        <v>#DIV/0!</v>
      </c>
      <c r="Y138" s="56" t="e">
        <f>Y137+ATM_Conf!$C$5*(J137)/(Links!J$191*Links!Y$191)</f>
        <v>#DIV/0!</v>
      </c>
      <c r="Z138" s="56" t="e">
        <f>Z137+ATM_Conf!$C$5*(K137-J137)/(Links!K$191*Links!Z$191)</f>
        <v>#DIV/0!</v>
      </c>
      <c r="AA138" s="56" t="e">
        <f>AA137+ATM_Conf!$C$5*(L137-K137)/(Links!L$191*Links!AA$191)</f>
        <v>#DIV/0!</v>
      </c>
      <c r="AB138" s="56" t="e">
        <f>AB137+ATM_Conf!$C$5*(M137-L137)/(Links!M$191*Links!AB$191)</f>
        <v>#DIV/0!</v>
      </c>
      <c r="AC138" s="56" t="e">
        <f>AC137+ATM_Conf!$C$5*(N137-M137)/(Links!N$191*Links!AC$191)</f>
        <v>#DIV/0!</v>
      </c>
      <c r="AD138" s="56" t="e">
        <f>AD137+ATM_Conf!$C$5*(O137-N137)/(Links!O$191*Links!AD$191)</f>
        <v>#DIV/0!</v>
      </c>
      <c r="AE138" s="56" t="e">
        <f>AE137+ATM_Conf!$C$5*(P137-O137)/(Links!P$191*Links!AE$191)</f>
        <v>#DIV/0!</v>
      </c>
      <c r="AF138" s="46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6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6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6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6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6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6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6" t="e">
        <f>AM137+(ATM_Conf!$C$5/ATM_Conf!$C$8)*(Links!BB137*EXP((-(Links!X137/Links!BQ137)^Links!CF137)/Links!CF137)-Links!AM137)+(ATM_Conf!$C$5/Links!X$191)*Links!AM137*(Nodes!BH137-Links!AM137)</f>
        <v>#DIV/0!</v>
      </c>
      <c r="AN138" s="46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6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6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6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6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6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6" t="e">
        <f>AT137+(ATM_Conf!$C$5/ATM_Conf!$C$8)*(Links!BI137*EXP((-(Links!AE137/Links!BX137)^Links!CM137)/Links!CM137)-Links!AT137)+(ATM_Conf!$C$5/Links!AE$191)*Links!AT137*(Nodes!BN137-Links!AT137)</f>
        <v>#DIV/0!</v>
      </c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46"/>
      <c r="BK138" s="46"/>
      <c r="BL138" s="46"/>
      <c r="BM138" s="46"/>
      <c r="BN138" s="46"/>
      <c r="BO138" s="46"/>
      <c r="BP138" s="46"/>
      <c r="BQ138" s="46"/>
      <c r="BR138" s="46"/>
      <c r="BS138" s="46"/>
      <c r="BT138" s="46"/>
      <c r="BU138" s="46"/>
      <c r="BV138" s="46"/>
      <c r="BW138" s="46"/>
      <c r="BX138" s="4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46">
        <f t="shared" si="80"/>
        <v>0</v>
      </c>
      <c r="CO138" s="46">
        <f t="shared" si="80"/>
        <v>0</v>
      </c>
      <c r="CP138" s="46">
        <f t="shared" si="80"/>
        <v>0</v>
      </c>
      <c r="CQ138" s="46">
        <f t="shared" si="80"/>
        <v>0</v>
      </c>
      <c r="CR138" s="46">
        <f t="shared" si="80"/>
        <v>0</v>
      </c>
      <c r="CS138" s="46">
        <f t="shared" si="80"/>
        <v>0</v>
      </c>
      <c r="CT138" s="46">
        <f t="shared" si="80"/>
        <v>0</v>
      </c>
      <c r="CU138" s="46">
        <f t="shared" si="80"/>
        <v>0</v>
      </c>
      <c r="CV138" s="46">
        <f t="shared" si="80"/>
        <v>0</v>
      </c>
      <c r="CW138" s="46">
        <f t="shared" si="80"/>
        <v>0</v>
      </c>
      <c r="CX138" s="46">
        <f t="shared" si="80"/>
        <v>0</v>
      </c>
      <c r="CY138" s="46">
        <f t="shared" si="80"/>
        <v>0</v>
      </c>
      <c r="CZ138" s="46">
        <f t="shared" si="80"/>
        <v>0</v>
      </c>
      <c r="DA138" s="46">
        <f t="shared" si="80"/>
        <v>0</v>
      </c>
      <c r="DB138" s="46">
        <f t="shared" si="80"/>
        <v>0</v>
      </c>
      <c r="DC138" s="54"/>
      <c r="DD138" s="54"/>
      <c r="DE138" s="54"/>
      <c r="DF138" s="54"/>
      <c r="DG138" s="54"/>
      <c r="DH138" s="54"/>
      <c r="DI138" s="54"/>
      <c r="DJ138" s="54"/>
      <c r="DK138" s="54"/>
      <c r="DL138" s="54"/>
      <c r="DM138" s="54"/>
      <c r="DN138" s="54"/>
      <c r="DO138" s="54"/>
      <c r="DP138" s="54"/>
      <c r="DQ138" s="54"/>
    </row>
    <row r="139" spans="1:121" ht="14.25" x14ac:dyDescent="0.15">
      <c r="A139" s="49">
        <v>137</v>
      </c>
      <c r="B139" s="46" t="e">
        <f t="shared" si="63"/>
        <v>#DIV/0!</v>
      </c>
      <c r="C139" s="46" t="e">
        <f t="shared" si="64"/>
        <v>#DIV/0!</v>
      </c>
      <c r="D139" s="46" t="e">
        <f t="shared" si="65"/>
        <v>#DIV/0!</v>
      </c>
      <c r="E139" s="46" t="e">
        <f t="shared" si="66"/>
        <v>#DIV/0!</v>
      </c>
      <c r="F139" s="46" t="e">
        <f t="shared" si="67"/>
        <v>#DIV/0!</v>
      </c>
      <c r="G139" s="46" t="e">
        <f t="shared" si="68"/>
        <v>#DIV/0!</v>
      </c>
      <c r="H139" s="46" t="e">
        <f t="shared" si="69"/>
        <v>#DIV/0!</v>
      </c>
      <c r="I139" s="46" t="e">
        <f t="shared" si="70"/>
        <v>#DIV/0!</v>
      </c>
      <c r="J139" s="46" t="e">
        <f t="shared" si="71"/>
        <v>#DIV/0!</v>
      </c>
      <c r="K139" s="46" t="e">
        <f t="shared" si="72"/>
        <v>#DIV/0!</v>
      </c>
      <c r="L139" s="46" t="e">
        <f t="shared" si="73"/>
        <v>#DIV/0!</v>
      </c>
      <c r="M139" s="46" t="e">
        <f t="shared" si="74"/>
        <v>#DIV/0!</v>
      </c>
      <c r="N139" s="46" t="e">
        <f t="shared" si="75"/>
        <v>#DIV/0!</v>
      </c>
      <c r="O139" s="46" t="e">
        <f t="shared" si="76"/>
        <v>#DIV/0!</v>
      </c>
      <c r="P139" s="46" t="e">
        <f t="shared" si="77"/>
        <v>#DIV/0!</v>
      </c>
      <c r="Q139" s="56" t="e">
        <f>Q138+ATM_Conf!$C$5*(B138)/(Links!B$191*Links!Q$191)</f>
        <v>#DIV/0!</v>
      </c>
      <c r="R139" s="56" t="e">
        <f>R138+ATM_Conf!$C$5*(C138-B138)/(Links!C$191*Links!R$191)</f>
        <v>#DIV/0!</v>
      </c>
      <c r="S139" s="56" t="e">
        <f>S138+ATM_Conf!$C$5*(D138-C138)/(Links!D$191*Links!S$191)</f>
        <v>#DIV/0!</v>
      </c>
      <c r="T139" s="56" t="e">
        <f>T138+ATM_Conf!$C$5*(E138-D138)/(Links!E$191*Links!T$191)</f>
        <v>#DIV/0!</v>
      </c>
      <c r="U139" s="56" t="e">
        <f>U138+ATM_Conf!$C$5*(F138-E138)/(Links!F$191*Links!U$191)</f>
        <v>#DIV/0!</v>
      </c>
      <c r="V139" s="56" t="e">
        <f>V138+ATM_Conf!$C$5*(G138-F138)/(Links!G$191*Links!V$191)</f>
        <v>#DIV/0!</v>
      </c>
      <c r="W139" s="56" t="e">
        <f>W138+ATM_Conf!$C$5*(H138-G138)/(Links!H$191*Links!W$191)</f>
        <v>#DIV/0!</v>
      </c>
      <c r="X139" s="56" t="e">
        <f>X138+ATM_Conf!$C$5*(I138-H138)/(Links!I$191*Links!X$191)</f>
        <v>#DIV/0!</v>
      </c>
      <c r="Y139" s="56" t="e">
        <f>Y138+ATM_Conf!$C$5*(J138)/(Links!J$191*Links!Y$191)</f>
        <v>#DIV/0!</v>
      </c>
      <c r="Z139" s="56" t="e">
        <f>Z138+ATM_Conf!$C$5*(K138-J138)/(Links!K$191*Links!Z$191)</f>
        <v>#DIV/0!</v>
      </c>
      <c r="AA139" s="56" t="e">
        <f>AA138+ATM_Conf!$C$5*(L138-K138)/(Links!L$191*Links!AA$191)</f>
        <v>#DIV/0!</v>
      </c>
      <c r="AB139" s="56" t="e">
        <f>AB138+ATM_Conf!$C$5*(M138-L138)/(Links!M$191*Links!AB$191)</f>
        <v>#DIV/0!</v>
      </c>
      <c r="AC139" s="56" t="e">
        <f>AC138+ATM_Conf!$C$5*(N138-M138)/(Links!N$191*Links!AC$191)</f>
        <v>#DIV/0!</v>
      </c>
      <c r="AD139" s="56" t="e">
        <f>AD138+ATM_Conf!$C$5*(O138-N138)/(Links!O$191*Links!AD$191)</f>
        <v>#DIV/0!</v>
      </c>
      <c r="AE139" s="56" t="e">
        <f>AE138+ATM_Conf!$C$5*(P138-O138)/(Links!P$191*Links!AE$191)</f>
        <v>#DIV/0!</v>
      </c>
      <c r="AF139" s="46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6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6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6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6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6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6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6" t="e">
        <f>AM138+(ATM_Conf!$C$5/ATM_Conf!$C$8)*(Links!BB138*EXP((-(Links!X138/Links!BQ138)^Links!CF138)/Links!CF138)-Links!AM138)+(ATM_Conf!$C$5/Links!X$191)*Links!AM138*(Nodes!BH138-Links!AM138)</f>
        <v>#DIV/0!</v>
      </c>
      <c r="AN139" s="46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6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6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6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6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6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6" t="e">
        <f>AT138+(ATM_Conf!$C$5/ATM_Conf!$C$8)*(Links!BI138*EXP((-(Links!AE138/Links!BX138)^Links!CM138)/Links!CM138)-Links!AT138)+(ATM_Conf!$C$5/Links!AE$191)*Links!AT138*(Nodes!BN138-Links!AT138)</f>
        <v>#DIV/0!</v>
      </c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46"/>
      <c r="BK139" s="46"/>
      <c r="BL139" s="46"/>
      <c r="BM139" s="46"/>
      <c r="BN139" s="46"/>
      <c r="BO139" s="46"/>
      <c r="BP139" s="46"/>
      <c r="BQ139" s="46"/>
      <c r="BR139" s="46"/>
      <c r="BS139" s="46"/>
      <c r="BT139" s="46"/>
      <c r="BU139" s="46"/>
      <c r="BV139" s="46"/>
      <c r="BW139" s="46"/>
      <c r="BX139" s="4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46">
        <f t="shared" si="80"/>
        <v>0</v>
      </c>
      <c r="CO139" s="46">
        <f t="shared" si="80"/>
        <v>0</v>
      </c>
      <c r="CP139" s="46">
        <f t="shared" si="80"/>
        <v>0</v>
      </c>
      <c r="CQ139" s="46">
        <f t="shared" si="80"/>
        <v>0</v>
      </c>
      <c r="CR139" s="46">
        <f t="shared" si="80"/>
        <v>0</v>
      </c>
      <c r="CS139" s="46">
        <f t="shared" si="80"/>
        <v>0</v>
      </c>
      <c r="CT139" s="46">
        <f t="shared" si="80"/>
        <v>0</v>
      </c>
      <c r="CU139" s="46">
        <f t="shared" si="80"/>
        <v>0</v>
      </c>
      <c r="CV139" s="46">
        <f t="shared" si="80"/>
        <v>0</v>
      </c>
      <c r="CW139" s="46">
        <f t="shared" si="80"/>
        <v>0</v>
      </c>
      <c r="CX139" s="46">
        <f t="shared" si="80"/>
        <v>0</v>
      </c>
      <c r="CY139" s="46">
        <f t="shared" si="80"/>
        <v>0</v>
      </c>
      <c r="CZ139" s="46">
        <f t="shared" si="80"/>
        <v>0</v>
      </c>
      <c r="DA139" s="46">
        <f t="shared" si="80"/>
        <v>0</v>
      </c>
      <c r="DB139" s="46">
        <f t="shared" si="80"/>
        <v>0</v>
      </c>
      <c r="DC139" s="54"/>
      <c r="DD139" s="54"/>
      <c r="DE139" s="54"/>
      <c r="DF139" s="54"/>
      <c r="DG139" s="54"/>
      <c r="DH139" s="54"/>
      <c r="DI139" s="54"/>
      <c r="DJ139" s="54"/>
      <c r="DK139" s="54"/>
      <c r="DL139" s="54"/>
      <c r="DM139" s="54"/>
      <c r="DN139" s="54"/>
      <c r="DO139" s="54"/>
      <c r="DP139" s="54"/>
      <c r="DQ139" s="54"/>
    </row>
    <row r="140" spans="1:121" ht="14.25" x14ac:dyDescent="0.15">
      <c r="A140" s="49">
        <v>138</v>
      </c>
      <c r="B140" s="46" t="e">
        <f t="shared" si="63"/>
        <v>#DIV/0!</v>
      </c>
      <c r="C140" s="46" t="e">
        <f t="shared" si="64"/>
        <v>#DIV/0!</v>
      </c>
      <c r="D140" s="46" t="e">
        <f t="shared" si="65"/>
        <v>#DIV/0!</v>
      </c>
      <c r="E140" s="46" t="e">
        <f t="shared" si="66"/>
        <v>#DIV/0!</v>
      </c>
      <c r="F140" s="46" t="e">
        <f t="shared" si="67"/>
        <v>#DIV/0!</v>
      </c>
      <c r="G140" s="46" t="e">
        <f t="shared" si="68"/>
        <v>#DIV/0!</v>
      </c>
      <c r="H140" s="46" t="e">
        <f t="shared" si="69"/>
        <v>#DIV/0!</v>
      </c>
      <c r="I140" s="46" t="e">
        <f t="shared" si="70"/>
        <v>#DIV/0!</v>
      </c>
      <c r="J140" s="46" t="e">
        <f t="shared" si="71"/>
        <v>#DIV/0!</v>
      </c>
      <c r="K140" s="46" t="e">
        <f t="shared" si="72"/>
        <v>#DIV/0!</v>
      </c>
      <c r="L140" s="46" t="e">
        <f t="shared" si="73"/>
        <v>#DIV/0!</v>
      </c>
      <c r="M140" s="46" t="e">
        <f t="shared" si="74"/>
        <v>#DIV/0!</v>
      </c>
      <c r="N140" s="46" t="e">
        <f t="shared" si="75"/>
        <v>#DIV/0!</v>
      </c>
      <c r="O140" s="46" t="e">
        <f t="shared" si="76"/>
        <v>#DIV/0!</v>
      </c>
      <c r="P140" s="46" t="e">
        <f t="shared" si="77"/>
        <v>#DIV/0!</v>
      </c>
      <c r="Q140" s="56" t="e">
        <f>Q139+ATM_Conf!$C$5*(B139)/(Links!B$191*Links!Q$191)</f>
        <v>#DIV/0!</v>
      </c>
      <c r="R140" s="56" t="e">
        <f>R139+ATM_Conf!$C$5*(C139-B139)/(Links!C$191*Links!R$191)</f>
        <v>#DIV/0!</v>
      </c>
      <c r="S140" s="56" t="e">
        <f>S139+ATM_Conf!$C$5*(D139-C139)/(Links!D$191*Links!S$191)</f>
        <v>#DIV/0!</v>
      </c>
      <c r="T140" s="56" t="e">
        <f>T139+ATM_Conf!$C$5*(E139-D139)/(Links!E$191*Links!T$191)</f>
        <v>#DIV/0!</v>
      </c>
      <c r="U140" s="56" t="e">
        <f>U139+ATM_Conf!$C$5*(F139-E139)/(Links!F$191*Links!U$191)</f>
        <v>#DIV/0!</v>
      </c>
      <c r="V140" s="56" t="e">
        <f>V139+ATM_Conf!$C$5*(G139-F139)/(Links!G$191*Links!V$191)</f>
        <v>#DIV/0!</v>
      </c>
      <c r="W140" s="56" t="e">
        <f>W139+ATM_Conf!$C$5*(H139-G139)/(Links!H$191*Links!W$191)</f>
        <v>#DIV/0!</v>
      </c>
      <c r="X140" s="56" t="e">
        <f>X139+ATM_Conf!$C$5*(I139-H139)/(Links!I$191*Links!X$191)</f>
        <v>#DIV/0!</v>
      </c>
      <c r="Y140" s="56" t="e">
        <f>Y139+ATM_Conf!$C$5*(J139)/(Links!J$191*Links!Y$191)</f>
        <v>#DIV/0!</v>
      </c>
      <c r="Z140" s="56" t="e">
        <f>Z139+ATM_Conf!$C$5*(K139-J139)/(Links!K$191*Links!Z$191)</f>
        <v>#DIV/0!</v>
      </c>
      <c r="AA140" s="56" t="e">
        <f>AA139+ATM_Conf!$C$5*(L139-K139)/(Links!L$191*Links!AA$191)</f>
        <v>#DIV/0!</v>
      </c>
      <c r="AB140" s="56" t="e">
        <f>AB139+ATM_Conf!$C$5*(M139-L139)/(Links!M$191*Links!AB$191)</f>
        <v>#DIV/0!</v>
      </c>
      <c r="AC140" s="56" t="e">
        <f>AC139+ATM_Conf!$C$5*(N139-M139)/(Links!N$191*Links!AC$191)</f>
        <v>#DIV/0!</v>
      </c>
      <c r="AD140" s="56" t="e">
        <f>AD139+ATM_Conf!$C$5*(O139-N139)/(Links!O$191*Links!AD$191)</f>
        <v>#DIV/0!</v>
      </c>
      <c r="AE140" s="56" t="e">
        <f>AE139+ATM_Conf!$C$5*(P139-O139)/(Links!P$191*Links!AE$191)</f>
        <v>#DIV/0!</v>
      </c>
      <c r="AF140" s="46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6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6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6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6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6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6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6" t="e">
        <f>AM139+(ATM_Conf!$C$5/ATM_Conf!$C$8)*(Links!BB139*EXP((-(Links!X139/Links!BQ139)^Links!CF139)/Links!CF139)-Links!AM139)+(ATM_Conf!$C$5/Links!X$191)*Links!AM139*(Nodes!BH139-Links!AM139)</f>
        <v>#DIV/0!</v>
      </c>
      <c r="AN140" s="46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6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6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6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6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6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6" t="e">
        <f>AT139+(ATM_Conf!$C$5/ATM_Conf!$C$8)*(Links!BI139*EXP((-(Links!AE139/Links!BX139)^Links!CM139)/Links!CM139)-Links!AT139)+(ATM_Conf!$C$5/Links!AE$191)*Links!AT139*(Nodes!BN139-Links!AT139)</f>
        <v>#DIV/0!</v>
      </c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46"/>
      <c r="BK140" s="46"/>
      <c r="BL140" s="46"/>
      <c r="BM140" s="46"/>
      <c r="BN140" s="46"/>
      <c r="BO140" s="46"/>
      <c r="BP140" s="46"/>
      <c r="BQ140" s="46"/>
      <c r="BR140" s="46"/>
      <c r="BS140" s="46"/>
      <c r="BT140" s="46"/>
      <c r="BU140" s="46"/>
      <c r="BV140" s="46"/>
      <c r="BW140" s="46"/>
      <c r="BX140" s="4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46">
        <f t="shared" si="80"/>
        <v>0</v>
      </c>
      <c r="CO140" s="46">
        <f t="shared" si="80"/>
        <v>0</v>
      </c>
      <c r="CP140" s="46">
        <f t="shared" si="80"/>
        <v>0</v>
      </c>
      <c r="CQ140" s="46">
        <f t="shared" si="80"/>
        <v>0</v>
      </c>
      <c r="CR140" s="46">
        <f t="shared" si="80"/>
        <v>0</v>
      </c>
      <c r="CS140" s="46">
        <f t="shared" si="80"/>
        <v>0</v>
      </c>
      <c r="CT140" s="46">
        <f t="shared" si="80"/>
        <v>0</v>
      </c>
      <c r="CU140" s="46">
        <f t="shared" si="80"/>
        <v>0</v>
      </c>
      <c r="CV140" s="46">
        <f t="shared" si="80"/>
        <v>0</v>
      </c>
      <c r="CW140" s="46">
        <f t="shared" si="80"/>
        <v>0</v>
      </c>
      <c r="CX140" s="46">
        <f t="shared" si="80"/>
        <v>0</v>
      </c>
      <c r="CY140" s="46">
        <f t="shared" si="80"/>
        <v>0</v>
      </c>
      <c r="CZ140" s="46">
        <f t="shared" si="80"/>
        <v>0</v>
      </c>
      <c r="DA140" s="46">
        <f t="shared" si="80"/>
        <v>0</v>
      </c>
      <c r="DB140" s="46">
        <f t="shared" si="80"/>
        <v>0</v>
      </c>
      <c r="DC140" s="54"/>
      <c r="DD140" s="54"/>
      <c r="DE140" s="54"/>
      <c r="DF140" s="54"/>
      <c r="DG140" s="54"/>
      <c r="DH140" s="54"/>
      <c r="DI140" s="54"/>
      <c r="DJ140" s="54"/>
      <c r="DK140" s="54"/>
      <c r="DL140" s="54"/>
      <c r="DM140" s="54"/>
      <c r="DN140" s="54"/>
      <c r="DO140" s="54"/>
      <c r="DP140" s="54"/>
      <c r="DQ140" s="54"/>
    </row>
    <row r="141" spans="1:121" ht="14.25" x14ac:dyDescent="0.15">
      <c r="A141" s="49">
        <v>139</v>
      </c>
      <c r="B141" s="46" t="e">
        <f t="shared" si="63"/>
        <v>#DIV/0!</v>
      </c>
      <c r="C141" s="46" t="e">
        <f t="shared" si="64"/>
        <v>#DIV/0!</v>
      </c>
      <c r="D141" s="46" t="e">
        <f t="shared" si="65"/>
        <v>#DIV/0!</v>
      </c>
      <c r="E141" s="46" t="e">
        <f t="shared" si="66"/>
        <v>#DIV/0!</v>
      </c>
      <c r="F141" s="46" t="e">
        <f t="shared" si="67"/>
        <v>#DIV/0!</v>
      </c>
      <c r="G141" s="46" t="e">
        <f t="shared" si="68"/>
        <v>#DIV/0!</v>
      </c>
      <c r="H141" s="46" t="e">
        <f t="shared" si="69"/>
        <v>#DIV/0!</v>
      </c>
      <c r="I141" s="46" t="e">
        <f t="shared" si="70"/>
        <v>#DIV/0!</v>
      </c>
      <c r="J141" s="46" t="e">
        <f t="shared" si="71"/>
        <v>#DIV/0!</v>
      </c>
      <c r="K141" s="46" t="e">
        <f t="shared" si="72"/>
        <v>#DIV/0!</v>
      </c>
      <c r="L141" s="46" t="e">
        <f t="shared" si="73"/>
        <v>#DIV/0!</v>
      </c>
      <c r="M141" s="46" t="e">
        <f t="shared" si="74"/>
        <v>#DIV/0!</v>
      </c>
      <c r="N141" s="46" t="e">
        <f t="shared" si="75"/>
        <v>#DIV/0!</v>
      </c>
      <c r="O141" s="46" t="e">
        <f t="shared" si="76"/>
        <v>#DIV/0!</v>
      </c>
      <c r="P141" s="46" t="e">
        <f t="shared" si="77"/>
        <v>#DIV/0!</v>
      </c>
      <c r="Q141" s="56" t="e">
        <f>Q140+ATM_Conf!$C$5*(B140)/(Links!B$191*Links!Q$191)</f>
        <v>#DIV/0!</v>
      </c>
      <c r="R141" s="56" t="e">
        <f>R140+ATM_Conf!$C$5*(C140-B140)/(Links!C$191*Links!R$191)</f>
        <v>#DIV/0!</v>
      </c>
      <c r="S141" s="56" t="e">
        <f>S140+ATM_Conf!$C$5*(D140-C140)/(Links!D$191*Links!S$191)</f>
        <v>#DIV/0!</v>
      </c>
      <c r="T141" s="56" t="e">
        <f>T140+ATM_Conf!$C$5*(E140-D140)/(Links!E$191*Links!T$191)</f>
        <v>#DIV/0!</v>
      </c>
      <c r="U141" s="56" t="e">
        <f>U140+ATM_Conf!$C$5*(F140-E140)/(Links!F$191*Links!U$191)</f>
        <v>#DIV/0!</v>
      </c>
      <c r="V141" s="56" t="e">
        <f>V140+ATM_Conf!$C$5*(G140-F140)/(Links!G$191*Links!V$191)</f>
        <v>#DIV/0!</v>
      </c>
      <c r="W141" s="56" t="e">
        <f>W140+ATM_Conf!$C$5*(H140-G140)/(Links!H$191*Links!W$191)</f>
        <v>#DIV/0!</v>
      </c>
      <c r="X141" s="56" t="e">
        <f>X140+ATM_Conf!$C$5*(I140-H140)/(Links!I$191*Links!X$191)</f>
        <v>#DIV/0!</v>
      </c>
      <c r="Y141" s="56" t="e">
        <f>Y140+ATM_Conf!$C$5*(J140)/(Links!J$191*Links!Y$191)</f>
        <v>#DIV/0!</v>
      </c>
      <c r="Z141" s="56" t="e">
        <f>Z140+ATM_Conf!$C$5*(K140-J140)/(Links!K$191*Links!Z$191)</f>
        <v>#DIV/0!</v>
      </c>
      <c r="AA141" s="56" t="e">
        <f>AA140+ATM_Conf!$C$5*(L140-K140)/(Links!L$191*Links!AA$191)</f>
        <v>#DIV/0!</v>
      </c>
      <c r="AB141" s="56" t="e">
        <f>AB140+ATM_Conf!$C$5*(M140-L140)/(Links!M$191*Links!AB$191)</f>
        <v>#DIV/0!</v>
      </c>
      <c r="AC141" s="56" t="e">
        <f>AC140+ATM_Conf!$C$5*(N140-M140)/(Links!N$191*Links!AC$191)</f>
        <v>#DIV/0!</v>
      </c>
      <c r="AD141" s="56" t="e">
        <f>AD140+ATM_Conf!$C$5*(O140-N140)/(Links!O$191*Links!AD$191)</f>
        <v>#DIV/0!</v>
      </c>
      <c r="AE141" s="56" t="e">
        <f>AE140+ATM_Conf!$C$5*(P140-O140)/(Links!P$191*Links!AE$191)</f>
        <v>#DIV/0!</v>
      </c>
      <c r="AF141" s="46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6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6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6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6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6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6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6" t="e">
        <f>AM140+(ATM_Conf!$C$5/ATM_Conf!$C$8)*(Links!BB140*EXP((-(Links!X140/Links!BQ140)^Links!CF140)/Links!CF140)-Links!AM140)+(ATM_Conf!$C$5/Links!X$191)*Links!AM140*(Nodes!BH140-Links!AM140)</f>
        <v>#DIV/0!</v>
      </c>
      <c r="AN141" s="46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6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6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6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6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6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6" t="e">
        <f>AT140+(ATM_Conf!$C$5/ATM_Conf!$C$8)*(Links!BI140*EXP((-(Links!AE140/Links!BX140)^Links!CM140)/Links!CM140)-Links!AT140)+(ATM_Conf!$C$5/Links!AE$191)*Links!AT140*(Nodes!BN140-Links!AT140)</f>
        <v>#DIV/0!</v>
      </c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46"/>
      <c r="BK141" s="46"/>
      <c r="BL141" s="46"/>
      <c r="BM141" s="46"/>
      <c r="BN141" s="46"/>
      <c r="BO141" s="46"/>
      <c r="BP141" s="46"/>
      <c r="BQ141" s="46"/>
      <c r="BR141" s="46"/>
      <c r="BS141" s="46"/>
      <c r="BT141" s="46"/>
      <c r="BU141" s="46"/>
      <c r="BV141" s="46"/>
      <c r="BW141" s="46"/>
      <c r="BX141" s="4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46">
        <f t="shared" si="80"/>
        <v>0</v>
      </c>
      <c r="CO141" s="46">
        <f t="shared" si="80"/>
        <v>0</v>
      </c>
      <c r="CP141" s="46">
        <f t="shared" si="80"/>
        <v>0</v>
      </c>
      <c r="CQ141" s="46">
        <f t="shared" si="80"/>
        <v>0</v>
      </c>
      <c r="CR141" s="46">
        <f t="shared" si="80"/>
        <v>0</v>
      </c>
      <c r="CS141" s="46">
        <f t="shared" si="80"/>
        <v>0</v>
      </c>
      <c r="CT141" s="46">
        <f t="shared" si="80"/>
        <v>0</v>
      </c>
      <c r="CU141" s="46">
        <f t="shared" si="80"/>
        <v>0</v>
      </c>
      <c r="CV141" s="46">
        <f t="shared" si="80"/>
        <v>0</v>
      </c>
      <c r="CW141" s="46">
        <f t="shared" si="80"/>
        <v>0</v>
      </c>
      <c r="CX141" s="46">
        <f t="shared" si="80"/>
        <v>0</v>
      </c>
      <c r="CY141" s="46">
        <f t="shared" si="80"/>
        <v>0</v>
      </c>
      <c r="CZ141" s="46">
        <f t="shared" si="80"/>
        <v>0</v>
      </c>
      <c r="DA141" s="46">
        <f t="shared" si="80"/>
        <v>0</v>
      </c>
      <c r="DB141" s="46">
        <f t="shared" si="80"/>
        <v>0</v>
      </c>
      <c r="DC141" s="54"/>
      <c r="DD141" s="54"/>
      <c r="DE141" s="54"/>
      <c r="DF141" s="54"/>
      <c r="DG141" s="54"/>
      <c r="DH141" s="54"/>
      <c r="DI141" s="54"/>
      <c r="DJ141" s="54"/>
      <c r="DK141" s="54"/>
      <c r="DL141" s="54"/>
      <c r="DM141" s="54"/>
      <c r="DN141" s="54"/>
      <c r="DO141" s="54"/>
      <c r="DP141" s="54"/>
      <c r="DQ141" s="54"/>
    </row>
    <row r="142" spans="1:121" ht="14.25" x14ac:dyDescent="0.15">
      <c r="A142" s="49">
        <v>140</v>
      </c>
      <c r="B142" s="46" t="e">
        <f t="shared" si="63"/>
        <v>#DIV/0!</v>
      </c>
      <c r="C142" s="46" t="e">
        <f t="shared" si="64"/>
        <v>#DIV/0!</v>
      </c>
      <c r="D142" s="46" t="e">
        <f t="shared" si="65"/>
        <v>#DIV/0!</v>
      </c>
      <c r="E142" s="46" t="e">
        <f t="shared" si="66"/>
        <v>#DIV/0!</v>
      </c>
      <c r="F142" s="46" t="e">
        <f t="shared" si="67"/>
        <v>#DIV/0!</v>
      </c>
      <c r="G142" s="46" t="e">
        <f t="shared" si="68"/>
        <v>#DIV/0!</v>
      </c>
      <c r="H142" s="46" t="e">
        <f t="shared" si="69"/>
        <v>#DIV/0!</v>
      </c>
      <c r="I142" s="46" t="e">
        <f t="shared" si="70"/>
        <v>#DIV/0!</v>
      </c>
      <c r="J142" s="46" t="e">
        <f t="shared" si="71"/>
        <v>#DIV/0!</v>
      </c>
      <c r="K142" s="46" t="e">
        <f t="shared" si="72"/>
        <v>#DIV/0!</v>
      </c>
      <c r="L142" s="46" t="e">
        <f t="shared" si="73"/>
        <v>#DIV/0!</v>
      </c>
      <c r="M142" s="46" t="e">
        <f t="shared" si="74"/>
        <v>#DIV/0!</v>
      </c>
      <c r="N142" s="46" t="e">
        <f t="shared" si="75"/>
        <v>#DIV/0!</v>
      </c>
      <c r="O142" s="46" t="e">
        <f t="shared" si="76"/>
        <v>#DIV/0!</v>
      </c>
      <c r="P142" s="46" t="e">
        <f t="shared" si="77"/>
        <v>#DIV/0!</v>
      </c>
      <c r="Q142" s="56" t="e">
        <f>Q141+ATM_Conf!$C$5*(B141)/(Links!B$191*Links!Q$191)</f>
        <v>#DIV/0!</v>
      </c>
      <c r="R142" s="56" t="e">
        <f>R141+ATM_Conf!$C$5*(C141-B141)/(Links!C$191*Links!R$191)</f>
        <v>#DIV/0!</v>
      </c>
      <c r="S142" s="56" t="e">
        <f>S141+ATM_Conf!$C$5*(D141-C141)/(Links!D$191*Links!S$191)</f>
        <v>#DIV/0!</v>
      </c>
      <c r="T142" s="56" t="e">
        <f>T141+ATM_Conf!$C$5*(E141-D141)/(Links!E$191*Links!T$191)</f>
        <v>#DIV/0!</v>
      </c>
      <c r="U142" s="56" t="e">
        <f>U141+ATM_Conf!$C$5*(F141-E141)/(Links!F$191*Links!U$191)</f>
        <v>#DIV/0!</v>
      </c>
      <c r="V142" s="56" t="e">
        <f>V141+ATM_Conf!$C$5*(G141-F141)/(Links!G$191*Links!V$191)</f>
        <v>#DIV/0!</v>
      </c>
      <c r="W142" s="56" t="e">
        <f>W141+ATM_Conf!$C$5*(H141-G141)/(Links!H$191*Links!W$191)</f>
        <v>#DIV/0!</v>
      </c>
      <c r="X142" s="56" t="e">
        <f>X141+ATM_Conf!$C$5*(I141-H141)/(Links!I$191*Links!X$191)</f>
        <v>#DIV/0!</v>
      </c>
      <c r="Y142" s="56" t="e">
        <f>Y141+ATM_Conf!$C$5*(J141)/(Links!J$191*Links!Y$191)</f>
        <v>#DIV/0!</v>
      </c>
      <c r="Z142" s="56" t="e">
        <f>Z141+ATM_Conf!$C$5*(K141-J141)/(Links!K$191*Links!Z$191)</f>
        <v>#DIV/0!</v>
      </c>
      <c r="AA142" s="56" t="e">
        <f>AA141+ATM_Conf!$C$5*(L141-K141)/(Links!L$191*Links!AA$191)</f>
        <v>#DIV/0!</v>
      </c>
      <c r="AB142" s="56" t="e">
        <f>AB141+ATM_Conf!$C$5*(M141-L141)/(Links!M$191*Links!AB$191)</f>
        <v>#DIV/0!</v>
      </c>
      <c r="AC142" s="56" t="e">
        <f>AC141+ATM_Conf!$C$5*(N141-M141)/(Links!N$191*Links!AC$191)</f>
        <v>#DIV/0!</v>
      </c>
      <c r="AD142" s="56" t="e">
        <f>AD141+ATM_Conf!$C$5*(O141-N141)/(Links!O$191*Links!AD$191)</f>
        <v>#DIV/0!</v>
      </c>
      <c r="AE142" s="56" t="e">
        <f>AE141+ATM_Conf!$C$5*(P141-O141)/(Links!P$191*Links!AE$191)</f>
        <v>#DIV/0!</v>
      </c>
      <c r="AF142" s="46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6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6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6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6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6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6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6" t="e">
        <f>AM141+(ATM_Conf!$C$5/ATM_Conf!$C$8)*(Links!BB141*EXP((-(Links!X141/Links!BQ141)^Links!CF141)/Links!CF141)-Links!AM141)+(ATM_Conf!$C$5/Links!X$191)*Links!AM141*(Nodes!BH141-Links!AM141)</f>
        <v>#DIV/0!</v>
      </c>
      <c r="AN142" s="46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6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6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6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6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6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6" t="e">
        <f>AT141+(ATM_Conf!$C$5/ATM_Conf!$C$8)*(Links!BI141*EXP((-(Links!AE141/Links!BX141)^Links!CM141)/Links!CM141)-Links!AT141)+(ATM_Conf!$C$5/Links!AE$191)*Links!AT141*(Nodes!BN141-Links!AT141)</f>
        <v>#DIV/0!</v>
      </c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46">
        <f t="shared" si="80"/>
        <v>0</v>
      </c>
      <c r="CO142" s="46">
        <f t="shared" si="80"/>
        <v>0</v>
      </c>
      <c r="CP142" s="46">
        <f t="shared" si="80"/>
        <v>0</v>
      </c>
      <c r="CQ142" s="46">
        <f t="shared" si="80"/>
        <v>0</v>
      </c>
      <c r="CR142" s="46">
        <f t="shared" si="80"/>
        <v>0</v>
      </c>
      <c r="CS142" s="46">
        <f t="shared" si="80"/>
        <v>0</v>
      </c>
      <c r="CT142" s="46">
        <f t="shared" si="80"/>
        <v>0</v>
      </c>
      <c r="CU142" s="46">
        <f t="shared" si="80"/>
        <v>0</v>
      </c>
      <c r="CV142" s="46">
        <f t="shared" si="80"/>
        <v>0</v>
      </c>
      <c r="CW142" s="46">
        <f t="shared" si="80"/>
        <v>0</v>
      </c>
      <c r="CX142" s="46">
        <f t="shared" si="80"/>
        <v>0</v>
      </c>
      <c r="CY142" s="46">
        <f t="shared" si="80"/>
        <v>0</v>
      </c>
      <c r="CZ142" s="46">
        <f t="shared" si="80"/>
        <v>0</v>
      </c>
      <c r="DA142" s="46">
        <f t="shared" si="80"/>
        <v>0</v>
      </c>
      <c r="DB142" s="46">
        <f t="shared" si="80"/>
        <v>0</v>
      </c>
      <c r="DC142" s="54"/>
      <c r="DD142" s="54"/>
      <c r="DE142" s="54"/>
      <c r="DF142" s="54"/>
      <c r="DG142" s="54"/>
      <c r="DH142" s="54"/>
      <c r="DI142" s="54"/>
      <c r="DJ142" s="54"/>
      <c r="DK142" s="54"/>
      <c r="DL142" s="54"/>
      <c r="DM142" s="54"/>
      <c r="DN142" s="54"/>
      <c r="DO142" s="54"/>
      <c r="DP142" s="54"/>
      <c r="DQ142" s="54"/>
    </row>
    <row r="143" spans="1:121" ht="14.25" x14ac:dyDescent="0.15">
      <c r="A143" s="49">
        <v>141</v>
      </c>
      <c r="B143" s="46" t="e">
        <f t="shared" si="63"/>
        <v>#DIV/0!</v>
      </c>
      <c r="C143" s="46" t="e">
        <f t="shared" si="64"/>
        <v>#DIV/0!</v>
      </c>
      <c r="D143" s="46" t="e">
        <f t="shared" si="65"/>
        <v>#DIV/0!</v>
      </c>
      <c r="E143" s="46" t="e">
        <f t="shared" si="66"/>
        <v>#DIV/0!</v>
      </c>
      <c r="F143" s="46" t="e">
        <f t="shared" si="67"/>
        <v>#DIV/0!</v>
      </c>
      <c r="G143" s="46" t="e">
        <f t="shared" si="68"/>
        <v>#DIV/0!</v>
      </c>
      <c r="H143" s="46" t="e">
        <f t="shared" si="69"/>
        <v>#DIV/0!</v>
      </c>
      <c r="I143" s="46" t="e">
        <f t="shared" si="70"/>
        <v>#DIV/0!</v>
      </c>
      <c r="J143" s="46" t="e">
        <f t="shared" si="71"/>
        <v>#DIV/0!</v>
      </c>
      <c r="K143" s="46" t="e">
        <f t="shared" si="72"/>
        <v>#DIV/0!</v>
      </c>
      <c r="L143" s="46" t="e">
        <f t="shared" si="73"/>
        <v>#DIV/0!</v>
      </c>
      <c r="M143" s="46" t="e">
        <f t="shared" si="74"/>
        <v>#DIV/0!</v>
      </c>
      <c r="N143" s="46" t="e">
        <f t="shared" si="75"/>
        <v>#DIV/0!</v>
      </c>
      <c r="O143" s="46" t="e">
        <f t="shared" si="76"/>
        <v>#DIV/0!</v>
      </c>
      <c r="P143" s="46" t="e">
        <f t="shared" si="77"/>
        <v>#DIV/0!</v>
      </c>
      <c r="Q143" s="56" t="e">
        <f>Q142+ATM_Conf!$C$5*(B142)/(Links!B$191*Links!Q$191)</f>
        <v>#DIV/0!</v>
      </c>
      <c r="R143" s="56" t="e">
        <f>R142+ATM_Conf!$C$5*(C142-B142)/(Links!C$191*Links!R$191)</f>
        <v>#DIV/0!</v>
      </c>
      <c r="S143" s="56" t="e">
        <f>S142+ATM_Conf!$C$5*(D142-C142)/(Links!D$191*Links!S$191)</f>
        <v>#DIV/0!</v>
      </c>
      <c r="T143" s="56" t="e">
        <f>T142+ATM_Conf!$C$5*(E142-D142)/(Links!E$191*Links!T$191)</f>
        <v>#DIV/0!</v>
      </c>
      <c r="U143" s="56" t="e">
        <f>U142+ATM_Conf!$C$5*(F142-E142)/(Links!F$191*Links!U$191)</f>
        <v>#DIV/0!</v>
      </c>
      <c r="V143" s="56" t="e">
        <f>V142+ATM_Conf!$C$5*(G142-F142)/(Links!G$191*Links!V$191)</f>
        <v>#DIV/0!</v>
      </c>
      <c r="W143" s="56" t="e">
        <f>W142+ATM_Conf!$C$5*(H142-G142)/(Links!H$191*Links!W$191)</f>
        <v>#DIV/0!</v>
      </c>
      <c r="X143" s="56" t="e">
        <f>X142+ATM_Conf!$C$5*(I142-H142)/(Links!I$191*Links!X$191)</f>
        <v>#DIV/0!</v>
      </c>
      <c r="Y143" s="56" t="e">
        <f>Y142+ATM_Conf!$C$5*(J142)/(Links!J$191*Links!Y$191)</f>
        <v>#DIV/0!</v>
      </c>
      <c r="Z143" s="56" t="e">
        <f>Z142+ATM_Conf!$C$5*(K142-J142)/(Links!K$191*Links!Z$191)</f>
        <v>#DIV/0!</v>
      </c>
      <c r="AA143" s="56" t="e">
        <f>AA142+ATM_Conf!$C$5*(L142-K142)/(Links!L$191*Links!AA$191)</f>
        <v>#DIV/0!</v>
      </c>
      <c r="AB143" s="56" t="e">
        <f>AB142+ATM_Conf!$C$5*(M142-L142)/(Links!M$191*Links!AB$191)</f>
        <v>#DIV/0!</v>
      </c>
      <c r="AC143" s="56" t="e">
        <f>AC142+ATM_Conf!$C$5*(N142-M142)/(Links!N$191*Links!AC$191)</f>
        <v>#DIV/0!</v>
      </c>
      <c r="AD143" s="56" t="e">
        <f>AD142+ATM_Conf!$C$5*(O142-N142)/(Links!O$191*Links!AD$191)</f>
        <v>#DIV/0!</v>
      </c>
      <c r="AE143" s="56" t="e">
        <f>AE142+ATM_Conf!$C$5*(P142-O142)/(Links!P$191*Links!AE$191)</f>
        <v>#DIV/0!</v>
      </c>
      <c r="AF143" s="46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6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6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6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6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6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6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6" t="e">
        <f>AM142+(ATM_Conf!$C$5/ATM_Conf!$C$8)*(Links!BB142*EXP((-(Links!X142/Links!BQ142)^Links!CF142)/Links!CF142)-Links!AM142)+(ATM_Conf!$C$5/Links!X$191)*Links!AM142*(Nodes!BH142-Links!AM142)</f>
        <v>#DIV/0!</v>
      </c>
      <c r="AN143" s="46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6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6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6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6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6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6" t="e">
        <f>AT142+(ATM_Conf!$C$5/ATM_Conf!$C$8)*(Links!BI142*EXP((-(Links!AE142/Links!BX142)^Links!CM142)/Links!CM142)-Links!AT142)+(ATM_Conf!$C$5/Links!AE$191)*Links!AT142*(Nodes!BN142-Links!AT142)</f>
        <v>#DIV/0!</v>
      </c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46">
        <f t="shared" si="80"/>
        <v>0</v>
      </c>
      <c r="CO143" s="46">
        <f t="shared" si="80"/>
        <v>0</v>
      </c>
      <c r="CP143" s="46">
        <f t="shared" si="80"/>
        <v>0</v>
      </c>
      <c r="CQ143" s="46">
        <f t="shared" si="80"/>
        <v>0</v>
      </c>
      <c r="CR143" s="46">
        <f t="shared" si="80"/>
        <v>0</v>
      </c>
      <c r="CS143" s="46">
        <f t="shared" si="80"/>
        <v>0</v>
      </c>
      <c r="CT143" s="46">
        <f t="shared" si="80"/>
        <v>0</v>
      </c>
      <c r="CU143" s="46">
        <f t="shared" si="80"/>
        <v>0</v>
      </c>
      <c r="CV143" s="46">
        <f t="shared" si="80"/>
        <v>0</v>
      </c>
      <c r="CW143" s="46">
        <f t="shared" si="80"/>
        <v>0</v>
      </c>
      <c r="CX143" s="46">
        <f t="shared" si="80"/>
        <v>0</v>
      </c>
      <c r="CY143" s="46">
        <f t="shared" si="80"/>
        <v>0</v>
      </c>
      <c r="CZ143" s="46">
        <f t="shared" si="80"/>
        <v>0</v>
      </c>
      <c r="DA143" s="46">
        <f t="shared" si="80"/>
        <v>0</v>
      </c>
      <c r="DB143" s="46">
        <f t="shared" si="80"/>
        <v>0</v>
      </c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</row>
    <row r="144" spans="1:121" ht="14.25" x14ac:dyDescent="0.15">
      <c r="A144" s="49">
        <v>142</v>
      </c>
      <c r="B144" s="46" t="e">
        <f t="shared" si="63"/>
        <v>#DIV/0!</v>
      </c>
      <c r="C144" s="46" t="e">
        <f t="shared" si="64"/>
        <v>#DIV/0!</v>
      </c>
      <c r="D144" s="46" t="e">
        <f t="shared" si="65"/>
        <v>#DIV/0!</v>
      </c>
      <c r="E144" s="46" t="e">
        <f t="shared" si="66"/>
        <v>#DIV/0!</v>
      </c>
      <c r="F144" s="46" t="e">
        <f t="shared" si="67"/>
        <v>#DIV/0!</v>
      </c>
      <c r="G144" s="46" t="e">
        <f t="shared" si="68"/>
        <v>#DIV/0!</v>
      </c>
      <c r="H144" s="46" t="e">
        <f t="shared" si="69"/>
        <v>#DIV/0!</v>
      </c>
      <c r="I144" s="46" t="e">
        <f t="shared" si="70"/>
        <v>#DIV/0!</v>
      </c>
      <c r="J144" s="46" t="e">
        <f t="shared" si="71"/>
        <v>#DIV/0!</v>
      </c>
      <c r="K144" s="46" t="e">
        <f t="shared" si="72"/>
        <v>#DIV/0!</v>
      </c>
      <c r="L144" s="46" t="e">
        <f t="shared" si="73"/>
        <v>#DIV/0!</v>
      </c>
      <c r="M144" s="46" t="e">
        <f t="shared" si="74"/>
        <v>#DIV/0!</v>
      </c>
      <c r="N144" s="46" t="e">
        <f t="shared" si="75"/>
        <v>#DIV/0!</v>
      </c>
      <c r="O144" s="46" t="e">
        <f t="shared" si="76"/>
        <v>#DIV/0!</v>
      </c>
      <c r="P144" s="46" t="e">
        <f t="shared" si="77"/>
        <v>#DIV/0!</v>
      </c>
      <c r="Q144" s="56" t="e">
        <f>Q143+ATM_Conf!$C$5*(B143)/(Links!B$191*Links!Q$191)</f>
        <v>#DIV/0!</v>
      </c>
      <c r="R144" s="56" t="e">
        <f>R143+ATM_Conf!$C$5*(C143-B143)/(Links!C$191*Links!R$191)</f>
        <v>#DIV/0!</v>
      </c>
      <c r="S144" s="56" t="e">
        <f>S143+ATM_Conf!$C$5*(D143-C143)/(Links!D$191*Links!S$191)</f>
        <v>#DIV/0!</v>
      </c>
      <c r="T144" s="56" t="e">
        <f>T143+ATM_Conf!$C$5*(E143-D143)/(Links!E$191*Links!T$191)</f>
        <v>#DIV/0!</v>
      </c>
      <c r="U144" s="56" t="e">
        <f>U143+ATM_Conf!$C$5*(F143-E143)/(Links!F$191*Links!U$191)</f>
        <v>#DIV/0!</v>
      </c>
      <c r="V144" s="56" t="e">
        <f>V143+ATM_Conf!$C$5*(G143-F143)/(Links!G$191*Links!V$191)</f>
        <v>#DIV/0!</v>
      </c>
      <c r="W144" s="56" t="e">
        <f>W143+ATM_Conf!$C$5*(H143-G143)/(Links!H$191*Links!W$191)</f>
        <v>#DIV/0!</v>
      </c>
      <c r="X144" s="56" t="e">
        <f>X143+ATM_Conf!$C$5*(I143-H143)/(Links!I$191*Links!X$191)</f>
        <v>#DIV/0!</v>
      </c>
      <c r="Y144" s="56" t="e">
        <f>Y143+ATM_Conf!$C$5*(J143)/(Links!J$191*Links!Y$191)</f>
        <v>#DIV/0!</v>
      </c>
      <c r="Z144" s="56" t="e">
        <f>Z143+ATM_Conf!$C$5*(K143-J143)/(Links!K$191*Links!Z$191)</f>
        <v>#DIV/0!</v>
      </c>
      <c r="AA144" s="56" t="e">
        <f>AA143+ATM_Conf!$C$5*(L143-K143)/(Links!L$191*Links!AA$191)</f>
        <v>#DIV/0!</v>
      </c>
      <c r="AB144" s="56" t="e">
        <f>AB143+ATM_Conf!$C$5*(M143-L143)/(Links!M$191*Links!AB$191)</f>
        <v>#DIV/0!</v>
      </c>
      <c r="AC144" s="56" t="e">
        <f>AC143+ATM_Conf!$C$5*(N143-M143)/(Links!N$191*Links!AC$191)</f>
        <v>#DIV/0!</v>
      </c>
      <c r="AD144" s="56" t="e">
        <f>AD143+ATM_Conf!$C$5*(O143-N143)/(Links!O$191*Links!AD$191)</f>
        <v>#DIV/0!</v>
      </c>
      <c r="AE144" s="56" t="e">
        <f>AE143+ATM_Conf!$C$5*(P143-O143)/(Links!P$191*Links!AE$191)</f>
        <v>#DIV/0!</v>
      </c>
      <c r="AF144" s="46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6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6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6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6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6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6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6" t="e">
        <f>AM143+(ATM_Conf!$C$5/ATM_Conf!$C$8)*(Links!BB143*EXP((-(Links!X143/Links!BQ143)^Links!CF143)/Links!CF143)-Links!AM143)+(ATM_Conf!$C$5/Links!X$191)*Links!AM143*(Nodes!BH143-Links!AM143)</f>
        <v>#DIV/0!</v>
      </c>
      <c r="AN144" s="46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6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6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6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6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6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6" t="e">
        <f>AT143+(ATM_Conf!$C$5/ATM_Conf!$C$8)*(Links!BI143*EXP((-(Links!AE143/Links!BX143)^Links!CM143)/Links!CM143)-Links!AT143)+(ATM_Conf!$C$5/Links!AE$191)*Links!AT143*(Nodes!BN143-Links!AT143)</f>
        <v>#DIV/0!</v>
      </c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46">
        <f t="shared" si="80"/>
        <v>0</v>
      </c>
      <c r="CO144" s="46">
        <f t="shared" si="80"/>
        <v>0</v>
      </c>
      <c r="CP144" s="46">
        <f t="shared" si="80"/>
        <v>0</v>
      </c>
      <c r="CQ144" s="46">
        <f t="shared" si="80"/>
        <v>0</v>
      </c>
      <c r="CR144" s="46">
        <f t="shared" si="80"/>
        <v>0</v>
      </c>
      <c r="CS144" s="46">
        <f t="shared" si="80"/>
        <v>0</v>
      </c>
      <c r="CT144" s="46">
        <f t="shared" si="80"/>
        <v>0</v>
      </c>
      <c r="CU144" s="46">
        <f t="shared" si="80"/>
        <v>0</v>
      </c>
      <c r="CV144" s="46">
        <f t="shared" si="80"/>
        <v>0</v>
      </c>
      <c r="CW144" s="46">
        <f t="shared" si="80"/>
        <v>0</v>
      </c>
      <c r="CX144" s="46">
        <f t="shared" si="80"/>
        <v>0</v>
      </c>
      <c r="CY144" s="46">
        <f t="shared" si="80"/>
        <v>0</v>
      </c>
      <c r="CZ144" s="46">
        <f t="shared" si="80"/>
        <v>0</v>
      </c>
      <c r="DA144" s="46">
        <f t="shared" si="80"/>
        <v>0</v>
      </c>
      <c r="DB144" s="46">
        <f t="shared" si="80"/>
        <v>0</v>
      </c>
      <c r="DC144" s="54"/>
      <c r="DD144" s="54"/>
      <c r="DE144" s="54"/>
      <c r="DF144" s="54"/>
      <c r="DG144" s="54"/>
      <c r="DH144" s="54"/>
      <c r="DI144" s="54"/>
      <c r="DJ144" s="54"/>
      <c r="DK144" s="54"/>
      <c r="DL144" s="54"/>
      <c r="DM144" s="54"/>
      <c r="DN144" s="54"/>
      <c r="DO144" s="54"/>
      <c r="DP144" s="54"/>
      <c r="DQ144" s="54"/>
    </row>
    <row r="145" spans="1:121" ht="14.25" x14ac:dyDescent="0.15">
      <c r="A145" s="49">
        <v>143</v>
      </c>
      <c r="B145" s="46" t="e">
        <f t="shared" si="63"/>
        <v>#DIV/0!</v>
      </c>
      <c r="C145" s="46" t="e">
        <f t="shared" si="64"/>
        <v>#DIV/0!</v>
      </c>
      <c r="D145" s="46" t="e">
        <f t="shared" si="65"/>
        <v>#DIV/0!</v>
      </c>
      <c r="E145" s="46" t="e">
        <f t="shared" si="66"/>
        <v>#DIV/0!</v>
      </c>
      <c r="F145" s="46" t="e">
        <f t="shared" si="67"/>
        <v>#DIV/0!</v>
      </c>
      <c r="G145" s="46" t="e">
        <f t="shared" si="68"/>
        <v>#DIV/0!</v>
      </c>
      <c r="H145" s="46" t="e">
        <f t="shared" si="69"/>
        <v>#DIV/0!</v>
      </c>
      <c r="I145" s="46" t="e">
        <f t="shared" si="70"/>
        <v>#DIV/0!</v>
      </c>
      <c r="J145" s="46" t="e">
        <f t="shared" si="71"/>
        <v>#DIV/0!</v>
      </c>
      <c r="K145" s="46" t="e">
        <f t="shared" si="72"/>
        <v>#DIV/0!</v>
      </c>
      <c r="L145" s="46" t="e">
        <f t="shared" si="73"/>
        <v>#DIV/0!</v>
      </c>
      <c r="M145" s="46" t="e">
        <f t="shared" si="74"/>
        <v>#DIV/0!</v>
      </c>
      <c r="N145" s="46" t="e">
        <f t="shared" si="75"/>
        <v>#DIV/0!</v>
      </c>
      <c r="O145" s="46" t="e">
        <f t="shared" si="76"/>
        <v>#DIV/0!</v>
      </c>
      <c r="P145" s="46" t="e">
        <f t="shared" si="77"/>
        <v>#DIV/0!</v>
      </c>
      <c r="Q145" s="56" t="e">
        <f>Q144+ATM_Conf!$C$5*(B144)/(Links!B$191*Links!Q$191)</f>
        <v>#DIV/0!</v>
      </c>
      <c r="R145" s="56" t="e">
        <f>R144+ATM_Conf!$C$5*(C144-B144)/(Links!C$191*Links!R$191)</f>
        <v>#DIV/0!</v>
      </c>
      <c r="S145" s="56" t="e">
        <f>S144+ATM_Conf!$C$5*(D144-C144)/(Links!D$191*Links!S$191)</f>
        <v>#DIV/0!</v>
      </c>
      <c r="T145" s="56" t="e">
        <f>T144+ATM_Conf!$C$5*(E144-D144)/(Links!E$191*Links!T$191)</f>
        <v>#DIV/0!</v>
      </c>
      <c r="U145" s="56" t="e">
        <f>U144+ATM_Conf!$C$5*(F144-E144)/(Links!F$191*Links!U$191)</f>
        <v>#DIV/0!</v>
      </c>
      <c r="V145" s="56" t="e">
        <f>V144+ATM_Conf!$C$5*(G144-F144)/(Links!G$191*Links!V$191)</f>
        <v>#DIV/0!</v>
      </c>
      <c r="W145" s="56" t="e">
        <f>W144+ATM_Conf!$C$5*(H144-G144)/(Links!H$191*Links!W$191)</f>
        <v>#DIV/0!</v>
      </c>
      <c r="X145" s="56" t="e">
        <f>X144+ATM_Conf!$C$5*(I144-H144)/(Links!I$191*Links!X$191)</f>
        <v>#DIV/0!</v>
      </c>
      <c r="Y145" s="56" t="e">
        <f>Y144+ATM_Conf!$C$5*(J144)/(Links!J$191*Links!Y$191)</f>
        <v>#DIV/0!</v>
      </c>
      <c r="Z145" s="56" t="e">
        <f>Z144+ATM_Conf!$C$5*(K144-J144)/(Links!K$191*Links!Z$191)</f>
        <v>#DIV/0!</v>
      </c>
      <c r="AA145" s="56" t="e">
        <f>AA144+ATM_Conf!$C$5*(L144-K144)/(Links!L$191*Links!AA$191)</f>
        <v>#DIV/0!</v>
      </c>
      <c r="AB145" s="56" t="e">
        <f>AB144+ATM_Conf!$C$5*(M144-L144)/(Links!M$191*Links!AB$191)</f>
        <v>#DIV/0!</v>
      </c>
      <c r="AC145" s="56" t="e">
        <f>AC144+ATM_Conf!$C$5*(N144-M144)/(Links!N$191*Links!AC$191)</f>
        <v>#DIV/0!</v>
      </c>
      <c r="AD145" s="56" t="e">
        <f>AD144+ATM_Conf!$C$5*(O144-N144)/(Links!O$191*Links!AD$191)</f>
        <v>#DIV/0!</v>
      </c>
      <c r="AE145" s="56" t="e">
        <f>AE144+ATM_Conf!$C$5*(P144-O144)/(Links!P$191*Links!AE$191)</f>
        <v>#DIV/0!</v>
      </c>
      <c r="AF145" s="46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6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6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6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6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6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6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6" t="e">
        <f>AM144+(ATM_Conf!$C$5/ATM_Conf!$C$8)*(Links!BB144*EXP((-(Links!X144/Links!BQ144)^Links!CF144)/Links!CF144)-Links!AM144)+(ATM_Conf!$C$5/Links!X$191)*Links!AM144*(Nodes!BH144-Links!AM144)</f>
        <v>#DIV/0!</v>
      </c>
      <c r="AN145" s="46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6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6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6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6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6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6" t="e">
        <f>AT144+(ATM_Conf!$C$5/ATM_Conf!$C$8)*(Links!BI144*EXP((-(Links!AE144/Links!BX144)^Links!CM144)/Links!CM144)-Links!AT144)+(ATM_Conf!$C$5/Links!AE$191)*Links!AT144*(Nodes!BN144-Links!AT144)</f>
        <v>#DIV/0!</v>
      </c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46">
        <f t="shared" si="80"/>
        <v>0</v>
      </c>
      <c r="CO145" s="46">
        <f t="shared" si="80"/>
        <v>0</v>
      </c>
      <c r="CP145" s="46">
        <f t="shared" si="80"/>
        <v>0</v>
      </c>
      <c r="CQ145" s="46">
        <f t="shared" si="80"/>
        <v>0</v>
      </c>
      <c r="CR145" s="46">
        <f t="shared" si="80"/>
        <v>0</v>
      </c>
      <c r="CS145" s="46">
        <f t="shared" si="80"/>
        <v>0</v>
      </c>
      <c r="CT145" s="46">
        <f t="shared" si="80"/>
        <v>0</v>
      </c>
      <c r="CU145" s="46">
        <f t="shared" si="80"/>
        <v>0</v>
      </c>
      <c r="CV145" s="46">
        <f t="shared" si="80"/>
        <v>0</v>
      </c>
      <c r="CW145" s="46">
        <f t="shared" si="80"/>
        <v>0</v>
      </c>
      <c r="CX145" s="46">
        <f t="shared" si="80"/>
        <v>0</v>
      </c>
      <c r="CY145" s="46">
        <f t="shared" si="80"/>
        <v>0</v>
      </c>
      <c r="CZ145" s="46">
        <f t="shared" si="80"/>
        <v>0</v>
      </c>
      <c r="DA145" s="46">
        <f t="shared" si="80"/>
        <v>0</v>
      </c>
      <c r="DB145" s="46">
        <f t="shared" si="80"/>
        <v>0</v>
      </c>
      <c r="DC145" s="54"/>
      <c r="DD145" s="54"/>
      <c r="DE145" s="54"/>
      <c r="DF145" s="54"/>
      <c r="DG145" s="54"/>
      <c r="DH145" s="54"/>
      <c r="DI145" s="54"/>
      <c r="DJ145" s="54"/>
      <c r="DK145" s="54"/>
      <c r="DL145" s="54"/>
      <c r="DM145" s="54"/>
      <c r="DN145" s="54"/>
      <c r="DO145" s="54"/>
      <c r="DP145" s="54"/>
      <c r="DQ145" s="54"/>
    </row>
    <row r="146" spans="1:121" ht="14.25" x14ac:dyDescent="0.15">
      <c r="A146" s="49">
        <v>144</v>
      </c>
      <c r="B146" s="46" t="e">
        <f t="shared" si="63"/>
        <v>#DIV/0!</v>
      </c>
      <c r="C146" s="46" t="e">
        <f t="shared" si="64"/>
        <v>#DIV/0!</v>
      </c>
      <c r="D146" s="46" t="e">
        <f t="shared" si="65"/>
        <v>#DIV/0!</v>
      </c>
      <c r="E146" s="46" t="e">
        <f t="shared" si="66"/>
        <v>#DIV/0!</v>
      </c>
      <c r="F146" s="46" t="e">
        <f t="shared" si="67"/>
        <v>#DIV/0!</v>
      </c>
      <c r="G146" s="46" t="e">
        <f t="shared" si="68"/>
        <v>#DIV/0!</v>
      </c>
      <c r="H146" s="46" t="e">
        <f t="shared" si="69"/>
        <v>#DIV/0!</v>
      </c>
      <c r="I146" s="46" t="e">
        <f t="shared" si="70"/>
        <v>#DIV/0!</v>
      </c>
      <c r="J146" s="46" t="e">
        <f t="shared" si="71"/>
        <v>#DIV/0!</v>
      </c>
      <c r="K146" s="46" t="e">
        <f t="shared" si="72"/>
        <v>#DIV/0!</v>
      </c>
      <c r="L146" s="46" t="e">
        <f t="shared" si="73"/>
        <v>#DIV/0!</v>
      </c>
      <c r="M146" s="46" t="e">
        <f t="shared" si="74"/>
        <v>#DIV/0!</v>
      </c>
      <c r="N146" s="46" t="e">
        <f t="shared" si="75"/>
        <v>#DIV/0!</v>
      </c>
      <c r="O146" s="46" t="e">
        <f t="shared" si="76"/>
        <v>#DIV/0!</v>
      </c>
      <c r="P146" s="46" t="e">
        <f t="shared" si="77"/>
        <v>#DIV/0!</v>
      </c>
      <c r="Q146" s="56" t="e">
        <f>Q145+ATM_Conf!$C$5*(B145)/(Links!B$191*Links!Q$191)</f>
        <v>#DIV/0!</v>
      </c>
      <c r="R146" s="56" t="e">
        <f>R145+ATM_Conf!$C$5*(C145-B145)/(Links!C$191*Links!R$191)</f>
        <v>#DIV/0!</v>
      </c>
      <c r="S146" s="56" t="e">
        <f>S145+ATM_Conf!$C$5*(D145-C145)/(Links!D$191*Links!S$191)</f>
        <v>#DIV/0!</v>
      </c>
      <c r="T146" s="56" t="e">
        <f>T145+ATM_Conf!$C$5*(E145-D145)/(Links!E$191*Links!T$191)</f>
        <v>#DIV/0!</v>
      </c>
      <c r="U146" s="56" t="e">
        <f>U145+ATM_Conf!$C$5*(F145-E145)/(Links!F$191*Links!U$191)</f>
        <v>#DIV/0!</v>
      </c>
      <c r="V146" s="56" t="e">
        <f>V145+ATM_Conf!$C$5*(G145-F145)/(Links!G$191*Links!V$191)</f>
        <v>#DIV/0!</v>
      </c>
      <c r="W146" s="56" t="e">
        <f>W145+ATM_Conf!$C$5*(H145-G145)/(Links!H$191*Links!W$191)</f>
        <v>#DIV/0!</v>
      </c>
      <c r="X146" s="56" t="e">
        <f>X145+ATM_Conf!$C$5*(I145-H145)/(Links!I$191*Links!X$191)</f>
        <v>#DIV/0!</v>
      </c>
      <c r="Y146" s="56" t="e">
        <f>Y145+ATM_Conf!$C$5*(J145)/(Links!J$191*Links!Y$191)</f>
        <v>#DIV/0!</v>
      </c>
      <c r="Z146" s="56" t="e">
        <f>Z145+ATM_Conf!$C$5*(K145-J145)/(Links!K$191*Links!Z$191)</f>
        <v>#DIV/0!</v>
      </c>
      <c r="AA146" s="56" t="e">
        <f>AA145+ATM_Conf!$C$5*(L145-K145)/(Links!L$191*Links!AA$191)</f>
        <v>#DIV/0!</v>
      </c>
      <c r="AB146" s="56" t="e">
        <f>AB145+ATM_Conf!$C$5*(M145-L145)/(Links!M$191*Links!AB$191)</f>
        <v>#DIV/0!</v>
      </c>
      <c r="AC146" s="56" t="e">
        <f>AC145+ATM_Conf!$C$5*(N145-M145)/(Links!N$191*Links!AC$191)</f>
        <v>#DIV/0!</v>
      </c>
      <c r="AD146" s="56" t="e">
        <f>AD145+ATM_Conf!$C$5*(O145-N145)/(Links!O$191*Links!AD$191)</f>
        <v>#DIV/0!</v>
      </c>
      <c r="AE146" s="56" t="e">
        <f>AE145+ATM_Conf!$C$5*(P145-O145)/(Links!P$191*Links!AE$191)</f>
        <v>#DIV/0!</v>
      </c>
      <c r="AF146" s="46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6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6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6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6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6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6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6" t="e">
        <f>AM145+(ATM_Conf!$C$5/ATM_Conf!$C$8)*(Links!BB145*EXP((-(Links!X145/Links!BQ145)^Links!CF145)/Links!CF145)-Links!AM145)+(ATM_Conf!$C$5/Links!X$191)*Links!AM145*(Nodes!BH145-Links!AM145)</f>
        <v>#DIV/0!</v>
      </c>
      <c r="AN146" s="46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6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6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6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6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6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6" t="e">
        <f>AT145+(ATM_Conf!$C$5/ATM_Conf!$C$8)*(Links!BI145*EXP((-(Links!AE145/Links!BX145)^Links!CM145)/Links!CM145)-Links!AT145)+(ATM_Conf!$C$5/Links!AE$191)*Links!AT145*(Nodes!BN145-Links!AT145)</f>
        <v>#DIV/0!</v>
      </c>
      <c r="AU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I146" s="5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56"/>
      <c r="BZ146" s="56"/>
      <c r="CA146" s="56"/>
      <c r="CB146" s="56"/>
      <c r="CC146" s="56"/>
      <c r="CD146" s="56"/>
      <c r="CE146" s="56"/>
      <c r="CF146" s="56"/>
      <c r="CG146" s="56"/>
      <c r="CH146" s="56"/>
      <c r="CI146" s="56"/>
      <c r="CJ146" s="56"/>
      <c r="CK146" s="56"/>
      <c r="CL146" s="56"/>
      <c r="CM146" s="56"/>
      <c r="CN146" s="46">
        <f t="shared" si="80"/>
        <v>0</v>
      </c>
      <c r="CO146" s="46">
        <f t="shared" si="80"/>
        <v>0</v>
      </c>
      <c r="CP146" s="46">
        <f t="shared" si="80"/>
        <v>0</v>
      </c>
      <c r="CQ146" s="46">
        <f t="shared" si="80"/>
        <v>0</v>
      </c>
      <c r="CR146" s="46">
        <f t="shared" si="80"/>
        <v>0</v>
      </c>
      <c r="CS146" s="46">
        <f t="shared" si="80"/>
        <v>0</v>
      </c>
      <c r="CT146" s="46">
        <f t="shared" si="80"/>
        <v>0</v>
      </c>
      <c r="CU146" s="46">
        <f t="shared" si="80"/>
        <v>0</v>
      </c>
      <c r="CV146" s="46">
        <f t="shared" si="80"/>
        <v>0</v>
      </c>
      <c r="CW146" s="46">
        <f t="shared" si="80"/>
        <v>0</v>
      </c>
      <c r="CX146" s="46">
        <f t="shared" si="80"/>
        <v>0</v>
      </c>
      <c r="CY146" s="46">
        <f t="shared" si="80"/>
        <v>0</v>
      </c>
      <c r="CZ146" s="46">
        <f t="shared" si="80"/>
        <v>0</v>
      </c>
      <c r="DA146" s="46">
        <f t="shared" si="80"/>
        <v>0</v>
      </c>
      <c r="DB146" s="46">
        <f t="shared" si="80"/>
        <v>0</v>
      </c>
      <c r="DC146" s="54"/>
      <c r="DD146" s="54"/>
      <c r="DE146" s="54"/>
      <c r="DF146" s="54"/>
      <c r="DG146" s="54"/>
      <c r="DH146" s="54"/>
      <c r="DI146" s="54"/>
      <c r="DJ146" s="54"/>
      <c r="DK146" s="54"/>
      <c r="DL146" s="54"/>
      <c r="DM146" s="54"/>
      <c r="DN146" s="54"/>
      <c r="DO146" s="54"/>
      <c r="DP146" s="54"/>
      <c r="DQ146" s="54"/>
    </row>
    <row r="147" spans="1:121" ht="14.25" x14ac:dyDescent="0.15">
      <c r="A147" s="49">
        <v>145</v>
      </c>
      <c r="B147" s="46" t="e">
        <f t="shared" si="63"/>
        <v>#DIV/0!</v>
      </c>
      <c r="C147" s="46" t="e">
        <f t="shared" si="64"/>
        <v>#DIV/0!</v>
      </c>
      <c r="D147" s="46" t="e">
        <f t="shared" si="65"/>
        <v>#DIV/0!</v>
      </c>
      <c r="E147" s="46" t="e">
        <f t="shared" si="66"/>
        <v>#DIV/0!</v>
      </c>
      <c r="F147" s="46" t="e">
        <f t="shared" si="67"/>
        <v>#DIV/0!</v>
      </c>
      <c r="G147" s="46" t="e">
        <f t="shared" si="68"/>
        <v>#DIV/0!</v>
      </c>
      <c r="H147" s="46" t="e">
        <f t="shared" si="69"/>
        <v>#DIV/0!</v>
      </c>
      <c r="I147" s="46" t="e">
        <f t="shared" si="70"/>
        <v>#DIV/0!</v>
      </c>
      <c r="J147" s="46" t="e">
        <f t="shared" si="71"/>
        <v>#DIV/0!</v>
      </c>
      <c r="K147" s="46" t="e">
        <f t="shared" si="72"/>
        <v>#DIV/0!</v>
      </c>
      <c r="L147" s="46" t="e">
        <f t="shared" si="73"/>
        <v>#DIV/0!</v>
      </c>
      <c r="M147" s="46" t="e">
        <f t="shared" si="74"/>
        <v>#DIV/0!</v>
      </c>
      <c r="N147" s="46" t="e">
        <f t="shared" si="75"/>
        <v>#DIV/0!</v>
      </c>
      <c r="O147" s="46" t="e">
        <f t="shared" si="76"/>
        <v>#DIV/0!</v>
      </c>
      <c r="P147" s="46" t="e">
        <f t="shared" si="77"/>
        <v>#DIV/0!</v>
      </c>
      <c r="Q147" s="56" t="e">
        <f>Q146+ATM_Conf!$C$5*(B146)/(Links!B$191*Links!Q$191)</f>
        <v>#DIV/0!</v>
      </c>
      <c r="R147" s="56" t="e">
        <f>R146+ATM_Conf!$C$5*(C146-B146)/(Links!C$191*Links!R$191)</f>
        <v>#DIV/0!</v>
      </c>
      <c r="S147" s="56" t="e">
        <f>S146+ATM_Conf!$C$5*(D146-C146)/(Links!D$191*Links!S$191)</f>
        <v>#DIV/0!</v>
      </c>
      <c r="T147" s="56" t="e">
        <f>T146+ATM_Conf!$C$5*(E146-D146)/(Links!E$191*Links!T$191)</f>
        <v>#DIV/0!</v>
      </c>
      <c r="U147" s="56" t="e">
        <f>U146+ATM_Conf!$C$5*(F146-E146)/(Links!F$191*Links!U$191)</f>
        <v>#DIV/0!</v>
      </c>
      <c r="V147" s="56" t="e">
        <f>V146+ATM_Conf!$C$5*(G146-F146)/(Links!G$191*Links!V$191)</f>
        <v>#DIV/0!</v>
      </c>
      <c r="W147" s="56" t="e">
        <f>W146+ATM_Conf!$C$5*(H146-G146)/(Links!H$191*Links!W$191)</f>
        <v>#DIV/0!</v>
      </c>
      <c r="X147" s="56" t="e">
        <f>X146+ATM_Conf!$C$5*(I146-H146)/(Links!I$191*Links!X$191)</f>
        <v>#DIV/0!</v>
      </c>
      <c r="Y147" s="56" t="e">
        <f>Y146+ATM_Conf!$C$5*(J146)/(Links!J$191*Links!Y$191)</f>
        <v>#DIV/0!</v>
      </c>
      <c r="Z147" s="56" t="e">
        <f>Z146+ATM_Conf!$C$5*(K146-J146)/(Links!K$191*Links!Z$191)</f>
        <v>#DIV/0!</v>
      </c>
      <c r="AA147" s="56" t="e">
        <f>AA146+ATM_Conf!$C$5*(L146-K146)/(Links!L$191*Links!AA$191)</f>
        <v>#DIV/0!</v>
      </c>
      <c r="AB147" s="56" t="e">
        <f>AB146+ATM_Conf!$C$5*(M146-L146)/(Links!M$191*Links!AB$191)</f>
        <v>#DIV/0!</v>
      </c>
      <c r="AC147" s="56" t="e">
        <f>AC146+ATM_Conf!$C$5*(N146-M146)/(Links!N$191*Links!AC$191)</f>
        <v>#DIV/0!</v>
      </c>
      <c r="AD147" s="56" t="e">
        <f>AD146+ATM_Conf!$C$5*(O146-N146)/(Links!O$191*Links!AD$191)</f>
        <v>#DIV/0!</v>
      </c>
      <c r="AE147" s="56" t="e">
        <f>AE146+ATM_Conf!$C$5*(P146-O146)/(Links!P$191*Links!AE$191)</f>
        <v>#DIV/0!</v>
      </c>
      <c r="AF147" s="46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6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6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6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6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6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6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6" t="e">
        <f>AM146+(ATM_Conf!$C$5/ATM_Conf!$C$8)*(Links!BB146*EXP((-(Links!X146/Links!BQ146)^Links!CF146)/Links!CF146)-Links!AM146)+(ATM_Conf!$C$5/Links!X$191)*Links!AM146*(Nodes!BH146-Links!AM146)</f>
        <v>#DIV/0!</v>
      </c>
      <c r="AN147" s="46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6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6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6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6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6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6" t="e">
        <f>AT146+(ATM_Conf!$C$5/ATM_Conf!$C$8)*(Links!BI146*EXP((-(Links!AE146/Links!BX146)^Links!CM146)/Links!CM146)-Links!AT146)+(ATM_Conf!$C$5/Links!AE$191)*Links!AT146*(Nodes!BN146-Links!AT146)</f>
        <v>#DIV/0!</v>
      </c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56"/>
      <c r="BZ147" s="56"/>
      <c r="CA147" s="56"/>
      <c r="CB147" s="56"/>
      <c r="CC147" s="56"/>
      <c r="CD147" s="56"/>
      <c r="CE147" s="56"/>
      <c r="CF147" s="56"/>
      <c r="CG147" s="56"/>
      <c r="CH147" s="56"/>
      <c r="CI147" s="56"/>
      <c r="CJ147" s="56"/>
      <c r="CK147" s="56"/>
      <c r="CL147" s="56"/>
      <c r="CM147" s="56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54">
        <f>(CN147-CN135)^2</f>
        <v>0</v>
      </c>
      <c r="DD147" s="54">
        <f t="shared" ref="DD147:DQ147" si="81">(CO147-CO135)^2</f>
        <v>0</v>
      </c>
      <c r="DE147" s="54">
        <f t="shared" si="81"/>
        <v>0</v>
      </c>
      <c r="DF147" s="54">
        <f t="shared" si="81"/>
        <v>0</v>
      </c>
      <c r="DG147" s="54">
        <f t="shared" si="81"/>
        <v>0</v>
      </c>
      <c r="DH147" s="54">
        <f t="shared" si="81"/>
        <v>0</v>
      </c>
      <c r="DI147" s="54">
        <f t="shared" si="81"/>
        <v>0</v>
      </c>
      <c r="DJ147" s="54">
        <f t="shared" si="81"/>
        <v>0</v>
      </c>
      <c r="DK147" s="54">
        <f t="shared" si="81"/>
        <v>0</v>
      </c>
      <c r="DL147" s="54">
        <f t="shared" si="81"/>
        <v>0</v>
      </c>
      <c r="DM147" s="54">
        <f t="shared" si="81"/>
        <v>0</v>
      </c>
      <c r="DN147" s="54">
        <f t="shared" si="81"/>
        <v>0</v>
      </c>
      <c r="DO147" s="54">
        <f t="shared" si="81"/>
        <v>0</v>
      </c>
      <c r="DP147" s="54">
        <f t="shared" si="81"/>
        <v>0</v>
      </c>
      <c r="DQ147" s="54">
        <f t="shared" si="81"/>
        <v>0</v>
      </c>
    </row>
    <row r="148" spans="1:121" ht="14.25" x14ac:dyDescent="0.15">
      <c r="A148" s="49">
        <v>146</v>
      </c>
      <c r="B148" s="46" t="e">
        <f t="shared" si="63"/>
        <v>#DIV/0!</v>
      </c>
      <c r="C148" s="46" t="e">
        <f t="shared" si="64"/>
        <v>#DIV/0!</v>
      </c>
      <c r="D148" s="46" t="e">
        <f t="shared" si="65"/>
        <v>#DIV/0!</v>
      </c>
      <c r="E148" s="46" t="e">
        <f t="shared" si="66"/>
        <v>#DIV/0!</v>
      </c>
      <c r="F148" s="46" t="e">
        <f t="shared" si="67"/>
        <v>#DIV/0!</v>
      </c>
      <c r="G148" s="46" t="e">
        <f t="shared" si="68"/>
        <v>#DIV/0!</v>
      </c>
      <c r="H148" s="46" t="e">
        <f t="shared" si="69"/>
        <v>#DIV/0!</v>
      </c>
      <c r="I148" s="46" t="e">
        <f t="shared" si="70"/>
        <v>#DIV/0!</v>
      </c>
      <c r="J148" s="46" t="e">
        <f t="shared" si="71"/>
        <v>#DIV/0!</v>
      </c>
      <c r="K148" s="46" t="e">
        <f t="shared" si="72"/>
        <v>#DIV/0!</v>
      </c>
      <c r="L148" s="46" t="e">
        <f t="shared" si="73"/>
        <v>#DIV/0!</v>
      </c>
      <c r="M148" s="46" t="e">
        <f t="shared" si="74"/>
        <v>#DIV/0!</v>
      </c>
      <c r="N148" s="46" t="e">
        <f t="shared" si="75"/>
        <v>#DIV/0!</v>
      </c>
      <c r="O148" s="46" t="e">
        <f t="shared" si="76"/>
        <v>#DIV/0!</v>
      </c>
      <c r="P148" s="46" t="e">
        <f t="shared" si="77"/>
        <v>#DIV/0!</v>
      </c>
      <c r="Q148" s="56" t="e">
        <f>Q147+ATM_Conf!$C$5*(B147)/(Links!B$191*Links!Q$191)</f>
        <v>#DIV/0!</v>
      </c>
      <c r="R148" s="56" t="e">
        <f>R147+ATM_Conf!$C$5*(C147-B147)/(Links!C$191*Links!R$191)</f>
        <v>#DIV/0!</v>
      </c>
      <c r="S148" s="56" t="e">
        <f>S147+ATM_Conf!$C$5*(D147-C147)/(Links!D$191*Links!S$191)</f>
        <v>#DIV/0!</v>
      </c>
      <c r="T148" s="56" t="e">
        <f>T147+ATM_Conf!$C$5*(E147-D147)/(Links!E$191*Links!T$191)</f>
        <v>#DIV/0!</v>
      </c>
      <c r="U148" s="56" t="e">
        <f>U147+ATM_Conf!$C$5*(F147-E147)/(Links!F$191*Links!U$191)</f>
        <v>#DIV/0!</v>
      </c>
      <c r="V148" s="56" t="e">
        <f>V147+ATM_Conf!$C$5*(G147-F147)/(Links!G$191*Links!V$191)</f>
        <v>#DIV/0!</v>
      </c>
      <c r="W148" s="56" t="e">
        <f>W147+ATM_Conf!$C$5*(H147-G147)/(Links!H$191*Links!W$191)</f>
        <v>#DIV/0!</v>
      </c>
      <c r="X148" s="56" t="e">
        <f>X147+ATM_Conf!$C$5*(I147-H147)/(Links!I$191*Links!X$191)</f>
        <v>#DIV/0!</v>
      </c>
      <c r="Y148" s="56" t="e">
        <f>Y147+ATM_Conf!$C$5*(J147)/(Links!J$191*Links!Y$191)</f>
        <v>#DIV/0!</v>
      </c>
      <c r="Z148" s="56" t="e">
        <f>Z147+ATM_Conf!$C$5*(K147-J147)/(Links!K$191*Links!Z$191)</f>
        <v>#DIV/0!</v>
      </c>
      <c r="AA148" s="56" t="e">
        <f>AA147+ATM_Conf!$C$5*(L147-K147)/(Links!L$191*Links!AA$191)</f>
        <v>#DIV/0!</v>
      </c>
      <c r="AB148" s="56" t="e">
        <f>AB147+ATM_Conf!$C$5*(M147-L147)/(Links!M$191*Links!AB$191)</f>
        <v>#DIV/0!</v>
      </c>
      <c r="AC148" s="56" t="e">
        <f>AC147+ATM_Conf!$C$5*(N147-M147)/(Links!N$191*Links!AC$191)</f>
        <v>#DIV/0!</v>
      </c>
      <c r="AD148" s="56" t="e">
        <f>AD147+ATM_Conf!$C$5*(O147-N147)/(Links!O$191*Links!AD$191)</f>
        <v>#DIV/0!</v>
      </c>
      <c r="AE148" s="56" t="e">
        <f>AE147+ATM_Conf!$C$5*(P147-O147)/(Links!P$191*Links!AE$191)</f>
        <v>#DIV/0!</v>
      </c>
      <c r="AF148" s="46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6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6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6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6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6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6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6" t="e">
        <f>AM147+(ATM_Conf!$C$5/ATM_Conf!$C$8)*(Links!BB147*EXP((-(Links!X147/Links!BQ147)^Links!CF147)/Links!CF147)-Links!AM147)+(ATM_Conf!$C$5/Links!X$191)*Links!AM147*(Nodes!BH147-Links!AM147)</f>
        <v>#DIV/0!</v>
      </c>
      <c r="AN148" s="46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6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6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6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6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6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6" t="e">
        <f>AT147+(ATM_Conf!$C$5/ATM_Conf!$C$8)*(Links!BI147*EXP((-(Links!AE147/Links!BX147)^Links!CM147)/Links!CM147)-Links!AT147)+(ATM_Conf!$C$5/Links!AE$191)*Links!AT147*(Nodes!BN147-Links!AT147)</f>
        <v>#DIV/0!</v>
      </c>
      <c r="AU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I148" s="5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56"/>
      <c r="BZ148" s="56"/>
      <c r="CA148" s="56"/>
      <c r="CB148" s="56"/>
      <c r="CC148" s="56"/>
      <c r="CD148" s="56"/>
      <c r="CE148" s="56"/>
      <c r="CF148" s="56"/>
      <c r="CG148" s="56"/>
      <c r="CH148" s="56"/>
      <c r="CI148" s="56"/>
      <c r="CJ148" s="56"/>
      <c r="CK148" s="56"/>
      <c r="CL148" s="56"/>
      <c r="CM148" s="56"/>
      <c r="CN148" s="46">
        <f>CN$147</f>
        <v>0</v>
      </c>
      <c r="CO148" s="46">
        <f t="shared" ref="CO148:DB148" si="82">CO$147</f>
        <v>0</v>
      </c>
      <c r="CP148" s="46">
        <f t="shared" si="82"/>
        <v>0</v>
      </c>
      <c r="CQ148" s="46">
        <f t="shared" si="82"/>
        <v>0</v>
      </c>
      <c r="CR148" s="46">
        <f t="shared" si="82"/>
        <v>0</v>
      </c>
      <c r="CS148" s="46">
        <f t="shared" si="82"/>
        <v>0</v>
      </c>
      <c r="CT148" s="46">
        <f t="shared" si="82"/>
        <v>0</v>
      </c>
      <c r="CU148" s="46">
        <f t="shared" si="82"/>
        <v>0</v>
      </c>
      <c r="CV148" s="46">
        <f t="shared" si="82"/>
        <v>0</v>
      </c>
      <c r="CW148" s="46">
        <f t="shared" si="82"/>
        <v>0</v>
      </c>
      <c r="CX148" s="46">
        <f t="shared" si="82"/>
        <v>0</v>
      </c>
      <c r="CY148" s="46">
        <f t="shared" si="82"/>
        <v>0</v>
      </c>
      <c r="CZ148" s="46">
        <f t="shared" si="82"/>
        <v>0</v>
      </c>
      <c r="DA148" s="46">
        <f t="shared" si="82"/>
        <v>0</v>
      </c>
      <c r="DB148" s="46">
        <f t="shared" si="82"/>
        <v>0</v>
      </c>
      <c r="DC148" s="54"/>
      <c r="DD148" s="54"/>
      <c r="DE148" s="54"/>
      <c r="DF148" s="54"/>
      <c r="DG148" s="54"/>
      <c r="DH148" s="54"/>
      <c r="DI148" s="54"/>
      <c r="DJ148" s="54"/>
      <c r="DK148" s="54"/>
      <c r="DL148" s="54"/>
      <c r="DM148" s="54"/>
      <c r="DN148" s="54"/>
      <c r="DO148" s="54"/>
      <c r="DP148" s="54"/>
      <c r="DQ148" s="54"/>
    </row>
    <row r="149" spans="1:121" ht="14.25" x14ac:dyDescent="0.15">
      <c r="A149" s="49">
        <v>147</v>
      </c>
      <c r="B149" s="46" t="e">
        <f t="shared" si="63"/>
        <v>#DIV/0!</v>
      </c>
      <c r="C149" s="46" t="e">
        <f t="shared" si="64"/>
        <v>#DIV/0!</v>
      </c>
      <c r="D149" s="46" t="e">
        <f t="shared" si="65"/>
        <v>#DIV/0!</v>
      </c>
      <c r="E149" s="46" t="e">
        <f t="shared" si="66"/>
        <v>#DIV/0!</v>
      </c>
      <c r="F149" s="46" t="e">
        <f t="shared" si="67"/>
        <v>#DIV/0!</v>
      </c>
      <c r="G149" s="46" t="e">
        <f t="shared" si="68"/>
        <v>#DIV/0!</v>
      </c>
      <c r="H149" s="46" t="e">
        <f t="shared" si="69"/>
        <v>#DIV/0!</v>
      </c>
      <c r="I149" s="46" t="e">
        <f t="shared" si="70"/>
        <v>#DIV/0!</v>
      </c>
      <c r="J149" s="46" t="e">
        <f t="shared" si="71"/>
        <v>#DIV/0!</v>
      </c>
      <c r="K149" s="46" t="e">
        <f t="shared" si="72"/>
        <v>#DIV/0!</v>
      </c>
      <c r="L149" s="46" t="e">
        <f t="shared" si="73"/>
        <v>#DIV/0!</v>
      </c>
      <c r="M149" s="46" t="e">
        <f t="shared" si="74"/>
        <v>#DIV/0!</v>
      </c>
      <c r="N149" s="46" t="e">
        <f t="shared" si="75"/>
        <v>#DIV/0!</v>
      </c>
      <c r="O149" s="46" t="e">
        <f t="shared" si="76"/>
        <v>#DIV/0!</v>
      </c>
      <c r="P149" s="46" t="e">
        <f t="shared" si="77"/>
        <v>#DIV/0!</v>
      </c>
      <c r="Q149" s="56" t="e">
        <f>Q148+ATM_Conf!$C$5*(B148)/(Links!B$191*Links!Q$191)</f>
        <v>#DIV/0!</v>
      </c>
      <c r="R149" s="56" t="e">
        <f>R148+ATM_Conf!$C$5*(C148-B148)/(Links!C$191*Links!R$191)</f>
        <v>#DIV/0!</v>
      </c>
      <c r="S149" s="56" t="e">
        <f>S148+ATM_Conf!$C$5*(D148-C148)/(Links!D$191*Links!S$191)</f>
        <v>#DIV/0!</v>
      </c>
      <c r="T149" s="56" t="e">
        <f>T148+ATM_Conf!$C$5*(E148-D148)/(Links!E$191*Links!T$191)</f>
        <v>#DIV/0!</v>
      </c>
      <c r="U149" s="56" t="e">
        <f>U148+ATM_Conf!$C$5*(F148-E148)/(Links!F$191*Links!U$191)</f>
        <v>#DIV/0!</v>
      </c>
      <c r="V149" s="56" t="e">
        <f>V148+ATM_Conf!$C$5*(G148-F148)/(Links!G$191*Links!V$191)</f>
        <v>#DIV/0!</v>
      </c>
      <c r="W149" s="56" t="e">
        <f>W148+ATM_Conf!$C$5*(H148-G148)/(Links!H$191*Links!W$191)</f>
        <v>#DIV/0!</v>
      </c>
      <c r="X149" s="56" t="e">
        <f>X148+ATM_Conf!$C$5*(I148-H148)/(Links!I$191*Links!X$191)</f>
        <v>#DIV/0!</v>
      </c>
      <c r="Y149" s="56" t="e">
        <f>Y148+ATM_Conf!$C$5*(J148)/(Links!J$191*Links!Y$191)</f>
        <v>#DIV/0!</v>
      </c>
      <c r="Z149" s="56" t="e">
        <f>Z148+ATM_Conf!$C$5*(K148-J148)/(Links!K$191*Links!Z$191)</f>
        <v>#DIV/0!</v>
      </c>
      <c r="AA149" s="56" t="e">
        <f>AA148+ATM_Conf!$C$5*(L148-K148)/(Links!L$191*Links!AA$191)</f>
        <v>#DIV/0!</v>
      </c>
      <c r="AB149" s="56" t="e">
        <f>AB148+ATM_Conf!$C$5*(M148-L148)/(Links!M$191*Links!AB$191)</f>
        <v>#DIV/0!</v>
      </c>
      <c r="AC149" s="56" t="e">
        <f>AC148+ATM_Conf!$C$5*(N148-M148)/(Links!N$191*Links!AC$191)</f>
        <v>#DIV/0!</v>
      </c>
      <c r="AD149" s="56" t="e">
        <f>AD148+ATM_Conf!$C$5*(O148-N148)/(Links!O$191*Links!AD$191)</f>
        <v>#DIV/0!</v>
      </c>
      <c r="AE149" s="56" t="e">
        <f>AE148+ATM_Conf!$C$5*(P148-O148)/(Links!P$191*Links!AE$191)</f>
        <v>#DIV/0!</v>
      </c>
      <c r="AF149" s="46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6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6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6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6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6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6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6" t="e">
        <f>AM148+(ATM_Conf!$C$5/ATM_Conf!$C$8)*(Links!BB148*EXP((-(Links!X148/Links!BQ148)^Links!CF148)/Links!CF148)-Links!AM148)+(ATM_Conf!$C$5/Links!X$191)*Links!AM148*(Nodes!BH148-Links!AM148)</f>
        <v>#DIV/0!</v>
      </c>
      <c r="AN149" s="46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6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6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6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6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6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6" t="e">
        <f>AT148+(ATM_Conf!$C$5/ATM_Conf!$C$8)*(Links!BI148*EXP((-(Links!AE148/Links!BX148)^Links!CM148)/Links!CM148)-Links!AT148)+(ATM_Conf!$C$5/Links!AE$191)*Links!AT148*(Nodes!BN148-Links!AT148)</f>
        <v>#DIV/0!</v>
      </c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56"/>
      <c r="BZ149" s="56"/>
      <c r="CA149" s="56"/>
      <c r="CB149" s="56"/>
      <c r="CC149" s="56"/>
      <c r="CD149" s="56"/>
      <c r="CE149" s="56"/>
      <c r="CF149" s="56"/>
      <c r="CG149" s="56"/>
      <c r="CH149" s="56"/>
      <c r="CI149" s="56"/>
      <c r="CJ149" s="56"/>
      <c r="CK149" s="56"/>
      <c r="CL149" s="56"/>
      <c r="CM149" s="56"/>
      <c r="CN149" s="46">
        <f t="shared" ref="CN149:DB158" si="83">CN$147</f>
        <v>0</v>
      </c>
      <c r="CO149" s="46">
        <f t="shared" si="83"/>
        <v>0</v>
      </c>
      <c r="CP149" s="46">
        <f t="shared" si="83"/>
        <v>0</v>
      </c>
      <c r="CQ149" s="46">
        <f t="shared" si="83"/>
        <v>0</v>
      </c>
      <c r="CR149" s="46">
        <f t="shared" si="83"/>
        <v>0</v>
      </c>
      <c r="CS149" s="46">
        <f t="shared" si="83"/>
        <v>0</v>
      </c>
      <c r="CT149" s="46">
        <f t="shared" si="83"/>
        <v>0</v>
      </c>
      <c r="CU149" s="46">
        <f t="shared" si="83"/>
        <v>0</v>
      </c>
      <c r="CV149" s="46">
        <f t="shared" si="83"/>
        <v>0</v>
      </c>
      <c r="CW149" s="46">
        <f t="shared" si="83"/>
        <v>0</v>
      </c>
      <c r="CX149" s="46">
        <f t="shared" si="83"/>
        <v>0</v>
      </c>
      <c r="CY149" s="46">
        <f t="shared" si="83"/>
        <v>0</v>
      </c>
      <c r="CZ149" s="46">
        <f t="shared" si="83"/>
        <v>0</v>
      </c>
      <c r="DA149" s="46">
        <f t="shared" si="83"/>
        <v>0</v>
      </c>
      <c r="DB149" s="46">
        <f t="shared" si="83"/>
        <v>0</v>
      </c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</row>
    <row r="150" spans="1:121" ht="14.25" x14ac:dyDescent="0.15">
      <c r="A150" s="49">
        <v>148</v>
      </c>
      <c r="B150" s="46" t="e">
        <f t="shared" si="63"/>
        <v>#DIV/0!</v>
      </c>
      <c r="C150" s="46" t="e">
        <f t="shared" si="64"/>
        <v>#DIV/0!</v>
      </c>
      <c r="D150" s="46" t="e">
        <f t="shared" si="65"/>
        <v>#DIV/0!</v>
      </c>
      <c r="E150" s="46" t="e">
        <f t="shared" si="66"/>
        <v>#DIV/0!</v>
      </c>
      <c r="F150" s="46" t="e">
        <f t="shared" si="67"/>
        <v>#DIV/0!</v>
      </c>
      <c r="G150" s="46" t="e">
        <f t="shared" si="68"/>
        <v>#DIV/0!</v>
      </c>
      <c r="H150" s="46" t="e">
        <f t="shared" si="69"/>
        <v>#DIV/0!</v>
      </c>
      <c r="I150" s="46" t="e">
        <f t="shared" si="70"/>
        <v>#DIV/0!</v>
      </c>
      <c r="J150" s="46" t="e">
        <f t="shared" si="71"/>
        <v>#DIV/0!</v>
      </c>
      <c r="K150" s="46" t="e">
        <f t="shared" si="72"/>
        <v>#DIV/0!</v>
      </c>
      <c r="L150" s="46" t="e">
        <f t="shared" si="73"/>
        <v>#DIV/0!</v>
      </c>
      <c r="M150" s="46" t="e">
        <f t="shared" si="74"/>
        <v>#DIV/0!</v>
      </c>
      <c r="N150" s="46" t="e">
        <f t="shared" si="75"/>
        <v>#DIV/0!</v>
      </c>
      <c r="O150" s="46" t="e">
        <f t="shared" si="76"/>
        <v>#DIV/0!</v>
      </c>
      <c r="P150" s="46" t="e">
        <f t="shared" si="77"/>
        <v>#DIV/0!</v>
      </c>
      <c r="Q150" s="56" t="e">
        <f>Q149+ATM_Conf!$C$5*(B149)/(Links!B$191*Links!Q$191)</f>
        <v>#DIV/0!</v>
      </c>
      <c r="R150" s="56" t="e">
        <f>R149+ATM_Conf!$C$5*(C149-B149)/(Links!C$191*Links!R$191)</f>
        <v>#DIV/0!</v>
      </c>
      <c r="S150" s="56" t="e">
        <f>S149+ATM_Conf!$C$5*(D149-C149)/(Links!D$191*Links!S$191)</f>
        <v>#DIV/0!</v>
      </c>
      <c r="T150" s="56" t="e">
        <f>T149+ATM_Conf!$C$5*(E149-D149)/(Links!E$191*Links!T$191)</f>
        <v>#DIV/0!</v>
      </c>
      <c r="U150" s="56" t="e">
        <f>U149+ATM_Conf!$C$5*(F149-E149)/(Links!F$191*Links!U$191)</f>
        <v>#DIV/0!</v>
      </c>
      <c r="V150" s="56" t="e">
        <f>V149+ATM_Conf!$C$5*(G149-F149)/(Links!G$191*Links!V$191)</f>
        <v>#DIV/0!</v>
      </c>
      <c r="W150" s="56" t="e">
        <f>W149+ATM_Conf!$C$5*(H149-G149)/(Links!H$191*Links!W$191)</f>
        <v>#DIV/0!</v>
      </c>
      <c r="X150" s="56" t="e">
        <f>X149+ATM_Conf!$C$5*(I149-H149)/(Links!I$191*Links!X$191)</f>
        <v>#DIV/0!</v>
      </c>
      <c r="Y150" s="56" t="e">
        <f>Y149+ATM_Conf!$C$5*(J149)/(Links!J$191*Links!Y$191)</f>
        <v>#DIV/0!</v>
      </c>
      <c r="Z150" s="56" t="e">
        <f>Z149+ATM_Conf!$C$5*(K149-J149)/(Links!K$191*Links!Z$191)</f>
        <v>#DIV/0!</v>
      </c>
      <c r="AA150" s="56" t="e">
        <f>AA149+ATM_Conf!$C$5*(L149-K149)/(Links!L$191*Links!AA$191)</f>
        <v>#DIV/0!</v>
      </c>
      <c r="AB150" s="56" t="e">
        <f>AB149+ATM_Conf!$C$5*(M149-L149)/(Links!M$191*Links!AB$191)</f>
        <v>#DIV/0!</v>
      </c>
      <c r="AC150" s="56" t="e">
        <f>AC149+ATM_Conf!$C$5*(N149-M149)/(Links!N$191*Links!AC$191)</f>
        <v>#DIV/0!</v>
      </c>
      <c r="AD150" s="56" t="e">
        <f>AD149+ATM_Conf!$C$5*(O149-N149)/(Links!O$191*Links!AD$191)</f>
        <v>#DIV/0!</v>
      </c>
      <c r="AE150" s="56" t="e">
        <f>AE149+ATM_Conf!$C$5*(P149-O149)/(Links!P$191*Links!AE$191)</f>
        <v>#DIV/0!</v>
      </c>
      <c r="AF150" s="46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6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6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6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6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6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6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6" t="e">
        <f>AM149+(ATM_Conf!$C$5/ATM_Conf!$C$8)*(Links!BB149*EXP((-(Links!X149/Links!BQ149)^Links!CF149)/Links!CF149)-Links!AM149)+(ATM_Conf!$C$5/Links!X$191)*Links!AM149*(Nodes!BH149-Links!AM149)</f>
        <v>#DIV/0!</v>
      </c>
      <c r="AN150" s="46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6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6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6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6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6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6" t="e">
        <f>AT149+(ATM_Conf!$C$5/ATM_Conf!$C$8)*(Links!BI149*EXP((-(Links!AE149/Links!BX149)^Links!CM149)/Links!CM149)-Links!AT149)+(ATM_Conf!$C$5/Links!AE$191)*Links!AT149*(Nodes!BN149-Links!AT149)</f>
        <v>#DIV/0!</v>
      </c>
      <c r="AU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I150" s="5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56"/>
      <c r="BZ150" s="56"/>
      <c r="CA150" s="56"/>
      <c r="CB150" s="56"/>
      <c r="CC150" s="56"/>
      <c r="CD150" s="56"/>
      <c r="CE150" s="56"/>
      <c r="CF150" s="56"/>
      <c r="CG150" s="56"/>
      <c r="CH150" s="56"/>
      <c r="CI150" s="56"/>
      <c r="CJ150" s="56"/>
      <c r="CK150" s="56"/>
      <c r="CL150" s="56"/>
      <c r="CM150" s="56"/>
      <c r="CN150" s="46">
        <f t="shared" si="83"/>
        <v>0</v>
      </c>
      <c r="CO150" s="46">
        <f t="shared" si="83"/>
        <v>0</v>
      </c>
      <c r="CP150" s="46">
        <f t="shared" si="83"/>
        <v>0</v>
      </c>
      <c r="CQ150" s="46">
        <f t="shared" si="83"/>
        <v>0</v>
      </c>
      <c r="CR150" s="46">
        <f t="shared" si="83"/>
        <v>0</v>
      </c>
      <c r="CS150" s="46">
        <f t="shared" si="83"/>
        <v>0</v>
      </c>
      <c r="CT150" s="46">
        <f t="shared" si="83"/>
        <v>0</v>
      </c>
      <c r="CU150" s="46">
        <f t="shared" si="83"/>
        <v>0</v>
      </c>
      <c r="CV150" s="46">
        <f t="shared" si="83"/>
        <v>0</v>
      </c>
      <c r="CW150" s="46">
        <f t="shared" si="83"/>
        <v>0</v>
      </c>
      <c r="CX150" s="46">
        <f t="shared" si="83"/>
        <v>0</v>
      </c>
      <c r="CY150" s="46">
        <f t="shared" si="83"/>
        <v>0</v>
      </c>
      <c r="CZ150" s="46">
        <f t="shared" si="83"/>
        <v>0</v>
      </c>
      <c r="DA150" s="46">
        <f t="shared" si="83"/>
        <v>0</v>
      </c>
      <c r="DB150" s="46">
        <f t="shared" si="83"/>
        <v>0</v>
      </c>
      <c r="DC150" s="54"/>
      <c r="DD150" s="54"/>
      <c r="DE150" s="54"/>
      <c r="DF150" s="54"/>
      <c r="DG150" s="54"/>
      <c r="DH150" s="54"/>
      <c r="DI150" s="54"/>
      <c r="DJ150" s="54"/>
      <c r="DK150" s="54"/>
      <c r="DL150" s="54"/>
      <c r="DM150" s="54"/>
      <c r="DN150" s="54"/>
      <c r="DO150" s="54"/>
      <c r="DP150" s="54"/>
      <c r="DQ150" s="54"/>
    </row>
    <row r="151" spans="1:121" ht="14.25" x14ac:dyDescent="0.15">
      <c r="A151" s="49">
        <v>149</v>
      </c>
      <c r="B151" s="46" t="e">
        <f t="shared" si="63"/>
        <v>#DIV/0!</v>
      </c>
      <c r="C151" s="46" t="e">
        <f t="shared" si="64"/>
        <v>#DIV/0!</v>
      </c>
      <c r="D151" s="46" t="e">
        <f t="shared" si="65"/>
        <v>#DIV/0!</v>
      </c>
      <c r="E151" s="46" t="e">
        <f t="shared" si="66"/>
        <v>#DIV/0!</v>
      </c>
      <c r="F151" s="46" t="e">
        <f t="shared" si="67"/>
        <v>#DIV/0!</v>
      </c>
      <c r="G151" s="46" t="e">
        <f t="shared" si="68"/>
        <v>#DIV/0!</v>
      </c>
      <c r="H151" s="46" t="e">
        <f t="shared" si="69"/>
        <v>#DIV/0!</v>
      </c>
      <c r="I151" s="46" t="e">
        <f t="shared" si="70"/>
        <v>#DIV/0!</v>
      </c>
      <c r="J151" s="46" t="e">
        <f t="shared" si="71"/>
        <v>#DIV/0!</v>
      </c>
      <c r="K151" s="46" t="e">
        <f t="shared" si="72"/>
        <v>#DIV/0!</v>
      </c>
      <c r="L151" s="46" t="e">
        <f t="shared" si="73"/>
        <v>#DIV/0!</v>
      </c>
      <c r="M151" s="46" t="e">
        <f t="shared" si="74"/>
        <v>#DIV/0!</v>
      </c>
      <c r="N151" s="46" t="e">
        <f t="shared" si="75"/>
        <v>#DIV/0!</v>
      </c>
      <c r="O151" s="46" t="e">
        <f t="shared" si="76"/>
        <v>#DIV/0!</v>
      </c>
      <c r="P151" s="46" t="e">
        <f t="shared" si="77"/>
        <v>#DIV/0!</v>
      </c>
      <c r="Q151" s="56" t="e">
        <f>Q150+ATM_Conf!$C$5*(B150)/(Links!B$191*Links!Q$191)</f>
        <v>#DIV/0!</v>
      </c>
      <c r="R151" s="56" t="e">
        <f>R150+ATM_Conf!$C$5*(C150-B150)/(Links!C$191*Links!R$191)</f>
        <v>#DIV/0!</v>
      </c>
      <c r="S151" s="56" t="e">
        <f>S150+ATM_Conf!$C$5*(D150-C150)/(Links!D$191*Links!S$191)</f>
        <v>#DIV/0!</v>
      </c>
      <c r="T151" s="56" t="e">
        <f>T150+ATM_Conf!$C$5*(E150-D150)/(Links!E$191*Links!T$191)</f>
        <v>#DIV/0!</v>
      </c>
      <c r="U151" s="56" t="e">
        <f>U150+ATM_Conf!$C$5*(F150-E150)/(Links!F$191*Links!U$191)</f>
        <v>#DIV/0!</v>
      </c>
      <c r="V151" s="56" t="e">
        <f>V150+ATM_Conf!$C$5*(G150-F150)/(Links!G$191*Links!V$191)</f>
        <v>#DIV/0!</v>
      </c>
      <c r="W151" s="56" t="e">
        <f>W150+ATM_Conf!$C$5*(H150-G150)/(Links!H$191*Links!W$191)</f>
        <v>#DIV/0!</v>
      </c>
      <c r="X151" s="56" t="e">
        <f>X150+ATM_Conf!$C$5*(I150-H150)/(Links!I$191*Links!X$191)</f>
        <v>#DIV/0!</v>
      </c>
      <c r="Y151" s="56" t="e">
        <f>Y150+ATM_Conf!$C$5*(J150)/(Links!J$191*Links!Y$191)</f>
        <v>#DIV/0!</v>
      </c>
      <c r="Z151" s="56" t="e">
        <f>Z150+ATM_Conf!$C$5*(K150-J150)/(Links!K$191*Links!Z$191)</f>
        <v>#DIV/0!</v>
      </c>
      <c r="AA151" s="56" t="e">
        <f>AA150+ATM_Conf!$C$5*(L150-K150)/(Links!L$191*Links!AA$191)</f>
        <v>#DIV/0!</v>
      </c>
      <c r="AB151" s="56" t="e">
        <f>AB150+ATM_Conf!$C$5*(M150-L150)/(Links!M$191*Links!AB$191)</f>
        <v>#DIV/0!</v>
      </c>
      <c r="AC151" s="56" t="e">
        <f>AC150+ATM_Conf!$C$5*(N150-M150)/(Links!N$191*Links!AC$191)</f>
        <v>#DIV/0!</v>
      </c>
      <c r="AD151" s="56" t="e">
        <f>AD150+ATM_Conf!$C$5*(O150-N150)/(Links!O$191*Links!AD$191)</f>
        <v>#DIV/0!</v>
      </c>
      <c r="AE151" s="56" t="e">
        <f>AE150+ATM_Conf!$C$5*(P150-O150)/(Links!P$191*Links!AE$191)</f>
        <v>#DIV/0!</v>
      </c>
      <c r="AF151" s="46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6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6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6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6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6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6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6" t="e">
        <f>AM150+(ATM_Conf!$C$5/ATM_Conf!$C$8)*(Links!BB150*EXP((-(Links!X150/Links!BQ150)^Links!CF150)/Links!CF150)-Links!AM150)+(ATM_Conf!$C$5/Links!X$191)*Links!AM150*(Nodes!BH150-Links!AM150)</f>
        <v>#DIV/0!</v>
      </c>
      <c r="AN151" s="46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6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6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6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6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6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6" t="e">
        <f>AT150+(ATM_Conf!$C$5/ATM_Conf!$C$8)*(Links!BI150*EXP((-(Links!AE150/Links!BX150)^Links!CM150)/Links!CM150)-Links!AT150)+(ATM_Conf!$C$5/Links!AE$191)*Links!AT150*(Nodes!BN150-Links!AT150)</f>
        <v>#DIV/0!</v>
      </c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I151" s="5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56"/>
      <c r="BZ151" s="56"/>
      <c r="CA151" s="56"/>
      <c r="CB151" s="56"/>
      <c r="CC151" s="56"/>
      <c r="CD151" s="56"/>
      <c r="CE151" s="56"/>
      <c r="CF151" s="56"/>
      <c r="CG151" s="56"/>
      <c r="CH151" s="56"/>
      <c r="CI151" s="56"/>
      <c r="CJ151" s="56"/>
      <c r="CK151" s="56"/>
      <c r="CL151" s="56"/>
      <c r="CM151" s="56"/>
      <c r="CN151" s="46">
        <f t="shared" si="83"/>
        <v>0</v>
      </c>
      <c r="CO151" s="46">
        <f t="shared" si="83"/>
        <v>0</v>
      </c>
      <c r="CP151" s="46">
        <f t="shared" si="83"/>
        <v>0</v>
      </c>
      <c r="CQ151" s="46">
        <f t="shared" si="83"/>
        <v>0</v>
      </c>
      <c r="CR151" s="46">
        <f t="shared" si="83"/>
        <v>0</v>
      </c>
      <c r="CS151" s="46">
        <f t="shared" si="83"/>
        <v>0</v>
      </c>
      <c r="CT151" s="46">
        <f t="shared" si="83"/>
        <v>0</v>
      </c>
      <c r="CU151" s="46">
        <f t="shared" si="83"/>
        <v>0</v>
      </c>
      <c r="CV151" s="46">
        <f t="shared" si="83"/>
        <v>0</v>
      </c>
      <c r="CW151" s="46">
        <f t="shared" si="83"/>
        <v>0</v>
      </c>
      <c r="CX151" s="46">
        <f t="shared" si="83"/>
        <v>0</v>
      </c>
      <c r="CY151" s="46">
        <f t="shared" si="83"/>
        <v>0</v>
      </c>
      <c r="CZ151" s="46">
        <f t="shared" si="83"/>
        <v>0</v>
      </c>
      <c r="DA151" s="46">
        <f t="shared" si="83"/>
        <v>0</v>
      </c>
      <c r="DB151" s="46">
        <f t="shared" si="83"/>
        <v>0</v>
      </c>
      <c r="DC151" s="54"/>
      <c r="DD151" s="54"/>
      <c r="DE151" s="54"/>
      <c r="DF151" s="54"/>
      <c r="DG151" s="54"/>
      <c r="DH151" s="54"/>
      <c r="DI151" s="54"/>
      <c r="DJ151" s="54"/>
      <c r="DK151" s="54"/>
      <c r="DL151" s="54"/>
      <c r="DM151" s="54"/>
      <c r="DN151" s="54"/>
      <c r="DO151" s="54"/>
      <c r="DP151" s="54"/>
      <c r="DQ151" s="54"/>
    </row>
    <row r="152" spans="1:121" ht="14.25" x14ac:dyDescent="0.15">
      <c r="A152" s="49">
        <v>150</v>
      </c>
      <c r="B152" s="46" t="e">
        <f t="shared" si="63"/>
        <v>#DIV/0!</v>
      </c>
      <c r="C152" s="46" t="e">
        <f t="shared" si="64"/>
        <v>#DIV/0!</v>
      </c>
      <c r="D152" s="46" t="e">
        <f t="shared" si="65"/>
        <v>#DIV/0!</v>
      </c>
      <c r="E152" s="46" t="e">
        <f t="shared" si="66"/>
        <v>#DIV/0!</v>
      </c>
      <c r="F152" s="46" t="e">
        <f t="shared" si="67"/>
        <v>#DIV/0!</v>
      </c>
      <c r="G152" s="46" t="e">
        <f t="shared" si="68"/>
        <v>#DIV/0!</v>
      </c>
      <c r="H152" s="46" t="e">
        <f t="shared" si="69"/>
        <v>#DIV/0!</v>
      </c>
      <c r="I152" s="46" t="e">
        <f t="shared" si="70"/>
        <v>#DIV/0!</v>
      </c>
      <c r="J152" s="46" t="e">
        <f t="shared" si="71"/>
        <v>#DIV/0!</v>
      </c>
      <c r="K152" s="46" t="e">
        <f t="shared" si="72"/>
        <v>#DIV/0!</v>
      </c>
      <c r="L152" s="46" t="e">
        <f t="shared" si="73"/>
        <v>#DIV/0!</v>
      </c>
      <c r="M152" s="46" t="e">
        <f t="shared" si="74"/>
        <v>#DIV/0!</v>
      </c>
      <c r="N152" s="46" t="e">
        <f t="shared" si="75"/>
        <v>#DIV/0!</v>
      </c>
      <c r="O152" s="46" t="e">
        <f t="shared" si="76"/>
        <v>#DIV/0!</v>
      </c>
      <c r="P152" s="46" t="e">
        <f t="shared" si="77"/>
        <v>#DIV/0!</v>
      </c>
      <c r="Q152" s="56" t="e">
        <f>Q151+ATM_Conf!$C$5*(B151)/(Links!B$191*Links!Q$191)</f>
        <v>#DIV/0!</v>
      </c>
      <c r="R152" s="56" t="e">
        <f>R151+ATM_Conf!$C$5*(C151-B151)/(Links!C$191*Links!R$191)</f>
        <v>#DIV/0!</v>
      </c>
      <c r="S152" s="56" t="e">
        <f>S151+ATM_Conf!$C$5*(D151-C151)/(Links!D$191*Links!S$191)</f>
        <v>#DIV/0!</v>
      </c>
      <c r="T152" s="56" t="e">
        <f>T151+ATM_Conf!$C$5*(E151-D151)/(Links!E$191*Links!T$191)</f>
        <v>#DIV/0!</v>
      </c>
      <c r="U152" s="56" t="e">
        <f>U151+ATM_Conf!$C$5*(F151-E151)/(Links!F$191*Links!U$191)</f>
        <v>#DIV/0!</v>
      </c>
      <c r="V152" s="56" t="e">
        <f>V151+ATM_Conf!$C$5*(G151-F151)/(Links!G$191*Links!V$191)</f>
        <v>#DIV/0!</v>
      </c>
      <c r="W152" s="56" t="e">
        <f>W151+ATM_Conf!$C$5*(H151-G151)/(Links!H$191*Links!W$191)</f>
        <v>#DIV/0!</v>
      </c>
      <c r="X152" s="56" t="e">
        <f>X151+ATM_Conf!$C$5*(I151-H151)/(Links!I$191*Links!X$191)</f>
        <v>#DIV/0!</v>
      </c>
      <c r="Y152" s="56" t="e">
        <f>Y151+ATM_Conf!$C$5*(J151)/(Links!J$191*Links!Y$191)</f>
        <v>#DIV/0!</v>
      </c>
      <c r="Z152" s="56" t="e">
        <f>Z151+ATM_Conf!$C$5*(K151-J151)/(Links!K$191*Links!Z$191)</f>
        <v>#DIV/0!</v>
      </c>
      <c r="AA152" s="56" t="e">
        <f>AA151+ATM_Conf!$C$5*(L151-K151)/(Links!L$191*Links!AA$191)</f>
        <v>#DIV/0!</v>
      </c>
      <c r="AB152" s="56" t="e">
        <f>AB151+ATM_Conf!$C$5*(M151-L151)/(Links!M$191*Links!AB$191)</f>
        <v>#DIV/0!</v>
      </c>
      <c r="AC152" s="56" t="e">
        <f>AC151+ATM_Conf!$C$5*(N151-M151)/(Links!N$191*Links!AC$191)</f>
        <v>#DIV/0!</v>
      </c>
      <c r="AD152" s="56" t="e">
        <f>AD151+ATM_Conf!$C$5*(O151-N151)/(Links!O$191*Links!AD$191)</f>
        <v>#DIV/0!</v>
      </c>
      <c r="AE152" s="56" t="e">
        <f>AE151+ATM_Conf!$C$5*(P151-O151)/(Links!P$191*Links!AE$191)</f>
        <v>#DIV/0!</v>
      </c>
      <c r="AF152" s="46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6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6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6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6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6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6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6" t="e">
        <f>AM151+(ATM_Conf!$C$5/ATM_Conf!$C$8)*(Links!BB151*EXP((-(Links!X151/Links!BQ151)^Links!CF151)/Links!CF151)-Links!AM151)+(ATM_Conf!$C$5/Links!X$191)*Links!AM151*(Nodes!BH151-Links!AM151)</f>
        <v>#DIV/0!</v>
      </c>
      <c r="AN152" s="46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6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6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6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6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6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6" t="e">
        <f>AT151+(ATM_Conf!$C$5/ATM_Conf!$C$8)*(Links!BI151*EXP((-(Links!AE151/Links!BX151)^Links!CM151)/Links!CM151)-Links!AT151)+(ATM_Conf!$C$5/Links!AE$191)*Links!AT151*(Nodes!BN151-Links!AT151)</f>
        <v>#DIV/0!</v>
      </c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I152" s="56"/>
      <c r="BJ152" s="46"/>
      <c r="BK152" s="46"/>
      <c r="BL152" s="46"/>
      <c r="BM152" s="46"/>
      <c r="BN152" s="46"/>
      <c r="BO152" s="46"/>
      <c r="BP152" s="46"/>
      <c r="BQ152" s="46"/>
      <c r="BR152" s="46"/>
      <c r="BS152" s="46"/>
      <c r="BT152" s="46"/>
      <c r="BU152" s="46"/>
      <c r="BV152" s="46"/>
      <c r="BW152" s="46"/>
      <c r="BX152" s="46"/>
      <c r="BY152" s="56"/>
      <c r="BZ152" s="56"/>
      <c r="CA152" s="56"/>
      <c r="CB152" s="56"/>
      <c r="CC152" s="56"/>
      <c r="CD152" s="56"/>
      <c r="CE152" s="56"/>
      <c r="CF152" s="56"/>
      <c r="CG152" s="56"/>
      <c r="CH152" s="56"/>
      <c r="CI152" s="56"/>
      <c r="CJ152" s="56"/>
      <c r="CK152" s="56"/>
      <c r="CL152" s="56"/>
      <c r="CM152" s="56"/>
      <c r="CN152" s="46">
        <f t="shared" si="83"/>
        <v>0</v>
      </c>
      <c r="CO152" s="46">
        <f t="shared" si="83"/>
        <v>0</v>
      </c>
      <c r="CP152" s="46">
        <f t="shared" si="83"/>
        <v>0</v>
      </c>
      <c r="CQ152" s="46">
        <f t="shared" si="83"/>
        <v>0</v>
      </c>
      <c r="CR152" s="46">
        <f t="shared" si="83"/>
        <v>0</v>
      </c>
      <c r="CS152" s="46">
        <f t="shared" si="83"/>
        <v>0</v>
      </c>
      <c r="CT152" s="46">
        <f t="shared" si="83"/>
        <v>0</v>
      </c>
      <c r="CU152" s="46">
        <f t="shared" si="83"/>
        <v>0</v>
      </c>
      <c r="CV152" s="46">
        <f t="shared" si="83"/>
        <v>0</v>
      </c>
      <c r="CW152" s="46">
        <f t="shared" si="83"/>
        <v>0</v>
      </c>
      <c r="CX152" s="46">
        <f t="shared" si="83"/>
        <v>0</v>
      </c>
      <c r="CY152" s="46">
        <f t="shared" si="83"/>
        <v>0</v>
      </c>
      <c r="CZ152" s="46">
        <f t="shared" si="83"/>
        <v>0</v>
      </c>
      <c r="DA152" s="46">
        <f t="shared" si="83"/>
        <v>0</v>
      </c>
      <c r="DB152" s="46">
        <f t="shared" si="83"/>
        <v>0</v>
      </c>
      <c r="DC152" s="54"/>
      <c r="DD152" s="54"/>
      <c r="DE152" s="54"/>
      <c r="DF152" s="54"/>
      <c r="DG152" s="54"/>
      <c r="DH152" s="54"/>
      <c r="DI152" s="54"/>
      <c r="DJ152" s="54"/>
      <c r="DK152" s="54"/>
      <c r="DL152" s="54"/>
      <c r="DM152" s="54"/>
      <c r="DN152" s="54"/>
      <c r="DO152" s="54"/>
      <c r="DP152" s="54"/>
      <c r="DQ152" s="54"/>
    </row>
    <row r="153" spans="1:121" ht="14.25" x14ac:dyDescent="0.15">
      <c r="A153" s="49">
        <v>151</v>
      </c>
      <c r="B153" s="46" t="e">
        <f t="shared" si="63"/>
        <v>#DIV/0!</v>
      </c>
      <c r="C153" s="46" t="e">
        <f t="shared" si="64"/>
        <v>#DIV/0!</v>
      </c>
      <c r="D153" s="46" t="e">
        <f t="shared" si="65"/>
        <v>#DIV/0!</v>
      </c>
      <c r="E153" s="46" t="e">
        <f t="shared" si="66"/>
        <v>#DIV/0!</v>
      </c>
      <c r="F153" s="46" t="e">
        <f t="shared" si="67"/>
        <v>#DIV/0!</v>
      </c>
      <c r="G153" s="46" t="e">
        <f t="shared" si="68"/>
        <v>#DIV/0!</v>
      </c>
      <c r="H153" s="46" t="e">
        <f t="shared" si="69"/>
        <v>#DIV/0!</v>
      </c>
      <c r="I153" s="46" t="e">
        <f t="shared" si="70"/>
        <v>#DIV/0!</v>
      </c>
      <c r="J153" s="46" t="e">
        <f t="shared" si="71"/>
        <v>#DIV/0!</v>
      </c>
      <c r="K153" s="46" t="e">
        <f t="shared" si="72"/>
        <v>#DIV/0!</v>
      </c>
      <c r="L153" s="46" t="e">
        <f t="shared" si="73"/>
        <v>#DIV/0!</v>
      </c>
      <c r="M153" s="46" t="e">
        <f t="shared" si="74"/>
        <v>#DIV/0!</v>
      </c>
      <c r="N153" s="46" t="e">
        <f t="shared" si="75"/>
        <v>#DIV/0!</v>
      </c>
      <c r="O153" s="46" t="e">
        <f t="shared" si="76"/>
        <v>#DIV/0!</v>
      </c>
      <c r="P153" s="46" t="e">
        <f t="shared" si="77"/>
        <v>#DIV/0!</v>
      </c>
      <c r="Q153" s="56" t="e">
        <f>Q152+ATM_Conf!$C$5*(B152)/(Links!B$191*Links!Q$191)</f>
        <v>#DIV/0!</v>
      </c>
      <c r="R153" s="56" t="e">
        <f>R152+ATM_Conf!$C$5*(C152-B152)/(Links!C$191*Links!R$191)</f>
        <v>#DIV/0!</v>
      </c>
      <c r="S153" s="56" t="e">
        <f>S152+ATM_Conf!$C$5*(D152-C152)/(Links!D$191*Links!S$191)</f>
        <v>#DIV/0!</v>
      </c>
      <c r="T153" s="56" t="e">
        <f>T152+ATM_Conf!$C$5*(E152-D152)/(Links!E$191*Links!T$191)</f>
        <v>#DIV/0!</v>
      </c>
      <c r="U153" s="56" t="e">
        <f>U152+ATM_Conf!$C$5*(F152-E152)/(Links!F$191*Links!U$191)</f>
        <v>#DIV/0!</v>
      </c>
      <c r="V153" s="56" t="e">
        <f>V152+ATM_Conf!$C$5*(G152-F152)/(Links!G$191*Links!V$191)</f>
        <v>#DIV/0!</v>
      </c>
      <c r="W153" s="56" t="e">
        <f>W152+ATM_Conf!$C$5*(H152-G152)/(Links!H$191*Links!W$191)</f>
        <v>#DIV/0!</v>
      </c>
      <c r="X153" s="56" t="e">
        <f>X152+ATM_Conf!$C$5*(I152-H152)/(Links!I$191*Links!X$191)</f>
        <v>#DIV/0!</v>
      </c>
      <c r="Y153" s="56" t="e">
        <f>Y152+ATM_Conf!$C$5*(J152)/(Links!J$191*Links!Y$191)</f>
        <v>#DIV/0!</v>
      </c>
      <c r="Z153" s="56" t="e">
        <f>Z152+ATM_Conf!$C$5*(K152-J152)/(Links!K$191*Links!Z$191)</f>
        <v>#DIV/0!</v>
      </c>
      <c r="AA153" s="56" t="e">
        <f>AA152+ATM_Conf!$C$5*(L152-K152)/(Links!L$191*Links!AA$191)</f>
        <v>#DIV/0!</v>
      </c>
      <c r="AB153" s="56" t="e">
        <f>AB152+ATM_Conf!$C$5*(M152-L152)/(Links!M$191*Links!AB$191)</f>
        <v>#DIV/0!</v>
      </c>
      <c r="AC153" s="56" t="e">
        <f>AC152+ATM_Conf!$C$5*(N152-M152)/(Links!N$191*Links!AC$191)</f>
        <v>#DIV/0!</v>
      </c>
      <c r="AD153" s="56" t="e">
        <f>AD152+ATM_Conf!$C$5*(O152-N152)/(Links!O$191*Links!AD$191)</f>
        <v>#DIV/0!</v>
      </c>
      <c r="AE153" s="56" t="e">
        <f>AE152+ATM_Conf!$C$5*(P152-O152)/(Links!P$191*Links!AE$191)</f>
        <v>#DIV/0!</v>
      </c>
      <c r="AF153" s="46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6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6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6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6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6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6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6" t="e">
        <f>AM152+(ATM_Conf!$C$5/ATM_Conf!$C$8)*(Links!BB152*EXP((-(Links!X152/Links!BQ152)^Links!CF152)/Links!CF152)-Links!AM152)+(ATM_Conf!$C$5/Links!X$191)*Links!AM152*(Nodes!BH152-Links!AM152)</f>
        <v>#DIV/0!</v>
      </c>
      <c r="AN153" s="46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6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6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6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6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6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6" t="e">
        <f>AT152+(ATM_Conf!$C$5/ATM_Conf!$C$8)*(Links!BI152*EXP((-(Links!AE152/Links!BX152)^Links!CM152)/Links!CM152)-Links!AT152)+(ATM_Conf!$C$5/Links!AE$191)*Links!AT152*(Nodes!BN152-Links!AT152)</f>
        <v>#DIV/0!</v>
      </c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I153" s="56"/>
      <c r="BJ153" s="46"/>
      <c r="BK153" s="46"/>
      <c r="BL153" s="46"/>
      <c r="BM153" s="46"/>
      <c r="BN153" s="46"/>
      <c r="BO153" s="46"/>
      <c r="BP153" s="46"/>
      <c r="BQ153" s="46"/>
      <c r="BR153" s="46"/>
      <c r="BS153" s="46"/>
      <c r="BT153" s="46"/>
      <c r="BU153" s="46"/>
      <c r="BV153" s="46"/>
      <c r="BW153" s="46"/>
      <c r="BX153" s="46"/>
      <c r="BY153" s="56"/>
      <c r="BZ153" s="56"/>
      <c r="CA153" s="56"/>
      <c r="CB153" s="56"/>
      <c r="CC153" s="56"/>
      <c r="CD153" s="56"/>
      <c r="CE153" s="56"/>
      <c r="CF153" s="56"/>
      <c r="CG153" s="56"/>
      <c r="CH153" s="56"/>
      <c r="CI153" s="56"/>
      <c r="CJ153" s="56"/>
      <c r="CK153" s="56"/>
      <c r="CL153" s="56"/>
      <c r="CM153" s="56"/>
      <c r="CN153" s="46">
        <f t="shared" si="83"/>
        <v>0</v>
      </c>
      <c r="CO153" s="46">
        <f t="shared" si="83"/>
        <v>0</v>
      </c>
      <c r="CP153" s="46">
        <f t="shared" si="83"/>
        <v>0</v>
      </c>
      <c r="CQ153" s="46">
        <f t="shared" si="83"/>
        <v>0</v>
      </c>
      <c r="CR153" s="46">
        <f t="shared" si="83"/>
        <v>0</v>
      </c>
      <c r="CS153" s="46">
        <f t="shared" si="83"/>
        <v>0</v>
      </c>
      <c r="CT153" s="46">
        <f t="shared" si="83"/>
        <v>0</v>
      </c>
      <c r="CU153" s="46">
        <f t="shared" si="83"/>
        <v>0</v>
      </c>
      <c r="CV153" s="46">
        <f t="shared" si="83"/>
        <v>0</v>
      </c>
      <c r="CW153" s="46">
        <f t="shared" si="83"/>
        <v>0</v>
      </c>
      <c r="CX153" s="46">
        <f t="shared" si="83"/>
        <v>0</v>
      </c>
      <c r="CY153" s="46">
        <f t="shared" si="83"/>
        <v>0</v>
      </c>
      <c r="CZ153" s="46">
        <f t="shared" si="83"/>
        <v>0</v>
      </c>
      <c r="DA153" s="46">
        <f t="shared" si="83"/>
        <v>0</v>
      </c>
      <c r="DB153" s="46">
        <f t="shared" si="83"/>
        <v>0</v>
      </c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</row>
    <row r="154" spans="1:121" ht="14.25" x14ac:dyDescent="0.15">
      <c r="A154" s="49">
        <v>152</v>
      </c>
      <c r="B154" s="46" t="e">
        <f t="shared" si="63"/>
        <v>#DIV/0!</v>
      </c>
      <c r="C154" s="46" t="e">
        <f t="shared" si="64"/>
        <v>#DIV/0!</v>
      </c>
      <c r="D154" s="46" t="e">
        <f t="shared" si="65"/>
        <v>#DIV/0!</v>
      </c>
      <c r="E154" s="46" t="e">
        <f t="shared" si="66"/>
        <v>#DIV/0!</v>
      </c>
      <c r="F154" s="46" t="e">
        <f t="shared" si="67"/>
        <v>#DIV/0!</v>
      </c>
      <c r="G154" s="46" t="e">
        <f t="shared" si="68"/>
        <v>#DIV/0!</v>
      </c>
      <c r="H154" s="46" t="e">
        <f t="shared" si="69"/>
        <v>#DIV/0!</v>
      </c>
      <c r="I154" s="46" t="e">
        <f t="shared" si="70"/>
        <v>#DIV/0!</v>
      </c>
      <c r="J154" s="46" t="e">
        <f t="shared" si="71"/>
        <v>#DIV/0!</v>
      </c>
      <c r="K154" s="46" t="e">
        <f t="shared" si="72"/>
        <v>#DIV/0!</v>
      </c>
      <c r="L154" s="46" t="e">
        <f t="shared" si="73"/>
        <v>#DIV/0!</v>
      </c>
      <c r="M154" s="46" t="e">
        <f t="shared" si="74"/>
        <v>#DIV/0!</v>
      </c>
      <c r="N154" s="46" t="e">
        <f t="shared" si="75"/>
        <v>#DIV/0!</v>
      </c>
      <c r="O154" s="46" t="e">
        <f t="shared" si="76"/>
        <v>#DIV/0!</v>
      </c>
      <c r="P154" s="46" t="e">
        <f t="shared" si="77"/>
        <v>#DIV/0!</v>
      </c>
      <c r="Q154" s="56" t="e">
        <f>Q153+ATM_Conf!$C$5*(B153)/(Links!B$191*Links!Q$191)</f>
        <v>#DIV/0!</v>
      </c>
      <c r="R154" s="56" t="e">
        <f>R153+ATM_Conf!$C$5*(C153-B153)/(Links!C$191*Links!R$191)</f>
        <v>#DIV/0!</v>
      </c>
      <c r="S154" s="56" t="e">
        <f>S153+ATM_Conf!$C$5*(D153-C153)/(Links!D$191*Links!S$191)</f>
        <v>#DIV/0!</v>
      </c>
      <c r="T154" s="56" t="e">
        <f>T153+ATM_Conf!$C$5*(E153-D153)/(Links!E$191*Links!T$191)</f>
        <v>#DIV/0!</v>
      </c>
      <c r="U154" s="56" t="e">
        <f>U153+ATM_Conf!$C$5*(F153-E153)/(Links!F$191*Links!U$191)</f>
        <v>#DIV/0!</v>
      </c>
      <c r="V154" s="56" t="e">
        <f>V153+ATM_Conf!$C$5*(G153-F153)/(Links!G$191*Links!V$191)</f>
        <v>#DIV/0!</v>
      </c>
      <c r="W154" s="56" t="e">
        <f>W153+ATM_Conf!$C$5*(H153-G153)/(Links!H$191*Links!W$191)</f>
        <v>#DIV/0!</v>
      </c>
      <c r="X154" s="56" t="e">
        <f>X153+ATM_Conf!$C$5*(I153-H153)/(Links!I$191*Links!X$191)</f>
        <v>#DIV/0!</v>
      </c>
      <c r="Y154" s="56" t="e">
        <f>Y153+ATM_Conf!$C$5*(J153)/(Links!J$191*Links!Y$191)</f>
        <v>#DIV/0!</v>
      </c>
      <c r="Z154" s="56" t="e">
        <f>Z153+ATM_Conf!$C$5*(K153-J153)/(Links!K$191*Links!Z$191)</f>
        <v>#DIV/0!</v>
      </c>
      <c r="AA154" s="56" t="e">
        <f>AA153+ATM_Conf!$C$5*(L153-K153)/(Links!L$191*Links!AA$191)</f>
        <v>#DIV/0!</v>
      </c>
      <c r="AB154" s="56" t="e">
        <f>AB153+ATM_Conf!$C$5*(M153-L153)/(Links!M$191*Links!AB$191)</f>
        <v>#DIV/0!</v>
      </c>
      <c r="AC154" s="56" t="e">
        <f>AC153+ATM_Conf!$C$5*(N153-M153)/(Links!N$191*Links!AC$191)</f>
        <v>#DIV/0!</v>
      </c>
      <c r="AD154" s="56" t="e">
        <f>AD153+ATM_Conf!$C$5*(O153-N153)/(Links!O$191*Links!AD$191)</f>
        <v>#DIV/0!</v>
      </c>
      <c r="AE154" s="56" t="e">
        <f>AE153+ATM_Conf!$C$5*(P153-O153)/(Links!P$191*Links!AE$191)</f>
        <v>#DIV/0!</v>
      </c>
      <c r="AF154" s="46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6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6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6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6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6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6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6" t="e">
        <f>AM153+(ATM_Conf!$C$5/ATM_Conf!$C$8)*(Links!BB153*EXP((-(Links!X153/Links!BQ153)^Links!CF153)/Links!CF153)-Links!AM153)+(ATM_Conf!$C$5/Links!X$191)*Links!AM153*(Nodes!BH153-Links!AM153)</f>
        <v>#DIV/0!</v>
      </c>
      <c r="AN154" s="46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6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6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6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6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6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6" t="e">
        <f>AT153+(ATM_Conf!$C$5/ATM_Conf!$C$8)*(Links!BI153*EXP((-(Links!AE153/Links!BX153)^Links!CM153)/Links!CM153)-Links!AT153)+(ATM_Conf!$C$5/Links!AE$191)*Links!AT153*(Nodes!BN153-Links!AT153)</f>
        <v>#DIV/0!</v>
      </c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46"/>
      <c r="BK154" s="46"/>
      <c r="BL154" s="46"/>
      <c r="BM154" s="46"/>
      <c r="BN154" s="46"/>
      <c r="BO154" s="46"/>
      <c r="BP154" s="46"/>
      <c r="BQ154" s="46"/>
      <c r="BR154" s="46"/>
      <c r="BS154" s="46"/>
      <c r="BT154" s="46"/>
      <c r="BU154" s="46"/>
      <c r="BV154" s="46"/>
      <c r="BW154" s="46"/>
      <c r="BX154" s="46"/>
      <c r="BY154" s="56"/>
      <c r="BZ154" s="56"/>
      <c r="CA154" s="56"/>
      <c r="CB154" s="56"/>
      <c r="CC154" s="56"/>
      <c r="CD154" s="56"/>
      <c r="CE154" s="56"/>
      <c r="CF154" s="56"/>
      <c r="CG154" s="56"/>
      <c r="CH154" s="56"/>
      <c r="CI154" s="56"/>
      <c r="CJ154" s="56"/>
      <c r="CK154" s="56"/>
      <c r="CL154" s="56"/>
      <c r="CM154" s="56"/>
      <c r="CN154" s="46">
        <f t="shared" si="83"/>
        <v>0</v>
      </c>
      <c r="CO154" s="46">
        <f t="shared" si="83"/>
        <v>0</v>
      </c>
      <c r="CP154" s="46">
        <f t="shared" si="83"/>
        <v>0</v>
      </c>
      <c r="CQ154" s="46">
        <f t="shared" si="83"/>
        <v>0</v>
      </c>
      <c r="CR154" s="46">
        <f t="shared" si="83"/>
        <v>0</v>
      </c>
      <c r="CS154" s="46">
        <f t="shared" si="83"/>
        <v>0</v>
      </c>
      <c r="CT154" s="46">
        <f t="shared" si="83"/>
        <v>0</v>
      </c>
      <c r="CU154" s="46">
        <f t="shared" si="83"/>
        <v>0</v>
      </c>
      <c r="CV154" s="46">
        <f t="shared" si="83"/>
        <v>0</v>
      </c>
      <c r="CW154" s="46">
        <f t="shared" si="83"/>
        <v>0</v>
      </c>
      <c r="CX154" s="46">
        <f t="shared" si="83"/>
        <v>0</v>
      </c>
      <c r="CY154" s="46">
        <f t="shared" si="83"/>
        <v>0</v>
      </c>
      <c r="CZ154" s="46">
        <f t="shared" si="83"/>
        <v>0</v>
      </c>
      <c r="DA154" s="46">
        <f t="shared" si="83"/>
        <v>0</v>
      </c>
      <c r="DB154" s="46">
        <f t="shared" si="83"/>
        <v>0</v>
      </c>
      <c r="DC154" s="54"/>
      <c r="DD154" s="54"/>
      <c r="DE154" s="54"/>
      <c r="DF154" s="54"/>
      <c r="DG154" s="54"/>
      <c r="DH154" s="54"/>
      <c r="DI154" s="54"/>
      <c r="DJ154" s="54"/>
      <c r="DK154" s="54"/>
      <c r="DL154" s="54"/>
      <c r="DM154" s="54"/>
      <c r="DN154" s="54"/>
      <c r="DO154" s="54"/>
      <c r="DP154" s="54"/>
      <c r="DQ154" s="54"/>
    </row>
    <row r="155" spans="1:121" ht="14.25" x14ac:dyDescent="0.15">
      <c r="A155" s="49">
        <v>153</v>
      </c>
      <c r="B155" s="46" t="e">
        <f t="shared" si="63"/>
        <v>#DIV/0!</v>
      </c>
      <c r="C155" s="46" t="e">
        <f t="shared" si="64"/>
        <v>#DIV/0!</v>
      </c>
      <c r="D155" s="46" t="e">
        <f t="shared" si="65"/>
        <v>#DIV/0!</v>
      </c>
      <c r="E155" s="46" t="e">
        <f t="shared" si="66"/>
        <v>#DIV/0!</v>
      </c>
      <c r="F155" s="46" t="e">
        <f t="shared" si="67"/>
        <v>#DIV/0!</v>
      </c>
      <c r="G155" s="46" t="e">
        <f t="shared" si="68"/>
        <v>#DIV/0!</v>
      </c>
      <c r="H155" s="46" t="e">
        <f t="shared" si="69"/>
        <v>#DIV/0!</v>
      </c>
      <c r="I155" s="46" t="e">
        <f t="shared" si="70"/>
        <v>#DIV/0!</v>
      </c>
      <c r="J155" s="46" t="e">
        <f t="shared" si="71"/>
        <v>#DIV/0!</v>
      </c>
      <c r="K155" s="46" t="e">
        <f t="shared" si="72"/>
        <v>#DIV/0!</v>
      </c>
      <c r="L155" s="46" t="e">
        <f t="shared" si="73"/>
        <v>#DIV/0!</v>
      </c>
      <c r="M155" s="46" t="e">
        <f t="shared" si="74"/>
        <v>#DIV/0!</v>
      </c>
      <c r="N155" s="46" t="e">
        <f t="shared" si="75"/>
        <v>#DIV/0!</v>
      </c>
      <c r="O155" s="46" t="e">
        <f t="shared" si="76"/>
        <v>#DIV/0!</v>
      </c>
      <c r="P155" s="46" t="e">
        <f t="shared" si="77"/>
        <v>#DIV/0!</v>
      </c>
      <c r="Q155" s="56" t="e">
        <f>Q154+ATM_Conf!$C$5*(B154)/(Links!B$191*Links!Q$191)</f>
        <v>#DIV/0!</v>
      </c>
      <c r="R155" s="56" t="e">
        <f>R154+ATM_Conf!$C$5*(C154-B154)/(Links!C$191*Links!R$191)</f>
        <v>#DIV/0!</v>
      </c>
      <c r="S155" s="56" t="e">
        <f>S154+ATM_Conf!$C$5*(D154-C154)/(Links!D$191*Links!S$191)</f>
        <v>#DIV/0!</v>
      </c>
      <c r="T155" s="56" t="e">
        <f>T154+ATM_Conf!$C$5*(E154-D154)/(Links!E$191*Links!T$191)</f>
        <v>#DIV/0!</v>
      </c>
      <c r="U155" s="56" t="e">
        <f>U154+ATM_Conf!$C$5*(F154-E154)/(Links!F$191*Links!U$191)</f>
        <v>#DIV/0!</v>
      </c>
      <c r="V155" s="56" t="e">
        <f>V154+ATM_Conf!$C$5*(G154-F154)/(Links!G$191*Links!V$191)</f>
        <v>#DIV/0!</v>
      </c>
      <c r="W155" s="56" t="e">
        <f>W154+ATM_Conf!$C$5*(H154-G154)/(Links!H$191*Links!W$191)</f>
        <v>#DIV/0!</v>
      </c>
      <c r="X155" s="56" t="e">
        <f>X154+ATM_Conf!$C$5*(I154-H154)/(Links!I$191*Links!X$191)</f>
        <v>#DIV/0!</v>
      </c>
      <c r="Y155" s="56" t="e">
        <f>Y154+ATM_Conf!$C$5*(J154)/(Links!J$191*Links!Y$191)</f>
        <v>#DIV/0!</v>
      </c>
      <c r="Z155" s="56" t="e">
        <f>Z154+ATM_Conf!$C$5*(K154-J154)/(Links!K$191*Links!Z$191)</f>
        <v>#DIV/0!</v>
      </c>
      <c r="AA155" s="56" t="e">
        <f>AA154+ATM_Conf!$C$5*(L154-K154)/(Links!L$191*Links!AA$191)</f>
        <v>#DIV/0!</v>
      </c>
      <c r="AB155" s="56" t="e">
        <f>AB154+ATM_Conf!$C$5*(M154-L154)/(Links!M$191*Links!AB$191)</f>
        <v>#DIV/0!</v>
      </c>
      <c r="AC155" s="56" t="e">
        <f>AC154+ATM_Conf!$C$5*(N154-M154)/(Links!N$191*Links!AC$191)</f>
        <v>#DIV/0!</v>
      </c>
      <c r="AD155" s="56" t="e">
        <f>AD154+ATM_Conf!$C$5*(O154-N154)/(Links!O$191*Links!AD$191)</f>
        <v>#DIV/0!</v>
      </c>
      <c r="AE155" s="56" t="e">
        <f>AE154+ATM_Conf!$C$5*(P154-O154)/(Links!P$191*Links!AE$191)</f>
        <v>#DIV/0!</v>
      </c>
      <c r="AF155" s="46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6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6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6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6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6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6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6" t="e">
        <f>AM154+(ATM_Conf!$C$5/ATM_Conf!$C$8)*(Links!BB154*EXP((-(Links!X154/Links!BQ154)^Links!CF154)/Links!CF154)-Links!AM154)+(ATM_Conf!$C$5/Links!X$191)*Links!AM154*(Nodes!BH154-Links!AM154)</f>
        <v>#DIV/0!</v>
      </c>
      <c r="AN155" s="46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6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6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6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6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6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6" t="e">
        <f>AT154+(ATM_Conf!$C$5/ATM_Conf!$C$8)*(Links!BI154*EXP((-(Links!AE154/Links!BX154)^Links!CM154)/Links!CM154)-Links!AT154)+(ATM_Conf!$C$5/Links!AE$191)*Links!AT154*(Nodes!BN154-Links!AT154)</f>
        <v>#DIV/0!</v>
      </c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I155" s="56"/>
      <c r="BJ155" s="46"/>
      <c r="BK155" s="46"/>
      <c r="BL155" s="46"/>
      <c r="BM155" s="46"/>
      <c r="BN155" s="46"/>
      <c r="BO155" s="46"/>
      <c r="BP155" s="46"/>
      <c r="BQ155" s="46"/>
      <c r="BR155" s="46"/>
      <c r="BS155" s="46"/>
      <c r="BT155" s="46"/>
      <c r="BU155" s="46"/>
      <c r="BV155" s="46"/>
      <c r="BW155" s="46"/>
      <c r="BX155" s="46"/>
      <c r="BY155" s="56"/>
      <c r="BZ155" s="56"/>
      <c r="CA155" s="56"/>
      <c r="CB155" s="56"/>
      <c r="CC155" s="56"/>
      <c r="CD155" s="56"/>
      <c r="CE155" s="56"/>
      <c r="CF155" s="56"/>
      <c r="CG155" s="56"/>
      <c r="CH155" s="56"/>
      <c r="CI155" s="56"/>
      <c r="CJ155" s="56"/>
      <c r="CK155" s="56"/>
      <c r="CL155" s="56"/>
      <c r="CM155" s="56"/>
      <c r="CN155" s="46">
        <f t="shared" si="83"/>
        <v>0</v>
      </c>
      <c r="CO155" s="46">
        <f t="shared" si="83"/>
        <v>0</v>
      </c>
      <c r="CP155" s="46">
        <f t="shared" si="83"/>
        <v>0</v>
      </c>
      <c r="CQ155" s="46">
        <f t="shared" si="83"/>
        <v>0</v>
      </c>
      <c r="CR155" s="46">
        <f t="shared" si="83"/>
        <v>0</v>
      </c>
      <c r="CS155" s="46">
        <f t="shared" si="83"/>
        <v>0</v>
      </c>
      <c r="CT155" s="46">
        <f t="shared" si="83"/>
        <v>0</v>
      </c>
      <c r="CU155" s="46">
        <f t="shared" si="83"/>
        <v>0</v>
      </c>
      <c r="CV155" s="46">
        <f t="shared" si="83"/>
        <v>0</v>
      </c>
      <c r="CW155" s="46">
        <f t="shared" si="83"/>
        <v>0</v>
      </c>
      <c r="CX155" s="46">
        <f t="shared" si="83"/>
        <v>0</v>
      </c>
      <c r="CY155" s="46">
        <f t="shared" si="83"/>
        <v>0</v>
      </c>
      <c r="CZ155" s="46">
        <f t="shared" si="83"/>
        <v>0</v>
      </c>
      <c r="DA155" s="46">
        <f t="shared" si="83"/>
        <v>0</v>
      </c>
      <c r="DB155" s="46">
        <f t="shared" si="83"/>
        <v>0</v>
      </c>
      <c r="DC155" s="54"/>
      <c r="DD155" s="54"/>
      <c r="DE155" s="54"/>
      <c r="DF155" s="54"/>
      <c r="DG155" s="54"/>
      <c r="DH155" s="54"/>
      <c r="DI155" s="54"/>
      <c r="DJ155" s="54"/>
      <c r="DK155" s="54"/>
      <c r="DL155" s="54"/>
      <c r="DM155" s="54"/>
      <c r="DN155" s="54"/>
      <c r="DO155" s="54"/>
      <c r="DP155" s="54"/>
      <c r="DQ155" s="54"/>
    </row>
    <row r="156" spans="1:121" ht="14.25" x14ac:dyDescent="0.15">
      <c r="A156" s="49">
        <v>154</v>
      </c>
      <c r="B156" s="46" t="e">
        <f t="shared" si="63"/>
        <v>#DIV/0!</v>
      </c>
      <c r="C156" s="46" t="e">
        <f t="shared" si="64"/>
        <v>#DIV/0!</v>
      </c>
      <c r="D156" s="46" t="e">
        <f t="shared" si="65"/>
        <v>#DIV/0!</v>
      </c>
      <c r="E156" s="46" t="e">
        <f t="shared" si="66"/>
        <v>#DIV/0!</v>
      </c>
      <c r="F156" s="46" t="e">
        <f t="shared" si="67"/>
        <v>#DIV/0!</v>
      </c>
      <c r="G156" s="46" t="e">
        <f t="shared" si="68"/>
        <v>#DIV/0!</v>
      </c>
      <c r="H156" s="46" t="e">
        <f t="shared" si="69"/>
        <v>#DIV/0!</v>
      </c>
      <c r="I156" s="46" t="e">
        <f t="shared" si="70"/>
        <v>#DIV/0!</v>
      </c>
      <c r="J156" s="46" t="e">
        <f t="shared" si="71"/>
        <v>#DIV/0!</v>
      </c>
      <c r="K156" s="46" t="e">
        <f t="shared" si="72"/>
        <v>#DIV/0!</v>
      </c>
      <c r="L156" s="46" t="e">
        <f t="shared" si="73"/>
        <v>#DIV/0!</v>
      </c>
      <c r="M156" s="46" t="e">
        <f t="shared" si="74"/>
        <v>#DIV/0!</v>
      </c>
      <c r="N156" s="46" t="e">
        <f t="shared" si="75"/>
        <v>#DIV/0!</v>
      </c>
      <c r="O156" s="46" t="e">
        <f t="shared" si="76"/>
        <v>#DIV/0!</v>
      </c>
      <c r="P156" s="46" t="e">
        <f t="shared" si="77"/>
        <v>#DIV/0!</v>
      </c>
      <c r="Q156" s="56" t="e">
        <f>Q155+ATM_Conf!$C$5*(B155)/(Links!B$191*Links!Q$191)</f>
        <v>#DIV/0!</v>
      </c>
      <c r="R156" s="56" t="e">
        <f>R155+ATM_Conf!$C$5*(C155-B155)/(Links!C$191*Links!R$191)</f>
        <v>#DIV/0!</v>
      </c>
      <c r="S156" s="56" t="e">
        <f>S155+ATM_Conf!$C$5*(D155-C155)/(Links!D$191*Links!S$191)</f>
        <v>#DIV/0!</v>
      </c>
      <c r="T156" s="56" t="e">
        <f>T155+ATM_Conf!$C$5*(E155-D155)/(Links!E$191*Links!T$191)</f>
        <v>#DIV/0!</v>
      </c>
      <c r="U156" s="56" t="e">
        <f>U155+ATM_Conf!$C$5*(F155-E155)/(Links!F$191*Links!U$191)</f>
        <v>#DIV/0!</v>
      </c>
      <c r="V156" s="56" t="e">
        <f>V155+ATM_Conf!$C$5*(G155-F155)/(Links!G$191*Links!V$191)</f>
        <v>#DIV/0!</v>
      </c>
      <c r="W156" s="56" t="e">
        <f>W155+ATM_Conf!$C$5*(H155-G155)/(Links!H$191*Links!W$191)</f>
        <v>#DIV/0!</v>
      </c>
      <c r="X156" s="56" t="e">
        <f>X155+ATM_Conf!$C$5*(I155-H155)/(Links!I$191*Links!X$191)</f>
        <v>#DIV/0!</v>
      </c>
      <c r="Y156" s="56" t="e">
        <f>Y155+ATM_Conf!$C$5*(J155)/(Links!J$191*Links!Y$191)</f>
        <v>#DIV/0!</v>
      </c>
      <c r="Z156" s="56" t="e">
        <f>Z155+ATM_Conf!$C$5*(K155-J155)/(Links!K$191*Links!Z$191)</f>
        <v>#DIV/0!</v>
      </c>
      <c r="AA156" s="56" t="e">
        <f>AA155+ATM_Conf!$C$5*(L155-K155)/(Links!L$191*Links!AA$191)</f>
        <v>#DIV/0!</v>
      </c>
      <c r="AB156" s="56" t="e">
        <f>AB155+ATM_Conf!$C$5*(M155-L155)/(Links!M$191*Links!AB$191)</f>
        <v>#DIV/0!</v>
      </c>
      <c r="AC156" s="56" t="e">
        <f>AC155+ATM_Conf!$C$5*(N155-M155)/(Links!N$191*Links!AC$191)</f>
        <v>#DIV/0!</v>
      </c>
      <c r="AD156" s="56" t="e">
        <f>AD155+ATM_Conf!$C$5*(O155-N155)/(Links!O$191*Links!AD$191)</f>
        <v>#DIV/0!</v>
      </c>
      <c r="AE156" s="56" t="e">
        <f>AE155+ATM_Conf!$C$5*(P155-O155)/(Links!P$191*Links!AE$191)</f>
        <v>#DIV/0!</v>
      </c>
      <c r="AF156" s="46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6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6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6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6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6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6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6" t="e">
        <f>AM155+(ATM_Conf!$C$5/ATM_Conf!$C$8)*(Links!BB155*EXP((-(Links!X155/Links!BQ155)^Links!CF155)/Links!CF155)-Links!AM155)+(ATM_Conf!$C$5/Links!X$191)*Links!AM155*(Nodes!BH155-Links!AM155)</f>
        <v>#DIV/0!</v>
      </c>
      <c r="AN156" s="46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6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6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6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6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6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6" t="e">
        <f>AT155+(ATM_Conf!$C$5/ATM_Conf!$C$8)*(Links!BI155*EXP((-(Links!AE155/Links!BX155)^Links!CM155)/Links!CM155)-Links!AT155)+(ATM_Conf!$C$5/Links!AE$191)*Links!AT155*(Nodes!BN155-Links!AT155)</f>
        <v>#DIV/0!</v>
      </c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46"/>
      <c r="BK156" s="46"/>
      <c r="BL156" s="46"/>
      <c r="BM156" s="46"/>
      <c r="BN156" s="46"/>
      <c r="BO156" s="46"/>
      <c r="BP156" s="46"/>
      <c r="BQ156" s="46"/>
      <c r="BR156" s="46"/>
      <c r="BS156" s="46"/>
      <c r="BT156" s="46"/>
      <c r="BU156" s="46"/>
      <c r="BV156" s="46"/>
      <c r="BW156" s="46"/>
      <c r="BX156" s="46"/>
      <c r="BY156" s="56"/>
      <c r="BZ156" s="56"/>
      <c r="CA156" s="56"/>
      <c r="CB156" s="56"/>
      <c r="CC156" s="56"/>
      <c r="CD156" s="56"/>
      <c r="CE156" s="56"/>
      <c r="CF156" s="56"/>
      <c r="CG156" s="56"/>
      <c r="CH156" s="56"/>
      <c r="CI156" s="56"/>
      <c r="CJ156" s="56"/>
      <c r="CK156" s="56"/>
      <c r="CL156" s="56"/>
      <c r="CM156" s="56"/>
      <c r="CN156" s="46">
        <f t="shared" si="83"/>
        <v>0</v>
      </c>
      <c r="CO156" s="46">
        <f t="shared" si="83"/>
        <v>0</v>
      </c>
      <c r="CP156" s="46">
        <f t="shared" si="83"/>
        <v>0</v>
      </c>
      <c r="CQ156" s="46">
        <f t="shared" si="83"/>
        <v>0</v>
      </c>
      <c r="CR156" s="46">
        <f t="shared" si="83"/>
        <v>0</v>
      </c>
      <c r="CS156" s="46">
        <f t="shared" si="83"/>
        <v>0</v>
      </c>
      <c r="CT156" s="46">
        <f t="shared" si="83"/>
        <v>0</v>
      </c>
      <c r="CU156" s="46">
        <f t="shared" si="83"/>
        <v>0</v>
      </c>
      <c r="CV156" s="46">
        <f t="shared" si="83"/>
        <v>0</v>
      </c>
      <c r="CW156" s="46">
        <f t="shared" si="83"/>
        <v>0</v>
      </c>
      <c r="CX156" s="46">
        <f t="shared" si="83"/>
        <v>0</v>
      </c>
      <c r="CY156" s="46">
        <f t="shared" si="83"/>
        <v>0</v>
      </c>
      <c r="CZ156" s="46">
        <f t="shared" si="83"/>
        <v>0</v>
      </c>
      <c r="DA156" s="46">
        <f t="shared" si="83"/>
        <v>0</v>
      </c>
      <c r="DB156" s="46">
        <f t="shared" si="83"/>
        <v>0</v>
      </c>
      <c r="DC156" s="54"/>
      <c r="DD156" s="54"/>
      <c r="DE156" s="54"/>
      <c r="DF156" s="54"/>
      <c r="DG156" s="54"/>
      <c r="DH156" s="54"/>
      <c r="DI156" s="54"/>
      <c r="DJ156" s="54"/>
      <c r="DK156" s="54"/>
      <c r="DL156" s="54"/>
      <c r="DM156" s="54"/>
      <c r="DN156" s="54"/>
      <c r="DO156" s="54"/>
      <c r="DP156" s="54"/>
      <c r="DQ156" s="54"/>
    </row>
    <row r="157" spans="1:121" ht="14.25" x14ac:dyDescent="0.15">
      <c r="A157" s="49">
        <v>155</v>
      </c>
      <c r="B157" s="46" t="e">
        <f t="shared" si="63"/>
        <v>#DIV/0!</v>
      </c>
      <c r="C157" s="46" t="e">
        <f t="shared" si="64"/>
        <v>#DIV/0!</v>
      </c>
      <c r="D157" s="46" t="e">
        <f t="shared" si="65"/>
        <v>#DIV/0!</v>
      </c>
      <c r="E157" s="46" t="e">
        <f t="shared" si="66"/>
        <v>#DIV/0!</v>
      </c>
      <c r="F157" s="46" t="e">
        <f t="shared" si="67"/>
        <v>#DIV/0!</v>
      </c>
      <c r="G157" s="46" t="e">
        <f t="shared" si="68"/>
        <v>#DIV/0!</v>
      </c>
      <c r="H157" s="46" t="e">
        <f t="shared" si="69"/>
        <v>#DIV/0!</v>
      </c>
      <c r="I157" s="46" t="e">
        <f t="shared" si="70"/>
        <v>#DIV/0!</v>
      </c>
      <c r="J157" s="46" t="e">
        <f t="shared" si="71"/>
        <v>#DIV/0!</v>
      </c>
      <c r="K157" s="46" t="e">
        <f t="shared" si="72"/>
        <v>#DIV/0!</v>
      </c>
      <c r="L157" s="46" t="e">
        <f t="shared" si="73"/>
        <v>#DIV/0!</v>
      </c>
      <c r="M157" s="46" t="e">
        <f t="shared" si="74"/>
        <v>#DIV/0!</v>
      </c>
      <c r="N157" s="46" t="e">
        <f t="shared" si="75"/>
        <v>#DIV/0!</v>
      </c>
      <c r="O157" s="46" t="e">
        <f t="shared" si="76"/>
        <v>#DIV/0!</v>
      </c>
      <c r="P157" s="46" t="e">
        <f t="shared" si="77"/>
        <v>#DIV/0!</v>
      </c>
      <c r="Q157" s="56" t="e">
        <f>Q156+ATM_Conf!$C$5*(B156)/(Links!B$191*Links!Q$191)</f>
        <v>#DIV/0!</v>
      </c>
      <c r="R157" s="56" t="e">
        <f>R156+ATM_Conf!$C$5*(C156-B156)/(Links!C$191*Links!R$191)</f>
        <v>#DIV/0!</v>
      </c>
      <c r="S157" s="56" t="e">
        <f>S156+ATM_Conf!$C$5*(D156-C156)/(Links!D$191*Links!S$191)</f>
        <v>#DIV/0!</v>
      </c>
      <c r="T157" s="56" t="e">
        <f>T156+ATM_Conf!$C$5*(E156-D156)/(Links!E$191*Links!T$191)</f>
        <v>#DIV/0!</v>
      </c>
      <c r="U157" s="56" t="e">
        <f>U156+ATM_Conf!$C$5*(F156-E156)/(Links!F$191*Links!U$191)</f>
        <v>#DIV/0!</v>
      </c>
      <c r="V157" s="56" t="e">
        <f>V156+ATM_Conf!$C$5*(G156-F156)/(Links!G$191*Links!V$191)</f>
        <v>#DIV/0!</v>
      </c>
      <c r="W157" s="56" t="e">
        <f>W156+ATM_Conf!$C$5*(H156-G156)/(Links!H$191*Links!W$191)</f>
        <v>#DIV/0!</v>
      </c>
      <c r="X157" s="56" t="e">
        <f>X156+ATM_Conf!$C$5*(I156-H156)/(Links!I$191*Links!X$191)</f>
        <v>#DIV/0!</v>
      </c>
      <c r="Y157" s="56" t="e">
        <f>Y156+ATM_Conf!$C$5*(J156)/(Links!J$191*Links!Y$191)</f>
        <v>#DIV/0!</v>
      </c>
      <c r="Z157" s="56" t="e">
        <f>Z156+ATM_Conf!$C$5*(K156-J156)/(Links!K$191*Links!Z$191)</f>
        <v>#DIV/0!</v>
      </c>
      <c r="AA157" s="56" t="e">
        <f>AA156+ATM_Conf!$C$5*(L156-K156)/(Links!L$191*Links!AA$191)</f>
        <v>#DIV/0!</v>
      </c>
      <c r="AB157" s="56" t="e">
        <f>AB156+ATM_Conf!$C$5*(M156-L156)/(Links!M$191*Links!AB$191)</f>
        <v>#DIV/0!</v>
      </c>
      <c r="AC157" s="56" t="e">
        <f>AC156+ATM_Conf!$C$5*(N156-M156)/(Links!N$191*Links!AC$191)</f>
        <v>#DIV/0!</v>
      </c>
      <c r="AD157" s="56" t="e">
        <f>AD156+ATM_Conf!$C$5*(O156-N156)/(Links!O$191*Links!AD$191)</f>
        <v>#DIV/0!</v>
      </c>
      <c r="AE157" s="56" t="e">
        <f>AE156+ATM_Conf!$C$5*(P156-O156)/(Links!P$191*Links!AE$191)</f>
        <v>#DIV/0!</v>
      </c>
      <c r="AF157" s="46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6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6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6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6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6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6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6" t="e">
        <f>AM156+(ATM_Conf!$C$5/ATM_Conf!$C$8)*(Links!BB156*EXP((-(Links!X156/Links!BQ156)^Links!CF156)/Links!CF156)-Links!AM156)+(ATM_Conf!$C$5/Links!X$191)*Links!AM156*(Nodes!BH156-Links!AM156)</f>
        <v>#DIV/0!</v>
      </c>
      <c r="AN157" s="46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6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6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6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6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6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6" t="e">
        <f>AT156+(ATM_Conf!$C$5/ATM_Conf!$C$8)*(Links!BI156*EXP((-(Links!AE156/Links!BX156)^Links!CM156)/Links!CM156)-Links!AT156)+(ATM_Conf!$C$5/Links!AE$191)*Links!AT156*(Nodes!BN156-Links!AT156)</f>
        <v>#DIV/0!</v>
      </c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46"/>
      <c r="BK157" s="46"/>
      <c r="BL157" s="46"/>
      <c r="BM157" s="46"/>
      <c r="BN157" s="46"/>
      <c r="BO157" s="46"/>
      <c r="BP157" s="46"/>
      <c r="BQ157" s="46"/>
      <c r="BR157" s="46"/>
      <c r="BS157" s="46"/>
      <c r="BT157" s="46"/>
      <c r="BU157" s="46"/>
      <c r="BV157" s="46"/>
      <c r="BW157" s="46"/>
      <c r="BX157" s="46"/>
      <c r="BY157" s="56"/>
      <c r="BZ157" s="56"/>
      <c r="CA157" s="56"/>
      <c r="CB157" s="56"/>
      <c r="CC157" s="56"/>
      <c r="CD157" s="56"/>
      <c r="CE157" s="56"/>
      <c r="CF157" s="56"/>
      <c r="CG157" s="56"/>
      <c r="CH157" s="56"/>
      <c r="CI157" s="56"/>
      <c r="CJ157" s="56"/>
      <c r="CK157" s="56"/>
      <c r="CL157" s="56"/>
      <c r="CM157" s="56"/>
      <c r="CN157" s="46">
        <f t="shared" si="83"/>
        <v>0</v>
      </c>
      <c r="CO157" s="46">
        <f t="shared" si="83"/>
        <v>0</v>
      </c>
      <c r="CP157" s="46">
        <f t="shared" si="83"/>
        <v>0</v>
      </c>
      <c r="CQ157" s="46">
        <f t="shared" si="83"/>
        <v>0</v>
      </c>
      <c r="CR157" s="46">
        <f t="shared" si="83"/>
        <v>0</v>
      </c>
      <c r="CS157" s="46">
        <f t="shared" si="83"/>
        <v>0</v>
      </c>
      <c r="CT157" s="46">
        <f t="shared" si="83"/>
        <v>0</v>
      </c>
      <c r="CU157" s="46">
        <f t="shared" si="83"/>
        <v>0</v>
      </c>
      <c r="CV157" s="46">
        <f t="shared" si="83"/>
        <v>0</v>
      </c>
      <c r="CW157" s="46">
        <f t="shared" si="83"/>
        <v>0</v>
      </c>
      <c r="CX157" s="46">
        <f t="shared" si="83"/>
        <v>0</v>
      </c>
      <c r="CY157" s="46">
        <f t="shared" si="83"/>
        <v>0</v>
      </c>
      <c r="CZ157" s="46">
        <f t="shared" si="83"/>
        <v>0</v>
      </c>
      <c r="DA157" s="46">
        <f t="shared" si="83"/>
        <v>0</v>
      </c>
      <c r="DB157" s="46">
        <f t="shared" si="83"/>
        <v>0</v>
      </c>
      <c r="DC157" s="54"/>
      <c r="DD157" s="54"/>
      <c r="DE157" s="54"/>
      <c r="DF157" s="54"/>
      <c r="DG157" s="54"/>
      <c r="DH157" s="54"/>
      <c r="DI157" s="54"/>
      <c r="DJ157" s="54"/>
      <c r="DK157" s="54"/>
      <c r="DL157" s="54"/>
      <c r="DM157" s="54"/>
      <c r="DN157" s="54"/>
      <c r="DO157" s="54"/>
      <c r="DP157" s="54"/>
      <c r="DQ157" s="54"/>
    </row>
    <row r="158" spans="1:121" ht="14.25" x14ac:dyDescent="0.15">
      <c r="A158" s="49">
        <v>156</v>
      </c>
      <c r="B158" s="46" t="e">
        <f t="shared" si="63"/>
        <v>#DIV/0!</v>
      </c>
      <c r="C158" s="46" t="e">
        <f t="shared" si="64"/>
        <v>#DIV/0!</v>
      </c>
      <c r="D158" s="46" t="e">
        <f t="shared" si="65"/>
        <v>#DIV/0!</v>
      </c>
      <c r="E158" s="46" t="e">
        <f t="shared" si="66"/>
        <v>#DIV/0!</v>
      </c>
      <c r="F158" s="46" t="e">
        <f t="shared" si="67"/>
        <v>#DIV/0!</v>
      </c>
      <c r="G158" s="46" t="e">
        <f t="shared" si="68"/>
        <v>#DIV/0!</v>
      </c>
      <c r="H158" s="46" t="e">
        <f t="shared" si="69"/>
        <v>#DIV/0!</v>
      </c>
      <c r="I158" s="46" t="e">
        <f t="shared" si="70"/>
        <v>#DIV/0!</v>
      </c>
      <c r="J158" s="46" t="e">
        <f t="shared" si="71"/>
        <v>#DIV/0!</v>
      </c>
      <c r="K158" s="46" t="e">
        <f t="shared" si="72"/>
        <v>#DIV/0!</v>
      </c>
      <c r="L158" s="46" t="e">
        <f t="shared" si="73"/>
        <v>#DIV/0!</v>
      </c>
      <c r="M158" s="46" t="e">
        <f t="shared" si="74"/>
        <v>#DIV/0!</v>
      </c>
      <c r="N158" s="46" t="e">
        <f t="shared" si="75"/>
        <v>#DIV/0!</v>
      </c>
      <c r="O158" s="46" t="e">
        <f t="shared" si="76"/>
        <v>#DIV/0!</v>
      </c>
      <c r="P158" s="46" t="e">
        <f t="shared" si="77"/>
        <v>#DIV/0!</v>
      </c>
      <c r="Q158" s="56" t="e">
        <f>Q157+ATM_Conf!$C$5*(B157)/(Links!B$191*Links!Q$191)</f>
        <v>#DIV/0!</v>
      </c>
      <c r="R158" s="56" t="e">
        <f>R157+ATM_Conf!$C$5*(C157-B157)/(Links!C$191*Links!R$191)</f>
        <v>#DIV/0!</v>
      </c>
      <c r="S158" s="56" t="e">
        <f>S157+ATM_Conf!$C$5*(D157-C157)/(Links!D$191*Links!S$191)</f>
        <v>#DIV/0!</v>
      </c>
      <c r="T158" s="56" t="e">
        <f>T157+ATM_Conf!$C$5*(E157-D157)/(Links!E$191*Links!T$191)</f>
        <v>#DIV/0!</v>
      </c>
      <c r="U158" s="56" t="e">
        <f>U157+ATM_Conf!$C$5*(F157-E157)/(Links!F$191*Links!U$191)</f>
        <v>#DIV/0!</v>
      </c>
      <c r="V158" s="56" t="e">
        <f>V157+ATM_Conf!$C$5*(G157-F157)/(Links!G$191*Links!V$191)</f>
        <v>#DIV/0!</v>
      </c>
      <c r="W158" s="56" t="e">
        <f>W157+ATM_Conf!$C$5*(H157-G157)/(Links!H$191*Links!W$191)</f>
        <v>#DIV/0!</v>
      </c>
      <c r="X158" s="56" t="e">
        <f>X157+ATM_Conf!$C$5*(I157-H157)/(Links!I$191*Links!X$191)</f>
        <v>#DIV/0!</v>
      </c>
      <c r="Y158" s="56" t="e">
        <f>Y157+ATM_Conf!$C$5*(J157)/(Links!J$191*Links!Y$191)</f>
        <v>#DIV/0!</v>
      </c>
      <c r="Z158" s="56" t="e">
        <f>Z157+ATM_Conf!$C$5*(K157-J157)/(Links!K$191*Links!Z$191)</f>
        <v>#DIV/0!</v>
      </c>
      <c r="AA158" s="56" t="e">
        <f>AA157+ATM_Conf!$C$5*(L157-K157)/(Links!L$191*Links!AA$191)</f>
        <v>#DIV/0!</v>
      </c>
      <c r="AB158" s="56" t="e">
        <f>AB157+ATM_Conf!$C$5*(M157-L157)/(Links!M$191*Links!AB$191)</f>
        <v>#DIV/0!</v>
      </c>
      <c r="AC158" s="56" t="e">
        <f>AC157+ATM_Conf!$C$5*(N157-M157)/(Links!N$191*Links!AC$191)</f>
        <v>#DIV/0!</v>
      </c>
      <c r="AD158" s="56" t="e">
        <f>AD157+ATM_Conf!$C$5*(O157-N157)/(Links!O$191*Links!AD$191)</f>
        <v>#DIV/0!</v>
      </c>
      <c r="AE158" s="56" t="e">
        <f>AE157+ATM_Conf!$C$5*(P157-O157)/(Links!P$191*Links!AE$191)</f>
        <v>#DIV/0!</v>
      </c>
      <c r="AF158" s="46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6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6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6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6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6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6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6" t="e">
        <f>AM157+(ATM_Conf!$C$5/ATM_Conf!$C$8)*(Links!BB157*EXP((-(Links!X157/Links!BQ157)^Links!CF157)/Links!CF157)-Links!AM157)+(ATM_Conf!$C$5/Links!X$191)*Links!AM157*(Nodes!BH157-Links!AM157)</f>
        <v>#DIV/0!</v>
      </c>
      <c r="AN158" s="46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6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6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6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6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6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6" t="e">
        <f>AT157+(ATM_Conf!$C$5/ATM_Conf!$C$8)*(Links!BI157*EXP((-(Links!AE157/Links!BX157)^Links!CM157)/Links!CM157)-Links!AT157)+(ATM_Conf!$C$5/Links!AE$191)*Links!AT157*(Nodes!BN157-Links!AT157)</f>
        <v>#DIV/0!</v>
      </c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I158" s="56"/>
      <c r="BJ158" s="46"/>
      <c r="BK158" s="46"/>
      <c r="BL158" s="46"/>
      <c r="BM158" s="46"/>
      <c r="BN158" s="46"/>
      <c r="BO158" s="46"/>
      <c r="BP158" s="46"/>
      <c r="BQ158" s="46"/>
      <c r="BR158" s="46"/>
      <c r="BS158" s="46"/>
      <c r="BT158" s="46"/>
      <c r="BU158" s="46"/>
      <c r="BV158" s="46"/>
      <c r="BW158" s="46"/>
      <c r="BX158" s="46"/>
      <c r="BY158" s="56"/>
      <c r="BZ158" s="56"/>
      <c r="CA158" s="56"/>
      <c r="CB158" s="56"/>
      <c r="CC158" s="56"/>
      <c r="CD158" s="56"/>
      <c r="CE158" s="56"/>
      <c r="CF158" s="56"/>
      <c r="CG158" s="56"/>
      <c r="CH158" s="56"/>
      <c r="CI158" s="56"/>
      <c r="CJ158" s="56"/>
      <c r="CK158" s="56"/>
      <c r="CL158" s="56"/>
      <c r="CM158" s="56"/>
      <c r="CN158" s="46">
        <f t="shared" si="83"/>
        <v>0</v>
      </c>
      <c r="CO158" s="46">
        <f t="shared" si="83"/>
        <v>0</v>
      </c>
      <c r="CP158" s="46">
        <f t="shared" si="83"/>
        <v>0</v>
      </c>
      <c r="CQ158" s="46">
        <f t="shared" si="83"/>
        <v>0</v>
      </c>
      <c r="CR158" s="46">
        <f t="shared" si="83"/>
        <v>0</v>
      </c>
      <c r="CS158" s="46">
        <f t="shared" si="83"/>
        <v>0</v>
      </c>
      <c r="CT158" s="46">
        <f t="shared" si="83"/>
        <v>0</v>
      </c>
      <c r="CU158" s="46">
        <f t="shared" si="83"/>
        <v>0</v>
      </c>
      <c r="CV158" s="46">
        <f t="shared" si="83"/>
        <v>0</v>
      </c>
      <c r="CW158" s="46">
        <f t="shared" si="83"/>
        <v>0</v>
      </c>
      <c r="CX158" s="46">
        <f t="shared" si="83"/>
        <v>0</v>
      </c>
      <c r="CY158" s="46">
        <f t="shared" si="83"/>
        <v>0</v>
      </c>
      <c r="CZ158" s="46">
        <f t="shared" si="83"/>
        <v>0</v>
      </c>
      <c r="DA158" s="46">
        <f t="shared" si="83"/>
        <v>0</v>
      </c>
      <c r="DB158" s="46">
        <f t="shared" si="83"/>
        <v>0</v>
      </c>
      <c r="DC158" s="54"/>
      <c r="DD158" s="54"/>
      <c r="DE158" s="54"/>
      <c r="DF158" s="54"/>
      <c r="DG158" s="54"/>
      <c r="DH158" s="54"/>
      <c r="DI158" s="54"/>
      <c r="DJ158" s="54"/>
      <c r="DK158" s="54"/>
      <c r="DL158" s="54"/>
      <c r="DM158" s="54"/>
      <c r="DN158" s="54"/>
      <c r="DO158" s="54"/>
      <c r="DP158" s="54"/>
      <c r="DQ158" s="54"/>
    </row>
    <row r="159" spans="1:121" ht="14.25" x14ac:dyDescent="0.15">
      <c r="A159" s="49">
        <v>157</v>
      </c>
      <c r="B159" s="46" t="e">
        <f t="shared" si="63"/>
        <v>#DIV/0!</v>
      </c>
      <c r="C159" s="46" t="e">
        <f t="shared" si="64"/>
        <v>#DIV/0!</v>
      </c>
      <c r="D159" s="46" t="e">
        <f t="shared" si="65"/>
        <v>#DIV/0!</v>
      </c>
      <c r="E159" s="46" t="e">
        <f t="shared" si="66"/>
        <v>#DIV/0!</v>
      </c>
      <c r="F159" s="46" t="e">
        <f t="shared" si="67"/>
        <v>#DIV/0!</v>
      </c>
      <c r="G159" s="46" t="e">
        <f t="shared" si="68"/>
        <v>#DIV/0!</v>
      </c>
      <c r="H159" s="46" t="e">
        <f t="shared" si="69"/>
        <v>#DIV/0!</v>
      </c>
      <c r="I159" s="46" t="e">
        <f t="shared" si="70"/>
        <v>#DIV/0!</v>
      </c>
      <c r="J159" s="46" t="e">
        <f t="shared" si="71"/>
        <v>#DIV/0!</v>
      </c>
      <c r="K159" s="46" t="e">
        <f t="shared" si="72"/>
        <v>#DIV/0!</v>
      </c>
      <c r="L159" s="46" t="e">
        <f t="shared" si="73"/>
        <v>#DIV/0!</v>
      </c>
      <c r="M159" s="46" t="e">
        <f t="shared" si="74"/>
        <v>#DIV/0!</v>
      </c>
      <c r="N159" s="46" t="e">
        <f t="shared" si="75"/>
        <v>#DIV/0!</v>
      </c>
      <c r="O159" s="46" t="e">
        <f t="shared" si="76"/>
        <v>#DIV/0!</v>
      </c>
      <c r="P159" s="46" t="e">
        <f t="shared" si="77"/>
        <v>#DIV/0!</v>
      </c>
      <c r="Q159" s="56" t="e">
        <f>Q158+ATM_Conf!$C$5*(B158)/(Links!B$191*Links!Q$191)</f>
        <v>#DIV/0!</v>
      </c>
      <c r="R159" s="56" t="e">
        <f>R158+ATM_Conf!$C$5*(C158-B158)/(Links!C$191*Links!R$191)</f>
        <v>#DIV/0!</v>
      </c>
      <c r="S159" s="56" t="e">
        <f>S158+ATM_Conf!$C$5*(D158-C158)/(Links!D$191*Links!S$191)</f>
        <v>#DIV/0!</v>
      </c>
      <c r="T159" s="56" t="e">
        <f>T158+ATM_Conf!$C$5*(E158-D158)/(Links!E$191*Links!T$191)</f>
        <v>#DIV/0!</v>
      </c>
      <c r="U159" s="56" t="e">
        <f>U158+ATM_Conf!$C$5*(F158-E158)/(Links!F$191*Links!U$191)</f>
        <v>#DIV/0!</v>
      </c>
      <c r="V159" s="56" t="e">
        <f>V158+ATM_Conf!$C$5*(G158-F158)/(Links!G$191*Links!V$191)</f>
        <v>#DIV/0!</v>
      </c>
      <c r="W159" s="56" t="e">
        <f>W158+ATM_Conf!$C$5*(H158-G158)/(Links!H$191*Links!W$191)</f>
        <v>#DIV/0!</v>
      </c>
      <c r="X159" s="56" t="e">
        <f>X158+ATM_Conf!$C$5*(I158-H158)/(Links!I$191*Links!X$191)</f>
        <v>#DIV/0!</v>
      </c>
      <c r="Y159" s="56" t="e">
        <f>Y158+ATM_Conf!$C$5*(J158)/(Links!J$191*Links!Y$191)</f>
        <v>#DIV/0!</v>
      </c>
      <c r="Z159" s="56" t="e">
        <f>Z158+ATM_Conf!$C$5*(K158-J158)/(Links!K$191*Links!Z$191)</f>
        <v>#DIV/0!</v>
      </c>
      <c r="AA159" s="56" t="e">
        <f>AA158+ATM_Conf!$C$5*(L158-K158)/(Links!L$191*Links!AA$191)</f>
        <v>#DIV/0!</v>
      </c>
      <c r="AB159" s="56" t="e">
        <f>AB158+ATM_Conf!$C$5*(M158-L158)/(Links!M$191*Links!AB$191)</f>
        <v>#DIV/0!</v>
      </c>
      <c r="AC159" s="56" t="e">
        <f>AC158+ATM_Conf!$C$5*(N158-M158)/(Links!N$191*Links!AC$191)</f>
        <v>#DIV/0!</v>
      </c>
      <c r="AD159" s="56" t="e">
        <f>AD158+ATM_Conf!$C$5*(O158-N158)/(Links!O$191*Links!AD$191)</f>
        <v>#DIV/0!</v>
      </c>
      <c r="AE159" s="56" t="e">
        <f>AE158+ATM_Conf!$C$5*(P158-O158)/(Links!P$191*Links!AE$191)</f>
        <v>#DIV/0!</v>
      </c>
      <c r="AF159" s="46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6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6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6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6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6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6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6" t="e">
        <f>AM158+(ATM_Conf!$C$5/ATM_Conf!$C$8)*(Links!BB158*EXP((-(Links!X158/Links!BQ158)^Links!CF158)/Links!CF158)-Links!AM158)+(ATM_Conf!$C$5/Links!X$191)*Links!AM158*(Nodes!BH158-Links!AM158)</f>
        <v>#DIV/0!</v>
      </c>
      <c r="AN159" s="46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6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6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6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6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6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6" t="e">
        <f>AT158+(ATM_Conf!$C$5/ATM_Conf!$C$8)*(Links!BI158*EXP((-(Links!AE158/Links!BX158)^Links!CM158)/Links!CM158)-Links!AT158)+(ATM_Conf!$C$5/Links!AE$191)*Links!AT158*(Nodes!BN158-Links!AT158)</f>
        <v>#DIV/0!</v>
      </c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I159" s="56"/>
      <c r="BJ159" s="46"/>
      <c r="BK159" s="46"/>
      <c r="BL159" s="46"/>
      <c r="BM159" s="46"/>
      <c r="BN159" s="46"/>
      <c r="BO159" s="46"/>
      <c r="BP159" s="46"/>
      <c r="BQ159" s="46"/>
      <c r="BR159" s="46"/>
      <c r="BS159" s="46"/>
      <c r="BT159" s="46"/>
      <c r="BU159" s="46"/>
      <c r="BV159" s="46"/>
      <c r="BW159" s="46"/>
      <c r="BX159" s="46"/>
      <c r="BY159" s="56"/>
      <c r="BZ159" s="56"/>
      <c r="CA159" s="56"/>
      <c r="CB159" s="56"/>
      <c r="CC159" s="56"/>
      <c r="CD159" s="56"/>
      <c r="CE159" s="56"/>
      <c r="CF159" s="56"/>
      <c r="CG159" s="56"/>
      <c r="CH159" s="56"/>
      <c r="CI159" s="56"/>
      <c r="CJ159" s="56"/>
      <c r="CK159" s="56"/>
      <c r="CL159" s="56"/>
      <c r="CM159" s="56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54">
        <f>(CN159-CN147)^2</f>
        <v>0</v>
      </c>
      <c r="DD159" s="54">
        <f t="shared" ref="DD159:DQ159" si="84">(CO159-CO147)^2</f>
        <v>0</v>
      </c>
      <c r="DE159" s="54">
        <f t="shared" si="84"/>
        <v>0</v>
      </c>
      <c r="DF159" s="54">
        <f t="shared" si="84"/>
        <v>0</v>
      </c>
      <c r="DG159" s="54">
        <f t="shared" si="84"/>
        <v>0</v>
      </c>
      <c r="DH159" s="54">
        <f t="shared" si="84"/>
        <v>0</v>
      </c>
      <c r="DI159" s="54">
        <f t="shared" si="84"/>
        <v>0</v>
      </c>
      <c r="DJ159" s="54">
        <f t="shared" si="84"/>
        <v>0</v>
      </c>
      <c r="DK159" s="54">
        <f t="shared" si="84"/>
        <v>0</v>
      </c>
      <c r="DL159" s="54">
        <f t="shared" si="84"/>
        <v>0</v>
      </c>
      <c r="DM159" s="54">
        <f t="shared" si="84"/>
        <v>0</v>
      </c>
      <c r="DN159" s="54">
        <f t="shared" si="84"/>
        <v>0</v>
      </c>
      <c r="DO159" s="54">
        <f t="shared" si="84"/>
        <v>0</v>
      </c>
      <c r="DP159" s="54">
        <f t="shared" si="84"/>
        <v>0</v>
      </c>
      <c r="DQ159" s="54">
        <f t="shared" si="84"/>
        <v>0</v>
      </c>
    </row>
    <row r="160" spans="1:121" ht="14.25" x14ac:dyDescent="0.15">
      <c r="A160" s="49">
        <v>158</v>
      </c>
      <c r="B160" s="46" t="e">
        <f t="shared" si="63"/>
        <v>#DIV/0!</v>
      </c>
      <c r="C160" s="46" t="e">
        <f t="shared" si="64"/>
        <v>#DIV/0!</v>
      </c>
      <c r="D160" s="46" t="e">
        <f t="shared" si="65"/>
        <v>#DIV/0!</v>
      </c>
      <c r="E160" s="46" t="e">
        <f t="shared" si="66"/>
        <v>#DIV/0!</v>
      </c>
      <c r="F160" s="46" t="e">
        <f t="shared" si="67"/>
        <v>#DIV/0!</v>
      </c>
      <c r="G160" s="46" t="e">
        <f t="shared" si="68"/>
        <v>#DIV/0!</v>
      </c>
      <c r="H160" s="46" t="e">
        <f t="shared" si="69"/>
        <v>#DIV/0!</v>
      </c>
      <c r="I160" s="46" t="e">
        <f t="shared" si="70"/>
        <v>#DIV/0!</v>
      </c>
      <c r="J160" s="46" t="e">
        <f t="shared" si="71"/>
        <v>#DIV/0!</v>
      </c>
      <c r="K160" s="46" t="e">
        <f t="shared" si="72"/>
        <v>#DIV/0!</v>
      </c>
      <c r="L160" s="46" t="e">
        <f t="shared" si="73"/>
        <v>#DIV/0!</v>
      </c>
      <c r="M160" s="46" t="e">
        <f t="shared" si="74"/>
        <v>#DIV/0!</v>
      </c>
      <c r="N160" s="46" t="e">
        <f t="shared" si="75"/>
        <v>#DIV/0!</v>
      </c>
      <c r="O160" s="46" t="e">
        <f t="shared" si="76"/>
        <v>#DIV/0!</v>
      </c>
      <c r="P160" s="46" t="e">
        <f t="shared" si="77"/>
        <v>#DIV/0!</v>
      </c>
      <c r="Q160" s="56" t="e">
        <f>Q159+ATM_Conf!$C$5*(B159)/(Links!B$191*Links!Q$191)</f>
        <v>#DIV/0!</v>
      </c>
      <c r="R160" s="56" t="e">
        <f>R159+ATM_Conf!$C$5*(C159-B159)/(Links!C$191*Links!R$191)</f>
        <v>#DIV/0!</v>
      </c>
      <c r="S160" s="56" t="e">
        <f>S159+ATM_Conf!$C$5*(D159-C159)/(Links!D$191*Links!S$191)</f>
        <v>#DIV/0!</v>
      </c>
      <c r="T160" s="56" t="e">
        <f>T159+ATM_Conf!$C$5*(E159-D159)/(Links!E$191*Links!T$191)</f>
        <v>#DIV/0!</v>
      </c>
      <c r="U160" s="56" t="e">
        <f>U159+ATM_Conf!$C$5*(F159-E159)/(Links!F$191*Links!U$191)</f>
        <v>#DIV/0!</v>
      </c>
      <c r="V160" s="56" t="e">
        <f>V159+ATM_Conf!$C$5*(G159-F159)/(Links!G$191*Links!V$191)</f>
        <v>#DIV/0!</v>
      </c>
      <c r="W160" s="56" t="e">
        <f>W159+ATM_Conf!$C$5*(H159-G159)/(Links!H$191*Links!W$191)</f>
        <v>#DIV/0!</v>
      </c>
      <c r="X160" s="56" t="e">
        <f>X159+ATM_Conf!$C$5*(I159-H159)/(Links!I$191*Links!X$191)</f>
        <v>#DIV/0!</v>
      </c>
      <c r="Y160" s="56" t="e">
        <f>Y159+ATM_Conf!$C$5*(J159)/(Links!J$191*Links!Y$191)</f>
        <v>#DIV/0!</v>
      </c>
      <c r="Z160" s="56" t="e">
        <f>Z159+ATM_Conf!$C$5*(K159-J159)/(Links!K$191*Links!Z$191)</f>
        <v>#DIV/0!</v>
      </c>
      <c r="AA160" s="56" t="e">
        <f>AA159+ATM_Conf!$C$5*(L159-K159)/(Links!L$191*Links!AA$191)</f>
        <v>#DIV/0!</v>
      </c>
      <c r="AB160" s="56" t="e">
        <f>AB159+ATM_Conf!$C$5*(M159-L159)/(Links!M$191*Links!AB$191)</f>
        <v>#DIV/0!</v>
      </c>
      <c r="AC160" s="56" t="e">
        <f>AC159+ATM_Conf!$C$5*(N159-M159)/(Links!N$191*Links!AC$191)</f>
        <v>#DIV/0!</v>
      </c>
      <c r="AD160" s="56" t="e">
        <f>AD159+ATM_Conf!$C$5*(O159-N159)/(Links!O$191*Links!AD$191)</f>
        <v>#DIV/0!</v>
      </c>
      <c r="AE160" s="56" t="e">
        <f>AE159+ATM_Conf!$C$5*(P159-O159)/(Links!P$191*Links!AE$191)</f>
        <v>#DIV/0!</v>
      </c>
      <c r="AF160" s="46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6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6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6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6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6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6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6" t="e">
        <f>AM159+(ATM_Conf!$C$5/ATM_Conf!$C$8)*(Links!BB159*EXP((-(Links!X159/Links!BQ159)^Links!CF159)/Links!CF159)-Links!AM159)+(ATM_Conf!$C$5/Links!X$191)*Links!AM159*(Nodes!BH159-Links!AM159)</f>
        <v>#DIV/0!</v>
      </c>
      <c r="AN160" s="46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6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6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6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6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6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6" t="e">
        <f>AT159+(ATM_Conf!$C$5/ATM_Conf!$C$8)*(Links!BI159*EXP((-(Links!AE159/Links!BX159)^Links!CM159)/Links!CM159)-Links!AT159)+(ATM_Conf!$C$5/Links!AE$191)*Links!AT159*(Nodes!BN159-Links!AT159)</f>
        <v>#DIV/0!</v>
      </c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I160" s="56"/>
      <c r="BJ160" s="46"/>
      <c r="BK160" s="46"/>
      <c r="BL160" s="46"/>
      <c r="BM160" s="46"/>
      <c r="BN160" s="46"/>
      <c r="BO160" s="46"/>
      <c r="BP160" s="46"/>
      <c r="BQ160" s="46"/>
      <c r="BR160" s="46"/>
      <c r="BS160" s="46"/>
      <c r="BT160" s="46"/>
      <c r="BU160" s="46"/>
      <c r="BV160" s="46"/>
      <c r="BW160" s="46"/>
      <c r="BX160" s="46"/>
      <c r="BY160" s="56"/>
      <c r="BZ160" s="56"/>
      <c r="CA160" s="56"/>
      <c r="CB160" s="56"/>
      <c r="CC160" s="56"/>
      <c r="CD160" s="56"/>
      <c r="CE160" s="56"/>
      <c r="CF160" s="56"/>
      <c r="CG160" s="56"/>
      <c r="CH160" s="56"/>
      <c r="CI160" s="56"/>
      <c r="CJ160" s="56"/>
      <c r="CK160" s="56"/>
      <c r="CL160" s="56"/>
      <c r="CM160" s="56"/>
      <c r="CN160" s="46">
        <f>CN$159</f>
        <v>0</v>
      </c>
      <c r="CO160" s="46">
        <f t="shared" ref="CO160:DB160" si="85">CO$159</f>
        <v>0</v>
      </c>
      <c r="CP160" s="46">
        <f t="shared" si="85"/>
        <v>0</v>
      </c>
      <c r="CQ160" s="46">
        <f t="shared" si="85"/>
        <v>0</v>
      </c>
      <c r="CR160" s="46">
        <f t="shared" si="85"/>
        <v>0</v>
      </c>
      <c r="CS160" s="46">
        <f t="shared" si="85"/>
        <v>0</v>
      </c>
      <c r="CT160" s="46">
        <f t="shared" si="85"/>
        <v>0</v>
      </c>
      <c r="CU160" s="46">
        <f t="shared" si="85"/>
        <v>0</v>
      </c>
      <c r="CV160" s="46">
        <f t="shared" si="85"/>
        <v>0</v>
      </c>
      <c r="CW160" s="46">
        <f t="shared" si="85"/>
        <v>0</v>
      </c>
      <c r="CX160" s="46">
        <f t="shared" si="85"/>
        <v>0</v>
      </c>
      <c r="CY160" s="46">
        <f t="shared" si="85"/>
        <v>0</v>
      </c>
      <c r="CZ160" s="46">
        <f t="shared" si="85"/>
        <v>0</v>
      </c>
      <c r="DA160" s="46">
        <f t="shared" si="85"/>
        <v>0</v>
      </c>
      <c r="DB160" s="46">
        <f t="shared" si="85"/>
        <v>0</v>
      </c>
      <c r="DC160" s="54"/>
      <c r="DD160" s="54"/>
      <c r="DE160" s="54"/>
      <c r="DF160" s="54"/>
      <c r="DG160" s="54"/>
      <c r="DH160" s="54"/>
      <c r="DI160" s="54"/>
      <c r="DJ160" s="54"/>
      <c r="DK160" s="54"/>
      <c r="DL160" s="54"/>
      <c r="DM160" s="54"/>
      <c r="DN160" s="54"/>
      <c r="DO160" s="54"/>
      <c r="DP160" s="54"/>
      <c r="DQ160" s="54"/>
    </row>
    <row r="161" spans="1:121" ht="14.25" x14ac:dyDescent="0.15">
      <c r="A161" s="49">
        <v>159</v>
      </c>
      <c r="B161" s="46" t="e">
        <f t="shared" si="63"/>
        <v>#DIV/0!</v>
      </c>
      <c r="C161" s="46" t="e">
        <f t="shared" si="64"/>
        <v>#DIV/0!</v>
      </c>
      <c r="D161" s="46" t="e">
        <f t="shared" si="65"/>
        <v>#DIV/0!</v>
      </c>
      <c r="E161" s="46" t="e">
        <f t="shared" si="66"/>
        <v>#DIV/0!</v>
      </c>
      <c r="F161" s="46" t="e">
        <f t="shared" si="67"/>
        <v>#DIV/0!</v>
      </c>
      <c r="G161" s="46" t="e">
        <f t="shared" si="68"/>
        <v>#DIV/0!</v>
      </c>
      <c r="H161" s="46" t="e">
        <f t="shared" si="69"/>
        <v>#DIV/0!</v>
      </c>
      <c r="I161" s="46" t="e">
        <f t="shared" si="70"/>
        <v>#DIV/0!</v>
      </c>
      <c r="J161" s="46" t="e">
        <f t="shared" si="71"/>
        <v>#DIV/0!</v>
      </c>
      <c r="K161" s="46" t="e">
        <f t="shared" si="72"/>
        <v>#DIV/0!</v>
      </c>
      <c r="L161" s="46" t="e">
        <f t="shared" si="73"/>
        <v>#DIV/0!</v>
      </c>
      <c r="M161" s="46" t="e">
        <f t="shared" si="74"/>
        <v>#DIV/0!</v>
      </c>
      <c r="N161" s="46" t="e">
        <f t="shared" si="75"/>
        <v>#DIV/0!</v>
      </c>
      <c r="O161" s="46" t="e">
        <f t="shared" si="76"/>
        <v>#DIV/0!</v>
      </c>
      <c r="P161" s="46" t="e">
        <f t="shared" si="77"/>
        <v>#DIV/0!</v>
      </c>
      <c r="Q161" s="56" t="e">
        <f>Q160+ATM_Conf!$C$5*(B160)/(Links!B$191*Links!Q$191)</f>
        <v>#DIV/0!</v>
      </c>
      <c r="R161" s="56" t="e">
        <f>R160+ATM_Conf!$C$5*(C160-B160)/(Links!C$191*Links!R$191)</f>
        <v>#DIV/0!</v>
      </c>
      <c r="S161" s="56" t="e">
        <f>S160+ATM_Conf!$C$5*(D160-C160)/(Links!D$191*Links!S$191)</f>
        <v>#DIV/0!</v>
      </c>
      <c r="T161" s="56" t="e">
        <f>T160+ATM_Conf!$C$5*(E160-D160)/(Links!E$191*Links!T$191)</f>
        <v>#DIV/0!</v>
      </c>
      <c r="U161" s="56" t="e">
        <f>U160+ATM_Conf!$C$5*(F160-E160)/(Links!F$191*Links!U$191)</f>
        <v>#DIV/0!</v>
      </c>
      <c r="V161" s="56" t="e">
        <f>V160+ATM_Conf!$C$5*(G160-F160)/(Links!G$191*Links!V$191)</f>
        <v>#DIV/0!</v>
      </c>
      <c r="W161" s="56" t="e">
        <f>W160+ATM_Conf!$C$5*(H160-G160)/(Links!H$191*Links!W$191)</f>
        <v>#DIV/0!</v>
      </c>
      <c r="X161" s="56" t="e">
        <f>X160+ATM_Conf!$C$5*(I160-H160)/(Links!I$191*Links!X$191)</f>
        <v>#DIV/0!</v>
      </c>
      <c r="Y161" s="56" t="e">
        <f>Y160+ATM_Conf!$C$5*(J160)/(Links!J$191*Links!Y$191)</f>
        <v>#DIV/0!</v>
      </c>
      <c r="Z161" s="56" t="e">
        <f>Z160+ATM_Conf!$C$5*(K160-J160)/(Links!K$191*Links!Z$191)</f>
        <v>#DIV/0!</v>
      </c>
      <c r="AA161" s="56" t="e">
        <f>AA160+ATM_Conf!$C$5*(L160-K160)/(Links!L$191*Links!AA$191)</f>
        <v>#DIV/0!</v>
      </c>
      <c r="AB161" s="56" t="e">
        <f>AB160+ATM_Conf!$C$5*(M160-L160)/(Links!M$191*Links!AB$191)</f>
        <v>#DIV/0!</v>
      </c>
      <c r="AC161" s="56" t="e">
        <f>AC160+ATM_Conf!$C$5*(N160-M160)/(Links!N$191*Links!AC$191)</f>
        <v>#DIV/0!</v>
      </c>
      <c r="AD161" s="56" t="e">
        <f>AD160+ATM_Conf!$C$5*(O160-N160)/(Links!O$191*Links!AD$191)</f>
        <v>#DIV/0!</v>
      </c>
      <c r="AE161" s="56" t="e">
        <f>AE160+ATM_Conf!$C$5*(P160-O160)/(Links!P$191*Links!AE$191)</f>
        <v>#DIV/0!</v>
      </c>
      <c r="AF161" s="46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6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6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6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6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6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6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6" t="e">
        <f>AM160+(ATM_Conf!$C$5/ATM_Conf!$C$8)*(Links!BB160*EXP((-(Links!X160/Links!BQ160)^Links!CF160)/Links!CF160)-Links!AM160)+(ATM_Conf!$C$5/Links!X$191)*Links!AM160*(Nodes!BH160-Links!AM160)</f>
        <v>#DIV/0!</v>
      </c>
      <c r="AN161" s="46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6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6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6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6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6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6" t="e">
        <f>AT160+(ATM_Conf!$C$5/ATM_Conf!$C$8)*(Links!BI160*EXP((-(Links!AE160/Links!BX160)^Links!CM160)/Links!CM160)-Links!AT160)+(ATM_Conf!$C$5/Links!AE$191)*Links!AT160*(Nodes!BN160-Links!AT160)</f>
        <v>#DIV/0!</v>
      </c>
      <c r="AU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I161" s="56"/>
      <c r="BJ161" s="46"/>
      <c r="BK161" s="46"/>
      <c r="BL161" s="46"/>
      <c r="BM161" s="46"/>
      <c r="BN161" s="46"/>
      <c r="BO161" s="46"/>
      <c r="BP161" s="46"/>
      <c r="BQ161" s="46"/>
      <c r="BR161" s="46"/>
      <c r="BS161" s="46"/>
      <c r="BT161" s="46"/>
      <c r="BU161" s="46"/>
      <c r="BV161" s="46"/>
      <c r="BW161" s="46"/>
      <c r="BX161" s="46"/>
      <c r="BY161" s="56"/>
      <c r="BZ161" s="56"/>
      <c r="CA161" s="56"/>
      <c r="CB161" s="56"/>
      <c r="CC161" s="56"/>
      <c r="CD161" s="56"/>
      <c r="CE161" s="56"/>
      <c r="CF161" s="56"/>
      <c r="CG161" s="56"/>
      <c r="CH161" s="56"/>
      <c r="CI161" s="56"/>
      <c r="CJ161" s="56"/>
      <c r="CK161" s="56"/>
      <c r="CL161" s="56"/>
      <c r="CM161" s="56"/>
      <c r="CN161" s="46">
        <f t="shared" ref="CN161:DB170" si="86">CN$159</f>
        <v>0</v>
      </c>
      <c r="CO161" s="46">
        <f t="shared" si="86"/>
        <v>0</v>
      </c>
      <c r="CP161" s="46">
        <f t="shared" si="86"/>
        <v>0</v>
      </c>
      <c r="CQ161" s="46">
        <f t="shared" si="86"/>
        <v>0</v>
      </c>
      <c r="CR161" s="46">
        <f t="shared" si="86"/>
        <v>0</v>
      </c>
      <c r="CS161" s="46">
        <f t="shared" si="86"/>
        <v>0</v>
      </c>
      <c r="CT161" s="46">
        <f t="shared" si="86"/>
        <v>0</v>
      </c>
      <c r="CU161" s="46">
        <f t="shared" si="86"/>
        <v>0</v>
      </c>
      <c r="CV161" s="46">
        <f t="shared" si="86"/>
        <v>0</v>
      </c>
      <c r="CW161" s="46">
        <f t="shared" si="86"/>
        <v>0</v>
      </c>
      <c r="CX161" s="46">
        <f t="shared" si="86"/>
        <v>0</v>
      </c>
      <c r="CY161" s="46">
        <f t="shared" si="86"/>
        <v>0</v>
      </c>
      <c r="CZ161" s="46">
        <f t="shared" si="86"/>
        <v>0</v>
      </c>
      <c r="DA161" s="46">
        <f t="shared" si="86"/>
        <v>0</v>
      </c>
      <c r="DB161" s="46">
        <f t="shared" si="86"/>
        <v>0</v>
      </c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</row>
    <row r="162" spans="1:121" ht="14.25" x14ac:dyDescent="0.15">
      <c r="A162" s="49">
        <v>160</v>
      </c>
      <c r="B162" s="46" t="e">
        <f t="shared" si="63"/>
        <v>#DIV/0!</v>
      </c>
      <c r="C162" s="46" t="e">
        <f t="shared" si="64"/>
        <v>#DIV/0!</v>
      </c>
      <c r="D162" s="46" t="e">
        <f t="shared" si="65"/>
        <v>#DIV/0!</v>
      </c>
      <c r="E162" s="46" t="e">
        <f t="shared" si="66"/>
        <v>#DIV/0!</v>
      </c>
      <c r="F162" s="46" t="e">
        <f t="shared" si="67"/>
        <v>#DIV/0!</v>
      </c>
      <c r="G162" s="46" t="e">
        <f t="shared" si="68"/>
        <v>#DIV/0!</v>
      </c>
      <c r="H162" s="46" t="e">
        <f t="shared" si="69"/>
        <v>#DIV/0!</v>
      </c>
      <c r="I162" s="46" t="e">
        <f t="shared" si="70"/>
        <v>#DIV/0!</v>
      </c>
      <c r="J162" s="46" t="e">
        <f t="shared" si="71"/>
        <v>#DIV/0!</v>
      </c>
      <c r="K162" s="46" t="e">
        <f t="shared" si="72"/>
        <v>#DIV/0!</v>
      </c>
      <c r="L162" s="46" t="e">
        <f t="shared" si="73"/>
        <v>#DIV/0!</v>
      </c>
      <c r="M162" s="46" t="e">
        <f t="shared" si="74"/>
        <v>#DIV/0!</v>
      </c>
      <c r="N162" s="46" t="e">
        <f t="shared" si="75"/>
        <v>#DIV/0!</v>
      </c>
      <c r="O162" s="46" t="e">
        <f t="shared" si="76"/>
        <v>#DIV/0!</v>
      </c>
      <c r="P162" s="46" t="e">
        <f t="shared" si="77"/>
        <v>#DIV/0!</v>
      </c>
      <c r="Q162" s="56" t="e">
        <f>Q161+ATM_Conf!$C$5*(B161)/(Links!B$191*Links!Q$191)</f>
        <v>#DIV/0!</v>
      </c>
      <c r="R162" s="56" t="e">
        <f>R161+ATM_Conf!$C$5*(C161-B161)/(Links!C$191*Links!R$191)</f>
        <v>#DIV/0!</v>
      </c>
      <c r="S162" s="56" t="e">
        <f>S161+ATM_Conf!$C$5*(D161-C161)/(Links!D$191*Links!S$191)</f>
        <v>#DIV/0!</v>
      </c>
      <c r="T162" s="56" t="e">
        <f>T161+ATM_Conf!$C$5*(E161-D161)/(Links!E$191*Links!T$191)</f>
        <v>#DIV/0!</v>
      </c>
      <c r="U162" s="56" t="e">
        <f>U161+ATM_Conf!$C$5*(F161-E161)/(Links!F$191*Links!U$191)</f>
        <v>#DIV/0!</v>
      </c>
      <c r="V162" s="56" t="e">
        <f>V161+ATM_Conf!$C$5*(G161-F161)/(Links!G$191*Links!V$191)</f>
        <v>#DIV/0!</v>
      </c>
      <c r="W162" s="56" t="e">
        <f>W161+ATM_Conf!$C$5*(H161-G161)/(Links!H$191*Links!W$191)</f>
        <v>#DIV/0!</v>
      </c>
      <c r="X162" s="56" t="e">
        <f>X161+ATM_Conf!$C$5*(I161-H161)/(Links!I$191*Links!X$191)</f>
        <v>#DIV/0!</v>
      </c>
      <c r="Y162" s="56" t="e">
        <f>Y161+ATM_Conf!$C$5*(J161)/(Links!J$191*Links!Y$191)</f>
        <v>#DIV/0!</v>
      </c>
      <c r="Z162" s="56" t="e">
        <f>Z161+ATM_Conf!$C$5*(K161-J161)/(Links!K$191*Links!Z$191)</f>
        <v>#DIV/0!</v>
      </c>
      <c r="AA162" s="56" t="e">
        <f>AA161+ATM_Conf!$C$5*(L161-K161)/(Links!L$191*Links!AA$191)</f>
        <v>#DIV/0!</v>
      </c>
      <c r="AB162" s="56" t="e">
        <f>AB161+ATM_Conf!$C$5*(M161-L161)/(Links!M$191*Links!AB$191)</f>
        <v>#DIV/0!</v>
      </c>
      <c r="AC162" s="56" t="e">
        <f>AC161+ATM_Conf!$C$5*(N161-M161)/(Links!N$191*Links!AC$191)</f>
        <v>#DIV/0!</v>
      </c>
      <c r="AD162" s="56" t="e">
        <f>AD161+ATM_Conf!$C$5*(O161-N161)/(Links!O$191*Links!AD$191)</f>
        <v>#DIV/0!</v>
      </c>
      <c r="AE162" s="56" t="e">
        <f>AE161+ATM_Conf!$C$5*(P161-O161)/(Links!P$191*Links!AE$191)</f>
        <v>#DIV/0!</v>
      </c>
      <c r="AF162" s="46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6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6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6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6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6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6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6" t="e">
        <f>AM161+(ATM_Conf!$C$5/ATM_Conf!$C$8)*(Links!BB161*EXP((-(Links!X161/Links!BQ161)^Links!CF161)/Links!CF161)-Links!AM161)+(ATM_Conf!$C$5/Links!X$191)*Links!AM161*(Nodes!BH161-Links!AM161)</f>
        <v>#DIV/0!</v>
      </c>
      <c r="AN162" s="46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6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6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6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6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6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6" t="e">
        <f>AT161+(ATM_Conf!$C$5/ATM_Conf!$C$8)*(Links!BI161*EXP((-(Links!AE161/Links!BX161)^Links!CM161)/Links!CM161)-Links!AT161)+(ATM_Conf!$C$5/Links!AE$191)*Links!AT161*(Nodes!BN161-Links!AT161)</f>
        <v>#DIV/0!</v>
      </c>
      <c r="AU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I162" s="56"/>
      <c r="BJ162" s="46"/>
      <c r="BK162" s="46"/>
      <c r="BL162" s="46"/>
      <c r="BM162" s="46"/>
      <c r="BN162" s="46"/>
      <c r="BO162" s="46"/>
      <c r="BP162" s="46"/>
      <c r="BQ162" s="46"/>
      <c r="BR162" s="46"/>
      <c r="BS162" s="46"/>
      <c r="BT162" s="46"/>
      <c r="BU162" s="46"/>
      <c r="BV162" s="46"/>
      <c r="BW162" s="46"/>
      <c r="BX162" s="46"/>
      <c r="BY162" s="56"/>
      <c r="BZ162" s="56"/>
      <c r="CA162" s="56"/>
      <c r="CB162" s="56"/>
      <c r="CC162" s="56"/>
      <c r="CD162" s="56"/>
      <c r="CE162" s="56"/>
      <c r="CF162" s="56"/>
      <c r="CG162" s="56"/>
      <c r="CH162" s="56"/>
      <c r="CI162" s="56"/>
      <c r="CJ162" s="56"/>
      <c r="CK162" s="56"/>
      <c r="CL162" s="56"/>
      <c r="CM162" s="56"/>
      <c r="CN162" s="46">
        <f t="shared" si="86"/>
        <v>0</v>
      </c>
      <c r="CO162" s="46">
        <f t="shared" si="86"/>
        <v>0</v>
      </c>
      <c r="CP162" s="46">
        <f t="shared" si="86"/>
        <v>0</v>
      </c>
      <c r="CQ162" s="46">
        <f t="shared" si="86"/>
        <v>0</v>
      </c>
      <c r="CR162" s="46">
        <f t="shared" si="86"/>
        <v>0</v>
      </c>
      <c r="CS162" s="46">
        <f t="shared" si="86"/>
        <v>0</v>
      </c>
      <c r="CT162" s="46">
        <f t="shared" si="86"/>
        <v>0</v>
      </c>
      <c r="CU162" s="46">
        <f t="shared" si="86"/>
        <v>0</v>
      </c>
      <c r="CV162" s="46">
        <f t="shared" si="86"/>
        <v>0</v>
      </c>
      <c r="CW162" s="46">
        <f t="shared" si="86"/>
        <v>0</v>
      </c>
      <c r="CX162" s="46">
        <f t="shared" si="86"/>
        <v>0</v>
      </c>
      <c r="CY162" s="46">
        <f t="shared" si="86"/>
        <v>0</v>
      </c>
      <c r="CZ162" s="46">
        <f t="shared" si="86"/>
        <v>0</v>
      </c>
      <c r="DA162" s="46">
        <f t="shared" si="86"/>
        <v>0</v>
      </c>
      <c r="DB162" s="46">
        <f t="shared" si="86"/>
        <v>0</v>
      </c>
      <c r="DC162" s="54"/>
      <c r="DD162" s="54"/>
      <c r="DE162" s="54"/>
      <c r="DF162" s="54"/>
      <c r="DG162" s="54"/>
      <c r="DH162" s="54"/>
      <c r="DI162" s="54"/>
      <c r="DJ162" s="54"/>
      <c r="DK162" s="54"/>
      <c r="DL162" s="54"/>
      <c r="DM162" s="54"/>
      <c r="DN162" s="54"/>
      <c r="DO162" s="54"/>
      <c r="DP162" s="54"/>
      <c r="DQ162" s="54"/>
    </row>
    <row r="163" spans="1:121" ht="14.25" x14ac:dyDescent="0.15">
      <c r="A163" s="49">
        <v>161</v>
      </c>
      <c r="B163" s="46" t="e">
        <f t="shared" si="63"/>
        <v>#DIV/0!</v>
      </c>
      <c r="C163" s="46" t="e">
        <f t="shared" si="64"/>
        <v>#DIV/0!</v>
      </c>
      <c r="D163" s="46" t="e">
        <f t="shared" si="65"/>
        <v>#DIV/0!</v>
      </c>
      <c r="E163" s="46" t="e">
        <f t="shared" si="66"/>
        <v>#DIV/0!</v>
      </c>
      <c r="F163" s="46" t="e">
        <f t="shared" si="67"/>
        <v>#DIV/0!</v>
      </c>
      <c r="G163" s="46" t="e">
        <f t="shared" si="68"/>
        <v>#DIV/0!</v>
      </c>
      <c r="H163" s="46" t="e">
        <f t="shared" si="69"/>
        <v>#DIV/0!</v>
      </c>
      <c r="I163" s="46" t="e">
        <f t="shared" si="70"/>
        <v>#DIV/0!</v>
      </c>
      <c r="J163" s="46" t="e">
        <f t="shared" si="71"/>
        <v>#DIV/0!</v>
      </c>
      <c r="K163" s="46" t="e">
        <f t="shared" si="72"/>
        <v>#DIV/0!</v>
      </c>
      <c r="L163" s="46" t="e">
        <f t="shared" si="73"/>
        <v>#DIV/0!</v>
      </c>
      <c r="M163" s="46" t="e">
        <f t="shared" si="74"/>
        <v>#DIV/0!</v>
      </c>
      <c r="N163" s="46" t="e">
        <f t="shared" si="75"/>
        <v>#DIV/0!</v>
      </c>
      <c r="O163" s="46" t="e">
        <f t="shared" si="76"/>
        <v>#DIV/0!</v>
      </c>
      <c r="P163" s="46" t="e">
        <f t="shared" si="77"/>
        <v>#DIV/0!</v>
      </c>
      <c r="Q163" s="56" t="e">
        <f>Q162+ATM_Conf!$C$5*(B162)/(Links!B$191*Links!Q$191)</f>
        <v>#DIV/0!</v>
      </c>
      <c r="R163" s="56" t="e">
        <f>R162+ATM_Conf!$C$5*(C162-B162)/(Links!C$191*Links!R$191)</f>
        <v>#DIV/0!</v>
      </c>
      <c r="S163" s="56" t="e">
        <f>S162+ATM_Conf!$C$5*(D162-C162)/(Links!D$191*Links!S$191)</f>
        <v>#DIV/0!</v>
      </c>
      <c r="T163" s="56" t="e">
        <f>T162+ATM_Conf!$C$5*(E162-D162)/(Links!E$191*Links!T$191)</f>
        <v>#DIV/0!</v>
      </c>
      <c r="U163" s="56" t="e">
        <f>U162+ATM_Conf!$C$5*(F162-E162)/(Links!F$191*Links!U$191)</f>
        <v>#DIV/0!</v>
      </c>
      <c r="V163" s="56" t="e">
        <f>V162+ATM_Conf!$C$5*(G162-F162)/(Links!G$191*Links!V$191)</f>
        <v>#DIV/0!</v>
      </c>
      <c r="W163" s="56" t="e">
        <f>W162+ATM_Conf!$C$5*(H162-G162)/(Links!H$191*Links!W$191)</f>
        <v>#DIV/0!</v>
      </c>
      <c r="X163" s="56" t="e">
        <f>X162+ATM_Conf!$C$5*(I162-H162)/(Links!I$191*Links!X$191)</f>
        <v>#DIV/0!</v>
      </c>
      <c r="Y163" s="56" t="e">
        <f>Y162+ATM_Conf!$C$5*(J162)/(Links!J$191*Links!Y$191)</f>
        <v>#DIV/0!</v>
      </c>
      <c r="Z163" s="56" t="e">
        <f>Z162+ATM_Conf!$C$5*(K162-J162)/(Links!K$191*Links!Z$191)</f>
        <v>#DIV/0!</v>
      </c>
      <c r="AA163" s="56" t="e">
        <f>AA162+ATM_Conf!$C$5*(L162-K162)/(Links!L$191*Links!AA$191)</f>
        <v>#DIV/0!</v>
      </c>
      <c r="AB163" s="56" t="e">
        <f>AB162+ATM_Conf!$C$5*(M162-L162)/(Links!M$191*Links!AB$191)</f>
        <v>#DIV/0!</v>
      </c>
      <c r="AC163" s="56" t="e">
        <f>AC162+ATM_Conf!$C$5*(N162-M162)/(Links!N$191*Links!AC$191)</f>
        <v>#DIV/0!</v>
      </c>
      <c r="AD163" s="56" t="e">
        <f>AD162+ATM_Conf!$C$5*(O162-N162)/(Links!O$191*Links!AD$191)</f>
        <v>#DIV/0!</v>
      </c>
      <c r="AE163" s="56" t="e">
        <f>AE162+ATM_Conf!$C$5*(P162-O162)/(Links!P$191*Links!AE$191)</f>
        <v>#DIV/0!</v>
      </c>
      <c r="AF163" s="46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6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6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6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6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6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6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6" t="e">
        <f>AM162+(ATM_Conf!$C$5/ATM_Conf!$C$8)*(Links!BB162*EXP((-(Links!X162/Links!BQ162)^Links!CF162)/Links!CF162)-Links!AM162)+(ATM_Conf!$C$5/Links!X$191)*Links!AM162*(Nodes!BH162-Links!AM162)</f>
        <v>#DIV/0!</v>
      </c>
      <c r="AN163" s="46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6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6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6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6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6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6" t="e">
        <f>AT162+(ATM_Conf!$C$5/ATM_Conf!$C$8)*(Links!BI162*EXP((-(Links!AE162/Links!BX162)^Links!CM162)/Links!CM162)-Links!AT162)+(ATM_Conf!$C$5/Links!AE$191)*Links!AT162*(Nodes!BN162-Links!AT162)</f>
        <v>#DIV/0!</v>
      </c>
      <c r="AU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I163" s="56"/>
      <c r="BJ163" s="46"/>
      <c r="BK163" s="46"/>
      <c r="BL163" s="46"/>
      <c r="BM163" s="46"/>
      <c r="BN163" s="46"/>
      <c r="BO163" s="46"/>
      <c r="BP163" s="46"/>
      <c r="BQ163" s="46"/>
      <c r="BR163" s="46"/>
      <c r="BS163" s="46"/>
      <c r="BT163" s="46"/>
      <c r="BU163" s="46"/>
      <c r="BV163" s="46"/>
      <c r="BW163" s="46"/>
      <c r="BX163" s="46"/>
      <c r="BY163" s="56"/>
      <c r="BZ163" s="56"/>
      <c r="CA163" s="56"/>
      <c r="CB163" s="56"/>
      <c r="CC163" s="56"/>
      <c r="CD163" s="56"/>
      <c r="CE163" s="56"/>
      <c r="CF163" s="56"/>
      <c r="CG163" s="56"/>
      <c r="CH163" s="56"/>
      <c r="CI163" s="56"/>
      <c r="CJ163" s="56"/>
      <c r="CK163" s="56"/>
      <c r="CL163" s="56"/>
      <c r="CM163" s="56"/>
      <c r="CN163" s="46">
        <f t="shared" si="86"/>
        <v>0</v>
      </c>
      <c r="CO163" s="46">
        <f t="shared" si="86"/>
        <v>0</v>
      </c>
      <c r="CP163" s="46">
        <f t="shared" si="86"/>
        <v>0</v>
      </c>
      <c r="CQ163" s="46">
        <f t="shared" si="86"/>
        <v>0</v>
      </c>
      <c r="CR163" s="46">
        <f t="shared" si="86"/>
        <v>0</v>
      </c>
      <c r="CS163" s="46">
        <f t="shared" si="86"/>
        <v>0</v>
      </c>
      <c r="CT163" s="46">
        <f t="shared" si="86"/>
        <v>0</v>
      </c>
      <c r="CU163" s="46">
        <f t="shared" si="86"/>
        <v>0</v>
      </c>
      <c r="CV163" s="46">
        <f t="shared" si="86"/>
        <v>0</v>
      </c>
      <c r="CW163" s="46">
        <f t="shared" si="86"/>
        <v>0</v>
      </c>
      <c r="CX163" s="46">
        <f t="shared" si="86"/>
        <v>0</v>
      </c>
      <c r="CY163" s="46">
        <f t="shared" si="86"/>
        <v>0</v>
      </c>
      <c r="CZ163" s="46">
        <f t="shared" si="86"/>
        <v>0</v>
      </c>
      <c r="DA163" s="46">
        <f t="shared" si="86"/>
        <v>0</v>
      </c>
      <c r="DB163" s="46">
        <f t="shared" si="86"/>
        <v>0</v>
      </c>
      <c r="DC163" s="54"/>
      <c r="DD163" s="54"/>
      <c r="DE163" s="54"/>
      <c r="DF163" s="54"/>
      <c r="DG163" s="54"/>
      <c r="DH163" s="54"/>
      <c r="DI163" s="54"/>
      <c r="DJ163" s="54"/>
      <c r="DK163" s="54"/>
      <c r="DL163" s="54"/>
      <c r="DM163" s="54"/>
      <c r="DN163" s="54"/>
      <c r="DO163" s="54"/>
      <c r="DP163" s="54"/>
      <c r="DQ163" s="54"/>
    </row>
    <row r="164" spans="1:121" ht="14.25" x14ac:dyDescent="0.15">
      <c r="A164" s="49">
        <v>162</v>
      </c>
      <c r="B164" s="46" t="e">
        <f t="shared" si="63"/>
        <v>#DIV/0!</v>
      </c>
      <c r="C164" s="46" t="e">
        <f t="shared" si="64"/>
        <v>#DIV/0!</v>
      </c>
      <c r="D164" s="46" t="e">
        <f t="shared" si="65"/>
        <v>#DIV/0!</v>
      </c>
      <c r="E164" s="46" t="e">
        <f t="shared" si="66"/>
        <v>#DIV/0!</v>
      </c>
      <c r="F164" s="46" t="e">
        <f t="shared" si="67"/>
        <v>#DIV/0!</v>
      </c>
      <c r="G164" s="46" t="e">
        <f t="shared" si="68"/>
        <v>#DIV/0!</v>
      </c>
      <c r="H164" s="46" t="e">
        <f t="shared" si="69"/>
        <v>#DIV/0!</v>
      </c>
      <c r="I164" s="46" t="e">
        <f t="shared" si="70"/>
        <v>#DIV/0!</v>
      </c>
      <c r="J164" s="46" t="e">
        <f t="shared" si="71"/>
        <v>#DIV/0!</v>
      </c>
      <c r="K164" s="46" t="e">
        <f t="shared" si="72"/>
        <v>#DIV/0!</v>
      </c>
      <c r="L164" s="46" t="e">
        <f t="shared" si="73"/>
        <v>#DIV/0!</v>
      </c>
      <c r="M164" s="46" t="e">
        <f t="shared" si="74"/>
        <v>#DIV/0!</v>
      </c>
      <c r="N164" s="46" t="e">
        <f t="shared" si="75"/>
        <v>#DIV/0!</v>
      </c>
      <c r="O164" s="46" t="e">
        <f t="shared" si="76"/>
        <v>#DIV/0!</v>
      </c>
      <c r="P164" s="46" t="e">
        <f t="shared" si="77"/>
        <v>#DIV/0!</v>
      </c>
      <c r="Q164" s="56" t="e">
        <f>Q163+ATM_Conf!$C$5*(B163)/(Links!B$191*Links!Q$191)</f>
        <v>#DIV/0!</v>
      </c>
      <c r="R164" s="56" t="e">
        <f>R163+ATM_Conf!$C$5*(C163-B163)/(Links!C$191*Links!R$191)</f>
        <v>#DIV/0!</v>
      </c>
      <c r="S164" s="56" t="e">
        <f>S163+ATM_Conf!$C$5*(D163-C163)/(Links!D$191*Links!S$191)</f>
        <v>#DIV/0!</v>
      </c>
      <c r="T164" s="56" t="e">
        <f>T163+ATM_Conf!$C$5*(E163-D163)/(Links!E$191*Links!T$191)</f>
        <v>#DIV/0!</v>
      </c>
      <c r="U164" s="56" t="e">
        <f>U163+ATM_Conf!$C$5*(F163-E163)/(Links!F$191*Links!U$191)</f>
        <v>#DIV/0!</v>
      </c>
      <c r="V164" s="56" t="e">
        <f>V163+ATM_Conf!$C$5*(G163-F163)/(Links!G$191*Links!V$191)</f>
        <v>#DIV/0!</v>
      </c>
      <c r="W164" s="56" t="e">
        <f>W163+ATM_Conf!$C$5*(H163-G163)/(Links!H$191*Links!W$191)</f>
        <v>#DIV/0!</v>
      </c>
      <c r="X164" s="56" t="e">
        <f>X163+ATM_Conf!$C$5*(I163-H163)/(Links!I$191*Links!X$191)</f>
        <v>#DIV/0!</v>
      </c>
      <c r="Y164" s="56" t="e">
        <f>Y163+ATM_Conf!$C$5*(J163)/(Links!J$191*Links!Y$191)</f>
        <v>#DIV/0!</v>
      </c>
      <c r="Z164" s="56" t="e">
        <f>Z163+ATM_Conf!$C$5*(K163-J163)/(Links!K$191*Links!Z$191)</f>
        <v>#DIV/0!</v>
      </c>
      <c r="AA164" s="56" t="e">
        <f>AA163+ATM_Conf!$C$5*(L163-K163)/(Links!L$191*Links!AA$191)</f>
        <v>#DIV/0!</v>
      </c>
      <c r="AB164" s="56" t="e">
        <f>AB163+ATM_Conf!$C$5*(M163-L163)/(Links!M$191*Links!AB$191)</f>
        <v>#DIV/0!</v>
      </c>
      <c r="AC164" s="56" t="e">
        <f>AC163+ATM_Conf!$C$5*(N163-M163)/(Links!N$191*Links!AC$191)</f>
        <v>#DIV/0!</v>
      </c>
      <c r="AD164" s="56" t="e">
        <f>AD163+ATM_Conf!$C$5*(O163-N163)/(Links!O$191*Links!AD$191)</f>
        <v>#DIV/0!</v>
      </c>
      <c r="AE164" s="56" t="e">
        <f>AE163+ATM_Conf!$C$5*(P163-O163)/(Links!P$191*Links!AE$191)</f>
        <v>#DIV/0!</v>
      </c>
      <c r="AF164" s="46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6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6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6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6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6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6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6" t="e">
        <f>AM163+(ATM_Conf!$C$5/ATM_Conf!$C$8)*(Links!BB163*EXP((-(Links!X163/Links!BQ163)^Links!CF163)/Links!CF163)-Links!AM163)+(ATM_Conf!$C$5/Links!X$191)*Links!AM163*(Nodes!BH163-Links!AM163)</f>
        <v>#DIV/0!</v>
      </c>
      <c r="AN164" s="46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6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6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6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6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6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6" t="e">
        <f>AT163+(ATM_Conf!$C$5/ATM_Conf!$C$8)*(Links!BI163*EXP((-(Links!AE163/Links!BX163)^Links!CM163)/Links!CM163)-Links!AT163)+(ATM_Conf!$C$5/Links!AE$191)*Links!AT163*(Nodes!BN163-Links!AT163)</f>
        <v>#DIV/0!</v>
      </c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46"/>
      <c r="BK164" s="46"/>
      <c r="BL164" s="46"/>
      <c r="BM164" s="46"/>
      <c r="BN164" s="46"/>
      <c r="BO164" s="46"/>
      <c r="BP164" s="46"/>
      <c r="BQ164" s="46"/>
      <c r="BR164" s="46"/>
      <c r="BS164" s="46"/>
      <c r="BT164" s="46"/>
      <c r="BU164" s="46"/>
      <c r="BV164" s="46"/>
      <c r="BW164" s="46"/>
      <c r="BX164" s="46"/>
      <c r="BY164" s="56"/>
      <c r="BZ164" s="56"/>
      <c r="CA164" s="56"/>
      <c r="CB164" s="56"/>
      <c r="CC164" s="56"/>
      <c r="CD164" s="56"/>
      <c r="CE164" s="56"/>
      <c r="CF164" s="56"/>
      <c r="CG164" s="56"/>
      <c r="CH164" s="56"/>
      <c r="CI164" s="56"/>
      <c r="CJ164" s="56"/>
      <c r="CK164" s="56"/>
      <c r="CL164" s="56"/>
      <c r="CM164" s="56"/>
      <c r="CN164" s="46">
        <f t="shared" si="86"/>
        <v>0</v>
      </c>
      <c r="CO164" s="46">
        <f t="shared" si="86"/>
        <v>0</v>
      </c>
      <c r="CP164" s="46">
        <f t="shared" si="86"/>
        <v>0</v>
      </c>
      <c r="CQ164" s="46">
        <f t="shared" si="86"/>
        <v>0</v>
      </c>
      <c r="CR164" s="46">
        <f t="shared" si="86"/>
        <v>0</v>
      </c>
      <c r="CS164" s="46">
        <f t="shared" si="86"/>
        <v>0</v>
      </c>
      <c r="CT164" s="46">
        <f t="shared" si="86"/>
        <v>0</v>
      </c>
      <c r="CU164" s="46">
        <f t="shared" si="86"/>
        <v>0</v>
      </c>
      <c r="CV164" s="46">
        <f t="shared" si="86"/>
        <v>0</v>
      </c>
      <c r="CW164" s="46">
        <f t="shared" si="86"/>
        <v>0</v>
      </c>
      <c r="CX164" s="46">
        <f t="shared" si="86"/>
        <v>0</v>
      </c>
      <c r="CY164" s="46">
        <f t="shared" si="86"/>
        <v>0</v>
      </c>
      <c r="CZ164" s="46">
        <f t="shared" si="86"/>
        <v>0</v>
      </c>
      <c r="DA164" s="46">
        <f t="shared" si="86"/>
        <v>0</v>
      </c>
      <c r="DB164" s="46">
        <f t="shared" si="86"/>
        <v>0</v>
      </c>
      <c r="DC164" s="54"/>
      <c r="DD164" s="54"/>
      <c r="DE164" s="54"/>
      <c r="DF164" s="54"/>
      <c r="DG164" s="54"/>
      <c r="DH164" s="54"/>
      <c r="DI164" s="54"/>
      <c r="DJ164" s="54"/>
      <c r="DK164" s="54"/>
      <c r="DL164" s="54"/>
      <c r="DM164" s="54"/>
      <c r="DN164" s="54"/>
      <c r="DO164" s="54"/>
      <c r="DP164" s="54"/>
      <c r="DQ164" s="54"/>
    </row>
    <row r="165" spans="1:121" ht="14.25" x14ac:dyDescent="0.15">
      <c r="A165" s="49">
        <v>163</v>
      </c>
      <c r="B165" s="46" t="e">
        <f t="shared" si="63"/>
        <v>#DIV/0!</v>
      </c>
      <c r="C165" s="46" t="e">
        <f t="shared" si="64"/>
        <v>#DIV/0!</v>
      </c>
      <c r="D165" s="46" t="e">
        <f t="shared" si="65"/>
        <v>#DIV/0!</v>
      </c>
      <c r="E165" s="46" t="e">
        <f t="shared" si="66"/>
        <v>#DIV/0!</v>
      </c>
      <c r="F165" s="46" t="e">
        <f t="shared" si="67"/>
        <v>#DIV/0!</v>
      </c>
      <c r="G165" s="46" t="e">
        <f t="shared" si="68"/>
        <v>#DIV/0!</v>
      </c>
      <c r="H165" s="46" t="e">
        <f t="shared" si="69"/>
        <v>#DIV/0!</v>
      </c>
      <c r="I165" s="46" t="e">
        <f t="shared" si="70"/>
        <v>#DIV/0!</v>
      </c>
      <c r="J165" s="46" t="e">
        <f t="shared" si="71"/>
        <v>#DIV/0!</v>
      </c>
      <c r="K165" s="46" t="e">
        <f t="shared" si="72"/>
        <v>#DIV/0!</v>
      </c>
      <c r="L165" s="46" t="e">
        <f t="shared" si="73"/>
        <v>#DIV/0!</v>
      </c>
      <c r="M165" s="46" t="e">
        <f t="shared" si="74"/>
        <v>#DIV/0!</v>
      </c>
      <c r="N165" s="46" t="e">
        <f t="shared" si="75"/>
        <v>#DIV/0!</v>
      </c>
      <c r="O165" s="46" t="e">
        <f t="shared" si="76"/>
        <v>#DIV/0!</v>
      </c>
      <c r="P165" s="46" t="e">
        <f t="shared" si="77"/>
        <v>#DIV/0!</v>
      </c>
      <c r="Q165" s="56" t="e">
        <f>Q164+ATM_Conf!$C$5*(B164)/(Links!B$191*Links!Q$191)</f>
        <v>#DIV/0!</v>
      </c>
      <c r="R165" s="56" t="e">
        <f>R164+ATM_Conf!$C$5*(C164-B164)/(Links!C$191*Links!R$191)</f>
        <v>#DIV/0!</v>
      </c>
      <c r="S165" s="56" t="e">
        <f>S164+ATM_Conf!$C$5*(D164-C164)/(Links!D$191*Links!S$191)</f>
        <v>#DIV/0!</v>
      </c>
      <c r="T165" s="56" t="e">
        <f>T164+ATM_Conf!$C$5*(E164-D164)/(Links!E$191*Links!T$191)</f>
        <v>#DIV/0!</v>
      </c>
      <c r="U165" s="56" t="e">
        <f>U164+ATM_Conf!$C$5*(F164-E164)/(Links!F$191*Links!U$191)</f>
        <v>#DIV/0!</v>
      </c>
      <c r="V165" s="56" t="e">
        <f>V164+ATM_Conf!$C$5*(G164-F164)/(Links!G$191*Links!V$191)</f>
        <v>#DIV/0!</v>
      </c>
      <c r="W165" s="56" t="e">
        <f>W164+ATM_Conf!$C$5*(H164-G164)/(Links!H$191*Links!W$191)</f>
        <v>#DIV/0!</v>
      </c>
      <c r="X165" s="56" t="e">
        <f>X164+ATM_Conf!$C$5*(I164-H164)/(Links!I$191*Links!X$191)</f>
        <v>#DIV/0!</v>
      </c>
      <c r="Y165" s="56" t="e">
        <f>Y164+ATM_Conf!$C$5*(J164)/(Links!J$191*Links!Y$191)</f>
        <v>#DIV/0!</v>
      </c>
      <c r="Z165" s="56" t="e">
        <f>Z164+ATM_Conf!$C$5*(K164-J164)/(Links!K$191*Links!Z$191)</f>
        <v>#DIV/0!</v>
      </c>
      <c r="AA165" s="56" t="e">
        <f>AA164+ATM_Conf!$C$5*(L164-K164)/(Links!L$191*Links!AA$191)</f>
        <v>#DIV/0!</v>
      </c>
      <c r="AB165" s="56" t="e">
        <f>AB164+ATM_Conf!$C$5*(M164-L164)/(Links!M$191*Links!AB$191)</f>
        <v>#DIV/0!</v>
      </c>
      <c r="AC165" s="56" t="e">
        <f>AC164+ATM_Conf!$C$5*(N164-M164)/(Links!N$191*Links!AC$191)</f>
        <v>#DIV/0!</v>
      </c>
      <c r="AD165" s="56" t="e">
        <f>AD164+ATM_Conf!$C$5*(O164-N164)/(Links!O$191*Links!AD$191)</f>
        <v>#DIV/0!</v>
      </c>
      <c r="AE165" s="56" t="e">
        <f>AE164+ATM_Conf!$C$5*(P164-O164)/(Links!P$191*Links!AE$191)</f>
        <v>#DIV/0!</v>
      </c>
      <c r="AF165" s="46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6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6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6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6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6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6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6" t="e">
        <f>AM164+(ATM_Conf!$C$5/ATM_Conf!$C$8)*(Links!BB164*EXP((-(Links!X164/Links!BQ164)^Links!CF164)/Links!CF164)-Links!AM164)+(ATM_Conf!$C$5/Links!X$191)*Links!AM164*(Nodes!BH164-Links!AM164)</f>
        <v>#DIV/0!</v>
      </c>
      <c r="AN165" s="46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6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6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6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6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6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6" t="e">
        <f>AT164+(ATM_Conf!$C$5/ATM_Conf!$C$8)*(Links!BI164*EXP((-(Links!AE164/Links!BX164)^Links!CM164)/Links!CM164)-Links!AT164)+(ATM_Conf!$C$5/Links!AE$191)*Links!AT164*(Nodes!BN164-Links!AT164)</f>
        <v>#DIV/0!</v>
      </c>
      <c r="AU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I165" s="56"/>
      <c r="BJ165" s="46"/>
      <c r="BK165" s="46"/>
      <c r="BL165" s="46"/>
      <c r="BM165" s="46"/>
      <c r="BN165" s="46"/>
      <c r="BO165" s="46"/>
      <c r="BP165" s="46"/>
      <c r="BQ165" s="46"/>
      <c r="BR165" s="46"/>
      <c r="BS165" s="46"/>
      <c r="BT165" s="46"/>
      <c r="BU165" s="46"/>
      <c r="BV165" s="46"/>
      <c r="BW165" s="46"/>
      <c r="BX165" s="46"/>
      <c r="BY165" s="56"/>
      <c r="BZ165" s="56"/>
      <c r="CA165" s="56"/>
      <c r="CB165" s="56"/>
      <c r="CC165" s="56"/>
      <c r="CD165" s="56"/>
      <c r="CE165" s="56"/>
      <c r="CF165" s="56"/>
      <c r="CG165" s="56"/>
      <c r="CH165" s="56"/>
      <c r="CI165" s="56"/>
      <c r="CJ165" s="56"/>
      <c r="CK165" s="56"/>
      <c r="CL165" s="56"/>
      <c r="CM165" s="56"/>
      <c r="CN165" s="46">
        <f t="shared" si="86"/>
        <v>0</v>
      </c>
      <c r="CO165" s="46">
        <f t="shared" si="86"/>
        <v>0</v>
      </c>
      <c r="CP165" s="46">
        <f t="shared" si="86"/>
        <v>0</v>
      </c>
      <c r="CQ165" s="46">
        <f t="shared" si="86"/>
        <v>0</v>
      </c>
      <c r="CR165" s="46">
        <f t="shared" si="86"/>
        <v>0</v>
      </c>
      <c r="CS165" s="46">
        <f t="shared" si="86"/>
        <v>0</v>
      </c>
      <c r="CT165" s="46">
        <f t="shared" si="86"/>
        <v>0</v>
      </c>
      <c r="CU165" s="46">
        <f t="shared" si="86"/>
        <v>0</v>
      </c>
      <c r="CV165" s="46">
        <f t="shared" si="86"/>
        <v>0</v>
      </c>
      <c r="CW165" s="46">
        <f t="shared" si="86"/>
        <v>0</v>
      </c>
      <c r="CX165" s="46">
        <f t="shared" si="86"/>
        <v>0</v>
      </c>
      <c r="CY165" s="46">
        <f t="shared" si="86"/>
        <v>0</v>
      </c>
      <c r="CZ165" s="46">
        <f t="shared" si="86"/>
        <v>0</v>
      </c>
      <c r="DA165" s="46">
        <f t="shared" si="86"/>
        <v>0</v>
      </c>
      <c r="DB165" s="46">
        <f t="shared" si="86"/>
        <v>0</v>
      </c>
      <c r="DC165" s="54"/>
      <c r="DD165" s="54"/>
      <c r="DE165" s="54"/>
      <c r="DF165" s="54"/>
      <c r="DG165" s="54"/>
      <c r="DH165" s="54"/>
      <c r="DI165" s="54"/>
      <c r="DJ165" s="54"/>
      <c r="DK165" s="54"/>
      <c r="DL165" s="54"/>
      <c r="DM165" s="54"/>
      <c r="DN165" s="54"/>
      <c r="DO165" s="54"/>
      <c r="DP165" s="54"/>
      <c r="DQ165" s="54"/>
    </row>
    <row r="166" spans="1:121" ht="14.25" x14ac:dyDescent="0.15">
      <c r="A166" s="49">
        <v>164</v>
      </c>
      <c r="B166" s="46" t="e">
        <f t="shared" si="63"/>
        <v>#DIV/0!</v>
      </c>
      <c r="C166" s="46" t="e">
        <f t="shared" si="64"/>
        <v>#DIV/0!</v>
      </c>
      <c r="D166" s="46" t="e">
        <f t="shared" si="65"/>
        <v>#DIV/0!</v>
      </c>
      <c r="E166" s="46" t="e">
        <f t="shared" si="66"/>
        <v>#DIV/0!</v>
      </c>
      <c r="F166" s="46" t="e">
        <f t="shared" si="67"/>
        <v>#DIV/0!</v>
      </c>
      <c r="G166" s="46" t="e">
        <f t="shared" si="68"/>
        <v>#DIV/0!</v>
      </c>
      <c r="H166" s="46" t="e">
        <f t="shared" si="69"/>
        <v>#DIV/0!</v>
      </c>
      <c r="I166" s="46" t="e">
        <f t="shared" si="70"/>
        <v>#DIV/0!</v>
      </c>
      <c r="J166" s="46" t="e">
        <f t="shared" si="71"/>
        <v>#DIV/0!</v>
      </c>
      <c r="K166" s="46" t="e">
        <f t="shared" si="72"/>
        <v>#DIV/0!</v>
      </c>
      <c r="L166" s="46" t="e">
        <f t="shared" si="73"/>
        <v>#DIV/0!</v>
      </c>
      <c r="M166" s="46" t="e">
        <f t="shared" si="74"/>
        <v>#DIV/0!</v>
      </c>
      <c r="N166" s="46" t="e">
        <f t="shared" si="75"/>
        <v>#DIV/0!</v>
      </c>
      <c r="O166" s="46" t="e">
        <f t="shared" si="76"/>
        <v>#DIV/0!</v>
      </c>
      <c r="P166" s="46" t="e">
        <f t="shared" si="77"/>
        <v>#DIV/0!</v>
      </c>
      <c r="Q166" s="56" t="e">
        <f>Q165+ATM_Conf!$C$5*(B165)/(Links!B$191*Links!Q$191)</f>
        <v>#DIV/0!</v>
      </c>
      <c r="R166" s="56" t="e">
        <f>R165+ATM_Conf!$C$5*(C165-B165)/(Links!C$191*Links!R$191)</f>
        <v>#DIV/0!</v>
      </c>
      <c r="S166" s="56" t="e">
        <f>S165+ATM_Conf!$C$5*(D165-C165)/(Links!D$191*Links!S$191)</f>
        <v>#DIV/0!</v>
      </c>
      <c r="T166" s="56" t="e">
        <f>T165+ATM_Conf!$C$5*(E165-D165)/(Links!E$191*Links!T$191)</f>
        <v>#DIV/0!</v>
      </c>
      <c r="U166" s="56" t="e">
        <f>U165+ATM_Conf!$C$5*(F165-E165)/(Links!F$191*Links!U$191)</f>
        <v>#DIV/0!</v>
      </c>
      <c r="V166" s="56" t="e">
        <f>V165+ATM_Conf!$C$5*(G165-F165)/(Links!G$191*Links!V$191)</f>
        <v>#DIV/0!</v>
      </c>
      <c r="W166" s="56" t="e">
        <f>W165+ATM_Conf!$C$5*(H165-G165)/(Links!H$191*Links!W$191)</f>
        <v>#DIV/0!</v>
      </c>
      <c r="X166" s="56" t="e">
        <f>X165+ATM_Conf!$C$5*(I165-H165)/(Links!I$191*Links!X$191)</f>
        <v>#DIV/0!</v>
      </c>
      <c r="Y166" s="56" t="e">
        <f>Y165+ATM_Conf!$C$5*(J165)/(Links!J$191*Links!Y$191)</f>
        <v>#DIV/0!</v>
      </c>
      <c r="Z166" s="56" t="e">
        <f>Z165+ATM_Conf!$C$5*(K165-J165)/(Links!K$191*Links!Z$191)</f>
        <v>#DIV/0!</v>
      </c>
      <c r="AA166" s="56" t="e">
        <f>AA165+ATM_Conf!$C$5*(L165-K165)/(Links!L$191*Links!AA$191)</f>
        <v>#DIV/0!</v>
      </c>
      <c r="AB166" s="56" t="e">
        <f>AB165+ATM_Conf!$C$5*(M165-L165)/(Links!M$191*Links!AB$191)</f>
        <v>#DIV/0!</v>
      </c>
      <c r="AC166" s="56" t="e">
        <f>AC165+ATM_Conf!$C$5*(N165-M165)/(Links!N$191*Links!AC$191)</f>
        <v>#DIV/0!</v>
      </c>
      <c r="AD166" s="56" t="e">
        <f>AD165+ATM_Conf!$C$5*(O165-N165)/(Links!O$191*Links!AD$191)</f>
        <v>#DIV/0!</v>
      </c>
      <c r="AE166" s="56" t="e">
        <f>AE165+ATM_Conf!$C$5*(P165-O165)/(Links!P$191*Links!AE$191)</f>
        <v>#DIV/0!</v>
      </c>
      <c r="AF166" s="46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6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6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6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6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6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6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6" t="e">
        <f>AM165+(ATM_Conf!$C$5/ATM_Conf!$C$8)*(Links!BB165*EXP((-(Links!X165/Links!BQ165)^Links!CF165)/Links!CF165)-Links!AM165)+(ATM_Conf!$C$5/Links!X$191)*Links!AM165*(Nodes!BH165-Links!AM165)</f>
        <v>#DIV/0!</v>
      </c>
      <c r="AN166" s="46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6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6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6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6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6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6" t="e">
        <f>AT165+(ATM_Conf!$C$5/ATM_Conf!$C$8)*(Links!BI165*EXP((-(Links!AE165/Links!BX165)^Links!CM165)/Links!CM165)-Links!AT165)+(ATM_Conf!$C$5/Links!AE$191)*Links!AT165*(Nodes!BN165-Links!AT165)</f>
        <v>#DIV/0!</v>
      </c>
      <c r="AU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I166" s="56"/>
      <c r="BJ166" s="46"/>
      <c r="BK166" s="46"/>
      <c r="BL166" s="46"/>
      <c r="BM166" s="46"/>
      <c r="BN166" s="46"/>
      <c r="BO166" s="46"/>
      <c r="BP166" s="46"/>
      <c r="BQ166" s="46"/>
      <c r="BR166" s="46"/>
      <c r="BS166" s="46"/>
      <c r="BT166" s="46"/>
      <c r="BU166" s="46"/>
      <c r="BV166" s="46"/>
      <c r="BW166" s="46"/>
      <c r="BX166" s="46"/>
      <c r="BY166" s="56"/>
      <c r="BZ166" s="56"/>
      <c r="CA166" s="56"/>
      <c r="CB166" s="56"/>
      <c r="CC166" s="56"/>
      <c r="CD166" s="56"/>
      <c r="CE166" s="56"/>
      <c r="CF166" s="56"/>
      <c r="CG166" s="56"/>
      <c r="CH166" s="56"/>
      <c r="CI166" s="56"/>
      <c r="CJ166" s="56"/>
      <c r="CK166" s="56"/>
      <c r="CL166" s="56"/>
      <c r="CM166" s="56"/>
      <c r="CN166" s="46">
        <f t="shared" si="86"/>
        <v>0</v>
      </c>
      <c r="CO166" s="46">
        <f t="shared" si="86"/>
        <v>0</v>
      </c>
      <c r="CP166" s="46">
        <f t="shared" si="86"/>
        <v>0</v>
      </c>
      <c r="CQ166" s="46">
        <f t="shared" si="86"/>
        <v>0</v>
      </c>
      <c r="CR166" s="46">
        <f t="shared" si="86"/>
        <v>0</v>
      </c>
      <c r="CS166" s="46">
        <f t="shared" si="86"/>
        <v>0</v>
      </c>
      <c r="CT166" s="46">
        <f t="shared" si="86"/>
        <v>0</v>
      </c>
      <c r="CU166" s="46">
        <f t="shared" si="86"/>
        <v>0</v>
      </c>
      <c r="CV166" s="46">
        <f t="shared" si="86"/>
        <v>0</v>
      </c>
      <c r="CW166" s="46">
        <f t="shared" si="86"/>
        <v>0</v>
      </c>
      <c r="CX166" s="46">
        <f t="shared" si="86"/>
        <v>0</v>
      </c>
      <c r="CY166" s="46">
        <f t="shared" si="86"/>
        <v>0</v>
      </c>
      <c r="CZ166" s="46">
        <f t="shared" si="86"/>
        <v>0</v>
      </c>
      <c r="DA166" s="46">
        <f t="shared" si="86"/>
        <v>0</v>
      </c>
      <c r="DB166" s="46">
        <f t="shared" si="86"/>
        <v>0</v>
      </c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</row>
    <row r="167" spans="1:121" ht="14.25" x14ac:dyDescent="0.15">
      <c r="A167" s="49">
        <v>165</v>
      </c>
      <c r="B167" s="46" t="e">
        <f t="shared" si="63"/>
        <v>#DIV/0!</v>
      </c>
      <c r="C167" s="46" t="e">
        <f t="shared" si="64"/>
        <v>#DIV/0!</v>
      </c>
      <c r="D167" s="46" t="e">
        <f t="shared" si="65"/>
        <v>#DIV/0!</v>
      </c>
      <c r="E167" s="46" t="e">
        <f t="shared" si="66"/>
        <v>#DIV/0!</v>
      </c>
      <c r="F167" s="46" t="e">
        <f t="shared" si="67"/>
        <v>#DIV/0!</v>
      </c>
      <c r="G167" s="46" t="e">
        <f t="shared" si="68"/>
        <v>#DIV/0!</v>
      </c>
      <c r="H167" s="46" t="e">
        <f t="shared" si="69"/>
        <v>#DIV/0!</v>
      </c>
      <c r="I167" s="46" t="e">
        <f t="shared" si="70"/>
        <v>#DIV/0!</v>
      </c>
      <c r="J167" s="46" t="e">
        <f t="shared" si="71"/>
        <v>#DIV/0!</v>
      </c>
      <c r="K167" s="46" t="e">
        <f t="shared" si="72"/>
        <v>#DIV/0!</v>
      </c>
      <c r="L167" s="46" t="e">
        <f t="shared" si="73"/>
        <v>#DIV/0!</v>
      </c>
      <c r="M167" s="46" t="e">
        <f t="shared" si="74"/>
        <v>#DIV/0!</v>
      </c>
      <c r="N167" s="46" t="e">
        <f t="shared" si="75"/>
        <v>#DIV/0!</v>
      </c>
      <c r="O167" s="46" t="e">
        <f t="shared" si="76"/>
        <v>#DIV/0!</v>
      </c>
      <c r="P167" s="46" t="e">
        <f t="shared" si="77"/>
        <v>#DIV/0!</v>
      </c>
      <c r="Q167" s="56" t="e">
        <f>Q166+ATM_Conf!$C$5*(B166)/(Links!B$191*Links!Q$191)</f>
        <v>#DIV/0!</v>
      </c>
      <c r="R167" s="56" t="e">
        <f>R166+ATM_Conf!$C$5*(C166-B166)/(Links!C$191*Links!R$191)</f>
        <v>#DIV/0!</v>
      </c>
      <c r="S167" s="56" t="e">
        <f>S166+ATM_Conf!$C$5*(D166-C166)/(Links!D$191*Links!S$191)</f>
        <v>#DIV/0!</v>
      </c>
      <c r="T167" s="56" t="e">
        <f>T166+ATM_Conf!$C$5*(E166-D166)/(Links!E$191*Links!T$191)</f>
        <v>#DIV/0!</v>
      </c>
      <c r="U167" s="56" t="e">
        <f>U166+ATM_Conf!$C$5*(F166-E166)/(Links!F$191*Links!U$191)</f>
        <v>#DIV/0!</v>
      </c>
      <c r="V167" s="56" t="e">
        <f>V166+ATM_Conf!$C$5*(G166-F166)/(Links!G$191*Links!V$191)</f>
        <v>#DIV/0!</v>
      </c>
      <c r="W167" s="56" t="e">
        <f>W166+ATM_Conf!$C$5*(H166-G166)/(Links!H$191*Links!W$191)</f>
        <v>#DIV/0!</v>
      </c>
      <c r="X167" s="56" t="e">
        <f>X166+ATM_Conf!$C$5*(I166-H166)/(Links!I$191*Links!X$191)</f>
        <v>#DIV/0!</v>
      </c>
      <c r="Y167" s="56" t="e">
        <f>Y166+ATM_Conf!$C$5*(J166)/(Links!J$191*Links!Y$191)</f>
        <v>#DIV/0!</v>
      </c>
      <c r="Z167" s="56" t="e">
        <f>Z166+ATM_Conf!$C$5*(K166-J166)/(Links!K$191*Links!Z$191)</f>
        <v>#DIV/0!</v>
      </c>
      <c r="AA167" s="56" t="e">
        <f>AA166+ATM_Conf!$C$5*(L166-K166)/(Links!L$191*Links!AA$191)</f>
        <v>#DIV/0!</v>
      </c>
      <c r="AB167" s="56" t="e">
        <f>AB166+ATM_Conf!$C$5*(M166-L166)/(Links!M$191*Links!AB$191)</f>
        <v>#DIV/0!</v>
      </c>
      <c r="AC167" s="56" t="e">
        <f>AC166+ATM_Conf!$C$5*(N166-M166)/(Links!N$191*Links!AC$191)</f>
        <v>#DIV/0!</v>
      </c>
      <c r="AD167" s="56" t="e">
        <f>AD166+ATM_Conf!$C$5*(O166-N166)/(Links!O$191*Links!AD$191)</f>
        <v>#DIV/0!</v>
      </c>
      <c r="AE167" s="56" t="e">
        <f>AE166+ATM_Conf!$C$5*(P166-O166)/(Links!P$191*Links!AE$191)</f>
        <v>#DIV/0!</v>
      </c>
      <c r="AF167" s="46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6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6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6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6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6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6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6" t="e">
        <f>AM166+(ATM_Conf!$C$5/ATM_Conf!$C$8)*(Links!BB166*EXP((-(Links!X166/Links!BQ166)^Links!CF166)/Links!CF166)-Links!AM166)+(ATM_Conf!$C$5/Links!X$191)*Links!AM166*(Nodes!BH166-Links!AM166)</f>
        <v>#DIV/0!</v>
      </c>
      <c r="AN167" s="46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6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6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6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6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6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6" t="e">
        <f>AT166+(ATM_Conf!$C$5/ATM_Conf!$C$8)*(Links!BI166*EXP((-(Links!AE166/Links!BX166)^Links!CM166)/Links!CM166)-Links!AT166)+(ATM_Conf!$C$5/Links!AE$191)*Links!AT166*(Nodes!BN166-Links!AT166)</f>
        <v>#DIV/0!</v>
      </c>
      <c r="AU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I167" s="5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56"/>
      <c r="BZ167" s="56"/>
      <c r="CA167" s="56"/>
      <c r="CB167" s="56"/>
      <c r="CC167" s="56"/>
      <c r="CD167" s="56"/>
      <c r="CE167" s="56"/>
      <c r="CF167" s="56"/>
      <c r="CG167" s="56"/>
      <c r="CH167" s="56"/>
      <c r="CI167" s="56"/>
      <c r="CJ167" s="56"/>
      <c r="CK167" s="56"/>
      <c r="CL167" s="56"/>
      <c r="CM167" s="56"/>
      <c r="CN167" s="46">
        <f t="shared" si="86"/>
        <v>0</v>
      </c>
      <c r="CO167" s="46">
        <f t="shared" si="86"/>
        <v>0</v>
      </c>
      <c r="CP167" s="46">
        <f t="shared" si="86"/>
        <v>0</v>
      </c>
      <c r="CQ167" s="46">
        <f t="shared" si="86"/>
        <v>0</v>
      </c>
      <c r="CR167" s="46">
        <f t="shared" si="86"/>
        <v>0</v>
      </c>
      <c r="CS167" s="46">
        <f t="shared" si="86"/>
        <v>0</v>
      </c>
      <c r="CT167" s="46">
        <f t="shared" si="86"/>
        <v>0</v>
      </c>
      <c r="CU167" s="46">
        <f t="shared" si="86"/>
        <v>0</v>
      </c>
      <c r="CV167" s="46">
        <f t="shared" si="86"/>
        <v>0</v>
      </c>
      <c r="CW167" s="46">
        <f t="shared" si="86"/>
        <v>0</v>
      </c>
      <c r="CX167" s="46">
        <f t="shared" si="86"/>
        <v>0</v>
      </c>
      <c r="CY167" s="46">
        <f t="shared" si="86"/>
        <v>0</v>
      </c>
      <c r="CZ167" s="46">
        <f t="shared" si="86"/>
        <v>0</v>
      </c>
      <c r="DA167" s="46">
        <f t="shared" si="86"/>
        <v>0</v>
      </c>
      <c r="DB167" s="46">
        <f t="shared" si="86"/>
        <v>0</v>
      </c>
      <c r="DC167" s="54"/>
      <c r="DD167" s="54"/>
      <c r="DE167" s="54"/>
      <c r="DF167" s="54"/>
      <c r="DG167" s="54"/>
      <c r="DH167" s="54"/>
      <c r="DI167" s="54"/>
      <c r="DJ167" s="54"/>
      <c r="DK167" s="54"/>
      <c r="DL167" s="54"/>
      <c r="DM167" s="54"/>
      <c r="DN167" s="54"/>
      <c r="DO167" s="54"/>
      <c r="DP167" s="54"/>
      <c r="DQ167" s="54"/>
    </row>
    <row r="168" spans="1:121" ht="14.25" x14ac:dyDescent="0.15">
      <c r="A168" s="49">
        <v>166</v>
      </c>
      <c r="B168" s="46" t="e">
        <f t="shared" si="63"/>
        <v>#DIV/0!</v>
      </c>
      <c r="C168" s="46" t="e">
        <f t="shared" si="64"/>
        <v>#DIV/0!</v>
      </c>
      <c r="D168" s="46" t="e">
        <f t="shared" si="65"/>
        <v>#DIV/0!</v>
      </c>
      <c r="E168" s="46" t="e">
        <f t="shared" si="66"/>
        <v>#DIV/0!</v>
      </c>
      <c r="F168" s="46" t="e">
        <f t="shared" si="67"/>
        <v>#DIV/0!</v>
      </c>
      <c r="G168" s="46" t="e">
        <f t="shared" si="68"/>
        <v>#DIV/0!</v>
      </c>
      <c r="H168" s="46" t="e">
        <f t="shared" si="69"/>
        <v>#DIV/0!</v>
      </c>
      <c r="I168" s="46" t="e">
        <f t="shared" si="70"/>
        <v>#DIV/0!</v>
      </c>
      <c r="J168" s="46" t="e">
        <f t="shared" si="71"/>
        <v>#DIV/0!</v>
      </c>
      <c r="K168" s="46" t="e">
        <f t="shared" si="72"/>
        <v>#DIV/0!</v>
      </c>
      <c r="L168" s="46" t="e">
        <f t="shared" si="73"/>
        <v>#DIV/0!</v>
      </c>
      <c r="M168" s="46" t="e">
        <f t="shared" si="74"/>
        <v>#DIV/0!</v>
      </c>
      <c r="N168" s="46" t="e">
        <f t="shared" si="75"/>
        <v>#DIV/0!</v>
      </c>
      <c r="O168" s="46" t="e">
        <f t="shared" si="76"/>
        <v>#DIV/0!</v>
      </c>
      <c r="P168" s="46" t="e">
        <f t="shared" si="77"/>
        <v>#DIV/0!</v>
      </c>
      <c r="Q168" s="56" t="e">
        <f>Q167+ATM_Conf!$C$5*(B167)/(Links!B$191*Links!Q$191)</f>
        <v>#DIV/0!</v>
      </c>
      <c r="R168" s="56" t="e">
        <f>R167+ATM_Conf!$C$5*(C167-B167)/(Links!C$191*Links!R$191)</f>
        <v>#DIV/0!</v>
      </c>
      <c r="S168" s="56" t="e">
        <f>S167+ATM_Conf!$C$5*(D167-C167)/(Links!D$191*Links!S$191)</f>
        <v>#DIV/0!</v>
      </c>
      <c r="T168" s="56" t="e">
        <f>T167+ATM_Conf!$C$5*(E167-D167)/(Links!E$191*Links!T$191)</f>
        <v>#DIV/0!</v>
      </c>
      <c r="U168" s="56" t="e">
        <f>U167+ATM_Conf!$C$5*(F167-E167)/(Links!F$191*Links!U$191)</f>
        <v>#DIV/0!</v>
      </c>
      <c r="V168" s="56" t="e">
        <f>V167+ATM_Conf!$C$5*(G167-F167)/(Links!G$191*Links!V$191)</f>
        <v>#DIV/0!</v>
      </c>
      <c r="W168" s="56" t="e">
        <f>W167+ATM_Conf!$C$5*(H167-G167)/(Links!H$191*Links!W$191)</f>
        <v>#DIV/0!</v>
      </c>
      <c r="X168" s="56" t="e">
        <f>X167+ATM_Conf!$C$5*(I167-H167)/(Links!I$191*Links!X$191)</f>
        <v>#DIV/0!</v>
      </c>
      <c r="Y168" s="56" t="e">
        <f>Y167+ATM_Conf!$C$5*(J167)/(Links!J$191*Links!Y$191)</f>
        <v>#DIV/0!</v>
      </c>
      <c r="Z168" s="56" t="e">
        <f>Z167+ATM_Conf!$C$5*(K167-J167)/(Links!K$191*Links!Z$191)</f>
        <v>#DIV/0!</v>
      </c>
      <c r="AA168" s="56" t="e">
        <f>AA167+ATM_Conf!$C$5*(L167-K167)/(Links!L$191*Links!AA$191)</f>
        <v>#DIV/0!</v>
      </c>
      <c r="AB168" s="56" t="e">
        <f>AB167+ATM_Conf!$C$5*(M167-L167)/(Links!M$191*Links!AB$191)</f>
        <v>#DIV/0!</v>
      </c>
      <c r="AC168" s="56" t="e">
        <f>AC167+ATM_Conf!$C$5*(N167-M167)/(Links!N$191*Links!AC$191)</f>
        <v>#DIV/0!</v>
      </c>
      <c r="AD168" s="56" t="e">
        <f>AD167+ATM_Conf!$C$5*(O167-N167)/(Links!O$191*Links!AD$191)</f>
        <v>#DIV/0!</v>
      </c>
      <c r="AE168" s="56" t="e">
        <f>AE167+ATM_Conf!$C$5*(P167-O167)/(Links!P$191*Links!AE$191)</f>
        <v>#DIV/0!</v>
      </c>
      <c r="AF168" s="46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6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6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6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6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6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6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6" t="e">
        <f>AM167+(ATM_Conf!$C$5/ATM_Conf!$C$8)*(Links!BB167*EXP((-(Links!X167/Links!BQ167)^Links!CF167)/Links!CF167)-Links!AM167)+(ATM_Conf!$C$5/Links!X$191)*Links!AM167*(Nodes!BH167-Links!AM167)</f>
        <v>#DIV/0!</v>
      </c>
      <c r="AN168" s="46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6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6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6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6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6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6" t="e">
        <f>AT167+(ATM_Conf!$C$5/ATM_Conf!$C$8)*(Links!BI167*EXP((-(Links!AE167/Links!BX167)^Links!CM167)/Links!CM167)-Links!AT167)+(ATM_Conf!$C$5/Links!AE$191)*Links!AT167*(Nodes!BN167-Links!AT167)</f>
        <v>#DIV/0!</v>
      </c>
      <c r="AU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I168" s="56"/>
      <c r="BJ168" s="46"/>
      <c r="BK168" s="46"/>
      <c r="BL168" s="46"/>
      <c r="BM168" s="46"/>
      <c r="BN168" s="46"/>
      <c r="BO168" s="46"/>
      <c r="BP168" s="46"/>
      <c r="BQ168" s="46"/>
      <c r="BR168" s="46"/>
      <c r="BS168" s="46"/>
      <c r="BT168" s="46"/>
      <c r="BU168" s="46"/>
      <c r="BV168" s="46"/>
      <c r="BW168" s="46"/>
      <c r="BX168" s="46"/>
      <c r="BY168" s="56"/>
      <c r="BZ168" s="56"/>
      <c r="CA168" s="56"/>
      <c r="CB168" s="56"/>
      <c r="CC168" s="56"/>
      <c r="CD168" s="56"/>
      <c r="CE168" s="56"/>
      <c r="CF168" s="56"/>
      <c r="CG168" s="56"/>
      <c r="CH168" s="56"/>
      <c r="CI168" s="56"/>
      <c r="CJ168" s="56"/>
      <c r="CK168" s="56"/>
      <c r="CL168" s="56"/>
      <c r="CM168" s="56"/>
      <c r="CN168" s="46">
        <f t="shared" si="86"/>
        <v>0</v>
      </c>
      <c r="CO168" s="46">
        <f t="shared" si="86"/>
        <v>0</v>
      </c>
      <c r="CP168" s="46">
        <f t="shared" si="86"/>
        <v>0</v>
      </c>
      <c r="CQ168" s="46">
        <f t="shared" si="86"/>
        <v>0</v>
      </c>
      <c r="CR168" s="46">
        <f t="shared" si="86"/>
        <v>0</v>
      </c>
      <c r="CS168" s="46">
        <f t="shared" si="86"/>
        <v>0</v>
      </c>
      <c r="CT168" s="46">
        <f t="shared" si="86"/>
        <v>0</v>
      </c>
      <c r="CU168" s="46">
        <f t="shared" si="86"/>
        <v>0</v>
      </c>
      <c r="CV168" s="46">
        <f t="shared" si="86"/>
        <v>0</v>
      </c>
      <c r="CW168" s="46">
        <f t="shared" si="86"/>
        <v>0</v>
      </c>
      <c r="CX168" s="46">
        <f t="shared" si="86"/>
        <v>0</v>
      </c>
      <c r="CY168" s="46">
        <f t="shared" si="86"/>
        <v>0</v>
      </c>
      <c r="CZ168" s="46">
        <f t="shared" si="86"/>
        <v>0</v>
      </c>
      <c r="DA168" s="46">
        <f t="shared" si="86"/>
        <v>0</v>
      </c>
      <c r="DB168" s="46">
        <f t="shared" si="86"/>
        <v>0</v>
      </c>
      <c r="DC168" s="54"/>
      <c r="DD168" s="54"/>
      <c r="DE168" s="54"/>
      <c r="DF168" s="54"/>
      <c r="DG168" s="54"/>
      <c r="DH168" s="54"/>
      <c r="DI168" s="54"/>
      <c r="DJ168" s="54"/>
      <c r="DK168" s="54"/>
      <c r="DL168" s="54"/>
      <c r="DM168" s="54"/>
      <c r="DN168" s="54"/>
      <c r="DO168" s="54"/>
      <c r="DP168" s="54"/>
      <c r="DQ168" s="54"/>
    </row>
    <row r="169" spans="1:121" ht="14.25" x14ac:dyDescent="0.15">
      <c r="A169" s="49">
        <v>167</v>
      </c>
      <c r="B169" s="46" t="e">
        <f t="shared" si="63"/>
        <v>#DIV/0!</v>
      </c>
      <c r="C169" s="46" t="e">
        <f t="shared" si="64"/>
        <v>#DIV/0!</v>
      </c>
      <c r="D169" s="46" t="e">
        <f t="shared" si="65"/>
        <v>#DIV/0!</v>
      </c>
      <c r="E169" s="46" t="e">
        <f t="shared" si="66"/>
        <v>#DIV/0!</v>
      </c>
      <c r="F169" s="46" t="e">
        <f t="shared" si="67"/>
        <v>#DIV/0!</v>
      </c>
      <c r="G169" s="46" t="e">
        <f t="shared" si="68"/>
        <v>#DIV/0!</v>
      </c>
      <c r="H169" s="46" t="e">
        <f t="shared" si="69"/>
        <v>#DIV/0!</v>
      </c>
      <c r="I169" s="46" t="e">
        <f t="shared" si="70"/>
        <v>#DIV/0!</v>
      </c>
      <c r="J169" s="46" t="e">
        <f t="shared" si="71"/>
        <v>#DIV/0!</v>
      </c>
      <c r="K169" s="46" t="e">
        <f t="shared" si="72"/>
        <v>#DIV/0!</v>
      </c>
      <c r="L169" s="46" t="e">
        <f t="shared" si="73"/>
        <v>#DIV/0!</v>
      </c>
      <c r="M169" s="46" t="e">
        <f t="shared" si="74"/>
        <v>#DIV/0!</v>
      </c>
      <c r="N169" s="46" t="e">
        <f t="shared" si="75"/>
        <v>#DIV/0!</v>
      </c>
      <c r="O169" s="46" t="e">
        <f t="shared" si="76"/>
        <v>#DIV/0!</v>
      </c>
      <c r="P169" s="46" t="e">
        <f t="shared" si="77"/>
        <v>#DIV/0!</v>
      </c>
      <c r="Q169" s="56" t="e">
        <f>Q168+ATM_Conf!$C$5*(B168)/(Links!B$191*Links!Q$191)</f>
        <v>#DIV/0!</v>
      </c>
      <c r="R169" s="56" t="e">
        <f>R168+ATM_Conf!$C$5*(C168-B168)/(Links!C$191*Links!R$191)</f>
        <v>#DIV/0!</v>
      </c>
      <c r="S169" s="56" t="e">
        <f>S168+ATM_Conf!$C$5*(D168-C168)/(Links!D$191*Links!S$191)</f>
        <v>#DIV/0!</v>
      </c>
      <c r="T169" s="56" t="e">
        <f>T168+ATM_Conf!$C$5*(E168-D168)/(Links!E$191*Links!T$191)</f>
        <v>#DIV/0!</v>
      </c>
      <c r="U169" s="56" t="e">
        <f>U168+ATM_Conf!$C$5*(F168-E168)/(Links!F$191*Links!U$191)</f>
        <v>#DIV/0!</v>
      </c>
      <c r="V169" s="56" t="e">
        <f>V168+ATM_Conf!$C$5*(G168-F168)/(Links!G$191*Links!V$191)</f>
        <v>#DIV/0!</v>
      </c>
      <c r="W169" s="56" t="e">
        <f>W168+ATM_Conf!$C$5*(H168-G168)/(Links!H$191*Links!W$191)</f>
        <v>#DIV/0!</v>
      </c>
      <c r="X169" s="56" t="e">
        <f>X168+ATM_Conf!$C$5*(I168-H168)/(Links!I$191*Links!X$191)</f>
        <v>#DIV/0!</v>
      </c>
      <c r="Y169" s="56" t="e">
        <f>Y168+ATM_Conf!$C$5*(J168)/(Links!J$191*Links!Y$191)</f>
        <v>#DIV/0!</v>
      </c>
      <c r="Z169" s="56" t="e">
        <f>Z168+ATM_Conf!$C$5*(K168-J168)/(Links!K$191*Links!Z$191)</f>
        <v>#DIV/0!</v>
      </c>
      <c r="AA169" s="56" t="e">
        <f>AA168+ATM_Conf!$C$5*(L168-K168)/(Links!L$191*Links!AA$191)</f>
        <v>#DIV/0!</v>
      </c>
      <c r="AB169" s="56" t="e">
        <f>AB168+ATM_Conf!$C$5*(M168-L168)/(Links!M$191*Links!AB$191)</f>
        <v>#DIV/0!</v>
      </c>
      <c r="AC169" s="56" t="e">
        <f>AC168+ATM_Conf!$C$5*(N168-M168)/(Links!N$191*Links!AC$191)</f>
        <v>#DIV/0!</v>
      </c>
      <c r="AD169" s="56" t="e">
        <f>AD168+ATM_Conf!$C$5*(O168-N168)/(Links!O$191*Links!AD$191)</f>
        <v>#DIV/0!</v>
      </c>
      <c r="AE169" s="56" t="e">
        <f>AE168+ATM_Conf!$C$5*(P168-O168)/(Links!P$191*Links!AE$191)</f>
        <v>#DIV/0!</v>
      </c>
      <c r="AF169" s="46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6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6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6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6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6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6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6" t="e">
        <f>AM168+(ATM_Conf!$C$5/ATM_Conf!$C$8)*(Links!BB168*EXP((-(Links!X168/Links!BQ168)^Links!CF168)/Links!CF168)-Links!AM168)+(ATM_Conf!$C$5/Links!X$191)*Links!AM168*(Nodes!BH168-Links!AM168)</f>
        <v>#DIV/0!</v>
      </c>
      <c r="AN169" s="46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6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6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6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6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6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6" t="e">
        <f>AT168+(ATM_Conf!$C$5/ATM_Conf!$C$8)*(Links!BI168*EXP((-(Links!AE168/Links!BX168)^Links!CM168)/Links!CM168)-Links!AT168)+(ATM_Conf!$C$5/Links!AE$191)*Links!AT168*(Nodes!BN168-Links!AT168)</f>
        <v>#DIV/0!</v>
      </c>
      <c r="AU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I169" s="5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56"/>
      <c r="BZ169" s="56"/>
      <c r="CA169" s="56"/>
      <c r="CB169" s="56"/>
      <c r="CC169" s="56"/>
      <c r="CD169" s="56"/>
      <c r="CE169" s="56"/>
      <c r="CF169" s="56"/>
      <c r="CG169" s="56"/>
      <c r="CH169" s="56"/>
      <c r="CI169" s="56"/>
      <c r="CJ169" s="56"/>
      <c r="CK169" s="56"/>
      <c r="CL169" s="56"/>
      <c r="CM169" s="56"/>
      <c r="CN169" s="46">
        <f t="shared" si="86"/>
        <v>0</v>
      </c>
      <c r="CO169" s="46">
        <f t="shared" si="86"/>
        <v>0</v>
      </c>
      <c r="CP169" s="46">
        <f t="shared" si="86"/>
        <v>0</v>
      </c>
      <c r="CQ169" s="46">
        <f t="shared" si="86"/>
        <v>0</v>
      </c>
      <c r="CR169" s="46">
        <f t="shared" si="86"/>
        <v>0</v>
      </c>
      <c r="CS169" s="46">
        <f t="shared" si="86"/>
        <v>0</v>
      </c>
      <c r="CT169" s="46">
        <f t="shared" si="86"/>
        <v>0</v>
      </c>
      <c r="CU169" s="46">
        <f t="shared" si="86"/>
        <v>0</v>
      </c>
      <c r="CV169" s="46">
        <f t="shared" si="86"/>
        <v>0</v>
      </c>
      <c r="CW169" s="46">
        <f t="shared" si="86"/>
        <v>0</v>
      </c>
      <c r="CX169" s="46">
        <f t="shared" si="86"/>
        <v>0</v>
      </c>
      <c r="CY169" s="46">
        <f t="shared" si="86"/>
        <v>0</v>
      </c>
      <c r="CZ169" s="46">
        <f t="shared" si="86"/>
        <v>0</v>
      </c>
      <c r="DA169" s="46">
        <f t="shared" si="86"/>
        <v>0</v>
      </c>
      <c r="DB169" s="46">
        <f t="shared" si="86"/>
        <v>0</v>
      </c>
      <c r="DC169" s="54"/>
      <c r="DD169" s="54"/>
      <c r="DE169" s="54"/>
      <c r="DF169" s="54"/>
      <c r="DG169" s="54"/>
      <c r="DH169" s="54"/>
      <c r="DI169" s="54"/>
      <c r="DJ169" s="54"/>
      <c r="DK169" s="54"/>
      <c r="DL169" s="54"/>
      <c r="DM169" s="54"/>
      <c r="DN169" s="54"/>
      <c r="DO169" s="54"/>
      <c r="DP169" s="54"/>
      <c r="DQ169" s="54"/>
    </row>
    <row r="170" spans="1:121" ht="14.25" x14ac:dyDescent="0.15">
      <c r="A170" s="49">
        <v>168</v>
      </c>
      <c r="B170" s="46" t="e">
        <f t="shared" si="63"/>
        <v>#DIV/0!</v>
      </c>
      <c r="C170" s="46" t="e">
        <f t="shared" si="64"/>
        <v>#DIV/0!</v>
      </c>
      <c r="D170" s="46" t="e">
        <f t="shared" si="65"/>
        <v>#DIV/0!</v>
      </c>
      <c r="E170" s="46" t="e">
        <f t="shared" si="66"/>
        <v>#DIV/0!</v>
      </c>
      <c r="F170" s="46" t="e">
        <f t="shared" si="67"/>
        <v>#DIV/0!</v>
      </c>
      <c r="G170" s="46" t="e">
        <f t="shared" si="68"/>
        <v>#DIV/0!</v>
      </c>
      <c r="H170" s="46" t="e">
        <f t="shared" si="69"/>
        <v>#DIV/0!</v>
      </c>
      <c r="I170" s="46" t="e">
        <f t="shared" si="70"/>
        <v>#DIV/0!</v>
      </c>
      <c r="J170" s="46" t="e">
        <f t="shared" si="71"/>
        <v>#DIV/0!</v>
      </c>
      <c r="K170" s="46" t="e">
        <f t="shared" si="72"/>
        <v>#DIV/0!</v>
      </c>
      <c r="L170" s="46" t="e">
        <f t="shared" si="73"/>
        <v>#DIV/0!</v>
      </c>
      <c r="M170" s="46" t="e">
        <f t="shared" si="74"/>
        <v>#DIV/0!</v>
      </c>
      <c r="N170" s="46" t="e">
        <f t="shared" si="75"/>
        <v>#DIV/0!</v>
      </c>
      <c r="O170" s="46" t="e">
        <f t="shared" si="76"/>
        <v>#DIV/0!</v>
      </c>
      <c r="P170" s="46" t="e">
        <f t="shared" si="77"/>
        <v>#DIV/0!</v>
      </c>
      <c r="Q170" s="56" t="e">
        <f>Q169+ATM_Conf!$C$5*(B169)/(Links!B$191*Links!Q$191)</f>
        <v>#DIV/0!</v>
      </c>
      <c r="R170" s="56" t="e">
        <f>R169+ATM_Conf!$C$5*(C169-B169)/(Links!C$191*Links!R$191)</f>
        <v>#DIV/0!</v>
      </c>
      <c r="S170" s="56" t="e">
        <f>S169+ATM_Conf!$C$5*(D169-C169)/(Links!D$191*Links!S$191)</f>
        <v>#DIV/0!</v>
      </c>
      <c r="T170" s="56" t="e">
        <f>T169+ATM_Conf!$C$5*(E169-D169)/(Links!E$191*Links!T$191)</f>
        <v>#DIV/0!</v>
      </c>
      <c r="U170" s="56" t="e">
        <f>U169+ATM_Conf!$C$5*(F169-E169)/(Links!F$191*Links!U$191)</f>
        <v>#DIV/0!</v>
      </c>
      <c r="V170" s="56" t="e">
        <f>V169+ATM_Conf!$C$5*(G169-F169)/(Links!G$191*Links!V$191)</f>
        <v>#DIV/0!</v>
      </c>
      <c r="W170" s="56" t="e">
        <f>W169+ATM_Conf!$C$5*(H169-G169)/(Links!H$191*Links!W$191)</f>
        <v>#DIV/0!</v>
      </c>
      <c r="X170" s="56" t="e">
        <f>X169+ATM_Conf!$C$5*(I169-H169)/(Links!I$191*Links!X$191)</f>
        <v>#DIV/0!</v>
      </c>
      <c r="Y170" s="56" t="e">
        <f>Y169+ATM_Conf!$C$5*(J169)/(Links!J$191*Links!Y$191)</f>
        <v>#DIV/0!</v>
      </c>
      <c r="Z170" s="56" t="e">
        <f>Z169+ATM_Conf!$C$5*(K169-J169)/(Links!K$191*Links!Z$191)</f>
        <v>#DIV/0!</v>
      </c>
      <c r="AA170" s="56" t="e">
        <f>AA169+ATM_Conf!$C$5*(L169-K169)/(Links!L$191*Links!AA$191)</f>
        <v>#DIV/0!</v>
      </c>
      <c r="AB170" s="56" t="e">
        <f>AB169+ATM_Conf!$C$5*(M169-L169)/(Links!M$191*Links!AB$191)</f>
        <v>#DIV/0!</v>
      </c>
      <c r="AC170" s="56" t="e">
        <f>AC169+ATM_Conf!$C$5*(N169-M169)/(Links!N$191*Links!AC$191)</f>
        <v>#DIV/0!</v>
      </c>
      <c r="AD170" s="56" t="e">
        <f>AD169+ATM_Conf!$C$5*(O169-N169)/(Links!O$191*Links!AD$191)</f>
        <v>#DIV/0!</v>
      </c>
      <c r="AE170" s="56" t="e">
        <f>AE169+ATM_Conf!$C$5*(P169-O169)/(Links!P$191*Links!AE$191)</f>
        <v>#DIV/0!</v>
      </c>
      <c r="AF170" s="46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6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6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6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6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6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6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6" t="e">
        <f>AM169+(ATM_Conf!$C$5/ATM_Conf!$C$8)*(Links!BB169*EXP((-(Links!X169/Links!BQ169)^Links!CF169)/Links!CF169)-Links!AM169)+(ATM_Conf!$C$5/Links!X$191)*Links!AM169*(Nodes!BH169-Links!AM169)</f>
        <v>#DIV/0!</v>
      </c>
      <c r="AN170" s="46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6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6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6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6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6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6" t="e">
        <f>AT169+(ATM_Conf!$C$5/ATM_Conf!$C$8)*(Links!BI169*EXP((-(Links!AE169/Links!BX169)^Links!CM169)/Links!CM169)-Links!AT169)+(ATM_Conf!$C$5/Links!AE$191)*Links!AT169*(Nodes!BN169-Links!AT169)</f>
        <v>#DIV/0!</v>
      </c>
      <c r="AU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I170" s="5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56"/>
      <c r="BZ170" s="56"/>
      <c r="CA170" s="56"/>
      <c r="CB170" s="56"/>
      <c r="CC170" s="56"/>
      <c r="CD170" s="56"/>
      <c r="CE170" s="56"/>
      <c r="CF170" s="56"/>
      <c r="CG170" s="56"/>
      <c r="CH170" s="56"/>
      <c r="CI170" s="56"/>
      <c r="CJ170" s="56"/>
      <c r="CK170" s="56"/>
      <c r="CL170" s="56"/>
      <c r="CM170" s="56"/>
      <c r="CN170" s="46">
        <f t="shared" si="86"/>
        <v>0</v>
      </c>
      <c r="CO170" s="46">
        <f t="shared" si="86"/>
        <v>0</v>
      </c>
      <c r="CP170" s="46">
        <f t="shared" si="86"/>
        <v>0</v>
      </c>
      <c r="CQ170" s="46">
        <f t="shared" si="86"/>
        <v>0</v>
      </c>
      <c r="CR170" s="46">
        <f t="shared" si="86"/>
        <v>0</v>
      </c>
      <c r="CS170" s="46">
        <f t="shared" si="86"/>
        <v>0</v>
      </c>
      <c r="CT170" s="46">
        <f t="shared" si="86"/>
        <v>0</v>
      </c>
      <c r="CU170" s="46">
        <f t="shared" si="86"/>
        <v>0</v>
      </c>
      <c r="CV170" s="46">
        <f t="shared" si="86"/>
        <v>0</v>
      </c>
      <c r="CW170" s="46">
        <f t="shared" si="86"/>
        <v>0</v>
      </c>
      <c r="CX170" s="46">
        <f t="shared" si="86"/>
        <v>0</v>
      </c>
      <c r="CY170" s="46">
        <f t="shared" si="86"/>
        <v>0</v>
      </c>
      <c r="CZ170" s="46">
        <f t="shared" si="86"/>
        <v>0</v>
      </c>
      <c r="DA170" s="46">
        <f t="shared" si="86"/>
        <v>0</v>
      </c>
      <c r="DB170" s="46">
        <f t="shared" si="86"/>
        <v>0</v>
      </c>
      <c r="DC170" s="54"/>
      <c r="DD170" s="54"/>
      <c r="DE170" s="54"/>
      <c r="DF170" s="54"/>
      <c r="DG170" s="54"/>
      <c r="DH170" s="54"/>
      <c r="DI170" s="54"/>
      <c r="DJ170" s="54"/>
      <c r="DK170" s="54"/>
      <c r="DL170" s="54"/>
      <c r="DM170" s="54"/>
      <c r="DN170" s="54"/>
      <c r="DO170" s="54"/>
      <c r="DP170" s="54"/>
      <c r="DQ170" s="54"/>
    </row>
    <row r="171" spans="1:121" ht="14.25" x14ac:dyDescent="0.15">
      <c r="A171" s="49">
        <v>169</v>
      </c>
      <c r="B171" s="46" t="e">
        <f t="shared" si="63"/>
        <v>#DIV/0!</v>
      </c>
      <c r="C171" s="46" t="e">
        <f t="shared" si="64"/>
        <v>#DIV/0!</v>
      </c>
      <c r="D171" s="46" t="e">
        <f t="shared" si="65"/>
        <v>#DIV/0!</v>
      </c>
      <c r="E171" s="46" t="e">
        <f t="shared" si="66"/>
        <v>#DIV/0!</v>
      </c>
      <c r="F171" s="46" t="e">
        <f t="shared" si="67"/>
        <v>#DIV/0!</v>
      </c>
      <c r="G171" s="46" t="e">
        <f t="shared" si="68"/>
        <v>#DIV/0!</v>
      </c>
      <c r="H171" s="46" t="e">
        <f t="shared" si="69"/>
        <v>#DIV/0!</v>
      </c>
      <c r="I171" s="46" t="e">
        <f t="shared" si="70"/>
        <v>#DIV/0!</v>
      </c>
      <c r="J171" s="46" t="e">
        <f t="shared" si="71"/>
        <v>#DIV/0!</v>
      </c>
      <c r="K171" s="46" t="e">
        <f t="shared" si="72"/>
        <v>#DIV/0!</v>
      </c>
      <c r="L171" s="46" t="e">
        <f t="shared" si="73"/>
        <v>#DIV/0!</v>
      </c>
      <c r="M171" s="46" t="e">
        <f t="shared" si="74"/>
        <v>#DIV/0!</v>
      </c>
      <c r="N171" s="46" t="e">
        <f t="shared" si="75"/>
        <v>#DIV/0!</v>
      </c>
      <c r="O171" s="46" t="e">
        <f t="shared" si="76"/>
        <v>#DIV/0!</v>
      </c>
      <c r="P171" s="46" t="e">
        <f t="shared" si="77"/>
        <v>#DIV/0!</v>
      </c>
      <c r="Q171" s="56" t="e">
        <f>Q170+ATM_Conf!$C$5*(B170)/(Links!B$191*Links!Q$191)</f>
        <v>#DIV/0!</v>
      </c>
      <c r="R171" s="56" t="e">
        <f>R170+ATM_Conf!$C$5*(C170-B170)/(Links!C$191*Links!R$191)</f>
        <v>#DIV/0!</v>
      </c>
      <c r="S171" s="56" t="e">
        <f>S170+ATM_Conf!$C$5*(D170-C170)/(Links!D$191*Links!S$191)</f>
        <v>#DIV/0!</v>
      </c>
      <c r="T171" s="56" t="e">
        <f>T170+ATM_Conf!$C$5*(E170-D170)/(Links!E$191*Links!T$191)</f>
        <v>#DIV/0!</v>
      </c>
      <c r="U171" s="56" t="e">
        <f>U170+ATM_Conf!$C$5*(F170-E170)/(Links!F$191*Links!U$191)</f>
        <v>#DIV/0!</v>
      </c>
      <c r="V171" s="56" t="e">
        <f>V170+ATM_Conf!$C$5*(G170-F170)/(Links!G$191*Links!V$191)</f>
        <v>#DIV/0!</v>
      </c>
      <c r="W171" s="56" t="e">
        <f>W170+ATM_Conf!$C$5*(H170-G170)/(Links!H$191*Links!W$191)</f>
        <v>#DIV/0!</v>
      </c>
      <c r="X171" s="56" t="e">
        <f>X170+ATM_Conf!$C$5*(I170-H170)/(Links!I$191*Links!X$191)</f>
        <v>#DIV/0!</v>
      </c>
      <c r="Y171" s="56" t="e">
        <f>Y170+ATM_Conf!$C$5*(J170)/(Links!J$191*Links!Y$191)</f>
        <v>#DIV/0!</v>
      </c>
      <c r="Z171" s="56" t="e">
        <f>Z170+ATM_Conf!$C$5*(K170-J170)/(Links!K$191*Links!Z$191)</f>
        <v>#DIV/0!</v>
      </c>
      <c r="AA171" s="56" t="e">
        <f>AA170+ATM_Conf!$C$5*(L170-K170)/(Links!L$191*Links!AA$191)</f>
        <v>#DIV/0!</v>
      </c>
      <c r="AB171" s="56" t="e">
        <f>AB170+ATM_Conf!$C$5*(M170-L170)/(Links!M$191*Links!AB$191)</f>
        <v>#DIV/0!</v>
      </c>
      <c r="AC171" s="56" t="e">
        <f>AC170+ATM_Conf!$C$5*(N170-M170)/(Links!N$191*Links!AC$191)</f>
        <v>#DIV/0!</v>
      </c>
      <c r="AD171" s="56" t="e">
        <f>AD170+ATM_Conf!$C$5*(O170-N170)/(Links!O$191*Links!AD$191)</f>
        <v>#DIV/0!</v>
      </c>
      <c r="AE171" s="56" t="e">
        <f>AE170+ATM_Conf!$C$5*(P170-O170)/(Links!P$191*Links!AE$191)</f>
        <v>#DIV/0!</v>
      </c>
      <c r="AF171" s="46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6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6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6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6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6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6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6" t="e">
        <f>AM170+(ATM_Conf!$C$5/ATM_Conf!$C$8)*(Links!BB170*EXP((-(Links!X170/Links!BQ170)^Links!CF170)/Links!CF170)-Links!AM170)+(ATM_Conf!$C$5/Links!X$191)*Links!AM170*(Nodes!BH170-Links!AM170)</f>
        <v>#DIV/0!</v>
      </c>
      <c r="AN171" s="46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6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6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6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6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6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6" t="e">
        <f>AT170+(ATM_Conf!$C$5/ATM_Conf!$C$8)*(Links!BI170*EXP((-(Links!AE170/Links!BX170)^Links!CM170)/Links!CM170)-Links!AT170)+(ATM_Conf!$C$5/Links!AE$191)*Links!AT170*(Nodes!BN170-Links!AT170)</f>
        <v>#DIV/0!</v>
      </c>
      <c r="AU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I171" s="5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56"/>
      <c r="BZ171" s="56"/>
      <c r="CA171" s="56"/>
      <c r="CB171" s="56"/>
      <c r="CC171" s="56"/>
      <c r="CD171" s="56"/>
      <c r="CE171" s="56"/>
      <c r="CF171" s="56"/>
      <c r="CG171" s="56"/>
      <c r="CH171" s="56"/>
      <c r="CI171" s="56"/>
      <c r="CJ171" s="56"/>
      <c r="CK171" s="56"/>
      <c r="CL171" s="56"/>
      <c r="CM171" s="56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54">
        <f>(CN171-CN159)^2</f>
        <v>0</v>
      </c>
      <c r="DD171" s="54">
        <f t="shared" ref="DD171:DQ171" si="87">(CO171-CO159)^2</f>
        <v>0</v>
      </c>
      <c r="DE171" s="54">
        <f t="shared" si="87"/>
        <v>0</v>
      </c>
      <c r="DF171" s="54">
        <f t="shared" si="87"/>
        <v>0</v>
      </c>
      <c r="DG171" s="54">
        <f t="shared" si="87"/>
        <v>0</v>
      </c>
      <c r="DH171" s="54">
        <f t="shared" si="87"/>
        <v>0</v>
      </c>
      <c r="DI171" s="54">
        <f t="shared" si="87"/>
        <v>0</v>
      </c>
      <c r="DJ171" s="54">
        <f t="shared" si="87"/>
        <v>0</v>
      </c>
      <c r="DK171" s="54">
        <f t="shared" si="87"/>
        <v>0</v>
      </c>
      <c r="DL171" s="54">
        <f t="shared" si="87"/>
        <v>0</v>
      </c>
      <c r="DM171" s="54">
        <f t="shared" si="87"/>
        <v>0</v>
      </c>
      <c r="DN171" s="54">
        <f t="shared" si="87"/>
        <v>0</v>
      </c>
      <c r="DO171" s="54">
        <f t="shared" si="87"/>
        <v>0</v>
      </c>
      <c r="DP171" s="54">
        <f t="shared" si="87"/>
        <v>0</v>
      </c>
      <c r="DQ171" s="54">
        <f t="shared" si="87"/>
        <v>0</v>
      </c>
    </row>
    <row r="172" spans="1:121" ht="14.25" x14ac:dyDescent="0.15">
      <c r="A172" s="49">
        <v>170</v>
      </c>
      <c r="B172" s="46" t="e">
        <f t="shared" si="63"/>
        <v>#DIV/0!</v>
      </c>
      <c r="C172" s="46" t="e">
        <f t="shared" si="64"/>
        <v>#DIV/0!</v>
      </c>
      <c r="D172" s="46" t="e">
        <f t="shared" si="65"/>
        <v>#DIV/0!</v>
      </c>
      <c r="E172" s="46" t="e">
        <f t="shared" si="66"/>
        <v>#DIV/0!</v>
      </c>
      <c r="F172" s="46" t="e">
        <f t="shared" si="67"/>
        <v>#DIV/0!</v>
      </c>
      <c r="G172" s="46" t="e">
        <f t="shared" si="68"/>
        <v>#DIV/0!</v>
      </c>
      <c r="H172" s="46" t="e">
        <f t="shared" si="69"/>
        <v>#DIV/0!</v>
      </c>
      <c r="I172" s="46" t="e">
        <f t="shared" si="70"/>
        <v>#DIV/0!</v>
      </c>
      <c r="J172" s="46" t="e">
        <f t="shared" si="71"/>
        <v>#DIV/0!</v>
      </c>
      <c r="K172" s="46" t="e">
        <f t="shared" si="72"/>
        <v>#DIV/0!</v>
      </c>
      <c r="L172" s="46" t="e">
        <f t="shared" si="73"/>
        <v>#DIV/0!</v>
      </c>
      <c r="M172" s="46" t="e">
        <f t="shared" si="74"/>
        <v>#DIV/0!</v>
      </c>
      <c r="N172" s="46" t="e">
        <f t="shared" si="75"/>
        <v>#DIV/0!</v>
      </c>
      <c r="O172" s="46" t="e">
        <f t="shared" si="76"/>
        <v>#DIV/0!</v>
      </c>
      <c r="P172" s="46" t="e">
        <f t="shared" si="77"/>
        <v>#DIV/0!</v>
      </c>
      <c r="Q172" s="56" t="e">
        <f>Q171+ATM_Conf!$C$5*(B171)/(Links!B$191*Links!Q$191)</f>
        <v>#DIV/0!</v>
      </c>
      <c r="R172" s="56" t="e">
        <f>R171+ATM_Conf!$C$5*(C171-B171)/(Links!C$191*Links!R$191)</f>
        <v>#DIV/0!</v>
      </c>
      <c r="S172" s="56" t="e">
        <f>S171+ATM_Conf!$C$5*(D171-C171)/(Links!D$191*Links!S$191)</f>
        <v>#DIV/0!</v>
      </c>
      <c r="T172" s="56" t="e">
        <f>T171+ATM_Conf!$C$5*(E171-D171)/(Links!E$191*Links!T$191)</f>
        <v>#DIV/0!</v>
      </c>
      <c r="U172" s="56" t="e">
        <f>U171+ATM_Conf!$C$5*(F171-E171)/(Links!F$191*Links!U$191)</f>
        <v>#DIV/0!</v>
      </c>
      <c r="V172" s="56" t="e">
        <f>V171+ATM_Conf!$C$5*(G171-F171)/(Links!G$191*Links!V$191)</f>
        <v>#DIV/0!</v>
      </c>
      <c r="W172" s="56" t="e">
        <f>W171+ATM_Conf!$C$5*(H171-G171)/(Links!H$191*Links!W$191)</f>
        <v>#DIV/0!</v>
      </c>
      <c r="X172" s="56" t="e">
        <f>X171+ATM_Conf!$C$5*(I171-H171)/(Links!I$191*Links!X$191)</f>
        <v>#DIV/0!</v>
      </c>
      <c r="Y172" s="56" t="e">
        <f>Y171+ATM_Conf!$C$5*(J171)/(Links!J$191*Links!Y$191)</f>
        <v>#DIV/0!</v>
      </c>
      <c r="Z172" s="56" t="e">
        <f>Z171+ATM_Conf!$C$5*(K171-J171)/(Links!K$191*Links!Z$191)</f>
        <v>#DIV/0!</v>
      </c>
      <c r="AA172" s="56" t="e">
        <f>AA171+ATM_Conf!$C$5*(L171-K171)/(Links!L$191*Links!AA$191)</f>
        <v>#DIV/0!</v>
      </c>
      <c r="AB172" s="56" t="e">
        <f>AB171+ATM_Conf!$C$5*(M171-L171)/(Links!M$191*Links!AB$191)</f>
        <v>#DIV/0!</v>
      </c>
      <c r="AC172" s="56" t="e">
        <f>AC171+ATM_Conf!$C$5*(N171-M171)/(Links!N$191*Links!AC$191)</f>
        <v>#DIV/0!</v>
      </c>
      <c r="AD172" s="56" t="e">
        <f>AD171+ATM_Conf!$C$5*(O171-N171)/(Links!O$191*Links!AD$191)</f>
        <v>#DIV/0!</v>
      </c>
      <c r="AE172" s="56" t="e">
        <f>AE171+ATM_Conf!$C$5*(P171-O171)/(Links!P$191*Links!AE$191)</f>
        <v>#DIV/0!</v>
      </c>
      <c r="AF172" s="46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6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6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6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6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6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6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6" t="e">
        <f>AM171+(ATM_Conf!$C$5/ATM_Conf!$C$8)*(Links!BB171*EXP((-(Links!X171/Links!BQ171)^Links!CF171)/Links!CF171)-Links!AM171)+(ATM_Conf!$C$5/Links!X$191)*Links!AM171*(Nodes!BH171-Links!AM171)</f>
        <v>#DIV/0!</v>
      </c>
      <c r="AN172" s="46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6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6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6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6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6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6" t="e">
        <f>AT171+(ATM_Conf!$C$5/ATM_Conf!$C$8)*(Links!BI171*EXP((-(Links!AE171/Links!BX171)^Links!CM171)/Links!CM171)-Links!AT171)+(ATM_Conf!$C$5/Links!AE$191)*Links!AT171*(Nodes!BN171-Links!AT171)</f>
        <v>#DIV/0!</v>
      </c>
      <c r="AU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I172" s="5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56"/>
      <c r="BZ172" s="56"/>
      <c r="CA172" s="56"/>
      <c r="CB172" s="56"/>
      <c r="CC172" s="56"/>
      <c r="CD172" s="56"/>
      <c r="CE172" s="56"/>
      <c r="CF172" s="56"/>
      <c r="CG172" s="56"/>
      <c r="CH172" s="56"/>
      <c r="CI172" s="56"/>
      <c r="CJ172" s="56"/>
      <c r="CK172" s="56"/>
      <c r="CL172" s="56"/>
      <c r="CM172" s="56"/>
      <c r="CN172" s="46">
        <f>CN$171</f>
        <v>0</v>
      </c>
      <c r="CO172" s="46">
        <f t="shared" ref="CO172:DB172" si="88">CO$171</f>
        <v>0</v>
      </c>
      <c r="CP172" s="46">
        <f t="shared" si="88"/>
        <v>0</v>
      </c>
      <c r="CQ172" s="46">
        <f t="shared" si="88"/>
        <v>0</v>
      </c>
      <c r="CR172" s="46">
        <f t="shared" si="88"/>
        <v>0</v>
      </c>
      <c r="CS172" s="46">
        <f t="shared" si="88"/>
        <v>0</v>
      </c>
      <c r="CT172" s="46">
        <f t="shared" si="88"/>
        <v>0</v>
      </c>
      <c r="CU172" s="46">
        <f t="shared" si="88"/>
        <v>0</v>
      </c>
      <c r="CV172" s="46">
        <f t="shared" si="88"/>
        <v>0</v>
      </c>
      <c r="CW172" s="46">
        <f t="shared" si="88"/>
        <v>0</v>
      </c>
      <c r="CX172" s="46">
        <f t="shared" si="88"/>
        <v>0</v>
      </c>
      <c r="CY172" s="46">
        <f t="shared" si="88"/>
        <v>0</v>
      </c>
      <c r="CZ172" s="46">
        <f t="shared" si="88"/>
        <v>0</v>
      </c>
      <c r="DA172" s="46">
        <f t="shared" si="88"/>
        <v>0</v>
      </c>
      <c r="DB172" s="46">
        <f t="shared" si="88"/>
        <v>0</v>
      </c>
      <c r="DC172" s="54"/>
      <c r="DD172" s="54"/>
      <c r="DE172" s="54"/>
      <c r="DF172" s="54"/>
      <c r="DG172" s="54"/>
      <c r="DH172" s="54"/>
      <c r="DI172" s="54"/>
      <c r="DJ172" s="54"/>
      <c r="DK172" s="54"/>
      <c r="DL172" s="54"/>
      <c r="DM172" s="54"/>
      <c r="DN172" s="54"/>
      <c r="DO172" s="54"/>
      <c r="DP172" s="54"/>
      <c r="DQ172" s="54"/>
    </row>
    <row r="173" spans="1:121" ht="14.25" x14ac:dyDescent="0.15">
      <c r="A173" s="49">
        <v>171</v>
      </c>
      <c r="B173" s="46" t="e">
        <f t="shared" si="63"/>
        <v>#DIV/0!</v>
      </c>
      <c r="C173" s="46" t="e">
        <f t="shared" si="64"/>
        <v>#DIV/0!</v>
      </c>
      <c r="D173" s="46" t="e">
        <f t="shared" si="65"/>
        <v>#DIV/0!</v>
      </c>
      <c r="E173" s="46" t="e">
        <f t="shared" si="66"/>
        <v>#DIV/0!</v>
      </c>
      <c r="F173" s="46" t="e">
        <f t="shared" si="67"/>
        <v>#DIV/0!</v>
      </c>
      <c r="G173" s="46" t="e">
        <f t="shared" si="68"/>
        <v>#DIV/0!</v>
      </c>
      <c r="H173" s="46" t="e">
        <f t="shared" si="69"/>
        <v>#DIV/0!</v>
      </c>
      <c r="I173" s="46" t="e">
        <f t="shared" si="70"/>
        <v>#DIV/0!</v>
      </c>
      <c r="J173" s="46" t="e">
        <f t="shared" si="71"/>
        <v>#DIV/0!</v>
      </c>
      <c r="K173" s="46" t="e">
        <f t="shared" si="72"/>
        <v>#DIV/0!</v>
      </c>
      <c r="L173" s="46" t="e">
        <f t="shared" si="73"/>
        <v>#DIV/0!</v>
      </c>
      <c r="M173" s="46" t="e">
        <f t="shared" si="74"/>
        <v>#DIV/0!</v>
      </c>
      <c r="N173" s="46" t="e">
        <f t="shared" si="75"/>
        <v>#DIV/0!</v>
      </c>
      <c r="O173" s="46" t="e">
        <f t="shared" si="76"/>
        <v>#DIV/0!</v>
      </c>
      <c r="P173" s="46" t="e">
        <f t="shared" si="77"/>
        <v>#DIV/0!</v>
      </c>
      <c r="Q173" s="56" t="e">
        <f>Q172+ATM_Conf!$C$5*(B172)/(Links!B$191*Links!Q$191)</f>
        <v>#DIV/0!</v>
      </c>
      <c r="R173" s="56" t="e">
        <f>R172+ATM_Conf!$C$5*(C172-B172)/(Links!C$191*Links!R$191)</f>
        <v>#DIV/0!</v>
      </c>
      <c r="S173" s="56" t="e">
        <f>S172+ATM_Conf!$C$5*(D172-C172)/(Links!D$191*Links!S$191)</f>
        <v>#DIV/0!</v>
      </c>
      <c r="T173" s="56" t="e">
        <f>T172+ATM_Conf!$C$5*(E172-D172)/(Links!E$191*Links!T$191)</f>
        <v>#DIV/0!</v>
      </c>
      <c r="U173" s="56" t="e">
        <f>U172+ATM_Conf!$C$5*(F172-E172)/(Links!F$191*Links!U$191)</f>
        <v>#DIV/0!</v>
      </c>
      <c r="V173" s="56" t="e">
        <f>V172+ATM_Conf!$C$5*(G172-F172)/(Links!G$191*Links!V$191)</f>
        <v>#DIV/0!</v>
      </c>
      <c r="W173" s="56" t="e">
        <f>W172+ATM_Conf!$C$5*(H172-G172)/(Links!H$191*Links!W$191)</f>
        <v>#DIV/0!</v>
      </c>
      <c r="X173" s="56" t="e">
        <f>X172+ATM_Conf!$C$5*(I172-H172)/(Links!I$191*Links!X$191)</f>
        <v>#DIV/0!</v>
      </c>
      <c r="Y173" s="56" t="e">
        <f>Y172+ATM_Conf!$C$5*(J172)/(Links!J$191*Links!Y$191)</f>
        <v>#DIV/0!</v>
      </c>
      <c r="Z173" s="56" t="e">
        <f>Z172+ATM_Conf!$C$5*(K172-J172)/(Links!K$191*Links!Z$191)</f>
        <v>#DIV/0!</v>
      </c>
      <c r="AA173" s="56" t="e">
        <f>AA172+ATM_Conf!$C$5*(L172-K172)/(Links!L$191*Links!AA$191)</f>
        <v>#DIV/0!</v>
      </c>
      <c r="AB173" s="56" t="e">
        <f>AB172+ATM_Conf!$C$5*(M172-L172)/(Links!M$191*Links!AB$191)</f>
        <v>#DIV/0!</v>
      </c>
      <c r="AC173" s="56" t="e">
        <f>AC172+ATM_Conf!$C$5*(N172-M172)/(Links!N$191*Links!AC$191)</f>
        <v>#DIV/0!</v>
      </c>
      <c r="AD173" s="56" t="e">
        <f>AD172+ATM_Conf!$C$5*(O172-N172)/(Links!O$191*Links!AD$191)</f>
        <v>#DIV/0!</v>
      </c>
      <c r="AE173" s="56" t="e">
        <f>AE172+ATM_Conf!$C$5*(P172-O172)/(Links!P$191*Links!AE$191)</f>
        <v>#DIV/0!</v>
      </c>
      <c r="AF173" s="46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6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6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6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6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6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6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6" t="e">
        <f>AM172+(ATM_Conf!$C$5/ATM_Conf!$C$8)*(Links!BB172*EXP((-(Links!X172/Links!BQ172)^Links!CF172)/Links!CF172)-Links!AM172)+(ATM_Conf!$C$5/Links!X$191)*Links!AM172*(Nodes!BH172-Links!AM172)</f>
        <v>#DIV/0!</v>
      </c>
      <c r="AN173" s="46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6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6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6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6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6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6" t="e">
        <f>AT172+(ATM_Conf!$C$5/ATM_Conf!$C$8)*(Links!BI172*EXP((-(Links!AE172/Links!BX172)^Links!CM172)/Links!CM172)-Links!AT172)+(ATM_Conf!$C$5/Links!AE$191)*Links!AT172*(Nodes!BN172-Links!AT172)</f>
        <v>#DIV/0!</v>
      </c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56"/>
      <c r="BZ173" s="56"/>
      <c r="CA173" s="56"/>
      <c r="CB173" s="56"/>
      <c r="CC173" s="56"/>
      <c r="CD173" s="56"/>
      <c r="CE173" s="56"/>
      <c r="CF173" s="56"/>
      <c r="CG173" s="56"/>
      <c r="CH173" s="56"/>
      <c r="CI173" s="56"/>
      <c r="CJ173" s="56"/>
      <c r="CK173" s="56"/>
      <c r="CL173" s="56"/>
      <c r="CM173" s="56"/>
      <c r="CN173" s="46">
        <f t="shared" ref="CN173:DB182" si="89">CN$171</f>
        <v>0</v>
      </c>
      <c r="CO173" s="46">
        <f t="shared" si="89"/>
        <v>0</v>
      </c>
      <c r="CP173" s="46">
        <f t="shared" si="89"/>
        <v>0</v>
      </c>
      <c r="CQ173" s="46">
        <f t="shared" si="89"/>
        <v>0</v>
      </c>
      <c r="CR173" s="46">
        <f t="shared" si="89"/>
        <v>0</v>
      </c>
      <c r="CS173" s="46">
        <f t="shared" si="89"/>
        <v>0</v>
      </c>
      <c r="CT173" s="46">
        <f t="shared" si="89"/>
        <v>0</v>
      </c>
      <c r="CU173" s="46">
        <f t="shared" si="89"/>
        <v>0</v>
      </c>
      <c r="CV173" s="46">
        <f t="shared" si="89"/>
        <v>0</v>
      </c>
      <c r="CW173" s="46">
        <f t="shared" si="89"/>
        <v>0</v>
      </c>
      <c r="CX173" s="46">
        <f t="shared" si="89"/>
        <v>0</v>
      </c>
      <c r="CY173" s="46">
        <f t="shared" si="89"/>
        <v>0</v>
      </c>
      <c r="CZ173" s="46">
        <f t="shared" si="89"/>
        <v>0</v>
      </c>
      <c r="DA173" s="46">
        <f t="shared" si="89"/>
        <v>0</v>
      </c>
      <c r="DB173" s="46">
        <f t="shared" si="89"/>
        <v>0</v>
      </c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</row>
    <row r="174" spans="1:121" ht="14.25" x14ac:dyDescent="0.15">
      <c r="A174" s="49">
        <v>172</v>
      </c>
      <c r="B174" s="46" t="e">
        <f t="shared" si="63"/>
        <v>#DIV/0!</v>
      </c>
      <c r="C174" s="46" t="e">
        <f t="shared" si="64"/>
        <v>#DIV/0!</v>
      </c>
      <c r="D174" s="46" t="e">
        <f t="shared" si="65"/>
        <v>#DIV/0!</v>
      </c>
      <c r="E174" s="46" t="e">
        <f t="shared" si="66"/>
        <v>#DIV/0!</v>
      </c>
      <c r="F174" s="46" t="e">
        <f t="shared" si="67"/>
        <v>#DIV/0!</v>
      </c>
      <c r="G174" s="46" t="e">
        <f t="shared" si="68"/>
        <v>#DIV/0!</v>
      </c>
      <c r="H174" s="46" t="e">
        <f t="shared" si="69"/>
        <v>#DIV/0!</v>
      </c>
      <c r="I174" s="46" t="e">
        <f t="shared" si="70"/>
        <v>#DIV/0!</v>
      </c>
      <c r="J174" s="46" t="e">
        <f t="shared" si="71"/>
        <v>#DIV/0!</v>
      </c>
      <c r="K174" s="46" t="e">
        <f t="shared" si="72"/>
        <v>#DIV/0!</v>
      </c>
      <c r="L174" s="46" t="e">
        <f t="shared" si="73"/>
        <v>#DIV/0!</v>
      </c>
      <c r="M174" s="46" t="e">
        <f t="shared" si="74"/>
        <v>#DIV/0!</v>
      </c>
      <c r="N174" s="46" t="e">
        <f t="shared" si="75"/>
        <v>#DIV/0!</v>
      </c>
      <c r="O174" s="46" t="e">
        <f t="shared" si="76"/>
        <v>#DIV/0!</v>
      </c>
      <c r="P174" s="46" t="e">
        <f t="shared" si="77"/>
        <v>#DIV/0!</v>
      </c>
      <c r="Q174" s="56" t="e">
        <f>Q173+ATM_Conf!$C$5*(B173)/(Links!B$191*Links!Q$191)</f>
        <v>#DIV/0!</v>
      </c>
      <c r="R174" s="56" t="e">
        <f>R173+ATM_Conf!$C$5*(C173-B173)/(Links!C$191*Links!R$191)</f>
        <v>#DIV/0!</v>
      </c>
      <c r="S174" s="56" t="e">
        <f>S173+ATM_Conf!$C$5*(D173-C173)/(Links!D$191*Links!S$191)</f>
        <v>#DIV/0!</v>
      </c>
      <c r="T174" s="56" t="e">
        <f>T173+ATM_Conf!$C$5*(E173-D173)/(Links!E$191*Links!T$191)</f>
        <v>#DIV/0!</v>
      </c>
      <c r="U174" s="56" t="e">
        <f>U173+ATM_Conf!$C$5*(F173-E173)/(Links!F$191*Links!U$191)</f>
        <v>#DIV/0!</v>
      </c>
      <c r="V174" s="56" t="e">
        <f>V173+ATM_Conf!$C$5*(G173-F173)/(Links!G$191*Links!V$191)</f>
        <v>#DIV/0!</v>
      </c>
      <c r="W174" s="56" t="e">
        <f>W173+ATM_Conf!$C$5*(H173-G173)/(Links!H$191*Links!W$191)</f>
        <v>#DIV/0!</v>
      </c>
      <c r="X174" s="56" t="e">
        <f>X173+ATM_Conf!$C$5*(I173-H173)/(Links!I$191*Links!X$191)</f>
        <v>#DIV/0!</v>
      </c>
      <c r="Y174" s="56" t="e">
        <f>Y173+ATM_Conf!$C$5*(J173)/(Links!J$191*Links!Y$191)</f>
        <v>#DIV/0!</v>
      </c>
      <c r="Z174" s="56" t="e">
        <f>Z173+ATM_Conf!$C$5*(K173-J173)/(Links!K$191*Links!Z$191)</f>
        <v>#DIV/0!</v>
      </c>
      <c r="AA174" s="56" t="e">
        <f>AA173+ATM_Conf!$C$5*(L173-K173)/(Links!L$191*Links!AA$191)</f>
        <v>#DIV/0!</v>
      </c>
      <c r="AB174" s="56" t="e">
        <f>AB173+ATM_Conf!$C$5*(M173-L173)/(Links!M$191*Links!AB$191)</f>
        <v>#DIV/0!</v>
      </c>
      <c r="AC174" s="56" t="e">
        <f>AC173+ATM_Conf!$C$5*(N173-M173)/(Links!N$191*Links!AC$191)</f>
        <v>#DIV/0!</v>
      </c>
      <c r="AD174" s="56" t="e">
        <f>AD173+ATM_Conf!$C$5*(O173-N173)/(Links!O$191*Links!AD$191)</f>
        <v>#DIV/0!</v>
      </c>
      <c r="AE174" s="56" t="e">
        <f>AE173+ATM_Conf!$C$5*(P173-O173)/(Links!P$191*Links!AE$191)</f>
        <v>#DIV/0!</v>
      </c>
      <c r="AF174" s="46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6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6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6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6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6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6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6" t="e">
        <f>AM173+(ATM_Conf!$C$5/ATM_Conf!$C$8)*(Links!BB173*EXP((-(Links!X173/Links!BQ173)^Links!CF173)/Links!CF173)-Links!AM173)+(ATM_Conf!$C$5/Links!X$191)*Links!AM173*(Nodes!BH173-Links!AM173)</f>
        <v>#DIV/0!</v>
      </c>
      <c r="AN174" s="46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6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6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6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6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6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6" t="e">
        <f>AT173+(ATM_Conf!$C$5/ATM_Conf!$C$8)*(Links!BI173*EXP((-(Links!AE173/Links!BX173)^Links!CM173)/Links!CM173)-Links!AT173)+(ATM_Conf!$C$5/Links!AE$191)*Links!AT173*(Nodes!BN173-Links!AT173)</f>
        <v>#DIV/0!</v>
      </c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I174" s="56"/>
      <c r="BJ174" s="46"/>
      <c r="BK174" s="46"/>
      <c r="BL174" s="46"/>
      <c r="BM174" s="46"/>
      <c r="BN174" s="46"/>
      <c r="BO174" s="46"/>
      <c r="BP174" s="46"/>
      <c r="BQ174" s="46"/>
      <c r="BR174" s="46"/>
      <c r="BS174" s="46"/>
      <c r="BT174" s="46"/>
      <c r="BU174" s="46"/>
      <c r="BV174" s="46"/>
      <c r="BW174" s="46"/>
      <c r="BX174" s="46"/>
      <c r="BY174" s="56"/>
      <c r="BZ174" s="56"/>
      <c r="CA174" s="56"/>
      <c r="CB174" s="56"/>
      <c r="CC174" s="56"/>
      <c r="CD174" s="56"/>
      <c r="CE174" s="56"/>
      <c r="CF174" s="56"/>
      <c r="CG174" s="56"/>
      <c r="CH174" s="56"/>
      <c r="CI174" s="56"/>
      <c r="CJ174" s="56"/>
      <c r="CK174" s="56"/>
      <c r="CL174" s="56"/>
      <c r="CM174" s="56"/>
      <c r="CN174" s="46">
        <f t="shared" si="89"/>
        <v>0</v>
      </c>
      <c r="CO174" s="46">
        <f t="shared" si="89"/>
        <v>0</v>
      </c>
      <c r="CP174" s="46">
        <f t="shared" si="89"/>
        <v>0</v>
      </c>
      <c r="CQ174" s="46">
        <f t="shared" si="89"/>
        <v>0</v>
      </c>
      <c r="CR174" s="46">
        <f t="shared" si="89"/>
        <v>0</v>
      </c>
      <c r="CS174" s="46">
        <f t="shared" si="89"/>
        <v>0</v>
      </c>
      <c r="CT174" s="46">
        <f t="shared" si="89"/>
        <v>0</v>
      </c>
      <c r="CU174" s="46">
        <f t="shared" si="89"/>
        <v>0</v>
      </c>
      <c r="CV174" s="46">
        <f t="shared" si="89"/>
        <v>0</v>
      </c>
      <c r="CW174" s="46">
        <f t="shared" si="89"/>
        <v>0</v>
      </c>
      <c r="CX174" s="46">
        <f t="shared" si="89"/>
        <v>0</v>
      </c>
      <c r="CY174" s="46">
        <f t="shared" si="89"/>
        <v>0</v>
      </c>
      <c r="CZ174" s="46">
        <f t="shared" si="89"/>
        <v>0</v>
      </c>
      <c r="DA174" s="46">
        <f t="shared" si="89"/>
        <v>0</v>
      </c>
      <c r="DB174" s="46">
        <f t="shared" si="89"/>
        <v>0</v>
      </c>
      <c r="DC174" s="54"/>
      <c r="DD174" s="54"/>
      <c r="DE174" s="54"/>
      <c r="DF174" s="54"/>
      <c r="DG174" s="54"/>
      <c r="DH174" s="54"/>
      <c r="DI174" s="54"/>
      <c r="DJ174" s="54"/>
      <c r="DK174" s="54"/>
      <c r="DL174" s="54"/>
      <c r="DM174" s="54"/>
      <c r="DN174" s="54"/>
      <c r="DO174" s="54"/>
      <c r="DP174" s="54"/>
      <c r="DQ174" s="54"/>
    </row>
    <row r="175" spans="1:121" ht="14.25" x14ac:dyDescent="0.15">
      <c r="A175" s="49">
        <v>173</v>
      </c>
      <c r="B175" s="46" t="e">
        <f t="shared" si="63"/>
        <v>#DIV/0!</v>
      </c>
      <c r="C175" s="46" t="e">
        <f t="shared" si="64"/>
        <v>#DIV/0!</v>
      </c>
      <c r="D175" s="46" t="e">
        <f t="shared" si="65"/>
        <v>#DIV/0!</v>
      </c>
      <c r="E175" s="46" t="e">
        <f t="shared" si="66"/>
        <v>#DIV/0!</v>
      </c>
      <c r="F175" s="46" t="e">
        <f t="shared" si="67"/>
        <v>#DIV/0!</v>
      </c>
      <c r="G175" s="46" t="e">
        <f t="shared" si="68"/>
        <v>#DIV/0!</v>
      </c>
      <c r="H175" s="46" t="e">
        <f t="shared" si="69"/>
        <v>#DIV/0!</v>
      </c>
      <c r="I175" s="46" t="e">
        <f t="shared" si="70"/>
        <v>#DIV/0!</v>
      </c>
      <c r="J175" s="46" t="e">
        <f t="shared" si="71"/>
        <v>#DIV/0!</v>
      </c>
      <c r="K175" s="46" t="e">
        <f t="shared" si="72"/>
        <v>#DIV/0!</v>
      </c>
      <c r="L175" s="46" t="e">
        <f t="shared" si="73"/>
        <v>#DIV/0!</v>
      </c>
      <c r="M175" s="46" t="e">
        <f t="shared" si="74"/>
        <v>#DIV/0!</v>
      </c>
      <c r="N175" s="46" t="e">
        <f t="shared" si="75"/>
        <v>#DIV/0!</v>
      </c>
      <c r="O175" s="46" t="e">
        <f t="shared" si="76"/>
        <v>#DIV/0!</v>
      </c>
      <c r="P175" s="46" t="e">
        <f t="shared" si="77"/>
        <v>#DIV/0!</v>
      </c>
      <c r="Q175" s="56" t="e">
        <f>Q174+ATM_Conf!$C$5*(B174)/(Links!B$191*Links!Q$191)</f>
        <v>#DIV/0!</v>
      </c>
      <c r="R175" s="56" t="e">
        <f>R174+ATM_Conf!$C$5*(C174-B174)/(Links!C$191*Links!R$191)</f>
        <v>#DIV/0!</v>
      </c>
      <c r="S175" s="56" t="e">
        <f>S174+ATM_Conf!$C$5*(D174-C174)/(Links!D$191*Links!S$191)</f>
        <v>#DIV/0!</v>
      </c>
      <c r="T175" s="56" t="e">
        <f>T174+ATM_Conf!$C$5*(E174-D174)/(Links!E$191*Links!T$191)</f>
        <v>#DIV/0!</v>
      </c>
      <c r="U175" s="56" t="e">
        <f>U174+ATM_Conf!$C$5*(F174-E174)/(Links!F$191*Links!U$191)</f>
        <v>#DIV/0!</v>
      </c>
      <c r="V175" s="56" t="e">
        <f>V174+ATM_Conf!$C$5*(G174-F174)/(Links!G$191*Links!V$191)</f>
        <v>#DIV/0!</v>
      </c>
      <c r="W175" s="56" t="e">
        <f>W174+ATM_Conf!$C$5*(H174-G174)/(Links!H$191*Links!W$191)</f>
        <v>#DIV/0!</v>
      </c>
      <c r="X175" s="56" t="e">
        <f>X174+ATM_Conf!$C$5*(I174-H174)/(Links!I$191*Links!X$191)</f>
        <v>#DIV/0!</v>
      </c>
      <c r="Y175" s="56" t="e">
        <f>Y174+ATM_Conf!$C$5*(J174)/(Links!J$191*Links!Y$191)</f>
        <v>#DIV/0!</v>
      </c>
      <c r="Z175" s="56" t="e">
        <f>Z174+ATM_Conf!$C$5*(K174-J174)/(Links!K$191*Links!Z$191)</f>
        <v>#DIV/0!</v>
      </c>
      <c r="AA175" s="56" t="e">
        <f>AA174+ATM_Conf!$C$5*(L174-K174)/(Links!L$191*Links!AA$191)</f>
        <v>#DIV/0!</v>
      </c>
      <c r="AB175" s="56" t="e">
        <f>AB174+ATM_Conf!$C$5*(M174-L174)/(Links!M$191*Links!AB$191)</f>
        <v>#DIV/0!</v>
      </c>
      <c r="AC175" s="56" t="e">
        <f>AC174+ATM_Conf!$C$5*(N174-M174)/(Links!N$191*Links!AC$191)</f>
        <v>#DIV/0!</v>
      </c>
      <c r="AD175" s="56" t="e">
        <f>AD174+ATM_Conf!$C$5*(O174-N174)/(Links!O$191*Links!AD$191)</f>
        <v>#DIV/0!</v>
      </c>
      <c r="AE175" s="56" t="e">
        <f>AE174+ATM_Conf!$C$5*(P174-O174)/(Links!P$191*Links!AE$191)</f>
        <v>#DIV/0!</v>
      </c>
      <c r="AF175" s="46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6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6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6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6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6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6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6" t="e">
        <f>AM174+(ATM_Conf!$C$5/ATM_Conf!$C$8)*(Links!BB174*EXP((-(Links!X174/Links!BQ174)^Links!CF174)/Links!CF174)-Links!AM174)+(ATM_Conf!$C$5/Links!X$191)*Links!AM174*(Nodes!BH174-Links!AM174)</f>
        <v>#DIV/0!</v>
      </c>
      <c r="AN175" s="46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6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6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6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6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6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6" t="e">
        <f>AT174+(ATM_Conf!$C$5/ATM_Conf!$C$8)*(Links!BI174*EXP((-(Links!AE174/Links!BX174)^Links!CM174)/Links!CM174)-Links!AT174)+(ATM_Conf!$C$5/Links!AE$191)*Links!AT174*(Nodes!BN174-Links!AT174)</f>
        <v>#DIV/0!</v>
      </c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I175" s="56"/>
      <c r="BJ175" s="46"/>
      <c r="BK175" s="46"/>
      <c r="BL175" s="46"/>
      <c r="BM175" s="46"/>
      <c r="BN175" s="46"/>
      <c r="BO175" s="46"/>
      <c r="BP175" s="46"/>
      <c r="BQ175" s="46"/>
      <c r="BR175" s="46"/>
      <c r="BS175" s="46"/>
      <c r="BT175" s="46"/>
      <c r="BU175" s="46"/>
      <c r="BV175" s="46"/>
      <c r="BW175" s="46"/>
      <c r="BX175" s="46"/>
      <c r="BY175" s="56"/>
      <c r="BZ175" s="56"/>
      <c r="CA175" s="56"/>
      <c r="CB175" s="56"/>
      <c r="CC175" s="56"/>
      <c r="CD175" s="56"/>
      <c r="CE175" s="56"/>
      <c r="CF175" s="56"/>
      <c r="CG175" s="56"/>
      <c r="CH175" s="56"/>
      <c r="CI175" s="56"/>
      <c r="CJ175" s="56"/>
      <c r="CK175" s="56"/>
      <c r="CL175" s="56"/>
      <c r="CM175" s="56"/>
      <c r="CN175" s="46">
        <f t="shared" si="89"/>
        <v>0</v>
      </c>
      <c r="CO175" s="46">
        <f t="shared" si="89"/>
        <v>0</v>
      </c>
      <c r="CP175" s="46">
        <f t="shared" si="89"/>
        <v>0</v>
      </c>
      <c r="CQ175" s="46">
        <f t="shared" si="89"/>
        <v>0</v>
      </c>
      <c r="CR175" s="46">
        <f t="shared" si="89"/>
        <v>0</v>
      </c>
      <c r="CS175" s="46">
        <f t="shared" si="89"/>
        <v>0</v>
      </c>
      <c r="CT175" s="46">
        <f t="shared" si="89"/>
        <v>0</v>
      </c>
      <c r="CU175" s="46">
        <f t="shared" si="89"/>
        <v>0</v>
      </c>
      <c r="CV175" s="46">
        <f t="shared" si="89"/>
        <v>0</v>
      </c>
      <c r="CW175" s="46">
        <f t="shared" si="89"/>
        <v>0</v>
      </c>
      <c r="CX175" s="46">
        <f t="shared" si="89"/>
        <v>0</v>
      </c>
      <c r="CY175" s="46">
        <f t="shared" si="89"/>
        <v>0</v>
      </c>
      <c r="CZ175" s="46">
        <f t="shared" si="89"/>
        <v>0</v>
      </c>
      <c r="DA175" s="46">
        <f t="shared" si="89"/>
        <v>0</v>
      </c>
      <c r="DB175" s="46">
        <f t="shared" si="89"/>
        <v>0</v>
      </c>
      <c r="DC175" s="54"/>
      <c r="DD175" s="54"/>
      <c r="DE175" s="54"/>
      <c r="DF175" s="54"/>
      <c r="DG175" s="54"/>
      <c r="DH175" s="54"/>
      <c r="DI175" s="54"/>
      <c r="DJ175" s="54"/>
      <c r="DK175" s="54"/>
      <c r="DL175" s="54"/>
      <c r="DM175" s="54"/>
      <c r="DN175" s="54"/>
      <c r="DO175" s="54"/>
      <c r="DP175" s="54"/>
      <c r="DQ175" s="54"/>
    </row>
    <row r="176" spans="1:121" ht="14.25" x14ac:dyDescent="0.15">
      <c r="A176" s="49">
        <v>174</v>
      </c>
      <c r="B176" s="46" t="e">
        <f t="shared" si="63"/>
        <v>#DIV/0!</v>
      </c>
      <c r="C176" s="46" t="e">
        <f t="shared" si="64"/>
        <v>#DIV/0!</v>
      </c>
      <c r="D176" s="46" t="e">
        <f t="shared" si="65"/>
        <v>#DIV/0!</v>
      </c>
      <c r="E176" s="46" t="e">
        <f t="shared" si="66"/>
        <v>#DIV/0!</v>
      </c>
      <c r="F176" s="46" t="e">
        <f t="shared" si="67"/>
        <v>#DIV/0!</v>
      </c>
      <c r="G176" s="46" t="e">
        <f t="shared" si="68"/>
        <v>#DIV/0!</v>
      </c>
      <c r="H176" s="46" t="e">
        <f t="shared" si="69"/>
        <v>#DIV/0!</v>
      </c>
      <c r="I176" s="46" t="e">
        <f t="shared" si="70"/>
        <v>#DIV/0!</v>
      </c>
      <c r="J176" s="46" t="e">
        <f t="shared" si="71"/>
        <v>#DIV/0!</v>
      </c>
      <c r="K176" s="46" t="e">
        <f t="shared" si="72"/>
        <v>#DIV/0!</v>
      </c>
      <c r="L176" s="46" t="e">
        <f t="shared" si="73"/>
        <v>#DIV/0!</v>
      </c>
      <c r="M176" s="46" t="e">
        <f t="shared" si="74"/>
        <v>#DIV/0!</v>
      </c>
      <c r="N176" s="46" t="e">
        <f t="shared" si="75"/>
        <v>#DIV/0!</v>
      </c>
      <c r="O176" s="46" t="e">
        <f t="shared" si="76"/>
        <v>#DIV/0!</v>
      </c>
      <c r="P176" s="46" t="e">
        <f t="shared" si="77"/>
        <v>#DIV/0!</v>
      </c>
      <c r="Q176" s="56" t="e">
        <f>Q175+ATM_Conf!$C$5*(B175)/(Links!B$191*Links!Q$191)</f>
        <v>#DIV/0!</v>
      </c>
      <c r="R176" s="56" t="e">
        <f>R175+ATM_Conf!$C$5*(C175-B175)/(Links!C$191*Links!R$191)</f>
        <v>#DIV/0!</v>
      </c>
      <c r="S176" s="56" t="e">
        <f>S175+ATM_Conf!$C$5*(D175-C175)/(Links!D$191*Links!S$191)</f>
        <v>#DIV/0!</v>
      </c>
      <c r="T176" s="56" t="e">
        <f>T175+ATM_Conf!$C$5*(E175-D175)/(Links!E$191*Links!T$191)</f>
        <v>#DIV/0!</v>
      </c>
      <c r="U176" s="56" t="e">
        <f>U175+ATM_Conf!$C$5*(F175-E175)/(Links!F$191*Links!U$191)</f>
        <v>#DIV/0!</v>
      </c>
      <c r="V176" s="56" t="e">
        <f>V175+ATM_Conf!$C$5*(G175-F175)/(Links!G$191*Links!V$191)</f>
        <v>#DIV/0!</v>
      </c>
      <c r="W176" s="56" t="e">
        <f>W175+ATM_Conf!$C$5*(H175-G175)/(Links!H$191*Links!W$191)</f>
        <v>#DIV/0!</v>
      </c>
      <c r="X176" s="56" t="e">
        <f>X175+ATM_Conf!$C$5*(I175-H175)/(Links!I$191*Links!X$191)</f>
        <v>#DIV/0!</v>
      </c>
      <c r="Y176" s="56" t="e">
        <f>Y175+ATM_Conf!$C$5*(J175)/(Links!J$191*Links!Y$191)</f>
        <v>#DIV/0!</v>
      </c>
      <c r="Z176" s="56" t="e">
        <f>Z175+ATM_Conf!$C$5*(K175-J175)/(Links!K$191*Links!Z$191)</f>
        <v>#DIV/0!</v>
      </c>
      <c r="AA176" s="56" t="e">
        <f>AA175+ATM_Conf!$C$5*(L175-K175)/(Links!L$191*Links!AA$191)</f>
        <v>#DIV/0!</v>
      </c>
      <c r="AB176" s="56" t="e">
        <f>AB175+ATM_Conf!$C$5*(M175-L175)/(Links!M$191*Links!AB$191)</f>
        <v>#DIV/0!</v>
      </c>
      <c r="AC176" s="56" t="e">
        <f>AC175+ATM_Conf!$C$5*(N175-M175)/(Links!N$191*Links!AC$191)</f>
        <v>#DIV/0!</v>
      </c>
      <c r="AD176" s="56" t="e">
        <f>AD175+ATM_Conf!$C$5*(O175-N175)/(Links!O$191*Links!AD$191)</f>
        <v>#DIV/0!</v>
      </c>
      <c r="AE176" s="56" t="e">
        <f>AE175+ATM_Conf!$C$5*(P175-O175)/(Links!P$191*Links!AE$191)</f>
        <v>#DIV/0!</v>
      </c>
      <c r="AF176" s="46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6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6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6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6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6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6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6" t="e">
        <f>AM175+(ATM_Conf!$C$5/ATM_Conf!$C$8)*(Links!BB175*EXP((-(Links!X175/Links!BQ175)^Links!CF175)/Links!CF175)-Links!AM175)+(ATM_Conf!$C$5/Links!X$191)*Links!AM175*(Nodes!BH175-Links!AM175)</f>
        <v>#DIV/0!</v>
      </c>
      <c r="AN176" s="46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6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6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6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6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6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6" t="e">
        <f>AT175+(ATM_Conf!$C$5/ATM_Conf!$C$8)*(Links!BI175*EXP((-(Links!AE175/Links!BX175)^Links!CM175)/Links!CM175)-Links!AT175)+(ATM_Conf!$C$5/Links!AE$191)*Links!AT175*(Nodes!BN175-Links!AT175)</f>
        <v>#DIV/0!</v>
      </c>
      <c r="AU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I176" s="56"/>
      <c r="BJ176" s="46"/>
      <c r="BK176" s="46"/>
      <c r="BL176" s="46"/>
      <c r="BM176" s="46"/>
      <c r="BN176" s="46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56"/>
      <c r="BZ176" s="56"/>
      <c r="CA176" s="56"/>
      <c r="CB176" s="56"/>
      <c r="CC176" s="56"/>
      <c r="CD176" s="56"/>
      <c r="CE176" s="56"/>
      <c r="CF176" s="56"/>
      <c r="CG176" s="56"/>
      <c r="CH176" s="56"/>
      <c r="CI176" s="56"/>
      <c r="CJ176" s="56"/>
      <c r="CK176" s="56"/>
      <c r="CL176" s="56"/>
      <c r="CM176" s="56"/>
      <c r="CN176" s="46">
        <f t="shared" si="89"/>
        <v>0</v>
      </c>
      <c r="CO176" s="46">
        <f t="shared" si="89"/>
        <v>0</v>
      </c>
      <c r="CP176" s="46">
        <f t="shared" si="89"/>
        <v>0</v>
      </c>
      <c r="CQ176" s="46">
        <f t="shared" si="89"/>
        <v>0</v>
      </c>
      <c r="CR176" s="46">
        <f t="shared" si="89"/>
        <v>0</v>
      </c>
      <c r="CS176" s="46">
        <f t="shared" si="89"/>
        <v>0</v>
      </c>
      <c r="CT176" s="46">
        <f t="shared" si="89"/>
        <v>0</v>
      </c>
      <c r="CU176" s="46">
        <f t="shared" si="89"/>
        <v>0</v>
      </c>
      <c r="CV176" s="46">
        <f t="shared" si="89"/>
        <v>0</v>
      </c>
      <c r="CW176" s="46">
        <f t="shared" si="89"/>
        <v>0</v>
      </c>
      <c r="CX176" s="46">
        <f t="shared" si="89"/>
        <v>0</v>
      </c>
      <c r="CY176" s="46">
        <f t="shared" si="89"/>
        <v>0</v>
      </c>
      <c r="CZ176" s="46">
        <f t="shared" si="89"/>
        <v>0</v>
      </c>
      <c r="DA176" s="46">
        <f t="shared" si="89"/>
        <v>0</v>
      </c>
      <c r="DB176" s="46">
        <f t="shared" si="89"/>
        <v>0</v>
      </c>
      <c r="DC176" s="54"/>
      <c r="DD176" s="54"/>
      <c r="DE176" s="54"/>
      <c r="DF176" s="54"/>
      <c r="DG176" s="54"/>
      <c r="DH176" s="54"/>
      <c r="DI176" s="54"/>
      <c r="DJ176" s="54"/>
      <c r="DK176" s="54"/>
      <c r="DL176" s="54"/>
      <c r="DM176" s="54"/>
      <c r="DN176" s="54"/>
      <c r="DO176" s="54"/>
      <c r="DP176" s="54"/>
      <c r="DQ176" s="54"/>
    </row>
    <row r="177" spans="1:121" ht="14.25" x14ac:dyDescent="0.15">
      <c r="A177" s="49">
        <v>175</v>
      </c>
      <c r="B177" s="46" t="e">
        <f t="shared" si="63"/>
        <v>#DIV/0!</v>
      </c>
      <c r="C177" s="46" t="e">
        <f t="shared" si="64"/>
        <v>#DIV/0!</v>
      </c>
      <c r="D177" s="46" t="e">
        <f t="shared" si="65"/>
        <v>#DIV/0!</v>
      </c>
      <c r="E177" s="46" t="e">
        <f t="shared" si="66"/>
        <v>#DIV/0!</v>
      </c>
      <c r="F177" s="46" t="e">
        <f t="shared" si="67"/>
        <v>#DIV/0!</v>
      </c>
      <c r="G177" s="46" t="e">
        <f t="shared" si="68"/>
        <v>#DIV/0!</v>
      </c>
      <c r="H177" s="46" t="e">
        <f t="shared" si="69"/>
        <v>#DIV/0!</v>
      </c>
      <c r="I177" s="46" t="e">
        <f t="shared" si="70"/>
        <v>#DIV/0!</v>
      </c>
      <c r="J177" s="46" t="e">
        <f t="shared" si="71"/>
        <v>#DIV/0!</v>
      </c>
      <c r="K177" s="46" t="e">
        <f t="shared" si="72"/>
        <v>#DIV/0!</v>
      </c>
      <c r="L177" s="46" t="e">
        <f t="shared" si="73"/>
        <v>#DIV/0!</v>
      </c>
      <c r="M177" s="46" t="e">
        <f t="shared" si="74"/>
        <v>#DIV/0!</v>
      </c>
      <c r="N177" s="46" t="e">
        <f t="shared" si="75"/>
        <v>#DIV/0!</v>
      </c>
      <c r="O177" s="46" t="e">
        <f t="shared" si="76"/>
        <v>#DIV/0!</v>
      </c>
      <c r="P177" s="46" t="e">
        <f t="shared" si="77"/>
        <v>#DIV/0!</v>
      </c>
      <c r="Q177" s="56" t="e">
        <f>Q176+ATM_Conf!$C$5*(B176)/(Links!B$191*Links!Q$191)</f>
        <v>#DIV/0!</v>
      </c>
      <c r="R177" s="56" t="e">
        <f>R176+ATM_Conf!$C$5*(C176-B176)/(Links!C$191*Links!R$191)</f>
        <v>#DIV/0!</v>
      </c>
      <c r="S177" s="56" t="e">
        <f>S176+ATM_Conf!$C$5*(D176-C176)/(Links!D$191*Links!S$191)</f>
        <v>#DIV/0!</v>
      </c>
      <c r="T177" s="56" t="e">
        <f>T176+ATM_Conf!$C$5*(E176-D176)/(Links!E$191*Links!T$191)</f>
        <v>#DIV/0!</v>
      </c>
      <c r="U177" s="56" t="e">
        <f>U176+ATM_Conf!$C$5*(F176-E176)/(Links!F$191*Links!U$191)</f>
        <v>#DIV/0!</v>
      </c>
      <c r="V177" s="56" t="e">
        <f>V176+ATM_Conf!$C$5*(G176-F176)/(Links!G$191*Links!V$191)</f>
        <v>#DIV/0!</v>
      </c>
      <c r="W177" s="56" t="e">
        <f>W176+ATM_Conf!$C$5*(H176-G176)/(Links!H$191*Links!W$191)</f>
        <v>#DIV/0!</v>
      </c>
      <c r="X177" s="56" t="e">
        <f>X176+ATM_Conf!$C$5*(I176-H176)/(Links!I$191*Links!X$191)</f>
        <v>#DIV/0!</v>
      </c>
      <c r="Y177" s="56" t="e">
        <f>Y176+ATM_Conf!$C$5*(J176)/(Links!J$191*Links!Y$191)</f>
        <v>#DIV/0!</v>
      </c>
      <c r="Z177" s="56" t="e">
        <f>Z176+ATM_Conf!$C$5*(K176-J176)/(Links!K$191*Links!Z$191)</f>
        <v>#DIV/0!</v>
      </c>
      <c r="AA177" s="56" t="e">
        <f>AA176+ATM_Conf!$C$5*(L176-K176)/(Links!L$191*Links!AA$191)</f>
        <v>#DIV/0!</v>
      </c>
      <c r="AB177" s="56" t="e">
        <f>AB176+ATM_Conf!$C$5*(M176-L176)/(Links!M$191*Links!AB$191)</f>
        <v>#DIV/0!</v>
      </c>
      <c r="AC177" s="56" t="e">
        <f>AC176+ATM_Conf!$C$5*(N176-M176)/(Links!N$191*Links!AC$191)</f>
        <v>#DIV/0!</v>
      </c>
      <c r="AD177" s="56" t="e">
        <f>AD176+ATM_Conf!$C$5*(O176-N176)/(Links!O$191*Links!AD$191)</f>
        <v>#DIV/0!</v>
      </c>
      <c r="AE177" s="56" t="e">
        <f>AE176+ATM_Conf!$C$5*(P176-O176)/(Links!P$191*Links!AE$191)</f>
        <v>#DIV/0!</v>
      </c>
      <c r="AF177" s="46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6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6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6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6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6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6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6" t="e">
        <f>AM176+(ATM_Conf!$C$5/ATM_Conf!$C$8)*(Links!BB176*EXP((-(Links!X176/Links!BQ176)^Links!CF176)/Links!CF176)-Links!AM176)+(ATM_Conf!$C$5/Links!X$191)*Links!AM176*(Nodes!BH176-Links!AM176)</f>
        <v>#DIV/0!</v>
      </c>
      <c r="AN177" s="46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6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6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6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6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6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6" t="e">
        <f>AT176+(ATM_Conf!$C$5/ATM_Conf!$C$8)*(Links!BI176*EXP((-(Links!AE176/Links!BX176)^Links!CM176)/Links!CM176)-Links!AT176)+(ATM_Conf!$C$5/Links!AE$191)*Links!AT176*(Nodes!BN176-Links!AT176)</f>
        <v>#DIV/0!</v>
      </c>
      <c r="AU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6"/>
      <c r="BJ177" s="46"/>
      <c r="BK177" s="46"/>
      <c r="BL177" s="46"/>
      <c r="BM177" s="46"/>
      <c r="BN177" s="46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56"/>
      <c r="BZ177" s="56"/>
      <c r="CA177" s="56"/>
      <c r="CB177" s="56"/>
      <c r="CC177" s="56"/>
      <c r="CD177" s="56"/>
      <c r="CE177" s="56"/>
      <c r="CF177" s="56"/>
      <c r="CG177" s="56"/>
      <c r="CH177" s="56"/>
      <c r="CI177" s="56"/>
      <c r="CJ177" s="56"/>
      <c r="CK177" s="56"/>
      <c r="CL177" s="56"/>
      <c r="CM177" s="56"/>
      <c r="CN177" s="46">
        <f t="shared" si="89"/>
        <v>0</v>
      </c>
      <c r="CO177" s="46">
        <f t="shared" si="89"/>
        <v>0</v>
      </c>
      <c r="CP177" s="46">
        <f t="shared" si="89"/>
        <v>0</v>
      </c>
      <c r="CQ177" s="46">
        <f t="shared" si="89"/>
        <v>0</v>
      </c>
      <c r="CR177" s="46">
        <f t="shared" si="89"/>
        <v>0</v>
      </c>
      <c r="CS177" s="46">
        <f t="shared" si="89"/>
        <v>0</v>
      </c>
      <c r="CT177" s="46">
        <f t="shared" si="89"/>
        <v>0</v>
      </c>
      <c r="CU177" s="46">
        <f t="shared" si="89"/>
        <v>0</v>
      </c>
      <c r="CV177" s="46">
        <f t="shared" si="89"/>
        <v>0</v>
      </c>
      <c r="CW177" s="46">
        <f t="shared" si="89"/>
        <v>0</v>
      </c>
      <c r="CX177" s="46">
        <f t="shared" si="89"/>
        <v>0</v>
      </c>
      <c r="CY177" s="46">
        <f t="shared" si="89"/>
        <v>0</v>
      </c>
      <c r="CZ177" s="46">
        <f t="shared" si="89"/>
        <v>0</v>
      </c>
      <c r="DA177" s="46">
        <f t="shared" si="89"/>
        <v>0</v>
      </c>
      <c r="DB177" s="46">
        <f t="shared" si="89"/>
        <v>0</v>
      </c>
      <c r="DC177" s="54"/>
      <c r="DD177" s="54"/>
      <c r="DE177" s="54"/>
      <c r="DF177" s="54"/>
      <c r="DG177" s="54"/>
      <c r="DH177" s="54"/>
      <c r="DI177" s="54"/>
      <c r="DJ177" s="54"/>
      <c r="DK177" s="54"/>
      <c r="DL177" s="54"/>
      <c r="DM177" s="54"/>
      <c r="DN177" s="54"/>
      <c r="DO177" s="54"/>
      <c r="DP177" s="54"/>
      <c r="DQ177" s="54"/>
    </row>
    <row r="178" spans="1:121" ht="14.25" x14ac:dyDescent="0.15">
      <c r="A178" s="49">
        <v>176</v>
      </c>
      <c r="B178" s="46" t="e">
        <f t="shared" si="63"/>
        <v>#DIV/0!</v>
      </c>
      <c r="C178" s="46" t="e">
        <f t="shared" si="64"/>
        <v>#DIV/0!</v>
      </c>
      <c r="D178" s="46" t="e">
        <f t="shared" si="65"/>
        <v>#DIV/0!</v>
      </c>
      <c r="E178" s="46" t="e">
        <f t="shared" si="66"/>
        <v>#DIV/0!</v>
      </c>
      <c r="F178" s="46" t="e">
        <f t="shared" si="67"/>
        <v>#DIV/0!</v>
      </c>
      <c r="G178" s="46" t="e">
        <f t="shared" si="68"/>
        <v>#DIV/0!</v>
      </c>
      <c r="H178" s="46" t="e">
        <f t="shared" si="69"/>
        <v>#DIV/0!</v>
      </c>
      <c r="I178" s="46" t="e">
        <f t="shared" si="70"/>
        <v>#DIV/0!</v>
      </c>
      <c r="J178" s="46" t="e">
        <f t="shared" si="71"/>
        <v>#DIV/0!</v>
      </c>
      <c r="K178" s="46" t="e">
        <f t="shared" si="72"/>
        <v>#DIV/0!</v>
      </c>
      <c r="L178" s="46" t="e">
        <f t="shared" si="73"/>
        <v>#DIV/0!</v>
      </c>
      <c r="M178" s="46" t="e">
        <f t="shared" si="74"/>
        <v>#DIV/0!</v>
      </c>
      <c r="N178" s="46" t="e">
        <f t="shared" si="75"/>
        <v>#DIV/0!</v>
      </c>
      <c r="O178" s="46" t="e">
        <f t="shared" si="76"/>
        <v>#DIV/0!</v>
      </c>
      <c r="P178" s="46" t="e">
        <f t="shared" si="77"/>
        <v>#DIV/0!</v>
      </c>
      <c r="Q178" s="56" t="e">
        <f>Q177+ATM_Conf!$C$5*(B177)/(Links!B$191*Links!Q$191)</f>
        <v>#DIV/0!</v>
      </c>
      <c r="R178" s="56" t="e">
        <f>R177+ATM_Conf!$C$5*(C177-B177)/(Links!C$191*Links!R$191)</f>
        <v>#DIV/0!</v>
      </c>
      <c r="S178" s="56" t="e">
        <f>S177+ATM_Conf!$C$5*(D177-C177)/(Links!D$191*Links!S$191)</f>
        <v>#DIV/0!</v>
      </c>
      <c r="T178" s="56" t="e">
        <f>T177+ATM_Conf!$C$5*(E177-D177)/(Links!E$191*Links!T$191)</f>
        <v>#DIV/0!</v>
      </c>
      <c r="U178" s="56" t="e">
        <f>U177+ATM_Conf!$C$5*(F177-E177)/(Links!F$191*Links!U$191)</f>
        <v>#DIV/0!</v>
      </c>
      <c r="V178" s="56" t="e">
        <f>V177+ATM_Conf!$C$5*(G177-F177)/(Links!G$191*Links!V$191)</f>
        <v>#DIV/0!</v>
      </c>
      <c r="W178" s="56" t="e">
        <f>W177+ATM_Conf!$C$5*(H177-G177)/(Links!H$191*Links!W$191)</f>
        <v>#DIV/0!</v>
      </c>
      <c r="X178" s="56" t="e">
        <f>X177+ATM_Conf!$C$5*(I177-H177)/(Links!I$191*Links!X$191)</f>
        <v>#DIV/0!</v>
      </c>
      <c r="Y178" s="56" t="e">
        <f>Y177+ATM_Conf!$C$5*(J177)/(Links!J$191*Links!Y$191)</f>
        <v>#DIV/0!</v>
      </c>
      <c r="Z178" s="56" t="e">
        <f>Z177+ATM_Conf!$C$5*(K177-J177)/(Links!K$191*Links!Z$191)</f>
        <v>#DIV/0!</v>
      </c>
      <c r="AA178" s="56" t="e">
        <f>AA177+ATM_Conf!$C$5*(L177-K177)/(Links!L$191*Links!AA$191)</f>
        <v>#DIV/0!</v>
      </c>
      <c r="AB178" s="56" t="e">
        <f>AB177+ATM_Conf!$C$5*(M177-L177)/(Links!M$191*Links!AB$191)</f>
        <v>#DIV/0!</v>
      </c>
      <c r="AC178" s="56" t="e">
        <f>AC177+ATM_Conf!$C$5*(N177-M177)/(Links!N$191*Links!AC$191)</f>
        <v>#DIV/0!</v>
      </c>
      <c r="AD178" s="56" t="e">
        <f>AD177+ATM_Conf!$C$5*(O177-N177)/(Links!O$191*Links!AD$191)</f>
        <v>#DIV/0!</v>
      </c>
      <c r="AE178" s="56" t="e">
        <f>AE177+ATM_Conf!$C$5*(P177-O177)/(Links!P$191*Links!AE$191)</f>
        <v>#DIV/0!</v>
      </c>
      <c r="AF178" s="46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6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6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6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6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6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6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6" t="e">
        <f>AM177+(ATM_Conf!$C$5/ATM_Conf!$C$8)*(Links!BB177*EXP((-(Links!X177/Links!BQ177)^Links!CF177)/Links!CF177)-Links!AM177)+(ATM_Conf!$C$5/Links!X$191)*Links!AM177*(Nodes!BH177-Links!AM177)</f>
        <v>#DIV/0!</v>
      </c>
      <c r="AN178" s="46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6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6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6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6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6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6" t="e">
        <f>AT177+(ATM_Conf!$C$5/ATM_Conf!$C$8)*(Links!BI177*EXP((-(Links!AE177/Links!BX177)^Links!CM177)/Links!CM177)-Links!AT177)+(ATM_Conf!$C$5/Links!AE$191)*Links!AT177*(Nodes!BN177-Links!AT177)</f>
        <v>#DIV/0!</v>
      </c>
      <c r="AU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I178" s="56"/>
      <c r="BJ178" s="46"/>
      <c r="BK178" s="46"/>
      <c r="BL178" s="46"/>
      <c r="BM178" s="46"/>
      <c r="BN178" s="46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56"/>
      <c r="BZ178" s="56"/>
      <c r="CA178" s="56"/>
      <c r="CB178" s="56"/>
      <c r="CC178" s="56"/>
      <c r="CD178" s="56"/>
      <c r="CE178" s="56"/>
      <c r="CF178" s="56"/>
      <c r="CG178" s="56"/>
      <c r="CH178" s="56"/>
      <c r="CI178" s="56"/>
      <c r="CJ178" s="56"/>
      <c r="CK178" s="56"/>
      <c r="CL178" s="56"/>
      <c r="CM178" s="56"/>
      <c r="CN178" s="46">
        <f t="shared" si="89"/>
        <v>0</v>
      </c>
      <c r="CO178" s="46">
        <f t="shared" si="89"/>
        <v>0</v>
      </c>
      <c r="CP178" s="46">
        <f t="shared" si="89"/>
        <v>0</v>
      </c>
      <c r="CQ178" s="46">
        <f t="shared" si="89"/>
        <v>0</v>
      </c>
      <c r="CR178" s="46">
        <f t="shared" si="89"/>
        <v>0</v>
      </c>
      <c r="CS178" s="46">
        <f t="shared" si="89"/>
        <v>0</v>
      </c>
      <c r="CT178" s="46">
        <f t="shared" si="89"/>
        <v>0</v>
      </c>
      <c r="CU178" s="46">
        <f t="shared" si="89"/>
        <v>0</v>
      </c>
      <c r="CV178" s="46">
        <f t="shared" si="89"/>
        <v>0</v>
      </c>
      <c r="CW178" s="46">
        <f t="shared" si="89"/>
        <v>0</v>
      </c>
      <c r="CX178" s="46">
        <f t="shared" si="89"/>
        <v>0</v>
      </c>
      <c r="CY178" s="46">
        <f t="shared" si="89"/>
        <v>0</v>
      </c>
      <c r="CZ178" s="46">
        <f t="shared" si="89"/>
        <v>0</v>
      </c>
      <c r="DA178" s="46">
        <f t="shared" si="89"/>
        <v>0</v>
      </c>
      <c r="DB178" s="46">
        <f t="shared" si="89"/>
        <v>0</v>
      </c>
      <c r="DC178" s="54"/>
      <c r="DD178" s="54"/>
      <c r="DE178" s="54"/>
      <c r="DF178" s="54"/>
      <c r="DG178" s="54"/>
      <c r="DH178" s="54"/>
      <c r="DI178" s="54"/>
      <c r="DJ178" s="54"/>
      <c r="DK178" s="54"/>
      <c r="DL178" s="54"/>
      <c r="DM178" s="54"/>
      <c r="DN178" s="54"/>
      <c r="DO178" s="54"/>
      <c r="DP178" s="54"/>
      <c r="DQ178" s="54"/>
    </row>
    <row r="179" spans="1:121" ht="14.25" x14ac:dyDescent="0.15">
      <c r="A179" s="49">
        <v>177</v>
      </c>
      <c r="B179" s="46" t="e">
        <f t="shared" si="63"/>
        <v>#DIV/0!</v>
      </c>
      <c r="C179" s="46" t="e">
        <f t="shared" si="64"/>
        <v>#DIV/0!</v>
      </c>
      <c r="D179" s="46" t="e">
        <f t="shared" si="65"/>
        <v>#DIV/0!</v>
      </c>
      <c r="E179" s="46" t="e">
        <f t="shared" si="66"/>
        <v>#DIV/0!</v>
      </c>
      <c r="F179" s="46" t="e">
        <f t="shared" si="67"/>
        <v>#DIV/0!</v>
      </c>
      <c r="G179" s="46" t="e">
        <f t="shared" si="68"/>
        <v>#DIV/0!</v>
      </c>
      <c r="H179" s="46" t="e">
        <f t="shared" si="69"/>
        <v>#DIV/0!</v>
      </c>
      <c r="I179" s="46" t="e">
        <f t="shared" si="70"/>
        <v>#DIV/0!</v>
      </c>
      <c r="J179" s="46" t="e">
        <f t="shared" si="71"/>
        <v>#DIV/0!</v>
      </c>
      <c r="K179" s="46" t="e">
        <f t="shared" si="72"/>
        <v>#DIV/0!</v>
      </c>
      <c r="L179" s="46" t="e">
        <f t="shared" si="73"/>
        <v>#DIV/0!</v>
      </c>
      <c r="M179" s="46" t="e">
        <f t="shared" si="74"/>
        <v>#DIV/0!</v>
      </c>
      <c r="N179" s="46" t="e">
        <f t="shared" si="75"/>
        <v>#DIV/0!</v>
      </c>
      <c r="O179" s="46" t="e">
        <f t="shared" si="76"/>
        <v>#DIV/0!</v>
      </c>
      <c r="P179" s="46" t="e">
        <f t="shared" si="77"/>
        <v>#DIV/0!</v>
      </c>
      <c r="Q179" s="56" t="e">
        <f>Q178+ATM_Conf!$C$5*(B178)/(Links!B$191*Links!Q$191)</f>
        <v>#DIV/0!</v>
      </c>
      <c r="R179" s="56" t="e">
        <f>R178+ATM_Conf!$C$5*(C178-B178)/(Links!C$191*Links!R$191)</f>
        <v>#DIV/0!</v>
      </c>
      <c r="S179" s="56" t="e">
        <f>S178+ATM_Conf!$C$5*(D178-C178)/(Links!D$191*Links!S$191)</f>
        <v>#DIV/0!</v>
      </c>
      <c r="T179" s="56" t="e">
        <f>T178+ATM_Conf!$C$5*(E178-D178)/(Links!E$191*Links!T$191)</f>
        <v>#DIV/0!</v>
      </c>
      <c r="U179" s="56" t="e">
        <f>U178+ATM_Conf!$C$5*(F178-E178)/(Links!F$191*Links!U$191)</f>
        <v>#DIV/0!</v>
      </c>
      <c r="V179" s="56" t="e">
        <f>V178+ATM_Conf!$C$5*(G178-F178)/(Links!G$191*Links!V$191)</f>
        <v>#DIV/0!</v>
      </c>
      <c r="W179" s="56" t="e">
        <f>W178+ATM_Conf!$C$5*(H178-G178)/(Links!H$191*Links!W$191)</f>
        <v>#DIV/0!</v>
      </c>
      <c r="X179" s="56" t="e">
        <f>X178+ATM_Conf!$C$5*(I178-H178)/(Links!I$191*Links!X$191)</f>
        <v>#DIV/0!</v>
      </c>
      <c r="Y179" s="56" t="e">
        <f>Y178+ATM_Conf!$C$5*(J178)/(Links!J$191*Links!Y$191)</f>
        <v>#DIV/0!</v>
      </c>
      <c r="Z179" s="56" t="e">
        <f>Z178+ATM_Conf!$C$5*(K178-J178)/(Links!K$191*Links!Z$191)</f>
        <v>#DIV/0!</v>
      </c>
      <c r="AA179" s="56" t="e">
        <f>AA178+ATM_Conf!$C$5*(L178-K178)/(Links!L$191*Links!AA$191)</f>
        <v>#DIV/0!</v>
      </c>
      <c r="AB179" s="56" t="e">
        <f>AB178+ATM_Conf!$C$5*(M178-L178)/(Links!M$191*Links!AB$191)</f>
        <v>#DIV/0!</v>
      </c>
      <c r="AC179" s="56" t="e">
        <f>AC178+ATM_Conf!$C$5*(N178-M178)/(Links!N$191*Links!AC$191)</f>
        <v>#DIV/0!</v>
      </c>
      <c r="AD179" s="56" t="e">
        <f>AD178+ATM_Conf!$C$5*(O178-N178)/(Links!O$191*Links!AD$191)</f>
        <v>#DIV/0!</v>
      </c>
      <c r="AE179" s="56" t="e">
        <f>AE178+ATM_Conf!$C$5*(P178-O178)/(Links!P$191*Links!AE$191)</f>
        <v>#DIV/0!</v>
      </c>
      <c r="AF179" s="46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6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6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6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6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6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6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6" t="e">
        <f>AM178+(ATM_Conf!$C$5/ATM_Conf!$C$8)*(Links!BB178*EXP((-(Links!X178/Links!BQ178)^Links!CF178)/Links!CF178)-Links!AM178)+(ATM_Conf!$C$5/Links!X$191)*Links!AM178*(Nodes!BH178-Links!AM178)</f>
        <v>#DIV/0!</v>
      </c>
      <c r="AN179" s="46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6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6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6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6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6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6" t="e">
        <f>AT178+(ATM_Conf!$C$5/ATM_Conf!$C$8)*(Links!BI178*EXP((-(Links!AE178/Links!BX178)^Links!CM178)/Links!CM178)-Links!AT178)+(ATM_Conf!$C$5/Links!AE$191)*Links!AT178*(Nodes!BN178-Links!AT178)</f>
        <v>#DIV/0!</v>
      </c>
      <c r="AU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I179" s="56"/>
      <c r="BJ179" s="46"/>
      <c r="BK179" s="46"/>
      <c r="BL179" s="46"/>
      <c r="BM179" s="46"/>
      <c r="BN179" s="46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56"/>
      <c r="BZ179" s="56"/>
      <c r="CA179" s="56"/>
      <c r="CB179" s="56"/>
      <c r="CC179" s="56"/>
      <c r="CD179" s="56"/>
      <c r="CE179" s="56"/>
      <c r="CF179" s="56"/>
      <c r="CG179" s="56"/>
      <c r="CH179" s="56"/>
      <c r="CI179" s="56"/>
      <c r="CJ179" s="56"/>
      <c r="CK179" s="56"/>
      <c r="CL179" s="56"/>
      <c r="CM179" s="56"/>
      <c r="CN179" s="46">
        <f t="shared" si="89"/>
        <v>0</v>
      </c>
      <c r="CO179" s="46">
        <f t="shared" si="89"/>
        <v>0</v>
      </c>
      <c r="CP179" s="46">
        <f t="shared" si="89"/>
        <v>0</v>
      </c>
      <c r="CQ179" s="46">
        <f t="shared" si="89"/>
        <v>0</v>
      </c>
      <c r="CR179" s="46">
        <f t="shared" si="89"/>
        <v>0</v>
      </c>
      <c r="CS179" s="46">
        <f t="shared" si="89"/>
        <v>0</v>
      </c>
      <c r="CT179" s="46">
        <f t="shared" si="89"/>
        <v>0</v>
      </c>
      <c r="CU179" s="46">
        <f t="shared" si="89"/>
        <v>0</v>
      </c>
      <c r="CV179" s="46">
        <f t="shared" si="89"/>
        <v>0</v>
      </c>
      <c r="CW179" s="46">
        <f t="shared" si="89"/>
        <v>0</v>
      </c>
      <c r="CX179" s="46">
        <f t="shared" si="89"/>
        <v>0</v>
      </c>
      <c r="CY179" s="46">
        <f t="shared" si="89"/>
        <v>0</v>
      </c>
      <c r="CZ179" s="46">
        <f t="shared" si="89"/>
        <v>0</v>
      </c>
      <c r="DA179" s="46">
        <f t="shared" si="89"/>
        <v>0</v>
      </c>
      <c r="DB179" s="46">
        <f t="shared" si="89"/>
        <v>0</v>
      </c>
      <c r="DC179" s="54"/>
      <c r="DD179" s="54"/>
      <c r="DE179" s="54"/>
      <c r="DF179" s="54"/>
      <c r="DG179" s="54"/>
      <c r="DH179" s="54"/>
      <c r="DI179" s="54"/>
      <c r="DJ179" s="54"/>
      <c r="DK179" s="54"/>
      <c r="DL179" s="54"/>
      <c r="DM179" s="54"/>
      <c r="DN179" s="54"/>
      <c r="DO179" s="54"/>
      <c r="DP179" s="54"/>
      <c r="DQ179" s="54"/>
    </row>
    <row r="180" spans="1:121" ht="14.25" x14ac:dyDescent="0.15">
      <c r="A180" s="49">
        <v>178</v>
      </c>
      <c r="B180" s="46" t="e">
        <f t="shared" si="63"/>
        <v>#DIV/0!</v>
      </c>
      <c r="C180" s="46" t="e">
        <f t="shared" si="64"/>
        <v>#DIV/0!</v>
      </c>
      <c r="D180" s="46" t="e">
        <f t="shared" si="65"/>
        <v>#DIV/0!</v>
      </c>
      <c r="E180" s="46" t="e">
        <f t="shared" si="66"/>
        <v>#DIV/0!</v>
      </c>
      <c r="F180" s="46" t="e">
        <f t="shared" si="67"/>
        <v>#DIV/0!</v>
      </c>
      <c r="G180" s="46" t="e">
        <f t="shared" si="68"/>
        <v>#DIV/0!</v>
      </c>
      <c r="H180" s="46" t="e">
        <f t="shared" si="69"/>
        <v>#DIV/0!</v>
      </c>
      <c r="I180" s="46" t="e">
        <f t="shared" si="70"/>
        <v>#DIV/0!</v>
      </c>
      <c r="J180" s="46" t="e">
        <f t="shared" si="71"/>
        <v>#DIV/0!</v>
      </c>
      <c r="K180" s="46" t="e">
        <f t="shared" si="72"/>
        <v>#DIV/0!</v>
      </c>
      <c r="L180" s="46" t="e">
        <f t="shared" si="73"/>
        <v>#DIV/0!</v>
      </c>
      <c r="M180" s="46" t="e">
        <f t="shared" si="74"/>
        <v>#DIV/0!</v>
      </c>
      <c r="N180" s="46" t="e">
        <f t="shared" si="75"/>
        <v>#DIV/0!</v>
      </c>
      <c r="O180" s="46" t="e">
        <f t="shared" si="76"/>
        <v>#DIV/0!</v>
      </c>
      <c r="P180" s="46" t="e">
        <f t="shared" si="77"/>
        <v>#DIV/0!</v>
      </c>
      <c r="Q180" s="56" t="e">
        <f>Q179+ATM_Conf!$C$5*(B179)/(Links!B$191*Links!Q$191)</f>
        <v>#DIV/0!</v>
      </c>
      <c r="R180" s="56" t="e">
        <f>R179+ATM_Conf!$C$5*(C179-B179)/(Links!C$191*Links!R$191)</f>
        <v>#DIV/0!</v>
      </c>
      <c r="S180" s="56" t="e">
        <f>S179+ATM_Conf!$C$5*(D179-C179)/(Links!D$191*Links!S$191)</f>
        <v>#DIV/0!</v>
      </c>
      <c r="T180" s="56" t="e">
        <f>T179+ATM_Conf!$C$5*(E179-D179)/(Links!E$191*Links!T$191)</f>
        <v>#DIV/0!</v>
      </c>
      <c r="U180" s="56" t="e">
        <f>U179+ATM_Conf!$C$5*(F179-E179)/(Links!F$191*Links!U$191)</f>
        <v>#DIV/0!</v>
      </c>
      <c r="V180" s="56" t="e">
        <f>V179+ATM_Conf!$C$5*(G179-F179)/(Links!G$191*Links!V$191)</f>
        <v>#DIV/0!</v>
      </c>
      <c r="W180" s="56" t="e">
        <f>W179+ATM_Conf!$C$5*(H179-G179)/(Links!H$191*Links!W$191)</f>
        <v>#DIV/0!</v>
      </c>
      <c r="X180" s="56" t="e">
        <f>X179+ATM_Conf!$C$5*(I179-H179)/(Links!I$191*Links!X$191)</f>
        <v>#DIV/0!</v>
      </c>
      <c r="Y180" s="56" t="e">
        <f>Y179+ATM_Conf!$C$5*(J179)/(Links!J$191*Links!Y$191)</f>
        <v>#DIV/0!</v>
      </c>
      <c r="Z180" s="56" t="e">
        <f>Z179+ATM_Conf!$C$5*(K179-J179)/(Links!K$191*Links!Z$191)</f>
        <v>#DIV/0!</v>
      </c>
      <c r="AA180" s="56" t="e">
        <f>AA179+ATM_Conf!$C$5*(L179-K179)/(Links!L$191*Links!AA$191)</f>
        <v>#DIV/0!</v>
      </c>
      <c r="AB180" s="56" t="e">
        <f>AB179+ATM_Conf!$C$5*(M179-L179)/(Links!M$191*Links!AB$191)</f>
        <v>#DIV/0!</v>
      </c>
      <c r="AC180" s="56" t="e">
        <f>AC179+ATM_Conf!$C$5*(N179-M179)/(Links!N$191*Links!AC$191)</f>
        <v>#DIV/0!</v>
      </c>
      <c r="AD180" s="56" t="e">
        <f>AD179+ATM_Conf!$C$5*(O179-N179)/(Links!O$191*Links!AD$191)</f>
        <v>#DIV/0!</v>
      </c>
      <c r="AE180" s="56" t="e">
        <f>AE179+ATM_Conf!$C$5*(P179-O179)/(Links!P$191*Links!AE$191)</f>
        <v>#DIV/0!</v>
      </c>
      <c r="AF180" s="46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6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6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6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6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6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6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6" t="e">
        <f>AM179+(ATM_Conf!$C$5/ATM_Conf!$C$8)*(Links!BB179*EXP((-(Links!X179/Links!BQ179)^Links!CF179)/Links!CF179)-Links!AM179)+(ATM_Conf!$C$5/Links!X$191)*Links!AM179*(Nodes!BH179-Links!AM179)</f>
        <v>#DIV/0!</v>
      </c>
      <c r="AN180" s="46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6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6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6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6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6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6" t="e">
        <f>AT179+(ATM_Conf!$C$5/ATM_Conf!$C$8)*(Links!BI179*EXP((-(Links!AE179/Links!BX179)^Links!CM179)/Links!CM179)-Links!AT179)+(ATM_Conf!$C$5/Links!AE$191)*Links!AT179*(Nodes!BN179-Links!AT179)</f>
        <v>#DIV/0!</v>
      </c>
      <c r="AU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I180" s="56"/>
      <c r="BJ180" s="46"/>
      <c r="BK180" s="46"/>
      <c r="BL180" s="46"/>
      <c r="BM180" s="46"/>
      <c r="BN180" s="46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56"/>
      <c r="BZ180" s="56"/>
      <c r="CA180" s="56"/>
      <c r="CB180" s="56"/>
      <c r="CC180" s="56"/>
      <c r="CD180" s="56"/>
      <c r="CE180" s="56"/>
      <c r="CF180" s="56"/>
      <c r="CG180" s="56"/>
      <c r="CH180" s="56"/>
      <c r="CI180" s="56"/>
      <c r="CJ180" s="56"/>
      <c r="CK180" s="56"/>
      <c r="CL180" s="56"/>
      <c r="CM180" s="56"/>
      <c r="CN180" s="46">
        <f t="shared" si="89"/>
        <v>0</v>
      </c>
      <c r="CO180" s="46">
        <f t="shared" si="89"/>
        <v>0</v>
      </c>
      <c r="CP180" s="46">
        <f t="shared" si="89"/>
        <v>0</v>
      </c>
      <c r="CQ180" s="46">
        <f t="shared" si="89"/>
        <v>0</v>
      </c>
      <c r="CR180" s="46">
        <f t="shared" si="89"/>
        <v>0</v>
      </c>
      <c r="CS180" s="46">
        <f t="shared" si="89"/>
        <v>0</v>
      </c>
      <c r="CT180" s="46">
        <f t="shared" si="89"/>
        <v>0</v>
      </c>
      <c r="CU180" s="46">
        <f t="shared" si="89"/>
        <v>0</v>
      </c>
      <c r="CV180" s="46">
        <f t="shared" si="89"/>
        <v>0</v>
      </c>
      <c r="CW180" s="46">
        <f t="shared" si="89"/>
        <v>0</v>
      </c>
      <c r="CX180" s="46">
        <f t="shared" si="89"/>
        <v>0</v>
      </c>
      <c r="CY180" s="46">
        <f t="shared" si="89"/>
        <v>0</v>
      </c>
      <c r="CZ180" s="46">
        <f t="shared" si="89"/>
        <v>0</v>
      </c>
      <c r="DA180" s="46">
        <f t="shared" si="89"/>
        <v>0</v>
      </c>
      <c r="DB180" s="46">
        <f t="shared" si="89"/>
        <v>0</v>
      </c>
      <c r="DC180" s="54"/>
      <c r="DD180" s="54"/>
      <c r="DE180" s="54"/>
      <c r="DF180" s="54"/>
      <c r="DG180" s="54"/>
      <c r="DH180" s="54"/>
      <c r="DI180" s="54"/>
      <c r="DJ180" s="54"/>
      <c r="DK180" s="54"/>
      <c r="DL180" s="54"/>
      <c r="DM180" s="54"/>
      <c r="DN180" s="54"/>
      <c r="DO180" s="54"/>
      <c r="DP180" s="54"/>
      <c r="DQ180" s="54"/>
    </row>
    <row r="181" spans="1:121" ht="14.25" x14ac:dyDescent="0.15">
      <c r="A181" s="49">
        <v>179</v>
      </c>
      <c r="B181" s="46" t="e">
        <f t="shared" si="63"/>
        <v>#DIV/0!</v>
      </c>
      <c r="C181" s="46" t="e">
        <f t="shared" si="64"/>
        <v>#DIV/0!</v>
      </c>
      <c r="D181" s="46" t="e">
        <f t="shared" si="65"/>
        <v>#DIV/0!</v>
      </c>
      <c r="E181" s="46" t="e">
        <f t="shared" si="66"/>
        <v>#DIV/0!</v>
      </c>
      <c r="F181" s="46" t="e">
        <f t="shared" si="67"/>
        <v>#DIV/0!</v>
      </c>
      <c r="G181" s="46" t="e">
        <f t="shared" si="68"/>
        <v>#DIV/0!</v>
      </c>
      <c r="H181" s="46" t="e">
        <f t="shared" si="69"/>
        <v>#DIV/0!</v>
      </c>
      <c r="I181" s="46" t="e">
        <f t="shared" si="70"/>
        <v>#DIV/0!</v>
      </c>
      <c r="J181" s="46" t="e">
        <f t="shared" si="71"/>
        <v>#DIV/0!</v>
      </c>
      <c r="K181" s="46" t="e">
        <f t="shared" si="72"/>
        <v>#DIV/0!</v>
      </c>
      <c r="L181" s="46" t="e">
        <f t="shared" si="73"/>
        <v>#DIV/0!</v>
      </c>
      <c r="M181" s="46" t="e">
        <f t="shared" si="74"/>
        <v>#DIV/0!</v>
      </c>
      <c r="N181" s="46" t="e">
        <f t="shared" si="75"/>
        <v>#DIV/0!</v>
      </c>
      <c r="O181" s="46" t="e">
        <f t="shared" si="76"/>
        <v>#DIV/0!</v>
      </c>
      <c r="P181" s="46" t="e">
        <f t="shared" si="77"/>
        <v>#DIV/0!</v>
      </c>
      <c r="Q181" s="56" t="e">
        <f>Q180+ATM_Conf!$C$5*(B180)/(Links!B$191*Links!Q$191)</f>
        <v>#DIV/0!</v>
      </c>
      <c r="R181" s="56" t="e">
        <f>R180+ATM_Conf!$C$5*(C180-B180)/(Links!C$191*Links!R$191)</f>
        <v>#DIV/0!</v>
      </c>
      <c r="S181" s="56" t="e">
        <f>S180+ATM_Conf!$C$5*(D180-C180)/(Links!D$191*Links!S$191)</f>
        <v>#DIV/0!</v>
      </c>
      <c r="T181" s="56" t="e">
        <f>T180+ATM_Conf!$C$5*(E180-D180)/(Links!E$191*Links!T$191)</f>
        <v>#DIV/0!</v>
      </c>
      <c r="U181" s="56" t="e">
        <f>U180+ATM_Conf!$C$5*(F180-E180)/(Links!F$191*Links!U$191)</f>
        <v>#DIV/0!</v>
      </c>
      <c r="V181" s="56" t="e">
        <f>V180+ATM_Conf!$C$5*(G180-F180)/(Links!G$191*Links!V$191)</f>
        <v>#DIV/0!</v>
      </c>
      <c r="W181" s="56" t="e">
        <f>W180+ATM_Conf!$C$5*(H180-G180)/(Links!H$191*Links!W$191)</f>
        <v>#DIV/0!</v>
      </c>
      <c r="X181" s="56" t="e">
        <f>X180+ATM_Conf!$C$5*(I180-H180)/(Links!I$191*Links!X$191)</f>
        <v>#DIV/0!</v>
      </c>
      <c r="Y181" s="56" t="e">
        <f>Y180+ATM_Conf!$C$5*(J180)/(Links!J$191*Links!Y$191)</f>
        <v>#DIV/0!</v>
      </c>
      <c r="Z181" s="56" t="e">
        <f>Z180+ATM_Conf!$C$5*(K180-J180)/(Links!K$191*Links!Z$191)</f>
        <v>#DIV/0!</v>
      </c>
      <c r="AA181" s="56" t="e">
        <f>AA180+ATM_Conf!$C$5*(L180-K180)/(Links!L$191*Links!AA$191)</f>
        <v>#DIV/0!</v>
      </c>
      <c r="AB181" s="56" t="e">
        <f>AB180+ATM_Conf!$C$5*(M180-L180)/(Links!M$191*Links!AB$191)</f>
        <v>#DIV/0!</v>
      </c>
      <c r="AC181" s="56" t="e">
        <f>AC180+ATM_Conf!$C$5*(N180-M180)/(Links!N$191*Links!AC$191)</f>
        <v>#DIV/0!</v>
      </c>
      <c r="AD181" s="56" t="e">
        <f>AD180+ATM_Conf!$C$5*(O180-N180)/(Links!O$191*Links!AD$191)</f>
        <v>#DIV/0!</v>
      </c>
      <c r="AE181" s="56" t="e">
        <f>AE180+ATM_Conf!$C$5*(P180-O180)/(Links!P$191*Links!AE$191)</f>
        <v>#DIV/0!</v>
      </c>
      <c r="AF181" s="46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6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6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6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6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6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6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6" t="e">
        <f>AM180+(ATM_Conf!$C$5/ATM_Conf!$C$8)*(Links!BB180*EXP((-(Links!X180/Links!BQ180)^Links!CF180)/Links!CF180)-Links!AM180)+(ATM_Conf!$C$5/Links!X$191)*Links!AM180*(Nodes!BH180-Links!AM180)</f>
        <v>#DIV/0!</v>
      </c>
      <c r="AN181" s="46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6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6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6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6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6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6" t="e">
        <f>AT180+(ATM_Conf!$C$5/ATM_Conf!$C$8)*(Links!BI180*EXP((-(Links!AE180/Links!BX180)^Links!CM180)/Links!CM180)-Links!AT180)+(ATM_Conf!$C$5/Links!AE$191)*Links!AT180*(Nodes!BN180-Links!AT180)</f>
        <v>#DIV/0!</v>
      </c>
      <c r="AU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I181" s="56"/>
      <c r="BJ181" s="46"/>
      <c r="BK181" s="46"/>
      <c r="BL181" s="46"/>
      <c r="BM181" s="46"/>
      <c r="BN181" s="46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56"/>
      <c r="BZ181" s="56"/>
      <c r="CA181" s="56"/>
      <c r="CB181" s="56"/>
      <c r="CC181" s="56"/>
      <c r="CD181" s="56"/>
      <c r="CE181" s="56"/>
      <c r="CF181" s="56"/>
      <c r="CG181" s="56"/>
      <c r="CH181" s="56"/>
      <c r="CI181" s="56"/>
      <c r="CJ181" s="56"/>
      <c r="CK181" s="56"/>
      <c r="CL181" s="56"/>
      <c r="CM181" s="56"/>
      <c r="CN181" s="46">
        <f t="shared" si="89"/>
        <v>0</v>
      </c>
      <c r="CO181" s="46">
        <f t="shared" si="89"/>
        <v>0</v>
      </c>
      <c r="CP181" s="46">
        <f t="shared" si="89"/>
        <v>0</v>
      </c>
      <c r="CQ181" s="46">
        <f t="shared" si="89"/>
        <v>0</v>
      </c>
      <c r="CR181" s="46">
        <f t="shared" si="89"/>
        <v>0</v>
      </c>
      <c r="CS181" s="46">
        <f t="shared" si="89"/>
        <v>0</v>
      </c>
      <c r="CT181" s="46">
        <f t="shared" si="89"/>
        <v>0</v>
      </c>
      <c r="CU181" s="46">
        <f t="shared" si="89"/>
        <v>0</v>
      </c>
      <c r="CV181" s="46">
        <f t="shared" si="89"/>
        <v>0</v>
      </c>
      <c r="CW181" s="46">
        <f t="shared" si="89"/>
        <v>0</v>
      </c>
      <c r="CX181" s="46">
        <f t="shared" si="89"/>
        <v>0</v>
      </c>
      <c r="CY181" s="46">
        <f t="shared" si="89"/>
        <v>0</v>
      </c>
      <c r="CZ181" s="46">
        <f t="shared" si="89"/>
        <v>0</v>
      </c>
      <c r="DA181" s="46">
        <f t="shared" si="89"/>
        <v>0</v>
      </c>
      <c r="DB181" s="46">
        <f t="shared" si="89"/>
        <v>0</v>
      </c>
      <c r="DC181" s="54"/>
      <c r="DD181" s="54"/>
      <c r="DE181" s="54"/>
      <c r="DF181" s="54"/>
      <c r="DG181" s="54"/>
      <c r="DH181" s="54"/>
      <c r="DI181" s="54"/>
      <c r="DJ181" s="54"/>
      <c r="DK181" s="54"/>
      <c r="DL181" s="54"/>
      <c r="DM181" s="54"/>
      <c r="DN181" s="54"/>
      <c r="DO181" s="54"/>
      <c r="DP181" s="54"/>
      <c r="DQ181" s="54"/>
    </row>
    <row r="182" spans="1:121" ht="14.25" x14ac:dyDescent="0.15">
      <c r="A182" s="49">
        <v>180</v>
      </c>
      <c r="B182" s="46" t="e">
        <f t="shared" si="63"/>
        <v>#DIV/0!</v>
      </c>
      <c r="C182" s="46" t="e">
        <f t="shared" si="64"/>
        <v>#DIV/0!</v>
      </c>
      <c r="D182" s="46" t="e">
        <f t="shared" si="65"/>
        <v>#DIV/0!</v>
      </c>
      <c r="E182" s="46" t="e">
        <f t="shared" si="66"/>
        <v>#DIV/0!</v>
      </c>
      <c r="F182" s="46" t="e">
        <f t="shared" si="67"/>
        <v>#DIV/0!</v>
      </c>
      <c r="G182" s="46" t="e">
        <f t="shared" si="68"/>
        <v>#DIV/0!</v>
      </c>
      <c r="H182" s="46" t="e">
        <f t="shared" si="69"/>
        <v>#DIV/0!</v>
      </c>
      <c r="I182" s="46" t="e">
        <f t="shared" si="70"/>
        <v>#DIV/0!</v>
      </c>
      <c r="J182" s="46" t="e">
        <f t="shared" si="71"/>
        <v>#DIV/0!</v>
      </c>
      <c r="K182" s="46" t="e">
        <f t="shared" si="72"/>
        <v>#DIV/0!</v>
      </c>
      <c r="L182" s="46" t="e">
        <f t="shared" si="73"/>
        <v>#DIV/0!</v>
      </c>
      <c r="M182" s="46" t="e">
        <f t="shared" si="74"/>
        <v>#DIV/0!</v>
      </c>
      <c r="N182" s="46" t="e">
        <f t="shared" si="75"/>
        <v>#DIV/0!</v>
      </c>
      <c r="O182" s="46" t="e">
        <f t="shared" si="76"/>
        <v>#DIV/0!</v>
      </c>
      <c r="P182" s="46" t="e">
        <f t="shared" si="77"/>
        <v>#DIV/0!</v>
      </c>
      <c r="Q182" s="56" t="e">
        <f>Q181+ATM_Conf!$C$5*(B181)/(Links!B$191*Links!Q$191)</f>
        <v>#DIV/0!</v>
      </c>
      <c r="R182" s="56" t="e">
        <f>R181+ATM_Conf!$C$5*(C181-B181)/(Links!C$191*Links!R$191)</f>
        <v>#DIV/0!</v>
      </c>
      <c r="S182" s="56" t="e">
        <f>S181+ATM_Conf!$C$5*(D181-C181)/(Links!D$191*Links!S$191)</f>
        <v>#DIV/0!</v>
      </c>
      <c r="T182" s="56" t="e">
        <f>T181+ATM_Conf!$C$5*(E181-D181)/(Links!E$191*Links!T$191)</f>
        <v>#DIV/0!</v>
      </c>
      <c r="U182" s="56" t="e">
        <f>U181+ATM_Conf!$C$5*(F181-E181)/(Links!F$191*Links!U$191)</f>
        <v>#DIV/0!</v>
      </c>
      <c r="V182" s="56" t="e">
        <f>V181+ATM_Conf!$C$5*(G181-F181)/(Links!G$191*Links!V$191)</f>
        <v>#DIV/0!</v>
      </c>
      <c r="W182" s="56" t="e">
        <f>W181+ATM_Conf!$C$5*(H181-G181)/(Links!H$191*Links!W$191)</f>
        <v>#DIV/0!</v>
      </c>
      <c r="X182" s="56" t="e">
        <f>X181+ATM_Conf!$C$5*(I181-H181)/(Links!I$191*Links!X$191)</f>
        <v>#DIV/0!</v>
      </c>
      <c r="Y182" s="56" t="e">
        <f>Y181+ATM_Conf!$C$5*(J181)/(Links!J$191*Links!Y$191)</f>
        <v>#DIV/0!</v>
      </c>
      <c r="Z182" s="56" t="e">
        <f>Z181+ATM_Conf!$C$5*(K181-J181)/(Links!K$191*Links!Z$191)</f>
        <v>#DIV/0!</v>
      </c>
      <c r="AA182" s="56" t="e">
        <f>AA181+ATM_Conf!$C$5*(L181-K181)/(Links!L$191*Links!AA$191)</f>
        <v>#DIV/0!</v>
      </c>
      <c r="AB182" s="56" t="e">
        <f>AB181+ATM_Conf!$C$5*(M181-L181)/(Links!M$191*Links!AB$191)</f>
        <v>#DIV/0!</v>
      </c>
      <c r="AC182" s="56" t="e">
        <f>AC181+ATM_Conf!$C$5*(N181-M181)/(Links!N$191*Links!AC$191)</f>
        <v>#DIV/0!</v>
      </c>
      <c r="AD182" s="56" t="e">
        <f>AD181+ATM_Conf!$C$5*(O181-N181)/(Links!O$191*Links!AD$191)</f>
        <v>#DIV/0!</v>
      </c>
      <c r="AE182" s="56" t="e">
        <f>AE181+ATM_Conf!$C$5*(P181-O181)/(Links!P$191*Links!AE$191)</f>
        <v>#DIV/0!</v>
      </c>
      <c r="AF182" s="46"/>
      <c r="AG182" s="46"/>
      <c r="AH182" s="46"/>
      <c r="AI182" s="46"/>
      <c r="AJ182" s="46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I182" s="56"/>
      <c r="BJ182" s="46"/>
      <c r="BK182" s="46"/>
      <c r="BL182" s="46"/>
      <c r="BM182" s="46"/>
      <c r="BN182" s="46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56"/>
      <c r="BZ182" s="56"/>
      <c r="CA182" s="56"/>
      <c r="CB182" s="56"/>
      <c r="CC182" s="56"/>
      <c r="CD182" s="56"/>
      <c r="CE182" s="56"/>
      <c r="CF182" s="56"/>
      <c r="CG182" s="56"/>
      <c r="CH182" s="56"/>
      <c r="CI182" s="56"/>
      <c r="CJ182" s="56"/>
      <c r="CK182" s="56"/>
      <c r="CL182" s="56"/>
      <c r="CM182" s="56"/>
      <c r="CN182" s="46">
        <f t="shared" si="89"/>
        <v>0</v>
      </c>
      <c r="CO182" s="46">
        <f t="shared" si="89"/>
        <v>0</v>
      </c>
      <c r="CP182" s="46">
        <f t="shared" si="89"/>
        <v>0</v>
      </c>
      <c r="CQ182" s="46">
        <f t="shared" si="89"/>
        <v>0</v>
      </c>
      <c r="CR182" s="46">
        <f t="shared" si="89"/>
        <v>0</v>
      </c>
      <c r="CS182" s="46">
        <f t="shared" si="89"/>
        <v>0</v>
      </c>
      <c r="CT182" s="46">
        <f t="shared" si="89"/>
        <v>0</v>
      </c>
      <c r="CU182" s="46">
        <f t="shared" si="89"/>
        <v>0</v>
      </c>
      <c r="CV182" s="46">
        <f t="shared" si="89"/>
        <v>0</v>
      </c>
      <c r="CW182" s="46">
        <f t="shared" si="89"/>
        <v>0</v>
      </c>
      <c r="CX182" s="46">
        <f t="shared" si="89"/>
        <v>0</v>
      </c>
      <c r="CY182" s="46">
        <f t="shared" si="89"/>
        <v>0</v>
      </c>
      <c r="CZ182" s="46">
        <f t="shared" si="89"/>
        <v>0</v>
      </c>
      <c r="DA182" s="46">
        <f t="shared" si="89"/>
        <v>0</v>
      </c>
      <c r="DB182" s="46">
        <f t="shared" si="89"/>
        <v>0</v>
      </c>
      <c r="DC182" s="57">
        <f>SUM(DC3:DQ171)</f>
        <v>0</v>
      </c>
      <c r="DD182" s="54"/>
      <c r="DE182" s="54"/>
      <c r="DF182" s="54"/>
      <c r="DG182" s="54"/>
      <c r="DH182" s="54"/>
      <c r="DI182" s="54"/>
      <c r="DJ182" s="54"/>
      <c r="DK182" s="54"/>
      <c r="DL182" s="54"/>
      <c r="DM182" s="54"/>
      <c r="DN182" s="54"/>
      <c r="DO182" s="54"/>
      <c r="DP182" s="54"/>
      <c r="DQ182" s="54"/>
    </row>
    <row r="189" spans="1:121" ht="14.25" x14ac:dyDescent="0.15">
      <c r="A189" s="71" t="s">
        <v>190</v>
      </c>
      <c r="B189" s="73" t="s">
        <v>195</v>
      </c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 t="s">
        <v>196</v>
      </c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</row>
    <row r="190" spans="1:121" ht="14.25" x14ac:dyDescent="0.15">
      <c r="A190" s="72"/>
      <c r="B190" s="42">
        <v>1</v>
      </c>
      <c r="C190" s="42">
        <v>2</v>
      </c>
      <c r="D190" s="42">
        <v>3</v>
      </c>
      <c r="E190" s="42">
        <v>4</v>
      </c>
      <c r="F190" s="42">
        <v>5</v>
      </c>
      <c r="G190" s="42">
        <v>6</v>
      </c>
      <c r="H190" s="42">
        <v>7</v>
      </c>
      <c r="I190" s="42">
        <v>8</v>
      </c>
      <c r="J190" s="42">
        <v>9</v>
      </c>
      <c r="K190" s="42">
        <v>10</v>
      </c>
      <c r="L190" s="42">
        <v>11</v>
      </c>
      <c r="M190" s="42">
        <v>12</v>
      </c>
      <c r="N190" s="42">
        <v>13</v>
      </c>
      <c r="O190" s="42">
        <v>14</v>
      </c>
      <c r="P190" s="42">
        <v>15</v>
      </c>
      <c r="Q190" s="42">
        <v>1</v>
      </c>
      <c r="R190" s="42">
        <v>2</v>
      </c>
      <c r="S190" s="42">
        <v>3</v>
      </c>
      <c r="T190" s="42">
        <v>4</v>
      </c>
      <c r="U190" s="42">
        <v>5</v>
      </c>
      <c r="V190" s="42">
        <v>6</v>
      </c>
      <c r="W190" s="42">
        <v>7</v>
      </c>
      <c r="X190" s="42">
        <v>8</v>
      </c>
      <c r="Y190" s="42">
        <v>9</v>
      </c>
      <c r="Z190" s="42">
        <v>10</v>
      </c>
      <c r="AA190" s="42">
        <v>11</v>
      </c>
      <c r="AB190" s="42">
        <v>12</v>
      </c>
      <c r="AC190" s="42">
        <v>13</v>
      </c>
      <c r="AD190" s="42">
        <v>14</v>
      </c>
      <c r="AE190" s="42">
        <v>15</v>
      </c>
    </row>
    <row r="191" spans="1:121" ht="14.25" x14ac:dyDescent="0.15">
      <c r="A191" s="49">
        <v>1</v>
      </c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</row>
  </sheetData>
  <mergeCells count="12"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182"/>
  <sheetViews>
    <sheetView topLeftCell="AU1" zoomScale="55" zoomScaleNormal="55" workbookViewId="0">
      <selection sqref="A1:A2"/>
    </sheetView>
  </sheetViews>
  <sheetFormatPr defaultRowHeight="13.5" x14ac:dyDescent="0.15"/>
  <sheetData>
    <row r="1" spans="1:79" x14ac:dyDescent="0.15">
      <c r="A1" s="79" t="s">
        <v>169</v>
      </c>
      <c r="B1" s="76" t="s">
        <v>197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8"/>
      <c r="O1" s="76" t="s">
        <v>198</v>
      </c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8"/>
      <c r="AB1" s="76" t="s">
        <v>199</v>
      </c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8"/>
      <c r="AO1" s="76" t="s">
        <v>200</v>
      </c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8"/>
      <c r="BB1" s="74" t="s">
        <v>201</v>
      </c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4" t="s">
        <v>202</v>
      </c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</row>
    <row r="2" spans="1:79" x14ac:dyDescent="0.15">
      <c r="A2" s="79"/>
      <c r="B2" s="58">
        <v>1</v>
      </c>
      <c r="C2" s="58">
        <v>2</v>
      </c>
      <c r="D2" s="58">
        <v>3</v>
      </c>
      <c r="E2" s="58">
        <v>4</v>
      </c>
      <c r="F2" s="58">
        <v>5</v>
      </c>
      <c r="G2" s="58">
        <v>6</v>
      </c>
      <c r="H2" s="58">
        <v>7</v>
      </c>
      <c r="I2" s="58">
        <v>8</v>
      </c>
      <c r="J2" s="58">
        <v>9</v>
      </c>
      <c r="K2" s="58">
        <v>10</v>
      </c>
      <c r="L2" s="58">
        <v>11</v>
      </c>
      <c r="M2" s="58">
        <v>12</v>
      </c>
      <c r="N2" s="58">
        <v>13</v>
      </c>
      <c r="O2" s="58">
        <v>1</v>
      </c>
      <c r="P2" s="58">
        <v>2</v>
      </c>
      <c r="Q2" s="58">
        <v>3</v>
      </c>
      <c r="R2" s="58">
        <v>4</v>
      </c>
      <c r="S2" s="58">
        <v>5</v>
      </c>
      <c r="T2" s="58">
        <v>6</v>
      </c>
      <c r="U2" s="58">
        <v>7</v>
      </c>
      <c r="V2" s="58">
        <v>8</v>
      </c>
      <c r="W2" s="58">
        <v>9</v>
      </c>
      <c r="X2" s="58">
        <v>10</v>
      </c>
      <c r="Y2" s="58">
        <v>11</v>
      </c>
      <c r="Z2" s="58">
        <v>12</v>
      </c>
      <c r="AA2" s="58">
        <v>13</v>
      </c>
      <c r="AB2" s="58">
        <v>1</v>
      </c>
      <c r="AC2" s="58">
        <v>2</v>
      </c>
      <c r="AD2" s="58">
        <v>3</v>
      </c>
      <c r="AE2" s="58">
        <v>4</v>
      </c>
      <c r="AF2" s="58">
        <v>5</v>
      </c>
      <c r="AG2" s="58">
        <v>6</v>
      </c>
      <c r="AH2" s="58">
        <v>7</v>
      </c>
      <c r="AI2" s="58">
        <v>8</v>
      </c>
      <c r="AJ2" s="58">
        <v>9</v>
      </c>
      <c r="AK2" s="58">
        <v>10</v>
      </c>
      <c r="AL2" s="58">
        <v>11</v>
      </c>
      <c r="AM2" s="58">
        <v>12</v>
      </c>
      <c r="AN2" s="58">
        <v>13</v>
      </c>
      <c r="AO2" s="58">
        <v>1</v>
      </c>
      <c r="AP2" s="58">
        <v>2</v>
      </c>
      <c r="AQ2" s="58">
        <v>3</v>
      </c>
      <c r="AR2" s="58">
        <v>4</v>
      </c>
      <c r="AS2" s="58">
        <v>5</v>
      </c>
      <c r="AT2" s="58">
        <v>6</v>
      </c>
      <c r="AU2" s="58">
        <v>7</v>
      </c>
      <c r="AV2" s="58">
        <v>8</v>
      </c>
      <c r="AW2" s="58">
        <v>9</v>
      </c>
      <c r="AX2" s="58">
        <v>10</v>
      </c>
      <c r="AY2" s="58">
        <v>11</v>
      </c>
      <c r="AZ2" s="58">
        <v>12</v>
      </c>
      <c r="BA2" s="58">
        <v>13</v>
      </c>
      <c r="BB2" s="58">
        <v>1</v>
      </c>
      <c r="BC2" s="58">
        <v>2</v>
      </c>
      <c r="BD2" s="58">
        <v>3</v>
      </c>
      <c r="BE2" s="58">
        <v>4</v>
      </c>
      <c r="BF2" s="58">
        <v>5</v>
      </c>
      <c r="BG2" s="58">
        <v>6</v>
      </c>
      <c r="BH2" s="58">
        <v>7</v>
      </c>
      <c r="BI2" s="58">
        <v>8</v>
      </c>
      <c r="BJ2" s="58">
        <v>9</v>
      </c>
      <c r="BK2" s="58">
        <v>10</v>
      </c>
      <c r="BL2" s="58">
        <v>11</v>
      </c>
      <c r="BM2" s="58">
        <v>12</v>
      </c>
      <c r="BN2" s="58">
        <v>13</v>
      </c>
      <c r="BO2" s="58">
        <v>1</v>
      </c>
      <c r="BP2" s="58">
        <v>2</v>
      </c>
      <c r="BQ2" s="58">
        <v>3</v>
      </c>
      <c r="BR2" s="58">
        <v>4</v>
      </c>
      <c r="BS2" s="58">
        <v>5</v>
      </c>
      <c r="BT2" s="58">
        <v>6</v>
      </c>
      <c r="BU2" s="58">
        <v>7</v>
      </c>
      <c r="BV2" s="58">
        <v>8</v>
      </c>
      <c r="BW2" s="58">
        <v>9</v>
      </c>
      <c r="BX2" s="58">
        <v>10</v>
      </c>
      <c r="BY2" s="58">
        <v>11</v>
      </c>
      <c r="BZ2" s="58">
        <v>12</v>
      </c>
      <c r="CA2" s="58">
        <v>13</v>
      </c>
    </row>
    <row r="3" spans="1:79" x14ac:dyDescent="0.15">
      <c r="A3" s="59">
        <v>1</v>
      </c>
      <c r="B3" s="60">
        <f>O3+AB3</f>
        <v>0</v>
      </c>
      <c r="C3" s="60">
        <f t="shared" ref="C3:N3" si="0">P3+AC3</f>
        <v>0</v>
      </c>
      <c r="D3" s="60">
        <f t="shared" si="0"/>
        <v>0</v>
      </c>
      <c r="E3" s="60">
        <f t="shared" si="0"/>
        <v>0</v>
      </c>
      <c r="F3" s="60">
        <f t="shared" si="0"/>
        <v>0</v>
      </c>
      <c r="G3" s="60">
        <f t="shared" si="0"/>
        <v>0</v>
      </c>
      <c r="H3" s="60">
        <f t="shared" si="0"/>
        <v>0</v>
      </c>
      <c r="I3" s="60">
        <f t="shared" si="0"/>
        <v>0</v>
      </c>
      <c r="J3" s="60">
        <f t="shared" si="0"/>
        <v>0</v>
      </c>
      <c r="K3" s="60">
        <f t="shared" si="0"/>
        <v>0</v>
      </c>
      <c r="L3" s="60">
        <f t="shared" si="0"/>
        <v>0</v>
      </c>
      <c r="M3" s="60">
        <f t="shared" si="0"/>
        <v>0</v>
      </c>
      <c r="N3" s="60">
        <f t="shared" si="0"/>
        <v>0</v>
      </c>
      <c r="O3" s="62">
        <f>Links!B3</f>
        <v>0</v>
      </c>
      <c r="P3" s="62">
        <f>Links!C3+'On-Ramps'!AC3</f>
        <v>0</v>
      </c>
      <c r="Q3" s="62">
        <f>Links!D3</f>
        <v>0</v>
      </c>
      <c r="R3" s="62">
        <f>Links!E3+'On-Ramps'!AD3</f>
        <v>0</v>
      </c>
      <c r="S3" s="62">
        <f>Links!F3+'On-Ramps'!AE3</f>
        <v>0</v>
      </c>
      <c r="T3" s="62">
        <f>Links!G3+'On-Ramps'!AF3</f>
        <v>0</v>
      </c>
      <c r="U3" s="62">
        <f>Links!H3+'On-Ramps'!AG3</f>
        <v>0</v>
      </c>
      <c r="V3" s="62">
        <f>Links!J3+'On-Ramps'!AH3</f>
        <v>0</v>
      </c>
      <c r="W3" s="62">
        <f>Links!K3+'On-Ramps'!AI3</f>
        <v>0</v>
      </c>
      <c r="X3" s="62">
        <f>Links!L3+'On-Ramps'!AJ3</f>
        <v>0</v>
      </c>
      <c r="Y3" s="62">
        <f>Links!M3</f>
        <v>0</v>
      </c>
      <c r="Z3" s="62">
        <f>Links!N3+'On-Ramps'!AK3</f>
        <v>0</v>
      </c>
      <c r="AA3" s="62">
        <f>Links!O3</f>
        <v>0</v>
      </c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61" t="e">
        <f>AB3/B3</f>
        <v>#DIV/0!</v>
      </c>
      <c r="AP3" s="61" t="e">
        <f t="shared" ref="AP3:AZ3" si="1">AC3/C3</f>
        <v>#DIV/0!</v>
      </c>
      <c r="AQ3" s="61" t="e">
        <f t="shared" si="1"/>
        <v>#DIV/0!</v>
      </c>
      <c r="AR3" s="61" t="e">
        <f t="shared" si="1"/>
        <v>#DIV/0!</v>
      </c>
      <c r="AS3" s="61" t="e">
        <f t="shared" si="1"/>
        <v>#DIV/0!</v>
      </c>
      <c r="AT3" s="61" t="e">
        <f t="shared" si="1"/>
        <v>#DIV/0!</v>
      </c>
      <c r="AU3" s="61" t="e">
        <f t="shared" si="1"/>
        <v>#DIV/0!</v>
      </c>
      <c r="AV3" s="61" t="e">
        <f t="shared" si="1"/>
        <v>#DIV/0!</v>
      </c>
      <c r="AW3" s="61" t="e">
        <f t="shared" si="1"/>
        <v>#DIV/0!</v>
      </c>
      <c r="AX3" s="61" t="e">
        <f t="shared" si="1"/>
        <v>#DIV/0!</v>
      </c>
      <c r="AY3" s="61" t="e">
        <f t="shared" si="1"/>
        <v>#DIV/0!</v>
      </c>
      <c r="AZ3" s="61" t="e">
        <f t="shared" si="1"/>
        <v>#DIV/0!</v>
      </c>
      <c r="BA3" s="61" t="e">
        <f>AN3/N3</f>
        <v>#DIV/0!</v>
      </c>
      <c r="BB3" s="60">
        <f>Links!AF3</f>
        <v>0</v>
      </c>
      <c r="BC3" s="60" t="e">
        <f>(Links!AG3*Links!C3+'On-Ramps'!AC3*'On-Ramps'!CE3)/('On-Ramps'!AC3+Links!C3)</f>
        <v>#DIV/0!</v>
      </c>
      <c r="BD3" s="60">
        <f>Links!AH3</f>
        <v>0</v>
      </c>
      <c r="BE3" s="60" t="e">
        <f>(Links!AI3*Links!E3+'On-Ramps'!AD3*'On-Ramps'!CF2)/('On-Ramps'!AD3+Links!E3)</f>
        <v>#DIV/0!</v>
      </c>
      <c r="BF3" s="60" t="e">
        <f>(Links!F3*Links!AJ3+'On-Ramps'!AE3*'On-Ramps'!CG3)/('On-Ramps'!AE3+Links!F3)</f>
        <v>#DIV/0!</v>
      </c>
      <c r="BG3" s="60" t="e">
        <f>(Links!G3*Links!AK3+'On-Ramps'!AF3*'On-Ramps'!CH3)/('On-Ramps'!AF3+Links!G3)</f>
        <v>#DIV/0!</v>
      </c>
      <c r="BH3" s="60" t="e">
        <f>(Links!H3*Links!AL3+'On-Ramps'!AG3*'On-Ramps'!CI3)/('On-Ramps'!AG3+Links!H3)</f>
        <v>#DIV/0!</v>
      </c>
      <c r="BI3" s="60" t="e">
        <f>(Links!J3*Links!AN3+'On-Ramps'!AH3*'On-Ramps'!CJ3)/('On-Ramps'!AH3+Links!J3)</f>
        <v>#DIV/0!</v>
      </c>
      <c r="BJ3" s="60" t="e">
        <f>(Links!K3*Links!AO3+'On-Ramps'!AI3*'On-Ramps'!CK3)/('On-Ramps'!AI3+Links!K3)</f>
        <v>#DIV/0!</v>
      </c>
      <c r="BK3" s="60" t="e">
        <f>(Links!L3*Links!AP3+'On-Ramps'!AJ3*'On-Ramps'!CL3)/(Links!L3+'On-Ramps'!AJ3)</f>
        <v>#DIV/0!</v>
      </c>
      <c r="BL3" s="60">
        <f>Links!AQ3</f>
        <v>0</v>
      </c>
      <c r="BM3" s="60" t="e">
        <f>(Links!N3*Links!AR3+'On-Ramps'!AL3*'On-Ramps'!CM3)/(Links!N3+'On-Ramps'!AL3)</f>
        <v>#DIV/0!</v>
      </c>
      <c r="BN3" s="60">
        <f>Links!AS3</f>
        <v>0</v>
      </c>
      <c r="BO3" s="61" t="e">
        <f>(Links!R3^2+'Off-Ramp'!L3^2)/(Links!R3+'Off-Ramp'!L3)</f>
        <v>#DIV/0!</v>
      </c>
      <c r="BP3" s="61">
        <f>Links!S3</f>
        <v>0</v>
      </c>
      <c r="BQ3" s="61" t="e">
        <f>(Links!S3^2+'Off-Ramp'!C3^2)/(Links!S3+'Off-Ramp'!C3)</f>
        <v>#DIV/0!</v>
      </c>
      <c r="BR3" s="61">
        <f>Links!T3</f>
        <v>0</v>
      </c>
      <c r="BS3" s="61" t="e">
        <f>(Links!U3^2+'Off-Ramp'!N3^2)/(Links!U3+'Off-Ramp'!N3)</f>
        <v>#DIV/0!</v>
      </c>
      <c r="BT3" s="61" t="e">
        <f>(Links!V3^2+'Off-Ramp'!O3^2)/(Links!V3+'Off-Ramp'!O3)</f>
        <v>#DIV/0!</v>
      </c>
      <c r="BU3" s="61" t="e">
        <f>(Links!W3^2+'Off-Ramp'!P3^2)/(Links!W3+'Off-Ramp'!P3)</f>
        <v>#DIV/0!</v>
      </c>
      <c r="BV3" s="61" t="e">
        <f>(Links!Y3^2+'Off-Ramp'!Q3^2)/(Links!Y3+'Off-Ramp'!Q3)</f>
        <v>#DIV/0!</v>
      </c>
      <c r="BW3" s="61" t="e">
        <f>(Links!Z3^2+'Off-Ramp'!R3^2)/(Links!Z3+'Off-Ramp'!R3)</f>
        <v>#DIV/0!</v>
      </c>
      <c r="BX3" s="61" t="e">
        <f>(Links!AA3+'Off-Ramp'!S3)/(Links!AA3^2+'Off-Ramp'!S3^2)</f>
        <v>#DIV/0!</v>
      </c>
      <c r="BY3" s="61" t="e">
        <f>(Links!AB3^2+'Off-Ramp'!T3^2)/(Links!AB3+'Off-Ramp'!T3)</f>
        <v>#DIV/0!</v>
      </c>
      <c r="BZ3" s="61">
        <f>Links!AC3</f>
        <v>0</v>
      </c>
      <c r="CA3" s="61" t="e">
        <f>(Links!AD3^2+'Off-Ramp'!U3^2)/(Links!AD3+'Off-Ramp'!U3)</f>
        <v>#DIV/0!</v>
      </c>
    </row>
    <row r="4" spans="1:79" x14ac:dyDescent="0.15">
      <c r="A4" s="59">
        <v>2</v>
      </c>
      <c r="B4" s="60" t="e">
        <f t="shared" ref="B4:B67" si="2">O4+AB4</f>
        <v>#DIV/0!</v>
      </c>
      <c r="C4" s="60" t="e">
        <f t="shared" ref="C4:C67" si="3">P4+AC4</f>
        <v>#DIV/0!</v>
      </c>
      <c r="D4" s="60" t="e">
        <f t="shared" ref="D4:D67" si="4">Q4+AD4</f>
        <v>#DIV/0!</v>
      </c>
      <c r="E4" s="60" t="e">
        <f t="shared" ref="E4:E67" si="5">R4+AE4</f>
        <v>#DIV/0!</v>
      </c>
      <c r="F4" s="60" t="e">
        <f t="shared" ref="F4:F67" si="6">S4+AF4</f>
        <v>#DIV/0!</v>
      </c>
      <c r="G4" s="60" t="e">
        <f t="shared" ref="G4:G67" si="7">T4+AG4</f>
        <v>#DIV/0!</v>
      </c>
      <c r="H4" s="60" t="e">
        <f t="shared" ref="H4:H67" si="8">U4+AH4</f>
        <v>#DIV/0!</v>
      </c>
      <c r="I4" s="60" t="e">
        <f t="shared" ref="I4:I67" si="9">V4+AI4</f>
        <v>#DIV/0!</v>
      </c>
      <c r="J4" s="60" t="e">
        <f t="shared" ref="J4:J67" si="10">W4+AJ4</f>
        <v>#DIV/0!</v>
      </c>
      <c r="K4" s="60" t="e">
        <f t="shared" ref="K4:K67" si="11">X4+AK4</f>
        <v>#DIV/0!</v>
      </c>
      <c r="L4" s="60" t="e">
        <f t="shared" ref="L4:L67" si="12">Y4+AL4</f>
        <v>#DIV/0!</v>
      </c>
      <c r="M4" s="60" t="e">
        <f t="shared" ref="M4:M67" si="13">Z4+AM4</f>
        <v>#DIV/0!</v>
      </c>
      <c r="N4" s="60" t="e">
        <f t="shared" ref="N4:N67" si="14">AA4+AN4</f>
        <v>#DIV/0!</v>
      </c>
      <c r="O4" s="61" t="e">
        <f>Links!B4</f>
        <v>#DIV/0!</v>
      </c>
      <c r="P4" s="61" t="e">
        <f>Links!C4+'On-Ramps'!AC4</f>
        <v>#DIV/0!</v>
      </c>
      <c r="Q4" s="61" t="e">
        <f>Links!D4</f>
        <v>#DIV/0!</v>
      </c>
      <c r="R4" s="61" t="e">
        <f>Links!E4+'On-Ramps'!AD4</f>
        <v>#DIV/0!</v>
      </c>
      <c r="S4" s="61" t="e">
        <f>Links!F4+'On-Ramps'!AE4</f>
        <v>#DIV/0!</v>
      </c>
      <c r="T4" s="61" t="e">
        <f>Links!G4+'On-Ramps'!AF4</f>
        <v>#DIV/0!</v>
      </c>
      <c r="U4" s="61" t="e">
        <f>Links!H4+'On-Ramps'!AG4</f>
        <v>#DIV/0!</v>
      </c>
      <c r="V4" s="61" t="e">
        <f>Links!J4+'On-Ramps'!AH4</f>
        <v>#DIV/0!</v>
      </c>
      <c r="W4" s="61" t="e">
        <f>Links!K4+'On-Ramps'!AI4</f>
        <v>#DIV/0!</v>
      </c>
      <c r="X4" s="61" t="e">
        <f>Links!L4+'On-Ramps'!AJ4</f>
        <v>#DIV/0!</v>
      </c>
      <c r="Y4" s="61" t="e">
        <f>Links!M4</f>
        <v>#DIV/0!</v>
      </c>
      <c r="Z4" s="61" t="e">
        <f>Links!N4+'On-Ramps'!AK4</f>
        <v>#DIV/0!</v>
      </c>
      <c r="AA4" s="61" t="e">
        <f>Links!O4</f>
        <v>#DIV/0!</v>
      </c>
      <c r="AB4" s="60" t="e">
        <f>AO4*(1-AO4)*O4</f>
        <v>#DIV/0!</v>
      </c>
      <c r="AC4" s="60" t="e">
        <f t="shared" ref="AC4:AN19" si="15">AP4*(1-AP4)*P4</f>
        <v>#DIV/0!</v>
      </c>
      <c r="AD4" s="60" t="e">
        <f t="shared" si="15"/>
        <v>#DIV/0!</v>
      </c>
      <c r="AE4" s="60" t="e">
        <f t="shared" si="15"/>
        <v>#DIV/0!</v>
      </c>
      <c r="AF4" s="60" t="e">
        <f t="shared" si="15"/>
        <v>#DIV/0!</v>
      </c>
      <c r="AG4" s="60" t="e">
        <f t="shared" si="15"/>
        <v>#DIV/0!</v>
      </c>
      <c r="AH4" s="60" t="e">
        <f t="shared" si="15"/>
        <v>#DIV/0!</v>
      </c>
      <c r="AI4" s="60" t="e">
        <f t="shared" si="15"/>
        <v>#DIV/0!</v>
      </c>
      <c r="AJ4" s="60" t="e">
        <f t="shared" si="15"/>
        <v>#DIV/0!</v>
      </c>
      <c r="AK4" s="60" t="e">
        <f t="shared" si="15"/>
        <v>#DIV/0!</v>
      </c>
      <c r="AL4" s="60" t="e">
        <f t="shared" si="15"/>
        <v>#DIV/0!</v>
      </c>
      <c r="AM4" s="60" t="e">
        <f t="shared" si="15"/>
        <v>#DIV/0!</v>
      </c>
      <c r="AN4" s="60" t="e">
        <f t="shared" si="15"/>
        <v>#DIV/0!</v>
      </c>
      <c r="AO4" s="61" t="e">
        <f>AO$3</f>
        <v>#DIV/0!</v>
      </c>
      <c r="AP4" s="61" t="e">
        <f t="shared" ref="AP4:BA19" si="16">AP$3</f>
        <v>#DIV/0!</v>
      </c>
      <c r="AQ4" s="61" t="e">
        <f t="shared" si="16"/>
        <v>#DIV/0!</v>
      </c>
      <c r="AR4" s="61" t="e">
        <f t="shared" si="16"/>
        <v>#DIV/0!</v>
      </c>
      <c r="AS4" s="61" t="e">
        <f t="shared" si="16"/>
        <v>#DIV/0!</v>
      </c>
      <c r="AT4" s="61" t="e">
        <f t="shared" si="16"/>
        <v>#DIV/0!</v>
      </c>
      <c r="AU4" s="61" t="e">
        <f t="shared" si="16"/>
        <v>#DIV/0!</v>
      </c>
      <c r="AV4" s="61" t="e">
        <f t="shared" si="16"/>
        <v>#DIV/0!</v>
      </c>
      <c r="AW4" s="61" t="e">
        <f t="shared" si="16"/>
        <v>#DIV/0!</v>
      </c>
      <c r="AX4" s="61" t="e">
        <f t="shared" si="16"/>
        <v>#DIV/0!</v>
      </c>
      <c r="AY4" s="61" t="e">
        <f t="shared" si="16"/>
        <v>#DIV/0!</v>
      </c>
      <c r="AZ4" s="61" t="e">
        <f t="shared" si="16"/>
        <v>#DIV/0!</v>
      </c>
      <c r="BA4" s="61" t="e">
        <f t="shared" si="16"/>
        <v>#DIV/0!</v>
      </c>
      <c r="BB4" s="60" t="e">
        <f>Links!AF4</f>
        <v>#DIV/0!</v>
      </c>
      <c r="BC4" s="60" t="e">
        <f>(Links!AG4*Links!C4+'On-Ramps'!AC4*'On-Ramps'!CE4)/('On-Ramps'!AC4+Links!C4)</f>
        <v>#DIV/0!</v>
      </c>
      <c r="BD4" s="60" t="e">
        <f>Links!AH4</f>
        <v>#DIV/0!</v>
      </c>
      <c r="BE4" s="60" t="e">
        <f>(Links!AI4*Links!E4+'On-Ramps'!AD4*'On-Ramps'!CF3)/('On-Ramps'!AD4+Links!E4)</f>
        <v>#DIV/0!</v>
      </c>
      <c r="BF4" s="60" t="e">
        <f>(Links!F4*Links!AJ4+'On-Ramps'!AE4*'On-Ramps'!CG4)/('On-Ramps'!AE4+Links!F4)</f>
        <v>#DIV/0!</v>
      </c>
      <c r="BG4" s="60" t="e">
        <f>(Links!G4*Links!AK4+'On-Ramps'!AF4*'On-Ramps'!CH4)/('On-Ramps'!AF4+Links!G4)</f>
        <v>#DIV/0!</v>
      </c>
      <c r="BH4" s="60" t="e">
        <f>(Links!H4*Links!AL4+'On-Ramps'!AG4*'On-Ramps'!CI4)/('On-Ramps'!AG4+Links!H4)</f>
        <v>#DIV/0!</v>
      </c>
      <c r="BI4" s="60" t="e">
        <f>(Links!J4*Links!AN4+'On-Ramps'!AH4*'On-Ramps'!CJ4)/('On-Ramps'!AH4+Links!J4)</f>
        <v>#DIV/0!</v>
      </c>
      <c r="BJ4" s="60" t="e">
        <f>(Links!K4*Links!AO4+'On-Ramps'!AI4*'On-Ramps'!CK4)/('On-Ramps'!AI4+Links!K4)</f>
        <v>#DIV/0!</v>
      </c>
      <c r="BK4" s="60" t="e">
        <f>(Links!L4*Links!AP4+'On-Ramps'!AJ4*'On-Ramps'!CL4)/(Links!L4+'On-Ramps'!AJ4)</f>
        <v>#DIV/0!</v>
      </c>
      <c r="BL4" s="60" t="e">
        <f>Links!AQ4</f>
        <v>#DIV/0!</v>
      </c>
      <c r="BM4" s="60" t="e">
        <f>(Links!N4*Links!AR4+'On-Ramps'!AL4*'On-Ramps'!CM4)/(Links!N4+'On-Ramps'!AL4)</f>
        <v>#DIV/0!</v>
      </c>
      <c r="BN4" s="60" t="e">
        <f>Links!AS4</f>
        <v>#DIV/0!</v>
      </c>
      <c r="BO4" s="61" t="e">
        <f>(Links!R4^2+'Off-Ramp'!L4^2)/(Links!R4+'Off-Ramp'!L4)</f>
        <v>#DIV/0!</v>
      </c>
      <c r="BP4" s="61" t="e">
        <f>Links!S4</f>
        <v>#DIV/0!</v>
      </c>
      <c r="BQ4" s="61" t="e">
        <f>(Links!S4^2+'Off-Ramp'!C4^2)/(Links!S4+'Off-Ramp'!C4)</f>
        <v>#DIV/0!</v>
      </c>
      <c r="BR4" s="61" t="e">
        <f>Links!T4</f>
        <v>#DIV/0!</v>
      </c>
      <c r="BS4" s="61" t="e">
        <f>(Links!U4^2+'Off-Ramp'!N4^2)/(Links!U4+'Off-Ramp'!N4)</f>
        <v>#DIV/0!</v>
      </c>
      <c r="BT4" s="61" t="e">
        <f>(Links!V4^2+'Off-Ramp'!O4^2)/(Links!V4+'Off-Ramp'!O4)</f>
        <v>#DIV/0!</v>
      </c>
      <c r="BU4" s="61" t="e">
        <f>(Links!W4^2+'Off-Ramp'!P4^2)/(Links!W4+'Off-Ramp'!P4)</f>
        <v>#DIV/0!</v>
      </c>
      <c r="BV4" s="61" t="e">
        <f>(Links!Y4^2+'Off-Ramp'!Q4^2)/(Links!Y4+'Off-Ramp'!Q4)</f>
        <v>#DIV/0!</v>
      </c>
      <c r="BW4" s="61" t="e">
        <f>(Links!Z4^2+'Off-Ramp'!R4^2)/(Links!Z4+'Off-Ramp'!R4)</f>
        <v>#DIV/0!</v>
      </c>
      <c r="BX4" s="61" t="e">
        <f>(Links!AA4+'Off-Ramp'!S4)/(Links!AA4^2+'Off-Ramp'!S4^2)</f>
        <v>#DIV/0!</v>
      </c>
      <c r="BY4" s="61" t="e">
        <f>(Links!AB4^2+'Off-Ramp'!T4^2)/(Links!AB4+'Off-Ramp'!T4)</f>
        <v>#DIV/0!</v>
      </c>
      <c r="BZ4" s="61" t="e">
        <f>Links!AC4</f>
        <v>#DIV/0!</v>
      </c>
      <c r="CA4" s="61" t="e">
        <f>(Links!AD4^2+'Off-Ramp'!U4^2)/(Links!AD4+'Off-Ramp'!U4)</f>
        <v>#DIV/0!</v>
      </c>
    </row>
    <row r="5" spans="1:79" x14ac:dyDescent="0.15">
      <c r="A5" s="59">
        <v>3</v>
      </c>
      <c r="B5" s="60" t="e">
        <f t="shared" si="2"/>
        <v>#DIV/0!</v>
      </c>
      <c r="C5" s="60" t="e">
        <f t="shared" si="3"/>
        <v>#DIV/0!</v>
      </c>
      <c r="D5" s="60" t="e">
        <f t="shared" si="4"/>
        <v>#DIV/0!</v>
      </c>
      <c r="E5" s="60" t="e">
        <f t="shared" si="5"/>
        <v>#DIV/0!</v>
      </c>
      <c r="F5" s="60" t="e">
        <f t="shared" si="6"/>
        <v>#DIV/0!</v>
      </c>
      <c r="G5" s="60" t="e">
        <f t="shared" si="7"/>
        <v>#DIV/0!</v>
      </c>
      <c r="H5" s="60" t="e">
        <f t="shared" si="8"/>
        <v>#DIV/0!</v>
      </c>
      <c r="I5" s="60" t="e">
        <f t="shared" si="9"/>
        <v>#DIV/0!</v>
      </c>
      <c r="J5" s="60" t="e">
        <f t="shared" si="10"/>
        <v>#DIV/0!</v>
      </c>
      <c r="K5" s="60" t="e">
        <f t="shared" si="11"/>
        <v>#DIV/0!</v>
      </c>
      <c r="L5" s="60" t="e">
        <f t="shared" si="12"/>
        <v>#DIV/0!</v>
      </c>
      <c r="M5" s="60" t="e">
        <f t="shared" si="13"/>
        <v>#DIV/0!</v>
      </c>
      <c r="N5" s="60" t="e">
        <f t="shared" si="14"/>
        <v>#DIV/0!</v>
      </c>
      <c r="O5" s="61" t="e">
        <f>Links!B5</f>
        <v>#DIV/0!</v>
      </c>
      <c r="P5" s="61" t="e">
        <f>Links!C5+'On-Ramps'!AC5</f>
        <v>#DIV/0!</v>
      </c>
      <c r="Q5" s="61" t="e">
        <f>Links!D5</f>
        <v>#DIV/0!</v>
      </c>
      <c r="R5" s="61" t="e">
        <f>Links!E5+'On-Ramps'!AD5</f>
        <v>#DIV/0!</v>
      </c>
      <c r="S5" s="61" t="e">
        <f>Links!F5+'On-Ramps'!AE5</f>
        <v>#DIV/0!</v>
      </c>
      <c r="T5" s="61" t="e">
        <f>Links!G5+'On-Ramps'!AF5</f>
        <v>#DIV/0!</v>
      </c>
      <c r="U5" s="61" t="e">
        <f>Links!H5+'On-Ramps'!AG5</f>
        <v>#DIV/0!</v>
      </c>
      <c r="V5" s="61" t="e">
        <f>Links!J5+'On-Ramps'!AH5</f>
        <v>#DIV/0!</v>
      </c>
      <c r="W5" s="61" t="e">
        <f>Links!K5+'On-Ramps'!AI5</f>
        <v>#DIV/0!</v>
      </c>
      <c r="X5" s="61" t="e">
        <f>Links!L5+'On-Ramps'!AJ5</f>
        <v>#DIV/0!</v>
      </c>
      <c r="Y5" s="61" t="e">
        <f>Links!M5</f>
        <v>#DIV/0!</v>
      </c>
      <c r="Z5" s="61" t="e">
        <f>Links!N5+'On-Ramps'!AK5</f>
        <v>#DIV/0!</v>
      </c>
      <c r="AA5" s="61" t="e">
        <f>Links!O5</f>
        <v>#DIV/0!</v>
      </c>
      <c r="AB5" s="60" t="e">
        <f t="shared" ref="AB5:AB68" si="17">AO5*(1-AO5)*O5</f>
        <v>#DIV/0!</v>
      </c>
      <c r="AC5" s="60" t="e">
        <f t="shared" ref="AC5:AC68" si="18">AP5*(1-AP5)*P5</f>
        <v>#DIV/0!</v>
      </c>
      <c r="AD5" s="60" t="e">
        <f t="shared" ref="AD5:AD68" si="19">AQ5*(1-AQ5)*Q5</f>
        <v>#DIV/0!</v>
      </c>
      <c r="AE5" s="60" t="e">
        <f t="shared" ref="AE5:AE68" si="20">AR5*(1-AR5)*R5</f>
        <v>#DIV/0!</v>
      </c>
      <c r="AF5" s="60" t="e">
        <f t="shared" ref="AF5:AF68" si="21">AS5*(1-AS5)*S5</f>
        <v>#DIV/0!</v>
      </c>
      <c r="AG5" s="60" t="e">
        <f t="shared" ref="AG5:AG68" si="22">AT5*(1-AT5)*T5</f>
        <v>#DIV/0!</v>
      </c>
      <c r="AH5" s="60" t="e">
        <f t="shared" ref="AH5:AH68" si="23">AU5*(1-AU5)*U5</f>
        <v>#DIV/0!</v>
      </c>
      <c r="AI5" s="60" t="e">
        <f t="shared" ref="AI5:AI68" si="24">AV5*(1-AV5)*V5</f>
        <v>#DIV/0!</v>
      </c>
      <c r="AJ5" s="60" t="e">
        <f t="shared" ref="AJ5:AJ68" si="25">AW5*(1-AW5)*W5</f>
        <v>#DIV/0!</v>
      </c>
      <c r="AK5" s="60" t="e">
        <f t="shared" ref="AK5:AK68" si="26">AX5*(1-AX5)*X5</f>
        <v>#DIV/0!</v>
      </c>
      <c r="AL5" s="60" t="e">
        <f t="shared" ref="AL5:AL68" si="27">AY5*(1-AY5)*Y5</f>
        <v>#DIV/0!</v>
      </c>
      <c r="AM5" s="60" t="e">
        <f t="shared" ref="AM5:AM68" si="28">AZ5*(1-AZ5)*Z5</f>
        <v>#DIV/0!</v>
      </c>
      <c r="AN5" s="60" t="e">
        <f t="shared" si="15"/>
        <v>#DIV/0!</v>
      </c>
      <c r="AO5" s="61" t="e">
        <f t="shared" ref="AO5:BA36" si="29">AO$3</f>
        <v>#DIV/0!</v>
      </c>
      <c r="AP5" s="61" t="e">
        <f t="shared" si="16"/>
        <v>#DIV/0!</v>
      </c>
      <c r="AQ5" s="61" t="e">
        <f t="shared" si="16"/>
        <v>#DIV/0!</v>
      </c>
      <c r="AR5" s="61" t="e">
        <f t="shared" si="16"/>
        <v>#DIV/0!</v>
      </c>
      <c r="AS5" s="61" t="e">
        <f t="shared" si="16"/>
        <v>#DIV/0!</v>
      </c>
      <c r="AT5" s="61" t="e">
        <f t="shared" si="16"/>
        <v>#DIV/0!</v>
      </c>
      <c r="AU5" s="61" t="e">
        <f t="shared" si="16"/>
        <v>#DIV/0!</v>
      </c>
      <c r="AV5" s="61" t="e">
        <f t="shared" si="16"/>
        <v>#DIV/0!</v>
      </c>
      <c r="AW5" s="61" t="e">
        <f t="shared" si="16"/>
        <v>#DIV/0!</v>
      </c>
      <c r="AX5" s="61" t="e">
        <f t="shared" si="16"/>
        <v>#DIV/0!</v>
      </c>
      <c r="AY5" s="61" t="e">
        <f t="shared" si="16"/>
        <v>#DIV/0!</v>
      </c>
      <c r="AZ5" s="61" t="e">
        <f t="shared" si="16"/>
        <v>#DIV/0!</v>
      </c>
      <c r="BA5" s="61" t="e">
        <f t="shared" si="16"/>
        <v>#DIV/0!</v>
      </c>
      <c r="BB5" s="60" t="e">
        <f>Links!AF5</f>
        <v>#DIV/0!</v>
      </c>
      <c r="BC5" s="60" t="e">
        <f>(Links!AG5*Links!C5+'On-Ramps'!AC5*'On-Ramps'!CE5)/('On-Ramps'!AC5+Links!C5)</f>
        <v>#DIV/0!</v>
      </c>
      <c r="BD5" s="60" t="e">
        <f>Links!AH5</f>
        <v>#DIV/0!</v>
      </c>
      <c r="BE5" s="60" t="e">
        <f>(Links!AI5*Links!E5+'On-Ramps'!AD5*'On-Ramps'!CF4)/('On-Ramps'!AD5+Links!E5)</f>
        <v>#DIV/0!</v>
      </c>
      <c r="BF5" s="60" t="e">
        <f>(Links!F5*Links!AJ5+'On-Ramps'!AE5*'On-Ramps'!CG5)/('On-Ramps'!AE5+Links!F5)</f>
        <v>#DIV/0!</v>
      </c>
      <c r="BG5" s="60" t="e">
        <f>(Links!G5*Links!AK5+'On-Ramps'!AF5*'On-Ramps'!CH5)/('On-Ramps'!AF5+Links!G5)</f>
        <v>#DIV/0!</v>
      </c>
      <c r="BH5" s="60" t="e">
        <f>(Links!H5*Links!AL5+'On-Ramps'!AG5*'On-Ramps'!CI5)/('On-Ramps'!AG5+Links!H5)</f>
        <v>#DIV/0!</v>
      </c>
      <c r="BI5" s="60" t="e">
        <f>(Links!J5*Links!AN5+'On-Ramps'!AH5*'On-Ramps'!CJ5)/('On-Ramps'!AH5+Links!J5)</f>
        <v>#DIV/0!</v>
      </c>
      <c r="BJ5" s="60" t="e">
        <f>(Links!K5*Links!AO5+'On-Ramps'!AI5*'On-Ramps'!CK5)/('On-Ramps'!AI5+Links!K5)</f>
        <v>#DIV/0!</v>
      </c>
      <c r="BK5" s="60" t="e">
        <f>(Links!L5*Links!AP5+'On-Ramps'!AJ5*'On-Ramps'!CL5)/(Links!L5+'On-Ramps'!AJ5)</f>
        <v>#DIV/0!</v>
      </c>
      <c r="BL5" s="60" t="e">
        <f>Links!AQ5</f>
        <v>#DIV/0!</v>
      </c>
      <c r="BM5" s="60" t="e">
        <f>(Links!N5*Links!AR5+'On-Ramps'!AL5*'On-Ramps'!CM5)/(Links!N5+'On-Ramps'!AL5)</f>
        <v>#DIV/0!</v>
      </c>
      <c r="BN5" s="60" t="e">
        <f>Links!AS5</f>
        <v>#DIV/0!</v>
      </c>
      <c r="BO5" s="61" t="e">
        <f>(Links!R5^2+'Off-Ramp'!L5^2)/(Links!R5+'Off-Ramp'!L5)</f>
        <v>#DIV/0!</v>
      </c>
      <c r="BP5" s="61" t="e">
        <f>Links!S5</f>
        <v>#DIV/0!</v>
      </c>
      <c r="BQ5" s="61" t="e">
        <f>(Links!S5^2+'Off-Ramp'!C5^2)/(Links!S5+'Off-Ramp'!C5)</f>
        <v>#DIV/0!</v>
      </c>
      <c r="BR5" s="61" t="e">
        <f>Links!T5</f>
        <v>#DIV/0!</v>
      </c>
      <c r="BS5" s="61" t="e">
        <f>(Links!U5^2+'Off-Ramp'!N5^2)/(Links!U5+'Off-Ramp'!N5)</f>
        <v>#DIV/0!</v>
      </c>
      <c r="BT5" s="61" t="e">
        <f>(Links!V5^2+'Off-Ramp'!O5^2)/(Links!V5+'Off-Ramp'!O5)</f>
        <v>#DIV/0!</v>
      </c>
      <c r="BU5" s="61" t="e">
        <f>(Links!W5^2+'Off-Ramp'!P5^2)/(Links!W5+'Off-Ramp'!P5)</f>
        <v>#DIV/0!</v>
      </c>
      <c r="BV5" s="61" t="e">
        <f>(Links!Y5^2+'Off-Ramp'!Q5^2)/(Links!Y5+'Off-Ramp'!Q5)</f>
        <v>#DIV/0!</v>
      </c>
      <c r="BW5" s="61" t="e">
        <f>(Links!Z5^2+'Off-Ramp'!R5^2)/(Links!Z5+'Off-Ramp'!R5)</f>
        <v>#DIV/0!</v>
      </c>
      <c r="BX5" s="61" t="e">
        <f>(Links!AA5+'Off-Ramp'!S5)/(Links!AA5^2+'Off-Ramp'!S5^2)</f>
        <v>#DIV/0!</v>
      </c>
      <c r="BY5" s="61" t="e">
        <f>(Links!AB5^2+'Off-Ramp'!T5^2)/(Links!AB5+'Off-Ramp'!T5)</f>
        <v>#DIV/0!</v>
      </c>
      <c r="BZ5" s="61" t="e">
        <f>Links!AC5</f>
        <v>#DIV/0!</v>
      </c>
      <c r="CA5" s="61" t="e">
        <f>(Links!AD5^2+'Off-Ramp'!U5^2)/(Links!AD5+'Off-Ramp'!U5)</f>
        <v>#DIV/0!</v>
      </c>
    </row>
    <row r="6" spans="1:79" x14ac:dyDescent="0.15">
      <c r="A6" s="59">
        <v>4</v>
      </c>
      <c r="B6" s="60" t="e">
        <f t="shared" si="2"/>
        <v>#DIV/0!</v>
      </c>
      <c r="C6" s="60" t="e">
        <f t="shared" si="3"/>
        <v>#DIV/0!</v>
      </c>
      <c r="D6" s="60" t="e">
        <f t="shared" si="4"/>
        <v>#DIV/0!</v>
      </c>
      <c r="E6" s="60" t="e">
        <f t="shared" si="5"/>
        <v>#DIV/0!</v>
      </c>
      <c r="F6" s="60" t="e">
        <f t="shared" si="6"/>
        <v>#DIV/0!</v>
      </c>
      <c r="G6" s="60" t="e">
        <f t="shared" si="7"/>
        <v>#DIV/0!</v>
      </c>
      <c r="H6" s="60" t="e">
        <f t="shared" si="8"/>
        <v>#DIV/0!</v>
      </c>
      <c r="I6" s="60" t="e">
        <f t="shared" si="9"/>
        <v>#DIV/0!</v>
      </c>
      <c r="J6" s="60" t="e">
        <f t="shared" si="10"/>
        <v>#DIV/0!</v>
      </c>
      <c r="K6" s="60" t="e">
        <f t="shared" si="11"/>
        <v>#DIV/0!</v>
      </c>
      <c r="L6" s="60" t="e">
        <f t="shared" si="12"/>
        <v>#DIV/0!</v>
      </c>
      <c r="M6" s="60" t="e">
        <f t="shared" si="13"/>
        <v>#DIV/0!</v>
      </c>
      <c r="N6" s="60" t="e">
        <f t="shared" si="14"/>
        <v>#DIV/0!</v>
      </c>
      <c r="O6" s="61" t="e">
        <f>Links!B6</f>
        <v>#DIV/0!</v>
      </c>
      <c r="P6" s="61" t="e">
        <f>Links!C6+'On-Ramps'!AC6</f>
        <v>#DIV/0!</v>
      </c>
      <c r="Q6" s="61" t="e">
        <f>Links!D6</f>
        <v>#DIV/0!</v>
      </c>
      <c r="R6" s="61" t="e">
        <f>Links!E6+'On-Ramps'!AD6</f>
        <v>#DIV/0!</v>
      </c>
      <c r="S6" s="61" t="e">
        <f>Links!F6+'On-Ramps'!AE6</f>
        <v>#DIV/0!</v>
      </c>
      <c r="T6" s="61" t="e">
        <f>Links!G6+'On-Ramps'!AF6</f>
        <v>#DIV/0!</v>
      </c>
      <c r="U6" s="61" t="e">
        <f>Links!H6+'On-Ramps'!AG6</f>
        <v>#DIV/0!</v>
      </c>
      <c r="V6" s="61" t="e">
        <f>Links!J6+'On-Ramps'!AH6</f>
        <v>#DIV/0!</v>
      </c>
      <c r="W6" s="61" t="e">
        <f>Links!K6+'On-Ramps'!AI6</f>
        <v>#DIV/0!</v>
      </c>
      <c r="X6" s="61" t="e">
        <f>Links!L6+'On-Ramps'!AJ6</f>
        <v>#DIV/0!</v>
      </c>
      <c r="Y6" s="61" t="e">
        <f>Links!M6</f>
        <v>#DIV/0!</v>
      </c>
      <c r="Z6" s="61" t="e">
        <f>Links!N6+'On-Ramps'!AK6</f>
        <v>#DIV/0!</v>
      </c>
      <c r="AA6" s="61" t="e">
        <f>Links!O6</f>
        <v>#DIV/0!</v>
      </c>
      <c r="AB6" s="60" t="e">
        <f t="shared" si="17"/>
        <v>#DIV/0!</v>
      </c>
      <c r="AC6" s="60" t="e">
        <f t="shared" si="18"/>
        <v>#DIV/0!</v>
      </c>
      <c r="AD6" s="60" t="e">
        <f t="shared" si="19"/>
        <v>#DIV/0!</v>
      </c>
      <c r="AE6" s="60" t="e">
        <f t="shared" si="20"/>
        <v>#DIV/0!</v>
      </c>
      <c r="AF6" s="60" t="e">
        <f t="shared" si="21"/>
        <v>#DIV/0!</v>
      </c>
      <c r="AG6" s="60" t="e">
        <f t="shared" si="22"/>
        <v>#DIV/0!</v>
      </c>
      <c r="AH6" s="60" t="e">
        <f t="shared" si="23"/>
        <v>#DIV/0!</v>
      </c>
      <c r="AI6" s="60" t="e">
        <f t="shared" si="24"/>
        <v>#DIV/0!</v>
      </c>
      <c r="AJ6" s="60" t="e">
        <f t="shared" si="25"/>
        <v>#DIV/0!</v>
      </c>
      <c r="AK6" s="60" t="e">
        <f t="shared" si="26"/>
        <v>#DIV/0!</v>
      </c>
      <c r="AL6" s="60" t="e">
        <f t="shared" si="27"/>
        <v>#DIV/0!</v>
      </c>
      <c r="AM6" s="60" t="e">
        <f t="shared" si="28"/>
        <v>#DIV/0!</v>
      </c>
      <c r="AN6" s="60" t="e">
        <f t="shared" si="15"/>
        <v>#DIV/0!</v>
      </c>
      <c r="AO6" s="61" t="e">
        <f t="shared" si="29"/>
        <v>#DIV/0!</v>
      </c>
      <c r="AP6" s="61" t="e">
        <f t="shared" si="16"/>
        <v>#DIV/0!</v>
      </c>
      <c r="AQ6" s="61" t="e">
        <f t="shared" si="16"/>
        <v>#DIV/0!</v>
      </c>
      <c r="AR6" s="61" t="e">
        <f t="shared" si="16"/>
        <v>#DIV/0!</v>
      </c>
      <c r="AS6" s="61" t="e">
        <f t="shared" si="16"/>
        <v>#DIV/0!</v>
      </c>
      <c r="AT6" s="61" t="e">
        <f t="shared" si="16"/>
        <v>#DIV/0!</v>
      </c>
      <c r="AU6" s="61" t="e">
        <f t="shared" si="16"/>
        <v>#DIV/0!</v>
      </c>
      <c r="AV6" s="61" t="e">
        <f t="shared" si="16"/>
        <v>#DIV/0!</v>
      </c>
      <c r="AW6" s="61" t="e">
        <f t="shared" si="16"/>
        <v>#DIV/0!</v>
      </c>
      <c r="AX6" s="61" t="e">
        <f t="shared" si="16"/>
        <v>#DIV/0!</v>
      </c>
      <c r="AY6" s="61" t="e">
        <f t="shared" si="16"/>
        <v>#DIV/0!</v>
      </c>
      <c r="AZ6" s="61" t="e">
        <f t="shared" si="16"/>
        <v>#DIV/0!</v>
      </c>
      <c r="BA6" s="61" t="e">
        <f t="shared" si="16"/>
        <v>#DIV/0!</v>
      </c>
      <c r="BB6" s="60" t="e">
        <f>Links!AF6</f>
        <v>#DIV/0!</v>
      </c>
      <c r="BC6" s="60" t="e">
        <f>(Links!AG6*Links!C6+'On-Ramps'!AC6*'On-Ramps'!CE6)/('On-Ramps'!AC6+Links!C6)</f>
        <v>#DIV/0!</v>
      </c>
      <c r="BD6" s="60" t="e">
        <f>Links!AH6</f>
        <v>#DIV/0!</v>
      </c>
      <c r="BE6" s="60" t="e">
        <f>(Links!AI6*Links!E6+'On-Ramps'!AD6*'On-Ramps'!CF5)/('On-Ramps'!AD6+Links!E6)</f>
        <v>#DIV/0!</v>
      </c>
      <c r="BF6" s="60" t="e">
        <f>(Links!F6*Links!AJ6+'On-Ramps'!AE6*'On-Ramps'!CG6)/('On-Ramps'!AE6+Links!F6)</f>
        <v>#DIV/0!</v>
      </c>
      <c r="BG6" s="60" t="e">
        <f>(Links!G6*Links!AK6+'On-Ramps'!AF6*'On-Ramps'!CH6)/('On-Ramps'!AF6+Links!G6)</f>
        <v>#DIV/0!</v>
      </c>
      <c r="BH6" s="60" t="e">
        <f>(Links!H6*Links!AL6+'On-Ramps'!AG6*'On-Ramps'!CI6)/('On-Ramps'!AG6+Links!H6)</f>
        <v>#DIV/0!</v>
      </c>
      <c r="BI6" s="60" t="e">
        <f>(Links!J6*Links!AN6+'On-Ramps'!AH6*'On-Ramps'!CJ6)/('On-Ramps'!AH6+Links!J6)</f>
        <v>#DIV/0!</v>
      </c>
      <c r="BJ6" s="60" t="e">
        <f>(Links!K6*Links!AO6+'On-Ramps'!AI6*'On-Ramps'!CK6)/('On-Ramps'!AI6+Links!K6)</f>
        <v>#DIV/0!</v>
      </c>
      <c r="BK6" s="60" t="e">
        <f>(Links!L6*Links!AP6+'On-Ramps'!AJ6*'On-Ramps'!CL6)/(Links!L6+'On-Ramps'!AJ6)</f>
        <v>#DIV/0!</v>
      </c>
      <c r="BL6" s="60" t="e">
        <f>Links!AQ6</f>
        <v>#DIV/0!</v>
      </c>
      <c r="BM6" s="60" t="e">
        <f>(Links!N6*Links!AR6+'On-Ramps'!AL6*'On-Ramps'!CM6)/(Links!N6+'On-Ramps'!AL6)</f>
        <v>#DIV/0!</v>
      </c>
      <c r="BN6" s="60" t="e">
        <f>Links!AS6</f>
        <v>#DIV/0!</v>
      </c>
      <c r="BO6" s="61" t="e">
        <f>(Links!R6^2+'Off-Ramp'!L6^2)/(Links!R6+'Off-Ramp'!L6)</f>
        <v>#DIV/0!</v>
      </c>
      <c r="BP6" s="61" t="e">
        <f>Links!S6</f>
        <v>#DIV/0!</v>
      </c>
      <c r="BQ6" s="61" t="e">
        <f>(Links!S6^2+'Off-Ramp'!C6^2)/(Links!S6+'Off-Ramp'!C6)</f>
        <v>#DIV/0!</v>
      </c>
      <c r="BR6" s="61" t="e">
        <f>Links!T6</f>
        <v>#DIV/0!</v>
      </c>
      <c r="BS6" s="61" t="e">
        <f>(Links!U6^2+'Off-Ramp'!N6^2)/(Links!U6+'Off-Ramp'!N6)</f>
        <v>#DIV/0!</v>
      </c>
      <c r="BT6" s="61" t="e">
        <f>(Links!V6^2+'Off-Ramp'!O6^2)/(Links!V6+'Off-Ramp'!O6)</f>
        <v>#DIV/0!</v>
      </c>
      <c r="BU6" s="61" t="e">
        <f>(Links!W6^2+'Off-Ramp'!P6^2)/(Links!W6+'Off-Ramp'!P6)</f>
        <v>#DIV/0!</v>
      </c>
      <c r="BV6" s="61" t="e">
        <f>(Links!Y6^2+'Off-Ramp'!Q6^2)/(Links!Y6+'Off-Ramp'!Q6)</f>
        <v>#DIV/0!</v>
      </c>
      <c r="BW6" s="61" t="e">
        <f>(Links!Z6^2+'Off-Ramp'!R6^2)/(Links!Z6+'Off-Ramp'!R6)</f>
        <v>#DIV/0!</v>
      </c>
      <c r="BX6" s="61" t="e">
        <f>(Links!AA6+'Off-Ramp'!S6)/(Links!AA6^2+'Off-Ramp'!S6^2)</f>
        <v>#DIV/0!</v>
      </c>
      <c r="BY6" s="61" t="e">
        <f>(Links!AB6^2+'Off-Ramp'!T6^2)/(Links!AB6+'Off-Ramp'!T6)</f>
        <v>#DIV/0!</v>
      </c>
      <c r="BZ6" s="61" t="e">
        <f>Links!AC6</f>
        <v>#DIV/0!</v>
      </c>
      <c r="CA6" s="61" t="e">
        <f>(Links!AD6^2+'Off-Ramp'!U6^2)/(Links!AD6+'Off-Ramp'!U6)</f>
        <v>#DIV/0!</v>
      </c>
    </row>
    <row r="7" spans="1:79" x14ac:dyDescent="0.15">
      <c r="A7" s="59">
        <v>5</v>
      </c>
      <c r="B7" s="60" t="e">
        <f t="shared" si="2"/>
        <v>#DIV/0!</v>
      </c>
      <c r="C7" s="60" t="e">
        <f t="shared" si="3"/>
        <v>#DIV/0!</v>
      </c>
      <c r="D7" s="60" t="e">
        <f t="shared" si="4"/>
        <v>#DIV/0!</v>
      </c>
      <c r="E7" s="60" t="e">
        <f t="shared" si="5"/>
        <v>#DIV/0!</v>
      </c>
      <c r="F7" s="60" t="e">
        <f t="shared" si="6"/>
        <v>#DIV/0!</v>
      </c>
      <c r="G7" s="60" t="e">
        <f t="shared" si="7"/>
        <v>#DIV/0!</v>
      </c>
      <c r="H7" s="60" t="e">
        <f t="shared" si="8"/>
        <v>#DIV/0!</v>
      </c>
      <c r="I7" s="60" t="e">
        <f t="shared" si="9"/>
        <v>#DIV/0!</v>
      </c>
      <c r="J7" s="60" t="e">
        <f t="shared" si="10"/>
        <v>#DIV/0!</v>
      </c>
      <c r="K7" s="60" t="e">
        <f t="shared" si="11"/>
        <v>#DIV/0!</v>
      </c>
      <c r="L7" s="60" t="e">
        <f t="shared" si="12"/>
        <v>#DIV/0!</v>
      </c>
      <c r="M7" s="60" t="e">
        <f t="shared" si="13"/>
        <v>#DIV/0!</v>
      </c>
      <c r="N7" s="60" t="e">
        <f t="shared" si="14"/>
        <v>#DIV/0!</v>
      </c>
      <c r="O7" s="61" t="e">
        <f>Links!B7</f>
        <v>#DIV/0!</v>
      </c>
      <c r="P7" s="61" t="e">
        <f>Links!C7+'On-Ramps'!AC7</f>
        <v>#DIV/0!</v>
      </c>
      <c r="Q7" s="61" t="e">
        <f>Links!D7</f>
        <v>#DIV/0!</v>
      </c>
      <c r="R7" s="61" t="e">
        <f>Links!E7+'On-Ramps'!AD7</f>
        <v>#DIV/0!</v>
      </c>
      <c r="S7" s="61" t="e">
        <f>Links!F7+'On-Ramps'!AE7</f>
        <v>#DIV/0!</v>
      </c>
      <c r="T7" s="61" t="e">
        <f>Links!G7+'On-Ramps'!AF7</f>
        <v>#DIV/0!</v>
      </c>
      <c r="U7" s="61" t="e">
        <f>Links!H7+'On-Ramps'!AG7</f>
        <v>#DIV/0!</v>
      </c>
      <c r="V7" s="61" t="e">
        <f>Links!J7+'On-Ramps'!AH7</f>
        <v>#DIV/0!</v>
      </c>
      <c r="W7" s="61" t="e">
        <f>Links!K7+'On-Ramps'!AI7</f>
        <v>#DIV/0!</v>
      </c>
      <c r="X7" s="61" t="e">
        <f>Links!L7+'On-Ramps'!AJ7</f>
        <v>#DIV/0!</v>
      </c>
      <c r="Y7" s="61" t="e">
        <f>Links!M7</f>
        <v>#DIV/0!</v>
      </c>
      <c r="Z7" s="61" t="e">
        <f>Links!N7+'On-Ramps'!AK7</f>
        <v>#DIV/0!</v>
      </c>
      <c r="AA7" s="61" t="e">
        <f>Links!O7</f>
        <v>#DIV/0!</v>
      </c>
      <c r="AB7" s="60" t="e">
        <f t="shared" si="17"/>
        <v>#DIV/0!</v>
      </c>
      <c r="AC7" s="60" t="e">
        <f t="shared" si="18"/>
        <v>#DIV/0!</v>
      </c>
      <c r="AD7" s="60" t="e">
        <f t="shared" si="19"/>
        <v>#DIV/0!</v>
      </c>
      <c r="AE7" s="60" t="e">
        <f t="shared" si="20"/>
        <v>#DIV/0!</v>
      </c>
      <c r="AF7" s="60" t="e">
        <f t="shared" si="21"/>
        <v>#DIV/0!</v>
      </c>
      <c r="AG7" s="60" t="e">
        <f t="shared" si="22"/>
        <v>#DIV/0!</v>
      </c>
      <c r="AH7" s="60" t="e">
        <f t="shared" si="23"/>
        <v>#DIV/0!</v>
      </c>
      <c r="AI7" s="60" t="e">
        <f t="shared" si="24"/>
        <v>#DIV/0!</v>
      </c>
      <c r="AJ7" s="60" t="e">
        <f t="shared" si="25"/>
        <v>#DIV/0!</v>
      </c>
      <c r="AK7" s="60" t="e">
        <f t="shared" si="26"/>
        <v>#DIV/0!</v>
      </c>
      <c r="AL7" s="60" t="e">
        <f t="shared" si="27"/>
        <v>#DIV/0!</v>
      </c>
      <c r="AM7" s="60" t="e">
        <f t="shared" si="28"/>
        <v>#DIV/0!</v>
      </c>
      <c r="AN7" s="60" t="e">
        <f t="shared" si="15"/>
        <v>#DIV/0!</v>
      </c>
      <c r="AO7" s="61" t="e">
        <f t="shared" si="29"/>
        <v>#DIV/0!</v>
      </c>
      <c r="AP7" s="61" t="e">
        <f t="shared" si="16"/>
        <v>#DIV/0!</v>
      </c>
      <c r="AQ7" s="61" t="e">
        <f t="shared" si="16"/>
        <v>#DIV/0!</v>
      </c>
      <c r="AR7" s="61" t="e">
        <f t="shared" si="16"/>
        <v>#DIV/0!</v>
      </c>
      <c r="AS7" s="61" t="e">
        <f t="shared" si="16"/>
        <v>#DIV/0!</v>
      </c>
      <c r="AT7" s="61" t="e">
        <f t="shared" si="16"/>
        <v>#DIV/0!</v>
      </c>
      <c r="AU7" s="61" t="e">
        <f t="shared" si="16"/>
        <v>#DIV/0!</v>
      </c>
      <c r="AV7" s="61" t="e">
        <f t="shared" si="16"/>
        <v>#DIV/0!</v>
      </c>
      <c r="AW7" s="61" t="e">
        <f t="shared" si="16"/>
        <v>#DIV/0!</v>
      </c>
      <c r="AX7" s="61" t="e">
        <f t="shared" si="16"/>
        <v>#DIV/0!</v>
      </c>
      <c r="AY7" s="61" t="e">
        <f t="shared" si="16"/>
        <v>#DIV/0!</v>
      </c>
      <c r="AZ7" s="61" t="e">
        <f t="shared" si="16"/>
        <v>#DIV/0!</v>
      </c>
      <c r="BA7" s="61" t="e">
        <f t="shared" si="16"/>
        <v>#DIV/0!</v>
      </c>
      <c r="BB7" s="60" t="e">
        <f>Links!AF7</f>
        <v>#DIV/0!</v>
      </c>
      <c r="BC7" s="60" t="e">
        <f>(Links!AG7*Links!C7+'On-Ramps'!AC7*'On-Ramps'!CE7)/('On-Ramps'!AC7+Links!C7)</f>
        <v>#DIV/0!</v>
      </c>
      <c r="BD7" s="60" t="e">
        <f>Links!AH7</f>
        <v>#DIV/0!</v>
      </c>
      <c r="BE7" s="60" t="e">
        <f>(Links!AI7*Links!E7+'On-Ramps'!AD7*'On-Ramps'!CF6)/('On-Ramps'!AD7+Links!E7)</f>
        <v>#DIV/0!</v>
      </c>
      <c r="BF7" s="60" t="e">
        <f>(Links!F7*Links!AJ7+'On-Ramps'!AE7*'On-Ramps'!CG7)/('On-Ramps'!AE7+Links!F7)</f>
        <v>#DIV/0!</v>
      </c>
      <c r="BG7" s="60" t="e">
        <f>(Links!G7*Links!AK7+'On-Ramps'!AF7*'On-Ramps'!CH7)/('On-Ramps'!AF7+Links!G7)</f>
        <v>#DIV/0!</v>
      </c>
      <c r="BH7" s="60" t="e">
        <f>(Links!H7*Links!AL7+'On-Ramps'!AG7*'On-Ramps'!CI7)/('On-Ramps'!AG7+Links!H7)</f>
        <v>#DIV/0!</v>
      </c>
      <c r="BI7" s="60" t="e">
        <f>(Links!J7*Links!AN7+'On-Ramps'!AH7*'On-Ramps'!CJ7)/('On-Ramps'!AH7+Links!J7)</f>
        <v>#DIV/0!</v>
      </c>
      <c r="BJ7" s="60" t="e">
        <f>(Links!K7*Links!AO7+'On-Ramps'!AI7*'On-Ramps'!CK7)/('On-Ramps'!AI7+Links!K7)</f>
        <v>#DIV/0!</v>
      </c>
      <c r="BK7" s="60" t="e">
        <f>(Links!L7*Links!AP7+'On-Ramps'!AJ7*'On-Ramps'!CL7)/(Links!L7+'On-Ramps'!AJ7)</f>
        <v>#DIV/0!</v>
      </c>
      <c r="BL7" s="60" t="e">
        <f>Links!AQ7</f>
        <v>#DIV/0!</v>
      </c>
      <c r="BM7" s="60" t="e">
        <f>(Links!N7*Links!AR7+'On-Ramps'!AL7*'On-Ramps'!CM7)/(Links!N7+'On-Ramps'!AL7)</f>
        <v>#DIV/0!</v>
      </c>
      <c r="BN7" s="60" t="e">
        <f>Links!AS7</f>
        <v>#DIV/0!</v>
      </c>
      <c r="BO7" s="61" t="e">
        <f>(Links!R7^2+'Off-Ramp'!L7^2)/(Links!R7+'Off-Ramp'!L7)</f>
        <v>#DIV/0!</v>
      </c>
      <c r="BP7" s="61" t="e">
        <f>Links!S7</f>
        <v>#DIV/0!</v>
      </c>
      <c r="BQ7" s="61" t="e">
        <f>(Links!S7^2+'Off-Ramp'!C7^2)/(Links!S7+'Off-Ramp'!C7)</f>
        <v>#DIV/0!</v>
      </c>
      <c r="BR7" s="61" t="e">
        <f>Links!T7</f>
        <v>#DIV/0!</v>
      </c>
      <c r="BS7" s="61" t="e">
        <f>(Links!U7^2+'Off-Ramp'!N7^2)/(Links!U7+'Off-Ramp'!N7)</f>
        <v>#DIV/0!</v>
      </c>
      <c r="BT7" s="61" t="e">
        <f>(Links!V7^2+'Off-Ramp'!O7^2)/(Links!V7+'Off-Ramp'!O7)</f>
        <v>#DIV/0!</v>
      </c>
      <c r="BU7" s="61" t="e">
        <f>(Links!W7^2+'Off-Ramp'!P7^2)/(Links!W7+'Off-Ramp'!P7)</f>
        <v>#DIV/0!</v>
      </c>
      <c r="BV7" s="61" t="e">
        <f>(Links!Y7^2+'Off-Ramp'!Q7^2)/(Links!Y7+'Off-Ramp'!Q7)</f>
        <v>#DIV/0!</v>
      </c>
      <c r="BW7" s="61" t="e">
        <f>(Links!Z7^2+'Off-Ramp'!R7^2)/(Links!Z7+'Off-Ramp'!R7)</f>
        <v>#DIV/0!</v>
      </c>
      <c r="BX7" s="61" t="e">
        <f>(Links!AA7+'Off-Ramp'!S7)/(Links!AA7^2+'Off-Ramp'!S7^2)</f>
        <v>#DIV/0!</v>
      </c>
      <c r="BY7" s="61" t="e">
        <f>(Links!AB7^2+'Off-Ramp'!T7^2)/(Links!AB7+'Off-Ramp'!T7)</f>
        <v>#DIV/0!</v>
      </c>
      <c r="BZ7" s="61" t="e">
        <f>Links!AC7</f>
        <v>#DIV/0!</v>
      </c>
      <c r="CA7" s="61" t="e">
        <f>(Links!AD7^2+'Off-Ramp'!U7^2)/(Links!AD7+'Off-Ramp'!U7)</f>
        <v>#DIV/0!</v>
      </c>
    </row>
    <row r="8" spans="1:79" x14ac:dyDescent="0.15">
      <c r="A8" s="59">
        <v>6</v>
      </c>
      <c r="B8" s="60" t="e">
        <f t="shared" si="2"/>
        <v>#DIV/0!</v>
      </c>
      <c r="C8" s="60" t="e">
        <f t="shared" si="3"/>
        <v>#DIV/0!</v>
      </c>
      <c r="D8" s="60" t="e">
        <f t="shared" si="4"/>
        <v>#DIV/0!</v>
      </c>
      <c r="E8" s="60" t="e">
        <f t="shared" si="5"/>
        <v>#DIV/0!</v>
      </c>
      <c r="F8" s="60" t="e">
        <f t="shared" si="6"/>
        <v>#DIV/0!</v>
      </c>
      <c r="G8" s="60" t="e">
        <f t="shared" si="7"/>
        <v>#DIV/0!</v>
      </c>
      <c r="H8" s="60" t="e">
        <f t="shared" si="8"/>
        <v>#DIV/0!</v>
      </c>
      <c r="I8" s="60" t="e">
        <f t="shared" si="9"/>
        <v>#DIV/0!</v>
      </c>
      <c r="J8" s="60" t="e">
        <f t="shared" si="10"/>
        <v>#DIV/0!</v>
      </c>
      <c r="K8" s="60" t="e">
        <f t="shared" si="11"/>
        <v>#DIV/0!</v>
      </c>
      <c r="L8" s="60" t="e">
        <f t="shared" si="12"/>
        <v>#DIV/0!</v>
      </c>
      <c r="M8" s="60" t="e">
        <f t="shared" si="13"/>
        <v>#DIV/0!</v>
      </c>
      <c r="N8" s="60" t="e">
        <f t="shared" si="14"/>
        <v>#DIV/0!</v>
      </c>
      <c r="O8" s="61" t="e">
        <f>Links!B8</f>
        <v>#DIV/0!</v>
      </c>
      <c r="P8" s="61" t="e">
        <f>Links!C8+'On-Ramps'!AC8</f>
        <v>#DIV/0!</v>
      </c>
      <c r="Q8" s="61" t="e">
        <f>Links!D8</f>
        <v>#DIV/0!</v>
      </c>
      <c r="R8" s="61" t="e">
        <f>Links!E8+'On-Ramps'!AD8</f>
        <v>#DIV/0!</v>
      </c>
      <c r="S8" s="61" t="e">
        <f>Links!F8+'On-Ramps'!AE8</f>
        <v>#DIV/0!</v>
      </c>
      <c r="T8" s="61" t="e">
        <f>Links!G8+'On-Ramps'!AF8</f>
        <v>#DIV/0!</v>
      </c>
      <c r="U8" s="61" t="e">
        <f>Links!H8+'On-Ramps'!AG8</f>
        <v>#DIV/0!</v>
      </c>
      <c r="V8" s="61" t="e">
        <f>Links!J8+'On-Ramps'!AH8</f>
        <v>#DIV/0!</v>
      </c>
      <c r="W8" s="61" t="e">
        <f>Links!K8+'On-Ramps'!AI8</f>
        <v>#DIV/0!</v>
      </c>
      <c r="X8" s="61" t="e">
        <f>Links!L8+'On-Ramps'!AJ8</f>
        <v>#DIV/0!</v>
      </c>
      <c r="Y8" s="61" t="e">
        <f>Links!M8</f>
        <v>#DIV/0!</v>
      </c>
      <c r="Z8" s="61" t="e">
        <f>Links!N8+'On-Ramps'!AK8</f>
        <v>#DIV/0!</v>
      </c>
      <c r="AA8" s="61" t="e">
        <f>Links!O8</f>
        <v>#DIV/0!</v>
      </c>
      <c r="AB8" s="60" t="e">
        <f t="shared" si="17"/>
        <v>#DIV/0!</v>
      </c>
      <c r="AC8" s="60" t="e">
        <f t="shared" si="18"/>
        <v>#DIV/0!</v>
      </c>
      <c r="AD8" s="60" t="e">
        <f t="shared" si="19"/>
        <v>#DIV/0!</v>
      </c>
      <c r="AE8" s="60" t="e">
        <f t="shared" si="20"/>
        <v>#DIV/0!</v>
      </c>
      <c r="AF8" s="60" t="e">
        <f t="shared" si="21"/>
        <v>#DIV/0!</v>
      </c>
      <c r="AG8" s="60" t="e">
        <f t="shared" si="22"/>
        <v>#DIV/0!</v>
      </c>
      <c r="AH8" s="60" t="e">
        <f t="shared" si="23"/>
        <v>#DIV/0!</v>
      </c>
      <c r="AI8" s="60" t="e">
        <f t="shared" si="24"/>
        <v>#DIV/0!</v>
      </c>
      <c r="AJ8" s="60" t="e">
        <f t="shared" si="25"/>
        <v>#DIV/0!</v>
      </c>
      <c r="AK8" s="60" t="e">
        <f t="shared" si="26"/>
        <v>#DIV/0!</v>
      </c>
      <c r="AL8" s="60" t="e">
        <f t="shared" si="27"/>
        <v>#DIV/0!</v>
      </c>
      <c r="AM8" s="60" t="e">
        <f t="shared" si="28"/>
        <v>#DIV/0!</v>
      </c>
      <c r="AN8" s="60" t="e">
        <f t="shared" si="15"/>
        <v>#DIV/0!</v>
      </c>
      <c r="AO8" s="61" t="e">
        <f t="shared" si="29"/>
        <v>#DIV/0!</v>
      </c>
      <c r="AP8" s="61" t="e">
        <f t="shared" si="16"/>
        <v>#DIV/0!</v>
      </c>
      <c r="AQ8" s="61" t="e">
        <f t="shared" si="16"/>
        <v>#DIV/0!</v>
      </c>
      <c r="AR8" s="61" t="e">
        <f t="shared" si="16"/>
        <v>#DIV/0!</v>
      </c>
      <c r="AS8" s="61" t="e">
        <f t="shared" si="16"/>
        <v>#DIV/0!</v>
      </c>
      <c r="AT8" s="61" t="e">
        <f t="shared" si="16"/>
        <v>#DIV/0!</v>
      </c>
      <c r="AU8" s="61" t="e">
        <f t="shared" si="16"/>
        <v>#DIV/0!</v>
      </c>
      <c r="AV8" s="61" t="e">
        <f t="shared" si="16"/>
        <v>#DIV/0!</v>
      </c>
      <c r="AW8" s="61" t="e">
        <f t="shared" si="16"/>
        <v>#DIV/0!</v>
      </c>
      <c r="AX8" s="61" t="e">
        <f t="shared" si="16"/>
        <v>#DIV/0!</v>
      </c>
      <c r="AY8" s="61" t="e">
        <f t="shared" si="16"/>
        <v>#DIV/0!</v>
      </c>
      <c r="AZ8" s="61" t="e">
        <f t="shared" si="16"/>
        <v>#DIV/0!</v>
      </c>
      <c r="BA8" s="61" t="e">
        <f t="shared" si="16"/>
        <v>#DIV/0!</v>
      </c>
      <c r="BB8" s="60" t="e">
        <f>Links!AF8</f>
        <v>#DIV/0!</v>
      </c>
      <c r="BC8" s="60" t="e">
        <f>(Links!AG8*Links!C8+'On-Ramps'!AC8*'On-Ramps'!CE8)/('On-Ramps'!AC8+Links!C8)</f>
        <v>#DIV/0!</v>
      </c>
      <c r="BD8" s="60" t="e">
        <f>Links!AH8</f>
        <v>#DIV/0!</v>
      </c>
      <c r="BE8" s="60" t="e">
        <f>(Links!AI8*Links!E8+'On-Ramps'!AD8*'On-Ramps'!CF7)/('On-Ramps'!AD8+Links!E8)</f>
        <v>#DIV/0!</v>
      </c>
      <c r="BF8" s="60" t="e">
        <f>(Links!F8*Links!AJ8+'On-Ramps'!AE8*'On-Ramps'!CG8)/('On-Ramps'!AE8+Links!F8)</f>
        <v>#DIV/0!</v>
      </c>
      <c r="BG8" s="60" t="e">
        <f>(Links!G8*Links!AK8+'On-Ramps'!AF8*'On-Ramps'!CH8)/('On-Ramps'!AF8+Links!G8)</f>
        <v>#DIV/0!</v>
      </c>
      <c r="BH8" s="60" t="e">
        <f>(Links!H8*Links!AL8+'On-Ramps'!AG8*'On-Ramps'!CI8)/('On-Ramps'!AG8+Links!H8)</f>
        <v>#DIV/0!</v>
      </c>
      <c r="BI8" s="60" t="e">
        <f>(Links!J8*Links!AN8+'On-Ramps'!AH8*'On-Ramps'!CJ8)/('On-Ramps'!AH8+Links!J8)</f>
        <v>#DIV/0!</v>
      </c>
      <c r="BJ8" s="60" t="e">
        <f>(Links!K8*Links!AO8+'On-Ramps'!AI8*'On-Ramps'!CK8)/('On-Ramps'!AI8+Links!K8)</f>
        <v>#DIV/0!</v>
      </c>
      <c r="BK8" s="60" t="e">
        <f>(Links!L8*Links!AP8+'On-Ramps'!AJ8*'On-Ramps'!CL8)/(Links!L8+'On-Ramps'!AJ8)</f>
        <v>#DIV/0!</v>
      </c>
      <c r="BL8" s="60" t="e">
        <f>Links!AQ8</f>
        <v>#DIV/0!</v>
      </c>
      <c r="BM8" s="60" t="e">
        <f>(Links!N8*Links!AR8+'On-Ramps'!AL8*'On-Ramps'!CM8)/(Links!N8+'On-Ramps'!AL8)</f>
        <v>#DIV/0!</v>
      </c>
      <c r="BN8" s="60" t="e">
        <f>Links!AS8</f>
        <v>#DIV/0!</v>
      </c>
      <c r="BO8" s="61" t="e">
        <f>(Links!R8^2+'Off-Ramp'!L8^2)/(Links!R8+'Off-Ramp'!L8)</f>
        <v>#DIV/0!</v>
      </c>
      <c r="BP8" s="61" t="e">
        <f>Links!S8</f>
        <v>#DIV/0!</v>
      </c>
      <c r="BQ8" s="61" t="e">
        <f>(Links!S8^2+'Off-Ramp'!C8^2)/(Links!S8+'Off-Ramp'!C8)</f>
        <v>#DIV/0!</v>
      </c>
      <c r="BR8" s="61" t="e">
        <f>Links!T8</f>
        <v>#DIV/0!</v>
      </c>
      <c r="BS8" s="61" t="e">
        <f>(Links!U8^2+'Off-Ramp'!N8^2)/(Links!U8+'Off-Ramp'!N8)</f>
        <v>#DIV/0!</v>
      </c>
      <c r="BT8" s="61" t="e">
        <f>(Links!V8^2+'Off-Ramp'!O8^2)/(Links!V8+'Off-Ramp'!O8)</f>
        <v>#DIV/0!</v>
      </c>
      <c r="BU8" s="61" t="e">
        <f>(Links!W8^2+'Off-Ramp'!P8^2)/(Links!W8+'Off-Ramp'!P8)</f>
        <v>#DIV/0!</v>
      </c>
      <c r="BV8" s="61" t="e">
        <f>(Links!Y8^2+'Off-Ramp'!Q8^2)/(Links!Y8+'Off-Ramp'!Q8)</f>
        <v>#DIV/0!</v>
      </c>
      <c r="BW8" s="61" t="e">
        <f>(Links!Z8^2+'Off-Ramp'!R8^2)/(Links!Z8+'Off-Ramp'!R8)</f>
        <v>#DIV/0!</v>
      </c>
      <c r="BX8" s="61" t="e">
        <f>(Links!AA8+'Off-Ramp'!S8)/(Links!AA8^2+'Off-Ramp'!S8^2)</f>
        <v>#DIV/0!</v>
      </c>
      <c r="BY8" s="61" t="e">
        <f>(Links!AB8^2+'Off-Ramp'!T8^2)/(Links!AB8+'Off-Ramp'!T8)</f>
        <v>#DIV/0!</v>
      </c>
      <c r="BZ8" s="61" t="e">
        <f>Links!AC8</f>
        <v>#DIV/0!</v>
      </c>
      <c r="CA8" s="61" t="e">
        <f>(Links!AD8^2+'Off-Ramp'!U8^2)/(Links!AD8+'Off-Ramp'!U8)</f>
        <v>#DIV/0!</v>
      </c>
    </row>
    <row r="9" spans="1:79" x14ac:dyDescent="0.15">
      <c r="A9" s="59">
        <v>7</v>
      </c>
      <c r="B9" s="60" t="e">
        <f t="shared" si="2"/>
        <v>#DIV/0!</v>
      </c>
      <c r="C9" s="60" t="e">
        <f t="shared" si="3"/>
        <v>#DIV/0!</v>
      </c>
      <c r="D9" s="60" t="e">
        <f t="shared" si="4"/>
        <v>#DIV/0!</v>
      </c>
      <c r="E9" s="60" t="e">
        <f t="shared" si="5"/>
        <v>#DIV/0!</v>
      </c>
      <c r="F9" s="60" t="e">
        <f t="shared" si="6"/>
        <v>#DIV/0!</v>
      </c>
      <c r="G9" s="60" t="e">
        <f t="shared" si="7"/>
        <v>#DIV/0!</v>
      </c>
      <c r="H9" s="60" t="e">
        <f t="shared" si="8"/>
        <v>#DIV/0!</v>
      </c>
      <c r="I9" s="60" t="e">
        <f t="shared" si="9"/>
        <v>#DIV/0!</v>
      </c>
      <c r="J9" s="60" t="e">
        <f t="shared" si="10"/>
        <v>#DIV/0!</v>
      </c>
      <c r="K9" s="60" t="e">
        <f t="shared" si="11"/>
        <v>#DIV/0!</v>
      </c>
      <c r="L9" s="60" t="e">
        <f t="shared" si="12"/>
        <v>#DIV/0!</v>
      </c>
      <c r="M9" s="60" t="e">
        <f t="shared" si="13"/>
        <v>#DIV/0!</v>
      </c>
      <c r="N9" s="60" t="e">
        <f t="shared" si="14"/>
        <v>#DIV/0!</v>
      </c>
      <c r="O9" s="61" t="e">
        <f>Links!B9</f>
        <v>#DIV/0!</v>
      </c>
      <c r="P9" s="61" t="e">
        <f>Links!C9+'On-Ramps'!AC9</f>
        <v>#DIV/0!</v>
      </c>
      <c r="Q9" s="61" t="e">
        <f>Links!D9</f>
        <v>#DIV/0!</v>
      </c>
      <c r="R9" s="61" t="e">
        <f>Links!E9+'On-Ramps'!AD9</f>
        <v>#DIV/0!</v>
      </c>
      <c r="S9" s="61" t="e">
        <f>Links!F9+'On-Ramps'!AE9</f>
        <v>#DIV/0!</v>
      </c>
      <c r="T9" s="61" t="e">
        <f>Links!G9+'On-Ramps'!AF9</f>
        <v>#DIV/0!</v>
      </c>
      <c r="U9" s="61" t="e">
        <f>Links!H9+'On-Ramps'!AG9</f>
        <v>#DIV/0!</v>
      </c>
      <c r="V9" s="61" t="e">
        <f>Links!J9+'On-Ramps'!AH9</f>
        <v>#DIV/0!</v>
      </c>
      <c r="W9" s="61" t="e">
        <f>Links!K9+'On-Ramps'!AI9</f>
        <v>#DIV/0!</v>
      </c>
      <c r="X9" s="61" t="e">
        <f>Links!L9+'On-Ramps'!AJ9</f>
        <v>#DIV/0!</v>
      </c>
      <c r="Y9" s="61" t="e">
        <f>Links!M9</f>
        <v>#DIV/0!</v>
      </c>
      <c r="Z9" s="61" t="e">
        <f>Links!N9+'On-Ramps'!AK9</f>
        <v>#DIV/0!</v>
      </c>
      <c r="AA9" s="61" t="e">
        <f>Links!O9</f>
        <v>#DIV/0!</v>
      </c>
      <c r="AB9" s="60" t="e">
        <f t="shared" si="17"/>
        <v>#DIV/0!</v>
      </c>
      <c r="AC9" s="60" t="e">
        <f t="shared" si="18"/>
        <v>#DIV/0!</v>
      </c>
      <c r="AD9" s="60" t="e">
        <f t="shared" si="19"/>
        <v>#DIV/0!</v>
      </c>
      <c r="AE9" s="60" t="e">
        <f t="shared" si="20"/>
        <v>#DIV/0!</v>
      </c>
      <c r="AF9" s="60" t="e">
        <f t="shared" si="21"/>
        <v>#DIV/0!</v>
      </c>
      <c r="AG9" s="60" t="e">
        <f t="shared" si="22"/>
        <v>#DIV/0!</v>
      </c>
      <c r="AH9" s="60" t="e">
        <f t="shared" si="23"/>
        <v>#DIV/0!</v>
      </c>
      <c r="AI9" s="60" t="e">
        <f t="shared" si="24"/>
        <v>#DIV/0!</v>
      </c>
      <c r="AJ9" s="60" t="e">
        <f t="shared" si="25"/>
        <v>#DIV/0!</v>
      </c>
      <c r="AK9" s="60" t="e">
        <f t="shared" si="26"/>
        <v>#DIV/0!</v>
      </c>
      <c r="AL9" s="60" t="e">
        <f t="shared" si="27"/>
        <v>#DIV/0!</v>
      </c>
      <c r="AM9" s="60" t="e">
        <f t="shared" si="28"/>
        <v>#DIV/0!</v>
      </c>
      <c r="AN9" s="60" t="e">
        <f t="shared" si="15"/>
        <v>#DIV/0!</v>
      </c>
      <c r="AO9" s="61" t="e">
        <f t="shared" si="29"/>
        <v>#DIV/0!</v>
      </c>
      <c r="AP9" s="61" t="e">
        <f t="shared" si="16"/>
        <v>#DIV/0!</v>
      </c>
      <c r="AQ9" s="61" t="e">
        <f t="shared" si="16"/>
        <v>#DIV/0!</v>
      </c>
      <c r="AR9" s="61" t="e">
        <f t="shared" si="16"/>
        <v>#DIV/0!</v>
      </c>
      <c r="AS9" s="61" t="e">
        <f t="shared" si="16"/>
        <v>#DIV/0!</v>
      </c>
      <c r="AT9" s="61" t="e">
        <f t="shared" si="16"/>
        <v>#DIV/0!</v>
      </c>
      <c r="AU9" s="61" t="e">
        <f t="shared" si="16"/>
        <v>#DIV/0!</v>
      </c>
      <c r="AV9" s="61" t="e">
        <f t="shared" si="16"/>
        <v>#DIV/0!</v>
      </c>
      <c r="AW9" s="61" t="e">
        <f t="shared" si="16"/>
        <v>#DIV/0!</v>
      </c>
      <c r="AX9" s="61" t="e">
        <f t="shared" si="16"/>
        <v>#DIV/0!</v>
      </c>
      <c r="AY9" s="61" t="e">
        <f t="shared" si="16"/>
        <v>#DIV/0!</v>
      </c>
      <c r="AZ9" s="61" t="e">
        <f t="shared" si="16"/>
        <v>#DIV/0!</v>
      </c>
      <c r="BA9" s="61" t="e">
        <f t="shared" si="16"/>
        <v>#DIV/0!</v>
      </c>
      <c r="BB9" s="60" t="e">
        <f>Links!AF9</f>
        <v>#DIV/0!</v>
      </c>
      <c r="BC9" s="60" t="e">
        <f>(Links!AG9*Links!C9+'On-Ramps'!AC9*'On-Ramps'!CE9)/('On-Ramps'!AC9+Links!C9)</f>
        <v>#DIV/0!</v>
      </c>
      <c r="BD9" s="60" t="e">
        <f>Links!AH9</f>
        <v>#DIV/0!</v>
      </c>
      <c r="BE9" s="60" t="e">
        <f>(Links!AI9*Links!E9+'On-Ramps'!AD9*'On-Ramps'!CF8)/('On-Ramps'!AD9+Links!E9)</f>
        <v>#DIV/0!</v>
      </c>
      <c r="BF9" s="60" t="e">
        <f>(Links!F9*Links!AJ9+'On-Ramps'!AE9*'On-Ramps'!CG9)/('On-Ramps'!AE9+Links!F9)</f>
        <v>#DIV/0!</v>
      </c>
      <c r="BG9" s="60" t="e">
        <f>(Links!G9*Links!AK9+'On-Ramps'!AF9*'On-Ramps'!CH9)/('On-Ramps'!AF9+Links!G9)</f>
        <v>#DIV/0!</v>
      </c>
      <c r="BH9" s="60" t="e">
        <f>(Links!H9*Links!AL9+'On-Ramps'!AG9*'On-Ramps'!CI9)/('On-Ramps'!AG9+Links!H9)</f>
        <v>#DIV/0!</v>
      </c>
      <c r="BI9" s="60" t="e">
        <f>(Links!J9*Links!AN9+'On-Ramps'!AH9*'On-Ramps'!CJ9)/('On-Ramps'!AH9+Links!J9)</f>
        <v>#DIV/0!</v>
      </c>
      <c r="BJ9" s="60" t="e">
        <f>(Links!K9*Links!AO9+'On-Ramps'!AI9*'On-Ramps'!CK9)/('On-Ramps'!AI9+Links!K9)</f>
        <v>#DIV/0!</v>
      </c>
      <c r="BK9" s="60" t="e">
        <f>(Links!L9*Links!AP9+'On-Ramps'!AJ9*'On-Ramps'!CL9)/(Links!L9+'On-Ramps'!AJ9)</f>
        <v>#DIV/0!</v>
      </c>
      <c r="BL9" s="60" t="e">
        <f>Links!AQ9</f>
        <v>#DIV/0!</v>
      </c>
      <c r="BM9" s="60" t="e">
        <f>(Links!N9*Links!AR9+'On-Ramps'!AL9*'On-Ramps'!CM9)/(Links!N9+'On-Ramps'!AL9)</f>
        <v>#DIV/0!</v>
      </c>
      <c r="BN9" s="60" t="e">
        <f>Links!AS9</f>
        <v>#DIV/0!</v>
      </c>
      <c r="BO9" s="61" t="e">
        <f>(Links!R9^2+'Off-Ramp'!L9^2)/(Links!R9+'Off-Ramp'!L9)</f>
        <v>#DIV/0!</v>
      </c>
      <c r="BP9" s="61" t="e">
        <f>Links!S9</f>
        <v>#DIV/0!</v>
      </c>
      <c r="BQ9" s="61" t="e">
        <f>(Links!S9^2+'Off-Ramp'!C9^2)/(Links!S9+'Off-Ramp'!C9)</f>
        <v>#DIV/0!</v>
      </c>
      <c r="BR9" s="61" t="e">
        <f>Links!T9</f>
        <v>#DIV/0!</v>
      </c>
      <c r="BS9" s="61" t="e">
        <f>(Links!U9^2+'Off-Ramp'!N9^2)/(Links!U9+'Off-Ramp'!N9)</f>
        <v>#DIV/0!</v>
      </c>
      <c r="BT9" s="61" t="e">
        <f>(Links!V9^2+'Off-Ramp'!O9^2)/(Links!V9+'Off-Ramp'!O9)</f>
        <v>#DIV/0!</v>
      </c>
      <c r="BU9" s="61" t="e">
        <f>(Links!W9^2+'Off-Ramp'!P9^2)/(Links!W9+'Off-Ramp'!P9)</f>
        <v>#DIV/0!</v>
      </c>
      <c r="BV9" s="61" t="e">
        <f>(Links!Y9^2+'Off-Ramp'!Q9^2)/(Links!Y9+'Off-Ramp'!Q9)</f>
        <v>#DIV/0!</v>
      </c>
      <c r="BW9" s="61" t="e">
        <f>(Links!Z9^2+'Off-Ramp'!R9^2)/(Links!Z9+'Off-Ramp'!R9)</f>
        <v>#DIV/0!</v>
      </c>
      <c r="BX9" s="61" t="e">
        <f>(Links!AA9+'Off-Ramp'!S9)/(Links!AA9^2+'Off-Ramp'!S9^2)</f>
        <v>#DIV/0!</v>
      </c>
      <c r="BY9" s="61" t="e">
        <f>(Links!AB9^2+'Off-Ramp'!T9^2)/(Links!AB9+'Off-Ramp'!T9)</f>
        <v>#DIV/0!</v>
      </c>
      <c r="BZ9" s="61" t="e">
        <f>Links!AC9</f>
        <v>#DIV/0!</v>
      </c>
      <c r="CA9" s="61" t="e">
        <f>(Links!AD9^2+'Off-Ramp'!U9^2)/(Links!AD9+'Off-Ramp'!U9)</f>
        <v>#DIV/0!</v>
      </c>
    </row>
    <row r="10" spans="1:79" x14ac:dyDescent="0.15">
      <c r="A10" s="59">
        <v>8</v>
      </c>
      <c r="B10" s="60" t="e">
        <f t="shared" si="2"/>
        <v>#DIV/0!</v>
      </c>
      <c r="C10" s="60" t="e">
        <f t="shared" si="3"/>
        <v>#DIV/0!</v>
      </c>
      <c r="D10" s="60" t="e">
        <f t="shared" si="4"/>
        <v>#DIV/0!</v>
      </c>
      <c r="E10" s="60" t="e">
        <f t="shared" si="5"/>
        <v>#DIV/0!</v>
      </c>
      <c r="F10" s="60" t="e">
        <f t="shared" si="6"/>
        <v>#DIV/0!</v>
      </c>
      <c r="G10" s="60" t="e">
        <f t="shared" si="7"/>
        <v>#DIV/0!</v>
      </c>
      <c r="H10" s="60" t="e">
        <f t="shared" si="8"/>
        <v>#DIV/0!</v>
      </c>
      <c r="I10" s="60" t="e">
        <f t="shared" si="9"/>
        <v>#DIV/0!</v>
      </c>
      <c r="J10" s="60" t="e">
        <f t="shared" si="10"/>
        <v>#DIV/0!</v>
      </c>
      <c r="K10" s="60" t="e">
        <f t="shared" si="11"/>
        <v>#DIV/0!</v>
      </c>
      <c r="L10" s="60" t="e">
        <f t="shared" si="12"/>
        <v>#DIV/0!</v>
      </c>
      <c r="M10" s="60" t="e">
        <f t="shared" si="13"/>
        <v>#DIV/0!</v>
      </c>
      <c r="N10" s="60" t="e">
        <f t="shared" si="14"/>
        <v>#DIV/0!</v>
      </c>
      <c r="O10" s="61" t="e">
        <f>Links!B10</f>
        <v>#DIV/0!</v>
      </c>
      <c r="P10" s="61" t="e">
        <f>Links!C10+'On-Ramps'!AC10</f>
        <v>#DIV/0!</v>
      </c>
      <c r="Q10" s="61" t="e">
        <f>Links!D10</f>
        <v>#DIV/0!</v>
      </c>
      <c r="R10" s="61" t="e">
        <f>Links!E10+'On-Ramps'!AD10</f>
        <v>#DIV/0!</v>
      </c>
      <c r="S10" s="61" t="e">
        <f>Links!F10+'On-Ramps'!AE10</f>
        <v>#DIV/0!</v>
      </c>
      <c r="T10" s="61" t="e">
        <f>Links!G10+'On-Ramps'!AF10</f>
        <v>#DIV/0!</v>
      </c>
      <c r="U10" s="61" t="e">
        <f>Links!H10+'On-Ramps'!AG10</f>
        <v>#DIV/0!</v>
      </c>
      <c r="V10" s="61" t="e">
        <f>Links!J10+'On-Ramps'!AH10</f>
        <v>#DIV/0!</v>
      </c>
      <c r="W10" s="61" t="e">
        <f>Links!K10+'On-Ramps'!AI10</f>
        <v>#DIV/0!</v>
      </c>
      <c r="X10" s="61" t="e">
        <f>Links!L10+'On-Ramps'!AJ10</f>
        <v>#DIV/0!</v>
      </c>
      <c r="Y10" s="61" t="e">
        <f>Links!M10</f>
        <v>#DIV/0!</v>
      </c>
      <c r="Z10" s="61" t="e">
        <f>Links!N10+'On-Ramps'!AK10</f>
        <v>#DIV/0!</v>
      </c>
      <c r="AA10" s="61" t="e">
        <f>Links!O10</f>
        <v>#DIV/0!</v>
      </c>
      <c r="AB10" s="60" t="e">
        <f t="shared" si="17"/>
        <v>#DIV/0!</v>
      </c>
      <c r="AC10" s="60" t="e">
        <f t="shared" si="18"/>
        <v>#DIV/0!</v>
      </c>
      <c r="AD10" s="60" t="e">
        <f t="shared" si="19"/>
        <v>#DIV/0!</v>
      </c>
      <c r="AE10" s="60" t="e">
        <f t="shared" si="20"/>
        <v>#DIV/0!</v>
      </c>
      <c r="AF10" s="60" t="e">
        <f t="shared" si="21"/>
        <v>#DIV/0!</v>
      </c>
      <c r="AG10" s="60" t="e">
        <f t="shared" si="22"/>
        <v>#DIV/0!</v>
      </c>
      <c r="AH10" s="60" t="e">
        <f t="shared" si="23"/>
        <v>#DIV/0!</v>
      </c>
      <c r="AI10" s="60" t="e">
        <f t="shared" si="24"/>
        <v>#DIV/0!</v>
      </c>
      <c r="AJ10" s="60" t="e">
        <f t="shared" si="25"/>
        <v>#DIV/0!</v>
      </c>
      <c r="AK10" s="60" t="e">
        <f t="shared" si="26"/>
        <v>#DIV/0!</v>
      </c>
      <c r="AL10" s="60" t="e">
        <f t="shared" si="27"/>
        <v>#DIV/0!</v>
      </c>
      <c r="AM10" s="60" t="e">
        <f t="shared" si="28"/>
        <v>#DIV/0!</v>
      </c>
      <c r="AN10" s="60" t="e">
        <f t="shared" si="15"/>
        <v>#DIV/0!</v>
      </c>
      <c r="AO10" s="61" t="e">
        <f t="shared" si="29"/>
        <v>#DIV/0!</v>
      </c>
      <c r="AP10" s="61" t="e">
        <f t="shared" si="16"/>
        <v>#DIV/0!</v>
      </c>
      <c r="AQ10" s="61" t="e">
        <f t="shared" si="16"/>
        <v>#DIV/0!</v>
      </c>
      <c r="AR10" s="61" t="e">
        <f t="shared" si="16"/>
        <v>#DIV/0!</v>
      </c>
      <c r="AS10" s="61" t="e">
        <f t="shared" si="16"/>
        <v>#DIV/0!</v>
      </c>
      <c r="AT10" s="61" t="e">
        <f t="shared" si="16"/>
        <v>#DIV/0!</v>
      </c>
      <c r="AU10" s="61" t="e">
        <f t="shared" si="16"/>
        <v>#DIV/0!</v>
      </c>
      <c r="AV10" s="61" t="e">
        <f t="shared" si="16"/>
        <v>#DIV/0!</v>
      </c>
      <c r="AW10" s="61" t="e">
        <f t="shared" si="16"/>
        <v>#DIV/0!</v>
      </c>
      <c r="AX10" s="61" t="e">
        <f t="shared" si="16"/>
        <v>#DIV/0!</v>
      </c>
      <c r="AY10" s="61" t="e">
        <f t="shared" si="16"/>
        <v>#DIV/0!</v>
      </c>
      <c r="AZ10" s="61" t="e">
        <f t="shared" si="16"/>
        <v>#DIV/0!</v>
      </c>
      <c r="BA10" s="61" t="e">
        <f t="shared" si="16"/>
        <v>#DIV/0!</v>
      </c>
      <c r="BB10" s="60" t="e">
        <f>Links!AF10</f>
        <v>#DIV/0!</v>
      </c>
      <c r="BC10" s="60" t="e">
        <f>(Links!AG10*Links!C10+'On-Ramps'!AC10*'On-Ramps'!CE10)/('On-Ramps'!AC10+Links!C10)</f>
        <v>#DIV/0!</v>
      </c>
      <c r="BD10" s="60" t="e">
        <f>Links!AH10</f>
        <v>#DIV/0!</v>
      </c>
      <c r="BE10" s="60" t="e">
        <f>(Links!AI10*Links!E10+'On-Ramps'!AD10*'On-Ramps'!CF9)/('On-Ramps'!AD10+Links!E10)</f>
        <v>#DIV/0!</v>
      </c>
      <c r="BF10" s="60" t="e">
        <f>(Links!F10*Links!AJ10+'On-Ramps'!AE10*'On-Ramps'!CG10)/('On-Ramps'!AE10+Links!F10)</f>
        <v>#DIV/0!</v>
      </c>
      <c r="BG10" s="60" t="e">
        <f>(Links!G10*Links!AK10+'On-Ramps'!AF10*'On-Ramps'!CH10)/('On-Ramps'!AF10+Links!G10)</f>
        <v>#DIV/0!</v>
      </c>
      <c r="BH10" s="60" t="e">
        <f>(Links!H10*Links!AL10+'On-Ramps'!AG10*'On-Ramps'!CI10)/('On-Ramps'!AG10+Links!H10)</f>
        <v>#DIV/0!</v>
      </c>
      <c r="BI10" s="60" t="e">
        <f>(Links!J10*Links!AN10+'On-Ramps'!AH10*'On-Ramps'!CJ10)/('On-Ramps'!AH10+Links!J10)</f>
        <v>#DIV/0!</v>
      </c>
      <c r="BJ10" s="60" t="e">
        <f>(Links!K10*Links!AO10+'On-Ramps'!AI10*'On-Ramps'!CK10)/('On-Ramps'!AI10+Links!K10)</f>
        <v>#DIV/0!</v>
      </c>
      <c r="BK10" s="60" t="e">
        <f>(Links!L10*Links!AP10+'On-Ramps'!AJ10*'On-Ramps'!CL10)/(Links!L10+'On-Ramps'!AJ10)</f>
        <v>#DIV/0!</v>
      </c>
      <c r="BL10" s="60" t="e">
        <f>Links!AQ10</f>
        <v>#DIV/0!</v>
      </c>
      <c r="BM10" s="60" t="e">
        <f>(Links!N10*Links!AR10+'On-Ramps'!AL10*'On-Ramps'!CM10)/(Links!N10+'On-Ramps'!AL10)</f>
        <v>#DIV/0!</v>
      </c>
      <c r="BN10" s="60" t="e">
        <f>Links!AS10</f>
        <v>#DIV/0!</v>
      </c>
      <c r="BO10" s="61" t="e">
        <f>(Links!R10^2+'Off-Ramp'!L10^2)/(Links!R10+'Off-Ramp'!L10)</f>
        <v>#DIV/0!</v>
      </c>
      <c r="BP10" s="61" t="e">
        <f>Links!S10</f>
        <v>#DIV/0!</v>
      </c>
      <c r="BQ10" s="61" t="e">
        <f>(Links!S10^2+'Off-Ramp'!C10^2)/(Links!S10+'Off-Ramp'!C10)</f>
        <v>#DIV/0!</v>
      </c>
      <c r="BR10" s="61" t="e">
        <f>Links!T10</f>
        <v>#DIV/0!</v>
      </c>
      <c r="BS10" s="61" t="e">
        <f>(Links!U10^2+'Off-Ramp'!N10^2)/(Links!U10+'Off-Ramp'!N10)</f>
        <v>#DIV/0!</v>
      </c>
      <c r="BT10" s="61" t="e">
        <f>(Links!V10^2+'Off-Ramp'!O10^2)/(Links!V10+'Off-Ramp'!O10)</f>
        <v>#DIV/0!</v>
      </c>
      <c r="BU10" s="61" t="e">
        <f>(Links!W10^2+'Off-Ramp'!P10^2)/(Links!W10+'Off-Ramp'!P10)</f>
        <v>#DIV/0!</v>
      </c>
      <c r="BV10" s="61" t="e">
        <f>(Links!Y10^2+'Off-Ramp'!Q10^2)/(Links!Y10+'Off-Ramp'!Q10)</f>
        <v>#DIV/0!</v>
      </c>
      <c r="BW10" s="61" t="e">
        <f>(Links!Z10^2+'Off-Ramp'!R10^2)/(Links!Z10+'Off-Ramp'!R10)</f>
        <v>#DIV/0!</v>
      </c>
      <c r="BX10" s="61" t="e">
        <f>(Links!AA10+'Off-Ramp'!S10)/(Links!AA10^2+'Off-Ramp'!S10^2)</f>
        <v>#DIV/0!</v>
      </c>
      <c r="BY10" s="61" t="e">
        <f>(Links!AB10^2+'Off-Ramp'!T10^2)/(Links!AB10+'Off-Ramp'!T10)</f>
        <v>#DIV/0!</v>
      </c>
      <c r="BZ10" s="61" t="e">
        <f>Links!AC10</f>
        <v>#DIV/0!</v>
      </c>
      <c r="CA10" s="61" t="e">
        <f>(Links!AD10^2+'Off-Ramp'!U10^2)/(Links!AD10+'Off-Ramp'!U10)</f>
        <v>#DIV/0!</v>
      </c>
    </row>
    <row r="11" spans="1:79" x14ac:dyDescent="0.15">
      <c r="A11" s="59">
        <v>9</v>
      </c>
      <c r="B11" s="60" t="e">
        <f t="shared" si="2"/>
        <v>#DIV/0!</v>
      </c>
      <c r="C11" s="60" t="e">
        <f t="shared" si="3"/>
        <v>#DIV/0!</v>
      </c>
      <c r="D11" s="60" t="e">
        <f t="shared" si="4"/>
        <v>#DIV/0!</v>
      </c>
      <c r="E11" s="60" t="e">
        <f t="shared" si="5"/>
        <v>#DIV/0!</v>
      </c>
      <c r="F11" s="60" t="e">
        <f t="shared" si="6"/>
        <v>#DIV/0!</v>
      </c>
      <c r="G11" s="60" t="e">
        <f t="shared" si="7"/>
        <v>#DIV/0!</v>
      </c>
      <c r="H11" s="60" t="e">
        <f t="shared" si="8"/>
        <v>#DIV/0!</v>
      </c>
      <c r="I11" s="60" t="e">
        <f t="shared" si="9"/>
        <v>#DIV/0!</v>
      </c>
      <c r="J11" s="60" t="e">
        <f t="shared" si="10"/>
        <v>#DIV/0!</v>
      </c>
      <c r="K11" s="60" t="e">
        <f t="shared" si="11"/>
        <v>#DIV/0!</v>
      </c>
      <c r="L11" s="60" t="e">
        <f t="shared" si="12"/>
        <v>#DIV/0!</v>
      </c>
      <c r="M11" s="60" t="e">
        <f t="shared" si="13"/>
        <v>#DIV/0!</v>
      </c>
      <c r="N11" s="60" t="e">
        <f t="shared" si="14"/>
        <v>#DIV/0!</v>
      </c>
      <c r="O11" s="61" t="e">
        <f>Links!B11</f>
        <v>#DIV/0!</v>
      </c>
      <c r="P11" s="61" t="e">
        <f>Links!C11+'On-Ramps'!AC11</f>
        <v>#DIV/0!</v>
      </c>
      <c r="Q11" s="61" t="e">
        <f>Links!D11</f>
        <v>#DIV/0!</v>
      </c>
      <c r="R11" s="61" t="e">
        <f>Links!E11+'On-Ramps'!AD11</f>
        <v>#DIV/0!</v>
      </c>
      <c r="S11" s="61" t="e">
        <f>Links!F11+'On-Ramps'!AE11</f>
        <v>#DIV/0!</v>
      </c>
      <c r="T11" s="61" t="e">
        <f>Links!G11+'On-Ramps'!AF11</f>
        <v>#DIV/0!</v>
      </c>
      <c r="U11" s="61" t="e">
        <f>Links!H11+'On-Ramps'!AG11</f>
        <v>#DIV/0!</v>
      </c>
      <c r="V11" s="61" t="e">
        <f>Links!J11+'On-Ramps'!AH11</f>
        <v>#DIV/0!</v>
      </c>
      <c r="W11" s="61" t="e">
        <f>Links!K11+'On-Ramps'!AI11</f>
        <v>#DIV/0!</v>
      </c>
      <c r="X11" s="61" t="e">
        <f>Links!L11+'On-Ramps'!AJ11</f>
        <v>#DIV/0!</v>
      </c>
      <c r="Y11" s="61" t="e">
        <f>Links!M11</f>
        <v>#DIV/0!</v>
      </c>
      <c r="Z11" s="61" t="e">
        <f>Links!N11+'On-Ramps'!AK11</f>
        <v>#DIV/0!</v>
      </c>
      <c r="AA11" s="61" t="e">
        <f>Links!O11</f>
        <v>#DIV/0!</v>
      </c>
      <c r="AB11" s="60" t="e">
        <f t="shared" si="17"/>
        <v>#DIV/0!</v>
      </c>
      <c r="AC11" s="60" t="e">
        <f t="shared" si="18"/>
        <v>#DIV/0!</v>
      </c>
      <c r="AD11" s="60" t="e">
        <f t="shared" si="19"/>
        <v>#DIV/0!</v>
      </c>
      <c r="AE11" s="60" t="e">
        <f t="shared" si="20"/>
        <v>#DIV/0!</v>
      </c>
      <c r="AF11" s="60" t="e">
        <f t="shared" si="21"/>
        <v>#DIV/0!</v>
      </c>
      <c r="AG11" s="60" t="e">
        <f t="shared" si="22"/>
        <v>#DIV/0!</v>
      </c>
      <c r="AH11" s="60" t="e">
        <f t="shared" si="23"/>
        <v>#DIV/0!</v>
      </c>
      <c r="AI11" s="60" t="e">
        <f t="shared" si="24"/>
        <v>#DIV/0!</v>
      </c>
      <c r="AJ11" s="60" t="e">
        <f t="shared" si="25"/>
        <v>#DIV/0!</v>
      </c>
      <c r="AK11" s="60" t="e">
        <f t="shared" si="26"/>
        <v>#DIV/0!</v>
      </c>
      <c r="AL11" s="60" t="e">
        <f t="shared" si="27"/>
        <v>#DIV/0!</v>
      </c>
      <c r="AM11" s="60" t="e">
        <f t="shared" si="28"/>
        <v>#DIV/0!</v>
      </c>
      <c r="AN11" s="60" t="e">
        <f t="shared" si="15"/>
        <v>#DIV/0!</v>
      </c>
      <c r="AO11" s="61" t="e">
        <f t="shared" si="29"/>
        <v>#DIV/0!</v>
      </c>
      <c r="AP11" s="61" t="e">
        <f t="shared" si="16"/>
        <v>#DIV/0!</v>
      </c>
      <c r="AQ11" s="61" t="e">
        <f t="shared" si="16"/>
        <v>#DIV/0!</v>
      </c>
      <c r="AR11" s="61" t="e">
        <f t="shared" si="16"/>
        <v>#DIV/0!</v>
      </c>
      <c r="AS11" s="61" t="e">
        <f t="shared" si="16"/>
        <v>#DIV/0!</v>
      </c>
      <c r="AT11" s="61" t="e">
        <f t="shared" si="16"/>
        <v>#DIV/0!</v>
      </c>
      <c r="AU11" s="61" t="e">
        <f t="shared" si="16"/>
        <v>#DIV/0!</v>
      </c>
      <c r="AV11" s="61" t="e">
        <f t="shared" si="16"/>
        <v>#DIV/0!</v>
      </c>
      <c r="AW11" s="61" t="e">
        <f t="shared" si="16"/>
        <v>#DIV/0!</v>
      </c>
      <c r="AX11" s="61" t="e">
        <f t="shared" si="16"/>
        <v>#DIV/0!</v>
      </c>
      <c r="AY11" s="61" t="e">
        <f t="shared" si="16"/>
        <v>#DIV/0!</v>
      </c>
      <c r="AZ11" s="61" t="e">
        <f t="shared" si="16"/>
        <v>#DIV/0!</v>
      </c>
      <c r="BA11" s="61" t="e">
        <f t="shared" si="16"/>
        <v>#DIV/0!</v>
      </c>
      <c r="BB11" s="60" t="e">
        <f>Links!AF11</f>
        <v>#DIV/0!</v>
      </c>
      <c r="BC11" s="60" t="e">
        <f>(Links!AG11*Links!C11+'On-Ramps'!AC11*'On-Ramps'!CE11)/('On-Ramps'!AC11+Links!C11)</f>
        <v>#DIV/0!</v>
      </c>
      <c r="BD11" s="60" t="e">
        <f>Links!AH11</f>
        <v>#DIV/0!</v>
      </c>
      <c r="BE11" s="60" t="e">
        <f>(Links!AI11*Links!E11+'On-Ramps'!AD11*'On-Ramps'!CF10)/('On-Ramps'!AD11+Links!E11)</f>
        <v>#DIV/0!</v>
      </c>
      <c r="BF11" s="60" t="e">
        <f>(Links!F11*Links!AJ11+'On-Ramps'!AE11*'On-Ramps'!CG11)/('On-Ramps'!AE11+Links!F11)</f>
        <v>#DIV/0!</v>
      </c>
      <c r="BG11" s="60" t="e">
        <f>(Links!G11*Links!AK11+'On-Ramps'!AF11*'On-Ramps'!CH11)/('On-Ramps'!AF11+Links!G11)</f>
        <v>#DIV/0!</v>
      </c>
      <c r="BH11" s="60" t="e">
        <f>(Links!H11*Links!AL11+'On-Ramps'!AG11*'On-Ramps'!CI11)/('On-Ramps'!AG11+Links!H11)</f>
        <v>#DIV/0!</v>
      </c>
      <c r="BI11" s="60" t="e">
        <f>(Links!J11*Links!AN11+'On-Ramps'!AH11*'On-Ramps'!CJ11)/('On-Ramps'!AH11+Links!J11)</f>
        <v>#DIV/0!</v>
      </c>
      <c r="BJ11" s="60" t="e">
        <f>(Links!K11*Links!AO11+'On-Ramps'!AI11*'On-Ramps'!CK11)/('On-Ramps'!AI11+Links!K11)</f>
        <v>#DIV/0!</v>
      </c>
      <c r="BK11" s="60" t="e">
        <f>(Links!L11*Links!AP11+'On-Ramps'!AJ11*'On-Ramps'!CL11)/(Links!L11+'On-Ramps'!AJ11)</f>
        <v>#DIV/0!</v>
      </c>
      <c r="BL11" s="60" t="e">
        <f>Links!AQ11</f>
        <v>#DIV/0!</v>
      </c>
      <c r="BM11" s="60" t="e">
        <f>(Links!N11*Links!AR11+'On-Ramps'!AL11*'On-Ramps'!CM11)/(Links!N11+'On-Ramps'!AL11)</f>
        <v>#DIV/0!</v>
      </c>
      <c r="BN11" s="60" t="e">
        <f>Links!AS11</f>
        <v>#DIV/0!</v>
      </c>
      <c r="BO11" s="61" t="e">
        <f>(Links!R11^2+'Off-Ramp'!L11^2)/(Links!R11+'Off-Ramp'!L11)</f>
        <v>#DIV/0!</v>
      </c>
      <c r="BP11" s="61" t="e">
        <f>Links!S11</f>
        <v>#DIV/0!</v>
      </c>
      <c r="BQ11" s="61" t="e">
        <f>(Links!S11^2+'Off-Ramp'!C11^2)/(Links!S11+'Off-Ramp'!C11)</f>
        <v>#DIV/0!</v>
      </c>
      <c r="BR11" s="61" t="e">
        <f>Links!T11</f>
        <v>#DIV/0!</v>
      </c>
      <c r="BS11" s="61" t="e">
        <f>(Links!U11^2+'Off-Ramp'!N11^2)/(Links!U11+'Off-Ramp'!N11)</f>
        <v>#DIV/0!</v>
      </c>
      <c r="BT11" s="61" t="e">
        <f>(Links!V11^2+'Off-Ramp'!O11^2)/(Links!V11+'Off-Ramp'!O11)</f>
        <v>#DIV/0!</v>
      </c>
      <c r="BU11" s="61" t="e">
        <f>(Links!W11^2+'Off-Ramp'!P11^2)/(Links!W11+'Off-Ramp'!P11)</f>
        <v>#DIV/0!</v>
      </c>
      <c r="BV11" s="61" t="e">
        <f>(Links!Y11^2+'Off-Ramp'!Q11^2)/(Links!Y11+'Off-Ramp'!Q11)</f>
        <v>#DIV/0!</v>
      </c>
      <c r="BW11" s="61" t="e">
        <f>(Links!Z11^2+'Off-Ramp'!R11^2)/(Links!Z11+'Off-Ramp'!R11)</f>
        <v>#DIV/0!</v>
      </c>
      <c r="BX11" s="61" t="e">
        <f>(Links!AA11+'Off-Ramp'!S11)/(Links!AA11^2+'Off-Ramp'!S11^2)</f>
        <v>#DIV/0!</v>
      </c>
      <c r="BY11" s="61" t="e">
        <f>(Links!AB11^2+'Off-Ramp'!T11^2)/(Links!AB11+'Off-Ramp'!T11)</f>
        <v>#DIV/0!</v>
      </c>
      <c r="BZ11" s="61" t="e">
        <f>Links!AC11</f>
        <v>#DIV/0!</v>
      </c>
      <c r="CA11" s="61" t="e">
        <f>(Links!AD11^2+'Off-Ramp'!U11^2)/(Links!AD11+'Off-Ramp'!U11)</f>
        <v>#DIV/0!</v>
      </c>
    </row>
    <row r="12" spans="1:79" x14ac:dyDescent="0.15">
      <c r="A12" s="59">
        <v>10</v>
      </c>
      <c r="B12" s="60" t="e">
        <f t="shared" si="2"/>
        <v>#DIV/0!</v>
      </c>
      <c r="C12" s="60" t="e">
        <f t="shared" si="3"/>
        <v>#DIV/0!</v>
      </c>
      <c r="D12" s="60" t="e">
        <f t="shared" si="4"/>
        <v>#DIV/0!</v>
      </c>
      <c r="E12" s="60" t="e">
        <f t="shared" si="5"/>
        <v>#DIV/0!</v>
      </c>
      <c r="F12" s="60" t="e">
        <f t="shared" si="6"/>
        <v>#DIV/0!</v>
      </c>
      <c r="G12" s="60" t="e">
        <f t="shared" si="7"/>
        <v>#DIV/0!</v>
      </c>
      <c r="H12" s="60" t="e">
        <f t="shared" si="8"/>
        <v>#DIV/0!</v>
      </c>
      <c r="I12" s="60" t="e">
        <f t="shared" si="9"/>
        <v>#DIV/0!</v>
      </c>
      <c r="J12" s="60" t="e">
        <f t="shared" si="10"/>
        <v>#DIV/0!</v>
      </c>
      <c r="K12" s="60" t="e">
        <f t="shared" si="11"/>
        <v>#DIV/0!</v>
      </c>
      <c r="L12" s="60" t="e">
        <f t="shared" si="12"/>
        <v>#DIV/0!</v>
      </c>
      <c r="M12" s="60" t="e">
        <f t="shared" si="13"/>
        <v>#DIV/0!</v>
      </c>
      <c r="N12" s="60" t="e">
        <f t="shared" si="14"/>
        <v>#DIV/0!</v>
      </c>
      <c r="O12" s="61" t="e">
        <f>Links!B12</f>
        <v>#DIV/0!</v>
      </c>
      <c r="P12" s="61" t="e">
        <f>Links!C12+'On-Ramps'!AC12</f>
        <v>#DIV/0!</v>
      </c>
      <c r="Q12" s="61" t="e">
        <f>Links!D12</f>
        <v>#DIV/0!</v>
      </c>
      <c r="R12" s="61" t="e">
        <f>Links!E12+'On-Ramps'!AD12</f>
        <v>#DIV/0!</v>
      </c>
      <c r="S12" s="61" t="e">
        <f>Links!F12+'On-Ramps'!AE12</f>
        <v>#DIV/0!</v>
      </c>
      <c r="T12" s="61" t="e">
        <f>Links!G12+'On-Ramps'!AF12</f>
        <v>#DIV/0!</v>
      </c>
      <c r="U12" s="61" t="e">
        <f>Links!H12+'On-Ramps'!AG12</f>
        <v>#DIV/0!</v>
      </c>
      <c r="V12" s="61" t="e">
        <f>Links!J12+'On-Ramps'!AH12</f>
        <v>#DIV/0!</v>
      </c>
      <c r="W12" s="61" t="e">
        <f>Links!K12+'On-Ramps'!AI12</f>
        <v>#DIV/0!</v>
      </c>
      <c r="X12" s="61" t="e">
        <f>Links!L12+'On-Ramps'!AJ12</f>
        <v>#DIV/0!</v>
      </c>
      <c r="Y12" s="61" t="e">
        <f>Links!M12</f>
        <v>#DIV/0!</v>
      </c>
      <c r="Z12" s="61" t="e">
        <f>Links!N12+'On-Ramps'!AK12</f>
        <v>#DIV/0!</v>
      </c>
      <c r="AA12" s="61" t="e">
        <f>Links!O12</f>
        <v>#DIV/0!</v>
      </c>
      <c r="AB12" s="60" t="e">
        <f t="shared" si="17"/>
        <v>#DIV/0!</v>
      </c>
      <c r="AC12" s="60" t="e">
        <f t="shared" si="18"/>
        <v>#DIV/0!</v>
      </c>
      <c r="AD12" s="60" t="e">
        <f t="shared" si="19"/>
        <v>#DIV/0!</v>
      </c>
      <c r="AE12" s="60" t="e">
        <f t="shared" si="20"/>
        <v>#DIV/0!</v>
      </c>
      <c r="AF12" s="60" t="e">
        <f t="shared" si="21"/>
        <v>#DIV/0!</v>
      </c>
      <c r="AG12" s="60" t="e">
        <f t="shared" si="22"/>
        <v>#DIV/0!</v>
      </c>
      <c r="AH12" s="60" t="e">
        <f t="shared" si="23"/>
        <v>#DIV/0!</v>
      </c>
      <c r="AI12" s="60" t="e">
        <f t="shared" si="24"/>
        <v>#DIV/0!</v>
      </c>
      <c r="AJ12" s="60" t="e">
        <f t="shared" si="25"/>
        <v>#DIV/0!</v>
      </c>
      <c r="AK12" s="60" t="e">
        <f t="shared" si="26"/>
        <v>#DIV/0!</v>
      </c>
      <c r="AL12" s="60" t="e">
        <f t="shared" si="27"/>
        <v>#DIV/0!</v>
      </c>
      <c r="AM12" s="60" t="e">
        <f t="shared" si="28"/>
        <v>#DIV/0!</v>
      </c>
      <c r="AN12" s="60" t="e">
        <f t="shared" si="15"/>
        <v>#DIV/0!</v>
      </c>
      <c r="AO12" s="61" t="e">
        <f t="shared" si="29"/>
        <v>#DIV/0!</v>
      </c>
      <c r="AP12" s="61" t="e">
        <f t="shared" si="16"/>
        <v>#DIV/0!</v>
      </c>
      <c r="AQ12" s="61" t="e">
        <f t="shared" si="16"/>
        <v>#DIV/0!</v>
      </c>
      <c r="AR12" s="61" t="e">
        <f t="shared" si="16"/>
        <v>#DIV/0!</v>
      </c>
      <c r="AS12" s="61" t="e">
        <f t="shared" si="16"/>
        <v>#DIV/0!</v>
      </c>
      <c r="AT12" s="61" t="e">
        <f t="shared" si="16"/>
        <v>#DIV/0!</v>
      </c>
      <c r="AU12" s="61" t="e">
        <f t="shared" si="16"/>
        <v>#DIV/0!</v>
      </c>
      <c r="AV12" s="61" t="e">
        <f t="shared" si="16"/>
        <v>#DIV/0!</v>
      </c>
      <c r="AW12" s="61" t="e">
        <f t="shared" si="16"/>
        <v>#DIV/0!</v>
      </c>
      <c r="AX12" s="61" t="e">
        <f t="shared" si="16"/>
        <v>#DIV/0!</v>
      </c>
      <c r="AY12" s="61" t="e">
        <f t="shared" si="16"/>
        <v>#DIV/0!</v>
      </c>
      <c r="AZ12" s="61" t="e">
        <f t="shared" si="16"/>
        <v>#DIV/0!</v>
      </c>
      <c r="BA12" s="61" t="e">
        <f t="shared" si="16"/>
        <v>#DIV/0!</v>
      </c>
      <c r="BB12" s="60" t="e">
        <f>Links!AF12</f>
        <v>#DIV/0!</v>
      </c>
      <c r="BC12" s="60" t="e">
        <f>(Links!AG12*Links!C12+'On-Ramps'!AC12*'On-Ramps'!CE12)/('On-Ramps'!AC12+Links!C12)</f>
        <v>#DIV/0!</v>
      </c>
      <c r="BD12" s="60" t="e">
        <f>Links!AH12</f>
        <v>#DIV/0!</v>
      </c>
      <c r="BE12" s="60" t="e">
        <f>(Links!AI12*Links!E12+'On-Ramps'!AD12*'On-Ramps'!CF11)/('On-Ramps'!AD12+Links!E12)</f>
        <v>#DIV/0!</v>
      </c>
      <c r="BF12" s="60" t="e">
        <f>(Links!F12*Links!AJ12+'On-Ramps'!AE12*'On-Ramps'!CG12)/('On-Ramps'!AE12+Links!F12)</f>
        <v>#DIV/0!</v>
      </c>
      <c r="BG12" s="60" t="e">
        <f>(Links!G12*Links!AK12+'On-Ramps'!AF12*'On-Ramps'!CH12)/('On-Ramps'!AF12+Links!G12)</f>
        <v>#DIV/0!</v>
      </c>
      <c r="BH12" s="60" t="e">
        <f>(Links!H12*Links!AL12+'On-Ramps'!AG12*'On-Ramps'!CI12)/('On-Ramps'!AG12+Links!H12)</f>
        <v>#DIV/0!</v>
      </c>
      <c r="BI12" s="60" t="e">
        <f>(Links!J12*Links!AN12+'On-Ramps'!AH12*'On-Ramps'!CJ12)/('On-Ramps'!AH12+Links!J12)</f>
        <v>#DIV/0!</v>
      </c>
      <c r="BJ12" s="60" t="e">
        <f>(Links!K12*Links!AO12+'On-Ramps'!AI12*'On-Ramps'!CK12)/('On-Ramps'!AI12+Links!K12)</f>
        <v>#DIV/0!</v>
      </c>
      <c r="BK12" s="60" t="e">
        <f>(Links!L12*Links!AP12+'On-Ramps'!AJ12*'On-Ramps'!CL12)/(Links!L12+'On-Ramps'!AJ12)</f>
        <v>#DIV/0!</v>
      </c>
      <c r="BL12" s="60" t="e">
        <f>Links!AQ12</f>
        <v>#DIV/0!</v>
      </c>
      <c r="BM12" s="60" t="e">
        <f>(Links!N12*Links!AR12+'On-Ramps'!AL12*'On-Ramps'!CM12)/(Links!N12+'On-Ramps'!AL12)</f>
        <v>#DIV/0!</v>
      </c>
      <c r="BN12" s="60" t="e">
        <f>Links!AS12</f>
        <v>#DIV/0!</v>
      </c>
      <c r="BO12" s="61" t="e">
        <f>(Links!R12^2+'Off-Ramp'!L12^2)/(Links!R12+'Off-Ramp'!L12)</f>
        <v>#DIV/0!</v>
      </c>
      <c r="BP12" s="61" t="e">
        <f>Links!S12</f>
        <v>#DIV/0!</v>
      </c>
      <c r="BQ12" s="61" t="e">
        <f>(Links!S12^2+'Off-Ramp'!C12^2)/(Links!S12+'Off-Ramp'!C12)</f>
        <v>#DIV/0!</v>
      </c>
      <c r="BR12" s="61" t="e">
        <f>Links!T12</f>
        <v>#DIV/0!</v>
      </c>
      <c r="BS12" s="61" t="e">
        <f>(Links!U12^2+'Off-Ramp'!N12^2)/(Links!U12+'Off-Ramp'!N12)</f>
        <v>#DIV/0!</v>
      </c>
      <c r="BT12" s="61" t="e">
        <f>(Links!V12^2+'Off-Ramp'!O12^2)/(Links!V12+'Off-Ramp'!O12)</f>
        <v>#DIV/0!</v>
      </c>
      <c r="BU12" s="61" t="e">
        <f>(Links!W12^2+'Off-Ramp'!P12^2)/(Links!W12+'Off-Ramp'!P12)</f>
        <v>#DIV/0!</v>
      </c>
      <c r="BV12" s="61" t="e">
        <f>(Links!Y12^2+'Off-Ramp'!Q12^2)/(Links!Y12+'Off-Ramp'!Q12)</f>
        <v>#DIV/0!</v>
      </c>
      <c r="BW12" s="61" t="e">
        <f>(Links!Z12^2+'Off-Ramp'!R12^2)/(Links!Z12+'Off-Ramp'!R12)</f>
        <v>#DIV/0!</v>
      </c>
      <c r="BX12" s="61" t="e">
        <f>(Links!AA12+'Off-Ramp'!S12)/(Links!AA12^2+'Off-Ramp'!S12^2)</f>
        <v>#DIV/0!</v>
      </c>
      <c r="BY12" s="61" t="e">
        <f>(Links!AB12^2+'Off-Ramp'!T12^2)/(Links!AB12+'Off-Ramp'!T12)</f>
        <v>#DIV/0!</v>
      </c>
      <c r="BZ12" s="61" t="e">
        <f>Links!AC12</f>
        <v>#DIV/0!</v>
      </c>
      <c r="CA12" s="61" t="e">
        <f>(Links!AD12^2+'Off-Ramp'!U12^2)/(Links!AD12+'Off-Ramp'!U12)</f>
        <v>#DIV/0!</v>
      </c>
    </row>
    <row r="13" spans="1:79" x14ac:dyDescent="0.15">
      <c r="A13" s="59">
        <v>11</v>
      </c>
      <c r="B13" s="60" t="e">
        <f t="shared" si="2"/>
        <v>#DIV/0!</v>
      </c>
      <c r="C13" s="60" t="e">
        <f t="shared" si="3"/>
        <v>#DIV/0!</v>
      </c>
      <c r="D13" s="60" t="e">
        <f t="shared" si="4"/>
        <v>#DIV/0!</v>
      </c>
      <c r="E13" s="60" t="e">
        <f t="shared" si="5"/>
        <v>#DIV/0!</v>
      </c>
      <c r="F13" s="60" t="e">
        <f t="shared" si="6"/>
        <v>#DIV/0!</v>
      </c>
      <c r="G13" s="60" t="e">
        <f t="shared" si="7"/>
        <v>#DIV/0!</v>
      </c>
      <c r="H13" s="60" t="e">
        <f t="shared" si="8"/>
        <v>#DIV/0!</v>
      </c>
      <c r="I13" s="60" t="e">
        <f t="shared" si="9"/>
        <v>#DIV/0!</v>
      </c>
      <c r="J13" s="60" t="e">
        <f t="shared" si="10"/>
        <v>#DIV/0!</v>
      </c>
      <c r="K13" s="60" t="e">
        <f t="shared" si="11"/>
        <v>#DIV/0!</v>
      </c>
      <c r="L13" s="60" t="e">
        <f t="shared" si="12"/>
        <v>#DIV/0!</v>
      </c>
      <c r="M13" s="60" t="e">
        <f t="shared" si="13"/>
        <v>#DIV/0!</v>
      </c>
      <c r="N13" s="60" t="e">
        <f t="shared" si="14"/>
        <v>#DIV/0!</v>
      </c>
      <c r="O13" s="61" t="e">
        <f>Links!B13</f>
        <v>#DIV/0!</v>
      </c>
      <c r="P13" s="61" t="e">
        <f>Links!C13+'On-Ramps'!AC13</f>
        <v>#DIV/0!</v>
      </c>
      <c r="Q13" s="61" t="e">
        <f>Links!D13</f>
        <v>#DIV/0!</v>
      </c>
      <c r="R13" s="61" t="e">
        <f>Links!E13+'On-Ramps'!AD13</f>
        <v>#DIV/0!</v>
      </c>
      <c r="S13" s="61" t="e">
        <f>Links!F13+'On-Ramps'!AE13</f>
        <v>#DIV/0!</v>
      </c>
      <c r="T13" s="61" t="e">
        <f>Links!G13+'On-Ramps'!AF13</f>
        <v>#DIV/0!</v>
      </c>
      <c r="U13" s="61" t="e">
        <f>Links!H13+'On-Ramps'!AG13</f>
        <v>#DIV/0!</v>
      </c>
      <c r="V13" s="61" t="e">
        <f>Links!J13+'On-Ramps'!AH13</f>
        <v>#DIV/0!</v>
      </c>
      <c r="W13" s="61" t="e">
        <f>Links!K13+'On-Ramps'!AI13</f>
        <v>#DIV/0!</v>
      </c>
      <c r="X13" s="61" t="e">
        <f>Links!L13+'On-Ramps'!AJ13</f>
        <v>#DIV/0!</v>
      </c>
      <c r="Y13" s="61" t="e">
        <f>Links!M13</f>
        <v>#DIV/0!</v>
      </c>
      <c r="Z13" s="61" t="e">
        <f>Links!N13+'On-Ramps'!AK13</f>
        <v>#DIV/0!</v>
      </c>
      <c r="AA13" s="61" t="e">
        <f>Links!O13</f>
        <v>#DIV/0!</v>
      </c>
      <c r="AB13" s="60" t="e">
        <f t="shared" si="17"/>
        <v>#DIV/0!</v>
      </c>
      <c r="AC13" s="60" t="e">
        <f t="shared" si="18"/>
        <v>#DIV/0!</v>
      </c>
      <c r="AD13" s="60" t="e">
        <f t="shared" si="19"/>
        <v>#DIV/0!</v>
      </c>
      <c r="AE13" s="60" t="e">
        <f t="shared" si="20"/>
        <v>#DIV/0!</v>
      </c>
      <c r="AF13" s="60" t="e">
        <f t="shared" si="21"/>
        <v>#DIV/0!</v>
      </c>
      <c r="AG13" s="60" t="e">
        <f t="shared" si="22"/>
        <v>#DIV/0!</v>
      </c>
      <c r="AH13" s="60" t="e">
        <f t="shared" si="23"/>
        <v>#DIV/0!</v>
      </c>
      <c r="AI13" s="60" t="e">
        <f t="shared" si="24"/>
        <v>#DIV/0!</v>
      </c>
      <c r="AJ13" s="60" t="e">
        <f t="shared" si="25"/>
        <v>#DIV/0!</v>
      </c>
      <c r="AK13" s="60" t="e">
        <f t="shared" si="26"/>
        <v>#DIV/0!</v>
      </c>
      <c r="AL13" s="60" t="e">
        <f t="shared" si="27"/>
        <v>#DIV/0!</v>
      </c>
      <c r="AM13" s="60" t="e">
        <f t="shared" si="28"/>
        <v>#DIV/0!</v>
      </c>
      <c r="AN13" s="60" t="e">
        <f t="shared" si="15"/>
        <v>#DIV/0!</v>
      </c>
      <c r="AO13" s="61" t="e">
        <f t="shared" si="29"/>
        <v>#DIV/0!</v>
      </c>
      <c r="AP13" s="61" t="e">
        <f t="shared" si="16"/>
        <v>#DIV/0!</v>
      </c>
      <c r="AQ13" s="61" t="e">
        <f t="shared" si="16"/>
        <v>#DIV/0!</v>
      </c>
      <c r="AR13" s="61" t="e">
        <f t="shared" si="16"/>
        <v>#DIV/0!</v>
      </c>
      <c r="AS13" s="61" t="e">
        <f t="shared" si="16"/>
        <v>#DIV/0!</v>
      </c>
      <c r="AT13" s="61" t="e">
        <f t="shared" si="16"/>
        <v>#DIV/0!</v>
      </c>
      <c r="AU13" s="61" t="e">
        <f t="shared" si="16"/>
        <v>#DIV/0!</v>
      </c>
      <c r="AV13" s="61" t="e">
        <f t="shared" si="16"/>
        <v>#DIV/0!</v>
      </c>
      <c r="AW13" s="61" t="e">
        <f t="shared" si="16"/>
        <v>#DIV/0!</v>
      </c>
      <c r="AX13" s="61" t="e">
        <f t="shared" si="16"/>
        <v>#DIV/0!</v>
      </c>
      <c r="AY13" s="61" t="e">
        <f t="shared" si="16"/>
        <v>#DIV/0!</v>
      </c>
      <c r="AZ13" s="61" t="e">
        <f t="shared" si="16"/>
        <v>#DIV/0!</v>
      </c>
      <c r="BA13" s="61" t="e">
        <f t="shared" si="16"/>
        <v>#DIV/0!</v>
      </c>
      <c r="BB13" s="60" t="e">
        <f>Links!AF13</f>
        <v>#DIV/0!</v>
      </c>
      <c r="BC13" s="60" t="e">
        <f>(Links!AG13*Links!C13+'On-Ramps'!AC13*'On-Ramps'!CE13)/('On-Ramps'!AC13+Links!C13)</f>
        <v>#DIV/0!</v>
      </c>
      <c r="BD13" s="60" t="e">
        <f>Links!AH13</f>
        <v>#DIV/0!</v>
      </c>
      <c r="BE13" s="60" t="e">
        <f>(Links!AI13*Links!E13+'On-Ramps'!AD13*'On-Ramps'!CF12)/('On-Ramps'!AD13+Links!E13)</f>
        <v>#DIV/0!</v>
      </c>
      <c r="BF13" s="60" t="e">
        <f>(Links!F13*Links!AJ13+'On-Ramps'!AE13*'On-Ramps'!CG13)/('On-Ramps'!AE13+Links!F13)</f>
        <v>#DIV/0!</v>
      </c>
      <c r="BG13" s="60" t="e">
        <f>(Links!G13*Links!AK13+'On-Ramps'!AF13*'On-Ramps'!CH13)/('On-Ramps'!AF13+Links!G13)</f>
        <v>#DIV/0!</v>
      </c>
      <c r="BH13" s="60" t="e">
        <f>(Links!H13*Links!AL13+'On-Ramps'!AG13*'On-Ramps'!CI13)/('On-Ramps'!AG13+Links!H13)</f>
        <v>#DIV/0!</v>
      </c>
      <c r="BI13" s="60" t="e">
        <f>(Links!J13*Links!AN13+'On-Ramps'!AH13*'On-Ramps'!CJ13)/('On-Ramps'!AH13+Links!J13)</f>
        <v>#DIV/0!</v>
      </c>
      <c r="BJ13" s="60" t="e">
        <f>(Links!K13*Links!AO13+'On-Ramps'!AI13*'On-Ramps'!CK13)/('On-Ramps'!AI13+Links!K13)</f>
        <v>#DIV/0!</v>
      </c>
      <c r="BK13" s="60" t="e">
        <f>(Links!L13*Links!AP13+'On-Ramps'!AJ13*'On-Ramps'!CL13)/(Links!L13+'On-Ramps'!AJ13)</f>
        <v>#DIV/0!</v>
      </c>
      <c r="BL13" s="60" t="e">
        <f>Links!AQ13</f>
        <v>#DIV/0!</v>
      </c>
      <c r="BM13" s="60" t="e">
        <f>(Links!N13*Links!AR13+'On-Ramps'!AL13*'On-Ramps'!CM13)/(Links!N13+'On-Ramps'!AL13)</f>
        <v>#DIV/0!</v>
      </c>
      <c r="BN13" s="60" t="e">
        <f>Links!AS13</f>
        <v>#DIV/0!</v>
      </c>
      <c r="BO13" s="61" t="e">
        <f>(Links!R13^2+'Off-Ramp'!L13^2)/(Links!R13+'Off-Ramp'!L13)</f>
        <v>#DIV/0!</v>
      </c>
      <c r="BP13" s="61" t="e">
        <f>Links!S13</f>
        <v>#DIV/0!</v>
      </c>
      <c r="BQ13" s="61" t="e">
        <f>(Links!S13^2+'Off-Ramp'!C13^2)/(Links!S13+'Off-Ramp'!C13)</f>
        <v>#DIV/0!</v>
      </c>
      <c r="BR13" s="61" t="e">
        <f>Links!T13</f>
        <v>#DIV/0!</v>
      </c>
      <c r="BS13" s="61" t="e">
        <f>(Links!U13^2+'Off-Ramp'!N13^2)/(Links!U13+'Off-Ramp'!N13)</f>
        <v>#DIV/0!</v>
      </c>
      <c r="BT13" s="61" t="e">
        <f>(Links!V13^2+'Off-Ramp'!O13^2)/(Links!V13+'Off-Ramp'!O13)</f>
        <v>#DIV/0!</v>
      </c>
      <c r="BU13" s="61" t="e">
        <f>(Links!W13^2+'Off-Ramp'!P13^2)/(Links!W13+'Off-Ramp'!P13)</f>
        <v>#DIV/0!</v>
      </c>
      <c r="BV13" s="61" t="e">
        <f>(Links!Y13^2+'Off-Ramp'!Q13^2)/(Links!Y13+'Off-Ramp'!Q13)</f>
        <v>#DIV/0!</v>
      </c>
      <c r="BW13" s="61" t="e">
        <f>(Links!Z13^2+'Off-Ramp'!R13^2)/(Links!Z13+'Off-Ramp'!R13)</f>
        <v>#DIV/0!</v>
      </c>
      <c r="BX13" s="61" t="e">
        <f>(Links!AA13+'Off-Ramp'!S13)/(Links!AA13^2+'Off-Ramp'!S13^2)</f>
        <v>#DIV/0!</v>
      </c>
      <c r="BY13" s="61" t="e">
        <f>(Links!AB13^2+'Off-Ramp'!T13^2)/(Links!AB13+'Off-Ramp'!T13)</f>
        <v>#DIV/0!</v>
      </c>
      <c r="BZ13" s="61" t="e">
        <f>Links!AC13</f>
        <v>#DIV/0!</v>
      </c>
      <c r="CA13" s="61" t="e">
        <f>(Links!AD13^2+'Off-Ramp'!U13^2)/(Links!AD13+'Off-Ramp'!U13)</f>
        <v>#DIV/0!</v>
      </c>
    </row>
    <row r="14" spans="1:79" x14ac:dyDescent="0.15">
      <c r="A14" s="59">
        <v>12</v>
      </c>
      <c r="B14" s="60" t="e">
        <f t="shared" si="2"/>
        <v>#DIV/0!</v>
      </c>
      <c r="C14" s="60" t="e">
        <f t="shared" si="3"/>
        <v>#DIV/0!</v>
      </c>
      <c r="D14" s="60" t="e">
        <f t="shared" si="4"/>
        <v>#DIV/0!</v>
      </c>
      <c r="E14" s="60" t="e">
        <f t="shared" si="5"/>
        <v>#DIV/0!</v>
      </c>
      <c r="F14" s="60" t="e">
        <f t="shared" si="6"/>
        <v>#DIV/0!</v>
      </c>
      <c r="G14" s="60" t="e">
        <f t="shared" si="7"/>
        <v>#DIV/0!</v>
      </c>
      <c r="H14" s="60" t="e">
        <f t="shared" si="8"/>
        <v>#DIV/0!</v>
      </c>
      <c r="I14" s="60" t="e">
        <f t="shared" si="9"/>
        <v>#DIV/0!</v>
      </c>
      <c r="J14" s="60" t="e">
        <f t="shared" si="10"/>
        <v>#DIV/0!</v>
      </c>
      <c r="K14" s="60" t="e">
        <f t="shared" si="11"/>
        <v>#DIV/0!</v>
      </c>
      <c r="L14" s="60" t="e">
        <f t="shared" si="12"/>
        <v>#DIV/0!</v>
      </c>
      <c r="M14" s="60" t="e">
        <f t="shared" si="13"/>
        <v>#DIV/0!</v>
      </c>
      <c r="N14" s="60" t="e">
        <f t="shared" si="14"/>
        <v>#DIV/0!</v>
      </c>
      <c r="O14" s="61" t="e">
        <f>Links!B14</f>
        <v>#DIV/0!</v>
      </c>
      <c r="P14" s="61" t="e">
        <f>Links!C14+'On-Ramps'!AC14</f>
        <v>#DIV/0!</v>
      </c>
      <c r="Q14" s="61" t="e">
        <f>Links!D14</f>
        <v>#DIV/0!</v>
      </c>
      <c r="R14" s="61" t="e">
        <f>Links!E14+'On-Ramps'!AD14</f>
        <v>#DIV/0!</v>
      </c>
      <c r="S14" s="61" t="e">
        <f>Links!F14+'On-Ramps'!AE14</f>
        <v>#DIV/0!</v>
      </c>
      <c r="T14" s="61" t="e">
        <f>Links!G14+'On-Ramps'!AF14</f>
        <v>#DIV/0!</v>
      </c>
      <c r="U14" s="61" t="e">
        <f>Links!H14+'On-Ramps'!AG14</f>
        <v>#DIV/0!</v>
      </c>
      <c r="V14" s="61" t="e">
        <f>Links!J14+'On-Ramps'!AH14</f>
        <v>#DIV/0!</v>
      </c>
      <c r="W14" s="61" t="e">
        <f>Links!K14+'On-Ramps'!AI14</f>
        <v>#DIV/0!</v>
      </c>
      <c r="X14" s="61" t="e">
        <f>Links!L14+'On-Ramps'!AJ14</f>
        <v>#DIV/0!</v>
      </c>
      <c r="Y14" s="61" t="e">
        <f>Links!M14</f>
        <v>#DIV/0!</v>
      </c>
      <c r="Z14" s="61" t="e">
        <f>Links!N14+'On-Ramps'!AK14</f>
        <v>#DIV/0!</v>
      </c>
      <c r="AA14" s="61" t="e">
        <f>Links!O14</f>
        <v>#DIV/0!</v>
      </c>
      <c r="AB14" s="60" t="e">
        <f t="shared" si="17"/>
        <v>#DIV/0!</v>
      </c>
      <c r="AC14" s="60" t="e">
        <f t="shared" si="18"/>
        <v>#DIV/0!</v>
      </c>
      <c r="AD14" s="60" t="e">
        <f t="shared" si="19"/>
        <v>#DIV/0!</v>
      </c>
      <c r="AE14" s="60" t="e">
        <f t="shared" si="20"/>
        <v>#DIV/0!</v>
      </c>
      <c r="AF14" s="60" t="e">
        <f t="shared" si="21"/>
        <v>#DIV/0!</v>
      </c>
      <c r="AG14" s="60" t="e">
        <f t="shared" si="22"/>
        <v>#DIV/0!</v>
      </c>
      <c r="AH14" s="60" t="e">
        <f t="shared" si="23"/>
        <v>#DIV/0!</v>
      </c>
      <c r="AI14" s="60" t="e">
        <f t="shared" si="24"/>
        <v>#DIV/0!</v>
      </c>
      <c r="AJ14" s="60" t="e">
        <f t="shared" si="25"/>
        <v>#DIV/0!</v>
      </c>
      <c r="AK14" s="60" t="e">
        <f t="shared" si="26"/>
        <v>#DIV/0!</v>
      </c>
      <c r="AL14" s="60" t="e">
        <f t="shared" si="27"/>
        <v>#DIV/0!</v>
      </c>
      <c r="AM14" s="60" t="e">
        <f t="shared" si="28"/>
        <v>#DIV/0!</v>
      </c>
      <c r="AN14" s="60" t="e">
        <f t="shared" si="15"/>
        <v>#DIV/0!</v>
      </c>
      <c r="AO14" s="61" t="e">
        <f t="shared" si="29"/>
        <v>#DIV/0!</v>
      </c>
      <c r="AP14" s="61" t="e">
        <f t="shared" si="16"/>
        <v>#DIV/0!</v>
      </c>
      <c r="AQ14" s="61" t="e">
        <f t="shared" si="16"/>
        <v>#DIV/0!</v>
      </c>
      <c r="AR14" s="61" t="e">
        <f t="shared" si="16"/>
        <v>#DIV/0!</v>
      </c>
      <c r="AS14" s="61" t="e">
        <f t="shared" si="16"/>
        <v>#DIV/0!</v>
      </c>
      <c r="AT14" s="61" t="e">
        <f t="shared" si="16"/>
        <v>#DIV/0!</v>
      </c>
      <c r="AU14" s="61" t="e">
        <f t="shared" si="16"/>
        <v>#DIV/0!</v>
      </c>
      <c r="AV14" s="61" t="e">
        <f t="shared" si="16"/>
        <v>#DIV/0!</v>
      </c>
      <c r="AW14" s="61" t="e">
        <f t="shared" si="16"/>
        <v>#DIV/0!</v>
      </c>
      <c r="AX14" s="61" t="e">
        <f t="shared" si="16"/>
        <v>#DIV/0!</v>
      </c>
      <c r="AY14" s="61" t="e">
        <f t="shared" si="16"/>
        <v>#DIV/0!</v>
      </c>
      <c r="AZ14" s="61" t="e">
        <f t="shared" si="16"/>
        <v>#DIV/0!</v>
      </c>
      <c r="BA14" s="61" t="e">
        <f t="shared" si="16"/>
        <v>#DIV/0!</v>
      </c>
      <c r="BB14" s="60" t="e">
        <f>Links!AF14</f>
        <v>#DIV/0!</v>
      </c>
      <c r="BC14" s="60" t="e">
        <f>(Links!AG14*Links!C14+'On-Ramps'!AC14*'On-Ramps'!CE14)/('On-Ramps'!AC14+Links!C14)</f>
        <v>#DIV/0!</v>
      </c>
      <c r="BD14" s="60" t="e">
        <f>Links!AH14</f>
        <v>#DIV/0!</v>
      </c>
      <c r="BE14" s="60" t="e">
        <f>(Links!AI14*Links!E14+'On-Ramps'!AD14*'On-Ramps'!CF13)/('On-Ramps'!AD14+Links!E14)</f>
        <v>#DIV/0!</v>
      </c>
      <c r="BF14" s="60" t="e">
        <f>(Links!F14*Links!AJ14+'On-Ramps'!AE14*'On-Ramps'!CG14)/('On-Ramps'!AE14+Links!F14)</f>
        <v>#DIV/0!</v>
      </c>
      <c r="BG14" s="60" t="e">
        <f>(Links!G14*Links!AK14+'On-Ramps'!AF14*'On-Ramps'!CH14)/('On-Ramps'!AF14+Links!G14)</f>
        <v>#DIV/0!</v>
      </c>
      <c r="BH14" s="60" t="e">
        <f>(Links!H14*Links!AL14+'On-Ramps'!AG14*'On-Ramps'!CI14)/('On-Ramps'!AG14+Links!H14)</f>
        <v>#DIV/0!</v>
      </c>
      <c r="BI14" s="60" t="e">
        <f>(Links!J14*Links!AN14+'On-Ramps'!AH14*'On-Ramps'!CJ14)/('On-Ramps'!AH14+Links!J14)</f>
        <v>#DIV/0!</v>
      </c>
      <c r="BJ14" s="60" t="e">
        <f>(Links!K14*Links!AO14+'On-Ramps'!AI14*'On-Ramps'!CK14)/('On-Ramps'!AI14+Links!K14)</f>
        <v>#DIV/0!</v>
      </c>
      <c r="BK14" s="60" t="e">
        <f>(Links!L14*Links!AP14+'On-Ramps'!AJ14*'On-Ramps'!CL14)/(Links!L14+'On-Ramps'!AJ14)</f>
        <v>#DIV/0!</v>
      </c>
      <c r="BL14" s="60" t="e">
        <f>Links!AQ14</f>
        <v>#DIV/0!</v>
      </c>
      <c r="BM14" s="60" t="e">
        <f>(Links!N14*Links!AR14+'On-Ramps'!AL14*'On-Ramps'!CM14)/(Links!N14+'On-Ramps'!AL14)</f>
        <v>#DIV/0!</v>
      </c>
      <c r="BN14" s="60" t="e">
        <f>Links!AS14</f>
        <v>#DIV/0!</v>
      </c>
      <c r="BO14" s="61" t="e">
        <f>(Links!R14^2+'Off-Ramp'!L14^2)/(Links!R14+'Off-Ramp'!L14)</f>
        <v>#DIV/0!</v>
      </c>
      <c r="BP14" s="61" t="e">
        <f>Links!S14</f>
        <v>#DIV/0!</v>
      </c>
      <c r="BQ14" s="61" t="e">
        <f>(Links!S14^2+'Off-Ramp'!C14^2)/(Links!S14+'Off-Ramp'!C14)</f>
        <v>#DIV/0!</v>
      </c>
      <c r="BR14" s="61" t="e">
        <f>Links!T14</f>
        <v>#DIV/0!</v>
      </c>
      <c r="BS14" s="61" t="e">
        <f>(Links!U14^2+'Off-Ramp'!N14^2)/(Links!U14+'Off-Ramp'!N14)</f>
        <v>#DIV/0!</v>
      </c>
      <c r="BT14" s="61" t="e">
        <f>(Links!V14^2+'Off-Ramp'!O14^2)/(Links!V14+'Off-Ramp'!O14)</f>
        <v>#DIV/0!</v>
      </c>
      <c r="BU14" s="61" t="e">
        <f>(Links!W14^2+'Off-Ramp'!P14^2)/(Links!W14+'Off-Ramp'!P14)</f>
        <v>#DIV/0!</v>
      </c>
      <c r="BV14" s="61" t="e">
        <f>(Links!Y14^2+'Off-Ramp'!Q14^2)/(Links!Y14+'Off-Ramp'!Q14)</f>
        <v>#DIV/0!</v>
      </c>
      <c r="BW14" s="61" t="e">
        <f>(Links!Z14^2+'Off-Ramp'!R14^2)/(Links!Z14+'Off-Ramp'!R14)</f>
        <v>#DIV/0!</v>
      </c>
      <c r="BX14" s="61" t="e">
        <f>(Links!AA14+'Off-Ramp'!S14)/(Links!AA14^2+'Off-Ramp'!S14^2)</f>
        <v>#DIV/0!</v>
      </c>
      <c r="BY14" s="61" t="e">
        <f>(Links!AB14^2+'Off-Ramp'!T14^2)/(Links!AB14+'Off-Ramp'!T14)</f>
        <v>#DIV/0!</v>
      </c>
      <c r="BZ14" s="61" t="e">
        <f>Links!AC14</f>
        <v>#DIV/0!</v>
      </c>
      <c r="CA14" s="61" t="e">
        <f>(Links!AD14^2+'Off-Ramp'!U14^2)/(Links!AD14+'Off-Ramp'!U14)</f>
        <v>#DIV/0!</v>
      </c>
    </row>
    <row r="15" spans="1:79" x14ac:dyDescent="0.15">
      <c r="A15" s="59">
        <v>13</v>
      </c>
      <c r="B15" s="60" t="e">
        <f t="shared" si="2"/>
        <v>#DIV/0!</v>
      </c>
      <c r="C15" s="60" t="e">
        <f t="shared" si="3"/>
        <v>#DIV/0!</v>
      </c>
      <c r="D15" s="60" t="e">
        <f t="shared" si="4"/>
        <v>#DIV/0!</v>
      </c>
      <c r="E15" s="60" t="e">
        <f t="shared" si="5"/>
        <v>#DIV/0!</v>
      </c>
      <c r="F15" s="60" t="e">
        <f t="shared" si="6"/>
        <v>#DIV/0!</v>
      </c>
      <c r="G15" s="60" t="e">
        <f t="shared" si="7"/>
        <v>#DIV/0!</v>
      </c>
      <c r="H15" s="60" t="e">
        <f t="shared" si="8"/>
        <v>#DIV/0!</v>
      </c>
      <c r="I15" s="60" t="e">
        <f t="shared" si="9"/>
        <v>#DIV/0!</v>
      </c>
      <c r="J15" s="60" t="e">
        <f t="shared" si="10"/>
        <v>#DIV/0!</v>
      </c>
      <c r="K15" s="60" t="e">
        <f t="shared" si="11"/>
        <v>#DIV/0!</v>
      </c>
      <c r="L15" s="60" t="e">
        <f t="shared" si="12"/>
        <v>#DIV/0!</v>
      </c>
      <c r="M15" s="60" t="e">
        <f t="shared" si="13"/>
        <v>#DIV/0!</v>
      </c>
      <c r="N15" s="60" t="e">
        <f t="shared" si="14"/>
        <v>#DIV/0!</v>
      </c>
      <c r="O15" s="61" t="e">
        <f>Links!B15</f>
        <v>#DIV/0!</v>
      </c>
      <c r="P15" s="61" t="e">
        <f>Links!C15+'On-Ramps'!AC15</f>
        <v>#DIV/0!</v>
      </c>
      <c r="Q15" s="61" t="e">
        <f>Links!D15</f>
        <v>#DIV/0!</v>
      </c>
      <c r="R15" s="61" t="e">
        <f>Links!E15+'On-Ramps'!AD15</f>
        <v>#DIV/0!</v>
      </c>
      <c r="S15" s="61" t="e">
        <f>Links!F15+'On-Ramps'!AE15</f>
        <v>#DIV/0!</v>
      </c>
      <c r="T15" s="61" t="e">
        <f>Links!G15+'On-Ramps'!AF15</f>
        <v>#DIV/0!</v>
      </c>
      <c r="U15" s="61" t="e">
        <f>Links!H15+'On-Ramps'!AG15</f>
        <v>#DIV/0!</v>
      </c>
      <c r="V15" s="61" t="e">
        <f>Links!J15+'On-Ramps'!AH15</f>
        <v>#DIV/0!</v>
      </c>
      <c r="W15" s="61" t="e">
        <f>Links!K15+'On-Ramps'!AI15</f>
        <v>#DIV/0!</v>
      </c>
      <c r="X15" s="61" t="e">
        <f>Links!L15+'On-Ramps'!AJ15</f>
        <v>#DIV/0!</v>
      </c>
      <c r="Y15" s="61" t="e">
        <f>Links!M15</f>
        <v>#DIV/0!</v>
      </c>
      <c r="Z15" s="61" t="e">
        <f>Links!N15+'On-Ramps'!AK15</f>
        <v>#DIV/0!</v>
      </c>
      <c r="AA15" s="61" t="e">
        <f>Links!O15</f>
        <v>#DIV/0!</v>
      </c>
      <c r="AB15" s="60" t="e">
        <f t="shared" si="17"/>
        <v>#DIV/0!</v>
      </c>
      <c r="AC15" s="60" t="e">
        <f t="shared" si="18"/>
        <v>#DIV/0!</v>
      </c>
      <c r="AD15" s="60" t="e">
        <f t="shared" si="19"/>
        <v>#DIV/0!</v>
      </c>
      <c r="AE15" s="60" t="e">
        <f t="shared" si="20"/>
        <v>#DIV/0!</v>
      </c>
      <c r="AF15" s="60" t="e">
        <f t="shared" si="21"/>
        <v>#DIV/0!</v>
      </c>
      <c r="AG15" s="60" t="e">
        <f t="shared" si="22"/>
        <v>#DIV/0!</v>
      </c>
      <c r="AH15" s="60" t="e">
        <f t="shared" si="23"/>
        <v>#DIV/0!</v>
      </c>
      <c r="AI15" s="60" t="e">
        <f t="shared" si="24"/>
        <v>#DIV/0!</v>
      </c>
      <c r="AJ15" s="60" t="e">
        <f t="shared" si="25"/>
        <v>#DIV/0!</v>
      </c>
      <c r="AK15" s="60" t="e">
        <f t="shared" si="26"/>
        <v>#DIV/0!</v>
      </c>
      <c r="AL15" s="60" t="e">
        <f t="shared" si="27"/>
        <v>#DIV/0!</v>
      </c>
      <c r="AM15" s="60" t="e">
        <f t="shared" si="28"/>
        <v>#DIV/0!</v>
      </c>
      <c r="AN15" s="60" t="e">
        <f t="shared" si="15"/>
        <v>#DIV/0!</v>
      </c>
      <c r="AO15" s="61" t="e">
        <f t="shared" si="29"/>
        <v>#DIV/0!</v>
      </c>
      <c r="AP15" s="61" t="e">
        <f t="shared" si="16"/>
        <v>#DIV/0!</v>
      </c>
      <c r="AQ15" s="61" t="e">
        <f t="shared" si="16"/>
        <v>#DIV/0!</v>
      </c>
      <c r="AR15" s="61" t="e">
        <f t="shared" si="16"/>
        <v>#DIV/0!</v>
      </c>
      <c r="AS15" s="61" t="e">
        <f t="shared" si="16"/>
        <v>#DIV/0!</v>
      </c>
      <c r="AT15" s="61" t="e">
        <f t="shared" si="16"/>
        <v>#DIV/0!</v>
      </c>
      <c r="AU15" s="61" t="e">
        <f t="shared" si="16"/>
        <v>#DIV/0!</v>
      </c>
      <c r="AV15" s="61" t="e">
        <f t="shared" si="16"/>
        <v>#DIV/0!</v>
      </c>
      <c r="AW15" s="61" t="e">
        <f t="shared" si="16"/>
        <v>#DIV/0!</v>
      </c>
      <c r="AX15" s="61" t="e">
        <f t="shared" si="16"/>
        <v>#DIV/0!</v>
      </c>
      <c r="AY15" s="61" t="e">
        <f t="shared" si="16"/>
        <v>#DIV/0!</v>
      </c>
      <c r="AZ15" s="61" t="e">
        <f t="shared" si="16"/>
        <v>#DIV/0!</v>
      </c>
      <c r="BA15" s="61" t="e">
        <f t="shared" si="16"/>
        <v>#DIV/0!</v>
      </c>
      <c r="BB15" s="60" t="e">
        <f>Links!AF15</f>
        <v>#DIV/0!</v>
      </c>
      <c r="BC15" s="60" t="e">
        <f>(Links!AG15*Links!C15+'On-Ramps'!AC15*'On-Ramps'!CE15)/('On-Ramps'!AC15+Links!C15)</f>
        <v>#DIV/0!</v>
      </c>
      <c r="BD15" s="60" t="e">
        <f>Links!AH15</f>
        <v>#DIV/0!</v>
      </c>
      <c r="BE15" s="60" t="e">
        <f>(Links!AI15*Links!E15+'On-Ramps'!AD15*'On-Ramps'!CF14)/('On-Ramps'!AD15+Links!E15)</f>
        <v>#DIV/0!</v>
      </c>
      <c r="BF15" s="60" t="e">
        <f>(Links!F15*Links!AJ15+'On-Ramps'!AE15*'On-Ramps'!CG15)/('On-Ramps'!AE15+Links!F15)</f>
        <v>#DIV/0!</v>
      </c>
      <c r="BG15" s="60" t="e">
        <f>(Links!G15*Links!AK15+'On-Ramps'!AF15*'On-Ramps'!CH15)/('On-Ramps'!AF15+Links!G15)</f>
        <v>#DIV/0!</v>
      </c>
      <c r="BH15" s="60" t="e">
        <f>(Links!H15*Links!AL15+'On-Ramps'!AG15*'On-Ramps'!CI15)/('On-Ramps'!AG15+Links!H15)</f>
        <v>#DIV/0!</v>
      </c>
      <c r="BI15" s="60" t="e">
        <f>(Links!J15*Links!AN15+'On-Ramps'!AH15*'On-Ramps'!CJ15)/('On-Ramps'!AH15+Links!J15)</f>
        <v>#DIV/0!</v>
      </c>
      <c r="BJ15" s="60" t="e">
        <f>(Links!K15*Links!AO15+'On-Ramps'!AI15*'On-Ramps'!CK15)/('On-Ramps'!AI15+Links!K15)</f>
        <v>#DIV/0!</v>
      </c>
      <c r="BK15" s="60" t="e">
        <f>(Links!L15*Links!AP15+'On-Ramps'!AJ15*'On-Ramps'!CL15)/(Links!L15+'On-Ramps'!AJ15)</f>
        <v>#DIV/0!</v>
      </c>
      <c r="BL15" s="60" t="e">
        <f>Links!AQ15</f>
        <v>#DIV/0!</v>
      </c>
      <c r="BM15" s="60" t="e">
        <f>(Links!N15*Links!AR15+'On-Ramps'!AL15*'On-Ramps'!CM15)/(Links!N15+'On-Ramps'!AL15)</f>
        <v>#DIV/0!</v>
      </c>
      <c r="BN15" s="60" t="e">
        <f>Links!AS15</f>
        <v>#DIV/0!</v>
      </c>
      <c r="BO15" s="61" t="e">
        <f>(Links!R15^2+'Off-Ramp'!L15^2)/(Links!R15+'Off-Ramp'!L15)</f>
        <v>#DIV/0!</v>
      </c>
      <c r="BP15" s="61" t="e">
        <f>Links!S15</f>
        <v>#DIV/0!</v>
      </c>
      <c r="BQ15" s="61" t="e">
        <f>(Links!S15^2+'Off-Ramp'!C15^2)/(Links!S15+'Off-Ramp'!C15)</f>
        <v>#DIV/0!</v>
      </c>
      <c r="BR15" s="61" t="e">
        <f>Links!T15</f>
        <v>#DIV/0!</v>
      </c>
      <c r="BS15" s="61" t="e">
        <f>(Links!U15^2+'Off-Ramp'!N15^2)/(Links!U15+'Off-Ramp'!N15)</f>
        <v>#DIV/0!</v>
      </c>
      <c r="BT15" s="61" t="e">
        <f>(Links!V15^2+'Off-Ramp'!O15^2)/(Links!V15+'Off-Ramp'!O15)</f>
        <v>#DIV/0!</v>
      </c>
      <c r="BU15" s="61" t="e">
        <f>(Links!W15^2+'Off-Ramp'!P15^2)/(Links!W15+'Off-Ramp'!P15)</f>
        <v>#DIV/0!</v>
      </c>
      <c r="BV15" s="61" t="e">
        <f>(Links!Y15^2+'Off-Ramp'!Q15^2)/(Links!Y15+'Off-Ramp'!Q15)</f>
        <v>#DIV/0!</v>
      </c>
      <c r="BW15" s="61" t="e">
        <f>(Links!Z15^2+'Off-Ramp'!R15^2)/(Links!Z15+'Off-Ramp'!R15)</f>
        <v>#DIV/0!</v>
      </c>
      <c r="BX15" s="61" t="e">
        <f>(Links!AA15+'Off-Ramp'!S15)/(Links!AA15^2+'Off-Ramp'!S15^2)</f>
        <v>#DIV/0!</v>
      </c>
      <c r="BY15" s="61" t="e">
        <f>(Links!AB15^2+'Off-Ramp'!T15^2)/(Links!AB15+'Off-Ramp'!T15)</f>
        <v>#DIV/0!</v>
      </c>
      <c r="BZ15" s="61" t="e">
        <f>Links!AC15</f>
        <v>#DIV/0!</v>
      </c>
      <c r="CA15" s="61" t="e">
        <f>(Links!AD15^2+'Off-Ramp'!U15^2)/(Links!AD15+'Off-Ramp'!U15)</f>
        <v>#DIV/0!</v>
      </c>
    </row>
    <row r="16" spans="1:79" x14ac:dyDescent="0.15">
      <c r="A16" s="59">
        <v>14</v>
      </c>
      <c r="B16" s="60" t="e">
        <f t="shared" si="2"/>
        <v>#DIV/0!</v>
      </c>
      <c r="C16" s="60" t="e">
        <f t="shared" si="3"/>
        <v>#DIV/0!</v>
      </c>
      <c r="D16" s="60" t="e">
        <f t="shared" si="4"/>
        <v>#DIV/0!</v>
      </c>
      <c r="E16" s="60" t="e">
        <f t="shared" si="5"/>
        <v>#DIV/0!</v>
      </c>
      <c r="F16" s="60" t="e">
        <f t="shared" si="6"/>
        <v>#DIV/0!</v>
      </c>
      <c r="G16" s="60" t="e">
        <f t="shared" si="7"/>
        <v>#DIV/0!</v>
      </c>
      <c r="H16" s="60" t="e">
        <f t="shared" si="8"/>
        <v>#DIV/0!</v>
      </c>
      <c r="I16" s="60" t="e">
        <f t="shared" si="9"/>
        <v>#DIV/0!</v>
      </c>
      <c r="J16" s="60" t="e">
        <f t="shared" si="10"/>
        <v>#DIV/0!</v>
      </c>
      <c r="K16" s="60" t="e">
        <f t="shared" si="11"/>
        <v>#DIV/0!</v>
      </c>
      <c r="L16" s="60" t="e">
        <f t="shared" si="12"/>
        <v>#DIV/0!</v>
      </c>
      <c r="M16" s="60" t="e">
        <f t="shared" si="13"/>
        <v>#DIV/0!</v>
      </c>
      <c r="N16" s="60" t="e">
        <f t="shared" si="14"/>
        <v>#DIV/0!</v>
      </c>
      <c r="O16" s="61" t="e">
        <f>Links!B16</f>
        <v>#DIV/0!</v>
      </c>
      <c r="P16" s="61" t="e">
        <f>Links!C16+'On-Ramps'!AC16</f>
        <v>#DIV/0!</v>
      </c>
      <c r="Q16" s="61" t="e">
        <f>Links!D16</f>
        <v>#DIV/0!</v>
      </c>
      <c r="R16" s="61" t="e">
        <f>Links!E16+'On-Ramps'!AD16</f>
        <v>#DIV/0!</v>
      </c>
      <c r="S16" s="61" t="e">
        <f>Links!F16+'On-Ramps'!AE16</f>
        <v>#DIV/0!</v>
      </c>
      <c r="T16" s="61" t="e">
        <f>Links!G16+'On-Ramps'!AF16</f>
        <v>#DIV/0!</v>
      </c>
      <c r="U16" s="61" t="e">
        <f>Links!H16+'On-Ramps'!AG16</f>
        <v>#DIV/0!</v>
      </c>
      <c r="V16" s="61" t="e">
        <f>Links!J16+'On-Ramps'!AH16</f>
        <v>#DIV/0!</v>
      </c>
      <c r="W16" s="61" t="e">
        <f>Links!K16+'On-Ramps'!AI16</f>
        <v>#DIV/0!</v>
      </c>
      <c r="X16" s="61" t="e">
        <f>Links!L16+'On-Ramps'!AJ16</f>
        <v>#DIV/0!</v>
      </c>
      <c r="Y16" s="61" t="e">
        <f>Links!M16</f>
        <v>#DIV/0!</v>
      </c>
      <c r="Z16" s="61" t="e">
        <f>Links!N16+'On-Ramps'!AK16</f>
        <v>#DIV/0!</v>
      </c>
      <c r="AA16" s="61" t="e">
        <f>Links!O16</f>
        <v>#DIV/0!</v>
      </c>
      <c r="AB16" s="60" t="e">
        <f t="shared" si="17"/>
        <v>#DIV/0!</v>
      </c>
      <c r="AC16" s="60" t="e">
        <f t="shared" si="18"/>
        <v>#DIV/0!</v>
      </c>
      <c r="AD16" s="60" t="e">
        <f t="shared" si="19"/>
        <v>#DIV/0!</v>
      </c>
      <c r="AE16" s="60" t="e">
        <f t="shared" si="20"/>
        <v>#DIV/0!</v>
      </c>
      <c r="AF16" s="60" t="e">
        <f t="shared" si="21"/>
        <v>#DIV/0!</v>
      </c>
      <c r="AG16" s="60" t="e">
        <f t="shared" si="22"/>
        <v>#DIV/0!</v>
      </c>
      <c r="AH16" s="60" t="e">
        <f t="shared" si="23"/>
        <v>#DIV/0!</v>
      </c>
      <c r="AI16" s="60" t="e">
        <f t="shared" si="24"/>
        <v>#DIV/0!</v>
      </c>
      <c r="AJ16" s="60" t="e">
        <f t="shared" si="25"/>
        <v>#DIV/0!</v>
      </c>
      <c r="AK16" s="60" t="e">
        <f t="shared" si="26"/>
        <v>#DIV/0!</v>
      </c>
      <c r="AL16" s="60" t="e">
        <f t="shared" si="27"/>
        <v>#DIV/0!</v>
      </c>
      <c r="AM16" s="60" t="e">
        <f t="shared" si="28"/>
        <v>#DIV/0!</v>
      </c>
      <c r="AN16" s="60" t="e">
        <f t="shared" si="15"/>
        <v>#DIV/0!</v>
      </c>
      <c r="AO16" s="61" t="e">
        <f t="shared" si="29"/>
        <v>#DIV/0!</v>
      </c>
      <c r="AP16" s="61" t="e">
        <f t="shared" si="16"/>
        <v>#DIV/0!</v>
      </c>
      <c r="AQ16" s="61" t="e">
        <f t="shared" si="16"/>
        <v>#DIV/0!</v>
      </c>
      <c r="AR16" s="61" t="e">
        <f t="shared" si="16"/>
        <v>#DIV/0!</v>
      </c>
      <c r="AS16" s="61" t="e">
        <f t="shared" si="16"/>
        <v>#DIV/0!</v>
      </c>
      <c r="AT16" s="61" t="e">
        <f t="shared" si="16"/>
        <v>#DIV/0!</v>
      </c>
      <c r="AU16" s="61" t="e">
        <f t="shared" si="16"/>
        <v>#DIV/0!</v>
      </c>
      <c r="AV16" s="61" t="e">
        <f t="shared" si="16"/>
        <v>#DIV/0!</v>
      </c>
      <c r="AW16" s="61" t="e">
        <f t="shared" si="16"/>
        <v>#DIV/0!</v>
      </c>
      <c r="AX16" s="61" t="e">
        <f t="shared" si="16"/>
        <v>#DIV/0!</v>
      </c>
      <c r="AY16" s="61" t="e">
        <f t="shared" si="16"/>
        <v>#DIV/0!</v>
      </c>
      <c r="AZ16" s="61" t="e">
        <f t="shared" si="16"/>
        <v>#DIV/0!</v>
      </c>
      <c r="BA16" s="61" t="e">
        <f t="shared" si="16"/>
        <v>#DIV/0!</v>
      </c>
      <c r="BB16" s="60" t="e">
        <f>Links!AF16</f>
        <v>#DIV/0!</v>
      </c>
      <c r="BC16" s="60" t="e">
        <f>(Links!AG16*Links!C16+'On-Ramps'!AC16*'On-Ramps'!CE16)/('On-Ramps'!AC16+Links!C16)</f>
        <v>#DIV/0!</v>
      </c>
      <c r="BD16" s="60" t="e">
        <f>Links!AH16</f>
        <v>#DIV/0!</v>
      </c>
      <c r="BE16" s="60" t="e">
        <f>(Links!AI16*Links!E16+'On-Ramps'!AD16*'On-Ramps'!CF15)/('On-Ramps'!AD16+Links!E16)</f>
        <v>#DIV/0!</v>
      </c>
      <c r="BF16" s="60" t="e">
        <f>(Links!F16*Links!AJ16+'On-Ramps'!AE16*'On-Ramps'!CG16)/('On-Ramps'!AE16+Links!F16)</f>
        <v>#DIV/0!</v>
      </c>
      <c r="BG16" s="60" t="e">
        <f>(Links!G16*Links!AK16+'On-Ramps'!AF16*'On-Ramps'!CH16)/('On-Ramps'!AF16+Links!G16)</f>
        <v>#DIV/0!</v>
      </c>
      <c r="BH16" s="60" t="e">
        <f>(Links!H16*Links!AL16+'On-Ramps'!AG16*'On-Ramps'!CI16)/('On-Ramps'!AG16+Links!H16)</f>
        <v>#DIV/0!</v>
      </c>
      <c r="BI16" s="60" t="e">
        <f>(Links!J16*Links!AN16+'On-Ramps'!AH16*'On-Ramps'!CJ16)/('On-Ramps'!AH16+Links!J16)</f>
        <v>#DIV/0!</v>
      </c>
      <c r="BJ16" s="60" t="e">
        <f>(Links!K16*Links!AO16+'On-Ramps'!AI16*'On-Ramps'!CK16)/('On-Ramps'!AI16+Links!K16)</f>
        <v>#DIV/0!</v>
      </c>
      <c r="BK16" s="60" t="e">
        <f>(Links!L16*Links!AP16+'On-Ramps'!AJ16*'On-Ramps'!CL16)/(Links!L16+'On-Ramps'!AJ16)</f>
        <v>#DIV/0!</v>
      </c>
      <c r="BL16" s="60" t="e">
        <f>Links!AQ16</f>
        <v>#DIV/0!</v>
      </c>
      <c r="BM16" s="60" t="e">
        <f>(Links!N16*Links!AR16+'On-Ramps'!AL16*'On-Ramps'!CM16)/(Links!N16+'On-Ramps'!AL16)</f>
        <v>#DIV/0!</v>
      </c>
      <c r="BN16" s="60" t="e">
        <f>Links!AS16</f>
        <v>#DIV/0!</v>
      </c>
      <c r="BO16" s="61" t="e">
        <f>(Links!R16^2+'Off-Ramp'!L16^2)/(Links!R16+'Off-Ramp'!L16)</f>
        <v>#DIV/0!</v>
      </c>
      <c r="BP16" s="61" t="e">
        <f>Links!S16</f>
        <v>#DIV/0!</v>
      </c>
      <c r="BQ16" s="61" t="e">
        <f>(Links!S16^2+'Off-Ramp'!C16^2)/(Links!S16+'Off-Ramp'!C16)</f>
        <v>#DIV/0!</v>
      </c>
      <c r="BR16" s="61" t="e">
        <f>Links!T16</f>
        <v>#DIV/0!</v>
      </c>
      <c r="BS16" s="61" t="e">
        <f>(Links!U16^2+'Off-Ramp'!N16^2)/(Links!U16+'Off-Ramp'!N16)</f>
        <v>#DIV/0!</v>
      </c>
      <c r="BT16" s="61" t="e">
        <f>(Links!V16^2+'Off-Ramp'!O16^2)/(Links!V16+'Off-Ramp'!O16)</f>
        <v>#DIV/0!</v>
      </c>
      <c r="BU16" s="61" t="e">
        <f>(Links!W16^2+'Off-Ramp'!P16^2)/(Links!W16+'Off-Ramp'!P16)</f>
        <v>#DIV/0!</v>
      </c>
      <c r="BV16" s="61" t="e">
        <f>(Links!Y16^2+'Off-Ramp'!Q16^2)/(Links!Y16+'Off-Ramp'!Q16)</f>
        <v>#DIV/0!</v>
      </c>
      <c r="BW16" s="61" t="e">
        <f>(Links!Z16^2+'Off-Ramp'!R16^2)/(Links!Z16+'Off-Ramp'!R16)</f>
        <v>#DIV/0!</v>
      </c>
      <c r="BX16" s="61" t="e">
        <f>(Links!AA16+'Off-Ramp'!S16)/(Links!AA16^2+'Off-Ramp'!S16^2)</f>
        <v>#DIV/0!</v>
      </c>
      <c r="BY16" s="61" t="e">
        <f>(Links!AB16^2+'Off-Ramp'!T16^2)/(Links!AB16+'Off-Ramp'!T16)</f>
        <v>#DIV/0!</v>
      </c>
      <c r="BZ16" s="61" t="e">
        <f>Links!AC16</f>
        <v>#DIV/0!</v>
      </c>
      <c r="CA16" s="61" t="e">
        <f>(Links!AD16^2+'Off-Ramp'!U16^2)/(Links!AD16+'Off-Ramp'!U16)</f>
        <v>#DIV/0!</v>
      </c>
    </row>
    <row r="17" spans="1:79" x14ac:dyDescent="0.15">
      <c r="A17" s="59">
        <v>15</v>
      </c>
      <c r="B17" s="60" t="e">
        <f t="shared" si="2"/>
        <v>#DIV/0!</v>
      </c>
      <c r="C17" s="60" t="e">
        <f t="shared" si="3"/>
        <v>#DIV/0!</v>
      </c>
      <c r="D17" s="60" t="e">
        <f t="shared" si="4"/>
        <v>#DIV/0!</v>
      </c>
      <c r="E17" s="60" t="e">
        <f t="shared" si="5"/>
        <v>#DIV/0!</v>
      </c>
      <c r="F17" s="60" t="e">
        <f t="shared" si="6"/>
        <v>#DIV/0!</v>
      </c>
      <c r="G17" s="60" t="e">
        <f t="shared" si="7"/>
        <v>#DIV/0!</v>
      </c>
      <c r="H17" s="60" t="e">
        <f t="shared" si="8"/>
        <v>#DIV/0!</v>
      </c>
      <c r="I17" s="60" t="e">
        <f t="shared" si="9"/>
        <v>#DIV/0!</v>
      </c>
      <c r="J17" s="60" t="e">
        <f t="shared" si="10"/>
        <v>#DIV/0!</v>
      </c>
      <c r="K17" s="60" t="e">
        <f t="shared" si="11"/>
        <v>#DIV/0!</v>
      </c>
      <c r="L17" s="60" t="e">
        <f t="shared" si="12"/>
        <v>#DIV/0!</v>
      </c>
      <c r="M17" s="60" t="e">
        <f t="shared" si="13"/>
        <v>#DIV/0!</v>
      </c>
      <c r="N17" s="60" t="e">
        <f t="shared" si="14"/>
        <v>#DIV/0!</v>
      </c>
      <c r="O17" s="61" t="e">
        <f>Links!B17</f>
        <v>#DIV/0!</v>
      </c>
      <c r="P17" s="61" t="e">
        <f>Links!C17+'On-Ramps'!AC17</f>
        <v>#DIV/0!</v>
      </c>
      <c r="Q17" s="61" t="e">
        <f>Links!D17</f>
        <v>#DIV/0!</v>
      </c>
      <c r="R17" s="61" t="e">
        <f>Links!E17+'On-Ramps'!AD17</f>
        <v>#DIV/0!</v>
      </c>
      <c r="S17" s="61" t="e">
        <f>Links!F17+'On-Ramps'!AE17</f>
        <v>#DIV/0!</v>
      </c>
      <c r="T17" s="61" t="e">
        <f>Links!G17+'On-Ramps'!AF17</f>
        <v>#DIV/0!</v>
      </c>
      <c r="U17" s="61" t="e">
        <f>Links!H17+'On-Ramps'!AG17</f>
        <v>#DIV/0!</v>
      </c>
      <c r="V17" s="61" t="e">
        <f>Links!J17+'On-Ramps'!AH17</f>
        <v>#DIV/0!</v>
      </c>
      <c r="W17" s="61" t="e">
        <f>Links!K17+'On-Ramps'!AI17</f>
        <v>#DIV/0!</v>
      </c>
      <c r="X17" s="61" t="e">
        <f>Links!L17+'On-Ramps'!AJ17</f>
        <v>#DIV/0!</v>
      </c>
      <c r="Y17" s="61" t="e">
        <f>Links!M17</f>
        <v>#DIV/0!</v>
      </c>
      <c r="Z17" s="61" t="e">
        <f>Links!N17+'On-Ramps'!AK17</f>
        <v>#DIV/0!</v>
      </c>
      <c r="AA17" s="61" t="e">
        <f>Links!O17</f>
        <v>#DIV/0!</v>
      </c>
      <c r="AB17" s="60" t="e">
        <f t="shared" si="17"/>
        <v>#DIV/0!</v>
      </c>
      <c r="AC17" s="60" t="e">
        <f t="shared" si="18"/>
        <v>#DIV/0!</v>
      </c>
      <c r="AD17" s="60" t="e">
        <f t="shared" si="19"/>
        <v>#DIV/0!</v>
      </c>
      <c r="AE17" s="60" t="e">
        <f t="shared" si="20"/>
        <v>#DIV/0!</v>
      </c>
      <c r="AF17" s="60" t="e">
        <f t="shared" si="21"/>
        <v>#DIV/0!</v>
      </c>
      <c r="AG17" s="60" t="e">
        <f t="shared" si="22"/>
        <v>#DIV/0!</v>
      </c>
      <c r="AH17" s="60" t="e">
        <f t="shared" si="23"/>
        <v>#DIV/0!</v>
      </c>
      <c r="AI17" s="60" t="e">
        <f t="shared" si="24"/>
        <v>#DIV/0!</v>
      </c>
      <c r="AJ17" s="60" t="e">
        <f t="shared" si="25"/>
        <v>#DIV/0!</v>
      </c>
      <c r="AK17" s="60" t="e">
        <f t="shared" si="26"/>
        <v>#DIV/0!</v>
      </c>
      <c r="AL17" s="60" t="e">
        <f t="shared" si="27"/>
        <v>#DIV/0!</v>
      </c>
      <c r="AM17" s="60" t="e">
        <f t="shared" si="28"/>
        <v>#DIV/0!</v>
      </c>
      <c r="AN17" s="60" t="e">
        <f t="shared" si="15"/>
        <v>#DIV/0!</v>
      </c>
      <c r="AO17" s="61" t="e">
        <f t="shared" si="29"/>
        <v>#DIV/0!</v>
      </c>
      <c r="AP17" s="61" t="e">
        <f t="shared" si="16"/>
        <v>#DIV/0!</v>
      </c>
      <c r="AQ17" s="61" t="e">
        <f t="shared" si="16"/>
        <v>#DIV/0!</v>
      </c>
      <c r="AR17" s="61" t="e">
        <f t="shared" si="16"/>
        <v>#DIV/0!</v>
      </c>
      <c r="AS17" s="61" t="e">
        <f t="shared" si="16"/>
        <v>#DIV/0!</v>
      </c>
      <c r="AT17" s="61" t="e">
        <f t="shared" si="16"/>
        <v>#DIV/0!</v>
      </c>
      <c r="AU17" s="61" t="e">
        <f t="shared" si="16"/>
        <v>#DIV/0!</v>
      </c>
      <c r="AV17" s="61" t="e">
        <f t="shared" si="16"/>
        <v>#DIV/0!</v>
      </c>
      <c r="AW17" s="61" t="e">
        <f t="shared" si="16"/>
        <v>#DIV/0!</v>
      </c>
      <c r="AX17" s="61" t="e">
        <f t="shared" si="16"/>
        <v>#DIV/0!</v>
      </c>
      <c r="AY17" s="61" t="e">
        <f t="shared" si="16"/>
        <v>#DIV/0!</v>
      </c>
      <c r="AZ17" s="61" t="e">
        <f t="shared" si="16"/>
        <v>#DIV/0!</v>
      </c>
      <c r="BA17" s="61" t="e">
        <f t="shared" si="16"/>
        <v>#DIV/0!</v>
      </c>
      <c r="BB17" s="60" t="e">
        <f>Links!AF17</f>
        <v>#DIV/0!</v>
      </c>
      <c r="BC17" s="60" t="e">
        <f>(Links!AG17*Links!C17+'On-Ramps'!AC17*'On-Ramps'!CE17)/('On-Ramps'!AC17+Links!C17)</f>
        <v>#DIV/0!</v>
      </c>
      <c r="BD17" s="60" t="e">
        <f>Links!AH17</f>
        <v>#DIV/0!</v>
      </c>
      <c r="BE17" s="60" t="e">
        <f>(Links!AI17*Links!E17+'On-Ramps'!AD17*'On-Ramps'!CF16)/('On-Ramps'!AD17+Links!E17)</f>
        <v>#DIV/0!</v>
      </c>
      <c r="BF17" s="60" t="e">
        <f>(Links!F17*Links!AJ17+'On-Ramps'!AE17*'On-Ramps'!CG17)/('On-Ramps'!AE17+Links!F17)</f>
        <v>#DIV/0!</v>
      </c>
      <c r="BG17" s="60" t="e">
        <f>(Links!G17*Links!AK17+'On-Ramps'!AF17*'On-Ramps'!CH17)/('On-Ramps'!AF17+Links!G17)</f>
        <v>#DIV/0!</v>
      </c>
      <c r="BH17" s="60" t="e">
        <f>(Links!H17*Links!AL17+'On-Ramps'!AG17*'On-Ramps'!CI17)/('On-Ramps'!AG17+Links!H17)</f>
        <v>#DIV/0!</v>
      </c>
      <c r="BI17" s="60" t="e">
        <f>(Links!J17*Links!AN17+'On-Ramps'!AH17*'On-Ramps'!CJ17)/('On-Ramps'!AH17+Links!J17)</f>
        <v>#DIV/0!</v>
      </c>
      <c r="BJ17" s="60" t="e">
        <f>(Links!K17*Links!AO17+'On-Ramps'!AI17*'On-Ramps'!CK17)/('On-Ramps'!AI17+Links!K17)</f>
        <v>#DIV/0!</v>
      </c>
      <c r="BK17" s="60" t="e">
        <f>(Links!L17*Links!AP17+'On-Ramps'!AJ17*'On-Ramps'!CL17)/(Links!L17+'On-Ramps'!AJ17)</f>
        <v>#DIV/0!</v>
      </c>
      <c r="BL17" s="60" t="e">
        <f>Links!AQ17</f>
        <v>#DIV/0!</v>
      </c>
      <c r="BM17" s="60" t="e">
        <f>(Links!N17*Links!AR17+'On-Ramps'!AL17*'On-Ramps'!CM17)/(Links!N17+'On-Ramps'!AL17)</f>
        <v>#DIV/0!</v>
      </c>
      <c r="BN17" s="60" t="e">
        <f>Links!AS17</f>
        <v>#DIV/0!</v>
      </c>
      <c r="BO17" s="61" t="e">
        <f>(Links!R17^2+'Off-Ramp'!L17^2)/(Links!R17+'Off-Ramp'!L17)</f>
        <v>#DIV/0!</v>
      </c>
      <c r="BP17" s="61" t="e">
        <f>Links!S17</f>
        <v>#DIV/0!</v>
      </c>
      <c r="BQ17" s="61" t="e">
        <f>(Links!S17^2+'Off-Ramp'!C17^2)/(Links!S17+'Off-Ramp'!C17)</f>
        <v>#DIV/0!</v>
      </c>
      <c r="BR17" s="61" t="e">
        <f>Links!T17</f>
        <v>#DIV/0!</v>
      </c>
      <c r="BS17" s="61" t="e">
        <f>(Links!U17^2+'Off-Ramp'!N17^2)/(Links!U17+'Off-Ramp'!N17)</f>
        <v>#DIV/0!</v>
      </c>
      <c r="BT17" s="61" t="e">
        <f>(Links!V17^2+'Off-Ramp'!O17^2)/(Links!V17+'Off-Ramp'!O17)</f>
        <v>#DIV/0!</v>
      </c>
      <c r="BU17" s="61" t="e">
        <f>(Links!W17^2+'Off-Ramp'!P17^2)/(Links!W17+'Off-Ramp'!P17)</f>
        <v>#DIV/0!</v>
      </c>
      <c r="BV17" s="61" t="e">
        <f>(Links!Y17^2+'Off-Ramp'!Q17^2)/(Links!Y17+'Off-Ramp'!Q17)</f>
        <v>#DIV/0!</v>
      </c>
      <c r="BW17" s="61" t="e">
        <f>(Links!Z17^2+'Off-Ramp'!R17^2)/(Links!Z17+'Off-Ramp'!R17)</f>
        <v>#DIV/0!</v>
      </c>
      <c r="BX17" s="61" t="e">
        <f>(Links!AA17+'Off-Ramp'!S17)/(Links!AA17^2+'Off-Ramp'!S17^2)</f>
        <v>#DIV/0!</v>
      </c>
      <c r="BY17" s="61" t="e">
        <f>(Links!AB17^2+'Off-Ramp'!T17^2)/(Links!AB17+'Off-Ramp'!T17)</f>
        <v>#DIV/0!</v>
      </c>
      <c r="BZ17" s="61" t="e">
        <f>Links!AC17</f>
        <v>#DIV/0!</v>
      </c>
      <c r="CA17" s="61" t="e">
        <f>(Links!AD17^2+'Off-Ramp'!U17^2)/(Links!AD17+'Off-Ramp'!U17)</f>
        <v>#DIV/0!</v>
      </c>
    </row>
    <row r="18" spans="1:79" x14ac:dyDescent="0.15">
      <c r="A18" s="59">
        <v>16</v>
      </c>
      <c r="B18" s="60" t="e">
        <f t="shared" si="2"/>
        <v>#DIV/0!</v>
      </c>
      <c r="C18" s="60" t="e">
        <f t="shared" si="3"/>
        <v>#DIV/0!</v>
      </c>
      <c r="D18" s="60" t="e">
        <f t="shared" si="4"/>
        <v>#DIV/0!</v>
      </c>
      <c r="E18" s="60" t="e">
        <f t="shared" si="5"/>
        <v>#DIV/0!</v>
      </c>
      <c r="F18" s="60" t="e">
        <f t="shared" si="6"/>
        <v>#DIV/0!</v>
      </c>
      <c r="G18" s="60" t="e">
        <f t="shared" si="7"/>
        <v>#DIV/0!</v>
      </c>
      <c r="H18" s="60" t="e">
        <f t="shared" si="8"/>
        <v>#DIV/0!</v>
      </c>
      <c r="I18" s="60" t="e">
        <f t="shared" si="9"/>
        <v>#DIV/0!</v>
      </c>
      <c r="J18" s="60" t="e">
        <f t="shared" si="10"/>
        <v>#DIV/0!</v>
      </c>
      <c r="K18" s="60" t="e">
        <f t="shared" si="11"/>
        <v>#DIV/0!</v>
      </c>
      <c r="L18" s="60" t="e">
        <f t="shared" si="12"/>
        <v>#DIV/0!</v>
      </c>
      <c r="M18" s="60" t="e">
        <f t="shared" si="13"/>
        <v>#DIV/0!</v>
      </c>
      <c r="N18" s="60" t="e">
        <f t="shared" si="14"/>
        <v>#DIV/0!</v>
      </c>
      <c r="O18" s="61" t="e">
        <f>Links!B18</f>
        <v>#DIV/0!</v>
      </c>
      <c r="P18" s="61" t="e">
        <f>Links!C18+'On-Ramps'!AC18</f>
        <v>#DIV/0!</v>
      </c>
      <c r="Q18" s="61" t="e">
        <f>Links!D18</f>
        <v>#DIV/0!</v>
      </c>
      <c r="R18" s="61" t="e">
        <f>Links!E18+'On-Ramps'!AD18</f>
        <v>#DIV/0!</v>
      </c>
      <c r="S18" s="61" t="e">
        <f>Links!F18+'On-Ramps'!AE18</f>
        <v>#DIV/0!</v>
      </c>
      <c r="T18" s="61" t="e">
        <f>Links!G18+'On-Ramps'!AF18</f>
        <v>#DIV/0!</v>
      </c>
      <c r="U18" s="61" t="e">
        <f>Links!H18+'On-Ramps'!AG18</f>
        <v>#DIV/0!</v>
      </c>
      <c r="V18" s="61" t="e">
        <f>Links!J18+'On-Ramps'!AH18</f>
        <v>#DIV/0!</v>
      </c>
      <c r="W18" s="61" t="e">
        <f>Links!K18+'On-Ramps'!AI18</f>
        <v>#DIV/0!</v>
      </c>
      <c r="X18" s="61" t="e">
        <f>Links!L18+'On-Ramps'!AJ18</f>
        <v>#DIV/0!</v>
      </c>
      <c r="Y18" s="61" t="e">
        <f>Links!M18</f>
        <v>#DIV/0!</v>
      </c>
      <c r="Z18" s="61" t="e">
        <f>Links!N18+'On-Ramps'!AK18</f>
        <v>#DIV/0!</v>
      </c>
      <c r="AA18" s="61" t="e">
        <f>Links!O18</f>
        <v>#DIV/0!</v>
      </c>
      <c r="AB18" s="60" t="e">
        <f t="shared" si="17"/>
        <v>#DIV/0!</v>
      </c>
      <c r="AC18" s="60" t="e">
        <f t="shared" si="18"/>
        <v>#DIV/0!</v>
      </c>
      <c r="AD18" s="60" t="e">
        <f t="shared" si="19"/>
        <v>#DIV/0!</v>
      </c>
      <c r="AE18" s="60" t="e">
        <f t="shared" si="20"/>
        <v>#DIV/0!</v>
      </c>
      <c r="AF18" s="60" t="e">
        <f t="shared" si="21"/>
        <v>#DIV/0!</v>
      </c>
      <c r="AG18" s="60" t="e">
        <f t="shared" si="22"/>
        <v>#DIV/0!</v>
      </c>
      <c r="AH18" s="60" t="e">
        <f t="shared" si="23"/>
        <v>#DIV/0!</v>
      </c>
      <c r="AI18" s="60" t="e">
        <f t="shared" si="24"/>
        <v>#DIV/0!</v>
      </c>
      <c r="AJ18" s="60" t="e">
        <f t="shared" si="25"/>
        <v>#DIV/0!</v>
      </c>
      <c r="AK18" s="60" t="e">
        <f t="shared" si="26"/>
        <v>#DIV/0!</v>
      </c>
      <c r="AL18" s="60" t="e">
        <f t="shared" si="27"/>
        <v>#DIV/0!</v>
      </c>
      <c r="AM18" s="60" t="e">
        <f t="shared" si="28"/>
        <v>#DIV/0!</v>
      </c>
      <c r="AN18" s="60" t="e">
        <f t="shared" si="15"/>
        <v>#DIV/0!</v>
      </c>
      <c r="AO18" s="61" t="e">
        <f t="shared" si="29"/>
        <v>#DIV/0!</v>
      </c>
      <c r="AP18" s="61" t="e">
        <f t="shared" si="16"/>
        <v>#DIV/0!</v>
      </c>
      <c r="AQ18" s="61" t="e">
        <f t="shared" si="16"/>
        <v>#DIV/0!</v>
      </c>
      <c r="AR18" s="61" t="e">
        <f t="shared" si="16"/>
        <v>#DIV/0!</v>
      </c>
      <c r="AS18" s="61" t="e">
        <f t="shared" si="16"/>
        <v>#DIV/0!</v>
      </c>
      <c r="AT18" s="61" t="e">
        <f t="shared" si="16"/>
        <v>#DIV/0!</v>
      </c>
      <c r="AU18" s="61" t="e">
        <f t="shared" si="16"/>
        <v>#DIV/0!</v>
      </c>
      <c r="AV18" s="61" t="e">
        <f t="shared" si="16"/>
        <v>#DIV/0!</v>
      </c>
      <c r="AW18" s="61" t="e">
        <f t="shared" si="16"/>
        <v>#DIV/0!</v>
      </c>
      <c r="AX18" s="61" t="e">
        <f t="shared" si="16"/>
        <v>#DIV/0!</v>
      </c>
      <c r="AY18" s="61" t="e">
        <f t="shared" si="16"/>
        <v>#DIV/0!</v>
      </c>
      <c r="AZ18" s="61" t="e">
        <f t="shared" si="16"/>
        <v>#DIV/0!</v>
      </c>
      <c r="BA18" s="61" t="e">
        <f t="shared" si="16"/>
        <v>#DIV/0!</v>
      </c>
      <c r="BB18" s="60" t="e">
        <f>Links!AF18</f>
        <v>#DIV/0!</v>
      </c>
      <c r="BC18" s="60" t="e">
        <f>(Links!AG18*Links!C18+'On-Ramps'!AC18*'On-Ramps'!CE18)/('On-Ramps'!AC18+Links!C18)</f>
        <v>#DIV/0!</v>
      </c>
      <c r="BD18" s="60" t="e">
        <f>Links!AH18</f>
        <v>#DIV/0!</v>
      </c>
      <c r="BE18" s="60" t="e">
        <f>(Links!AI18*Links!E18+'On-Ramps'!AD18*'On-Ramps'!CF17)/('On-Ramps'!AD18+Links!E18)</f>
        <v>#DIV/0!</v>
      </c>
      <c r="BF18" s="60" t="e">
        <f>(Links!F18*Links!AJ18+'On-Ramps'!AE18*'On-Ramps'!CG18)/('On-Ramps'!AE18+Links!F18)</f>
        <v>#DIV/0!</v>
      </c>
      <c r="BG18" s="60" t="e">
        <f>(Links!G18*Links!AK18+'On-Ramps'!AF18*'On-Ramps'!CH18)/('On-Ramps'!AF18+Links!G18)</f>
        <v>#DIV/0!</v>
      </c>
      <c r="BH18" s="60" t="e">
        <f>(Links!H18*Links!AL18+'On-Ramps'!AG18*'On-Ramps'!CI18)/('On-Ramps'!AG18+Links!H18)</f>
        <v>#DIV/0!</v>
      </c>
      <c r="BI18" s="60" t="e">
        <f>(Links!J18*Links!AN18+'On-Ramps'!AH18*'On-Ramps'!CJ18)/('On-Ramps'!AH18+Links!J18)</f>
        <v>#DIV/0!</v>
      </c>
      <c r="BJ18" s="60" t="e">
        <f>(Links!K18*Links!AO18+'On-Ramps'!AI18*'On-Ramps'!CK18)/('On-Ramps'!AI18+Links!K18)</f>
        <v>#DIV/0!</v>
      </c>
      <c r="BK18" s="60" t="e">
        <f>(Links!L18*Links!AP18+'On-Ramps'!AJ18*'On-Ramps'!CL18)/(Links!L18+'On-Ramps'!AJ18)</f>
        <v>#DIV/0!</v>
      </c>
      <c r="BL18" s="60" t="e">
        <f>Links!AQ18</f>
        <v>#DIV/0!</v>
      </c>
      <c r="BM18" s="60" t="e">
        <f>(Links!N18*Links!AR18+'On-Ramps'!AL18*'On-Ramps'!CM18)/(Links!N18+'On-Ramps'!AL18)</f>
        <v>#DIV/0!</v>
      </c>
      <c r="BN18" s="60" t="e">
        <f>Links!AS18</f>
        <v>#DIV/0!</v>
      </c>
      <c r="BO18" s="61" t="e">
        <f>(Links!R18^2+'Off-Ramp'!L18^2)/(Links!R18+'Off-Ramp'!L18)</f>
        <v>#DIV/0!</v>
      </c>
      <c r="BP18" s="61" t="e">
        <f>Links!S18</f>
        <v>#DIV/0!</v>
      </c>
      <c r="BQ18" s="61" t="e">
        <f>(Links!S18^2+'Off-Ramp'!C18^2)/(Links!S18+'Off-Ramp'!C18)</f>
        <v>#DIV/0!</v>
      </c>
      <c r="BR18" s="61" t="e">
        <f>Links!T18</f>
        <v>#DIV/0!</v>
      </c>
      <c r="BS18" s="61" t="e">
        <f>(Links!U18^2+'Off-Ramp'!N18^2)/(Links!U18+'Off-Ramp'!N18)</f>
        <v>#DIV/0!</v>
      </c>
      <c r="BT18" s="61" t="e">
        <f>(Links!V18^2+'Off-Ramp'!O18^2)/(Links!V18+'Off-Ramp'!O18)</f>
        <v>#DIV/0!</v>
      </c>
      <c r="BU18" s="61" t="e">
        <f>(Links!W18^2+'Off-Ramp'!P18^2)/(Links!W18+'Off-Ramp'!P18)</f>
        <v>#DIV/0!</v>
      </c>
      <c r="BV18" s="61" t="e">
        <f>(Links!Y18^2+'Off-Ramp'!Q18^2)/(Links!Y18+'Off-Ramp'!Q18)</f>
        <v>#DIV/0!</v>
      </c>
      <c r="BW18" s="61" t="e">
        <f>(Links!Z18^2+'Off-Ramp'!R18^2)/(Links!Z18+'Off-Ramp'!R18)</f>
        <v>#DIV/0!</v>
      </c>
      <c r="BX18" s="61" t="e">
        <f>(Links!AA18+'Off-Ramp'!S18)/(Links!AA18^2+'Off-Ramp'!S18^2)</f>
        <v>#DIV/0!</v>
      </c>
      <c r="BY18" s="61" t="e">
        <f>(Links!AB18^2+'Off-Ramp'!T18^2)/(Links!AB18+'Off-Ramp'!T18)</f>
        <v>#DIV/0!</v>
      </c>
      <c r="BZ18" s="61" t="e">
        <f>Links!AC18</f>
        <v>#DIV/0!</v>
      </c>
      <c r="CA18" s="61" t="e">
        <f>(Links!AD18^2+'Off-Ramp'!U18^2)/(Links!AD18+'Off-Ramp'!U18)</f>
        <v>#DIV/0!</v>
      </c>
    </row>
    <row r="19" spans="1:79" x14ac:dyDescent="0.15">
      <c r="A19" s="59">
        <v>17</v>
      </c>
      <c r="B19" s="60" t="e">
        <f t="shared" si="2"/>
        <v>#DIV/0!</v>
      </c>
      <c r="C19" s="60" t="e">
        <f t="shared" si="3"/>
        <v>#DIV/0!</v>
      </c>
      <c r="D19" s="60" t="e">
        <f t="shared" si="4"/>
        <v>#DIV/0!</v>
      </c>
      <c r="E19" s="60" t="e">
        <f t="shared" si="5"/>
        <v>#DIV/0!</v>
      </c>
      <c r="F19" s="60" t="e">
        <f t="shared" si="6"/>
        <v>#DIV/0!</v>
      </c>
      <c r="G19" s="60" t="e">
        <f t="shared" si="7"/>
        <v>#DIV/0!</v>
      </c>
      <c r="H19" s="60" t="e">
        <f t="shared" si="8"/>
        <v>#DIV/0!</v>
      </c>
      <c r="I19" s="60" t="e">
        <f t="shared" si="9"/>
        <v>#DIV/0!</v>
      </c>
      <c r="J19" s="60" t="e">
        <f t="shared" si="10"/>
        <v>#DIV/0!</v>
      </c>
      <c r="K19" s="60" t="e">
        <f t="shared" si="11"/>
        <v>#DIV/0!</v>
      </c>
      <c r="L19" s="60" t="e">
        <f t="shared" si="12"/>
        <v>#DIV/0!</v>
      </c>
      <c r="M19" s="60" t="e">
        <f t="shared" si="13"/>
        <v>#DIV/0!</v>
      </c>
      <c r="N19" s="60" t="e">
        <f t="shared" si="14"/>
        <v>#DIV/0!</v>
      </c>
      <c r="O19" s="61" t="e">
        <f>Links!B19</f>
        <v>#DIV/0!</v>
      </c>
      <c r="P19" s="61" t="e">
        <f>Links!C19+'On-Ramps'!AC19</f>
        <v>#DIV/0!</v>
      </c>
      <c r="Q19" s="61" t="e">
        <f>Links!D19</f>
        <v>#DIV/0!</v>
      </c>
      <c r="R19" s="61" t="e">
        <f>Links!E19+'On-Ramps'!AD19</f>
        <v>#DIV/0!</v>
      </c>
      <c r="S19" s="61" t="e">
        <f>Links!F19+'On-Ramps'!AE19</f>
        <v>#DIV/0!</v>
      </c>
      <c r="T19" s="61" t="e">
        <f>Links!G19+'On-Ramps'!AF19</f>
        <v>#DIV/0!</v>
      </c>
      <c r="U19" s="61" t="e">
        <f>Links!H19+'On-Ramps'!AG19</f>
        <v>#DIV/0!</v>
      </c>
      <c r="V19" s="61" t="e">
        <f>Links!J19+'On-Ramps'!AH19</f>
        <v>#DIV/0!</v>
      </c>
      <c r="W19" s="61" t="e">
        <f>Links!K19+'On-Ramps'!AI19</f>
        <v>#DIV/0!</v>
      </c>
      <c r="X19" s="61" t="e">
        <f>Links!L19+'On-Ramps'!AJ19</f>
        <v>#DIV/0!</v>
      </c>
      <c r="Y19" s="61" t="e">
        <f>Links!M19</f>
        <v>#DIV/0!</v>
      </c>
      <c r="Z19" s="61" t="e">
        <f>Links!N19+'On-Ramps'!AK19</f>
        <v>#DIV/0!</v>
      </c>
      <c r="AA19" s="61" t="e">
        <f>Links!O19</f>
        <v>#DIV/0!</v>
      </c>
      <c r="AB19" s="60" t="e">
        <f t="shared" si="17"/>
        <v>#DIV/0!</v>
      </c>
      <c r="AC19" s="60" t="e">
        <f t="shared" si="18"/>
        <v>#DIV/0!</v>
      </c>
      <c r="AD19" s="60" t="e">
        <f t="shared" si="19"/>
        <v>#DIV/0!</v>
      </c>
      <c r="AE19" s="60" t="e">
        <f t="shared" si="20"/>
        <v>#DIV/0!</v>
      </c>
      <c r="AF19" s="60" t="e">
        <f t="shared" si="21"/>
        <v>#DIV/0!</v>
      </c>
      <c r="AG19" s="60" t="e">
        <f t="shared" si="22"/>
        <v>#DIV/0!</v>
      </c>
      <c r="AH19" s="60" t="e">
        <f t="shared" si="23"/>
        <v>#DIV/0!</v>
      </c>
      <c r="AI19" s="60" t="e">
        <f t="shared" si="24"/>
        <v>#DIV/0!</v>
      </c>
      <c r="AJ19" s="60" t="e">
        <f t="shared" si="25"/>
        <v>#DIV/0!</v>
      </c>
      <c r="AK19" s="60" t="e">
        <f t="shared" si="26"/>
        <v>#DIV/0!</v>
      </c>
      <c r="AL19" s="60" t="e">
        <f t="shared" si="27"/>
        <v>#DIV/0!</v>
      </c>
      <c r="AM19" s="60" t="e">
        <f t="shared" si="28"/>
        <v>#DIV/0!</v>
      </c>
      <c r="AN19" s="60" t="e">
        <f t="shared" si="15"/>
        <v>#DIV/0!</v>
      </c>
      <c r="AO19" s="61" t="e">
        <f t="shared" si="29"/>
        <v>#DIV/0!</v>
      </c>
      <c r="AP19" s="61" t="e">
        <f t="shared" si="16"/>
        <v>#DIV/0!</v>
      </c>
      <c r="AQ19" s="61" t="e">
        <f t="shared" si="16"/>
        <v>#DIV/0!</v>
      </c>
      <c r="AR19" s="61" t="e">
        <f t="shared" si="16"/>
        <v>#DIV/0!</v>
      </c>
      <c r="AS19" s="61" t="e">
        <f t="shared" si="16"/>
        <v>#DIV/0!</v>
      </c>
      <c r="AT19" s="61" t="e">
        <f t="shared" si="16"/>
        <v>#DIV/0!</v>
      </c>
      <c r="AU19" s="61" t="e">
        <f t="shared" si="16"/>
        <v>#DIV/0!</v>
      </c>
      <c r="AV19" s="61" t="e">
        <f t="shared" si="16"/>
        <v>#DIV/0!</v>
      </c>
      <c r="AW19" s="61" t="e">
        <f t="shared" si="16"/>
        <v>#DIV/0!</v>
      </c>
      <c r="AX19" s="61" t="e">
        <f t="shared" si="16"/>
        <v>#DIV/0!</v>
      </c>
      <c r="AY19" s="61" t="e">
        <f t="shared" si="16"/>
        <v>#DIV/0!</v>
      </c>
      <c r="AZ19" s="61" t="e">
        <f t="shared" si="16"/>
        <v>#DIV/0!</v>
      </c>
      <c r="BA19" s="61" t="e">
        <f t="shared" si="16"/>
        <v>#DIV/0!</v>
      </c>
      <c r="BB19" s="60" t="e">
        <f>Links!AF19</f>
        <v>#DIV/0!</v>
      </c>
      <c r="BC19" s="60" t="e">
        <f>(Links!AG19*Links!C19+'On-Ramps'!AC19*'On-Ramps'!CE19)/('On-Ramps'!AC19+Links!C19)</f>
        <v>#DIV/0!</v>
      </c>
      <c r="BD19" s="60" t="e">
        <f>Links!AH19</f>
        <v>#DIV/0!</v>
      </c>
      <c r="BE19" s="60" t="e">
        <f>(Links!AI19*Links!E19+'On-Ramps'!AD19*'On-Ramps'!CF18)/('On-Ramps'!AD19+Links!E19)</f>
        <v>#DIV/0!</v>
      </c>
      <c r="BF19" s="60" t="e">
        <f>(Links!F19*Links!AJ19+'On-Ramps'!AE19*'On-Ramps'!CG19)/('On-Ramps'!AE19+Links!F19)</f>
        <v>#DIV/0!</v>
      </c>
      <c r="BG19" s="60" t="e">
        <f>(Links!G19*Links!AK19+'On-Ramps'!AF19*'On-Ramps'!CH19)/('On-Ramps'!AF19+Links!G19)</f>
        <v>#DIV/0!</v>
      </c>
      <c r="BH19" s="60" t="e">
        <f>(Links!H19*Links!AL19+'On-Ramps'!AG19*'On-Ramps'!CI19)/('On-Ramps'!AG19+Links!H19)</f>
        <v>#DIV/0!</v>
      </c>
      <c r="BI19" s="60" t="e">
        <f>(Links!J19*Links!AN19+'On-Ramps'!AH19*'On-Ramps'!CJ19)/('On-Ramps'!AH19+Links!J19)</f>
        <v>#DIV/0!</v>
      </c>
      <c r="BJ19" s="60" t="e">
        <f>(Links!K19*Links!AO19+'On-Ramps'!AI19*'On-Ramps'!CK19)/('On-Ramps'!AI19+Links!K19)</f>
        <v>#DIV/0!</v>
      </c>
      <c r="BK19" s="60" t="e">
        <f>(Links!L19*Links!AP19+'On-Ramps'!AJ19*'On-Ramps'!CL19)/(Links!L19+'On-Ramps'!AJ19)</f>
        <v>#DIV/0!</v>
      </c>
      <c r="BL19" s="60" t="e">
        <f>Links!AQ19</f>
        <v>#DIV/0!</v>
      </c>
      <c r="BM19" s="60" t="e">
        <f>(Links!N19*Links!AR19+'On-Ramps'!AL19*'On-Ramps'!CM19)/(Links!N19+'On-Ramps'!AL19)</f>
        <v>#DIV/0!</v>
      </c>
      <c r="BN19" s="60" t="e">
        <f>Links!AS19</f>
        <v>#DIV/0!</v>
      </c>
      <c r="BO19" s="61" t="e">
        <f>(Links!R19^2+'Off-Ramp'!L19^2)/(Links!R19+'Off-Ramp'!L19)</f>
        <v>#DIV/0!</v>
      </c>
      <c r="BP19" s="61" t="e">
        <f>Links!S19</f>
        <v>#DIV/0!</v>
      </c>
      <c r="BQ19" s="61" t="e">
        <f>(Links!S19^2+'Off-Ramp'!C19^2)/(Links!S19+'Off-Ramp'!C19)</f>
        <v>#DIV/0!</v>
      </c>
      <c r="BR19" s="61" t="e">
        <f>Links!T19</f>
        <v>#DIV/0!</v>
      </c>
      <c r="BS19" s="61" t="e">
        <f>(Links!U19^2+'Off-Ramp'!N19^2)/(Links!U19+'Off-Ramp'!N19)</f>
        <v>#DIV/0!</v>
      </c>
      <c r="BT19" s="61" t="e">
        <f>(Links!V19^2+'Off-Ramp'!O19^2)/(Links!V19+'Off-Ramp'!O19)</f>
        <v>#DIV/0!</v>
      </c>
      <c r="BU19" s="61" t="e">
        <f>(Links!W19^2+'Off-Ramp'!P19^2)/(Links!W19+'Off-Ramp'!P19)</f>
        <v>#DIV/0!</v>
      </c>
      <c r="BV19" s="61" t="e">
        <f>(Links!Y19^2+'Off-Ramp'!Q19^2)/(Links!Y19+'Off-Ramp'!Q19)</f>
        <v>#DIV/0!</v>
      </c>
      <c r="BW19" s="61" t="e">
        <f>(Links!Z19^2+'Off-Ramp'!R19^2)/(Links!Z19+'Off-Ramp'!R19)</f>
        <v>#DIV/0!</v>
      </c>
      <c r="BX19" s="61" t="e">
        <f>(Links!AA19+'Off-Ramp'!S19)/(Links!AA19^2+'Off-Ramp'!S19^2)</f>
        <v>#DIV/0!</v>
      </c>
      <c r="BY19" s="61" t="e">
        <f>(Links!AB19^2+'Off-Ramp'!T19^2)/(Links!AB19+'Off-Ramp'!T19)</f>
        <v>#DIV/0!</v>
      </c>
      <c r="BZ19" s="61" t="e">
        <f>Links!AC19</f>
        <v>#DIV/0!</v>
      </c>
      <c r="CA19" s="61" t="e">
        <f>(Links!AD19^2+'Off-Ramp'!U19^2)/(Links!AD19+'Off-Ramp'!U19)</f>
        <v>#DIV/0!</v>
      </c>
    </row>
    <row r="20" spans="1:79" x14ac:dyDescent="0.15">
      <c r="A20" s="59">
        <v>18</v>
      </c>
      <c r="B20" s="60" t="e">
        <f t="shared" si="2"/>
        <v>#DIV/0!</v>
      </c>
      <c r="C20" s="60" t="e">
        <f t="shared" si="3"/>
        <v>#DIV/0!</v>
      </c>
      <c r="D20" s="60" t="e">
        <f t="shared" si="4"/>
        <v>#DIV/0!</v>
      </c>
      <c r="E20" s="60" t="e">
        <f t="shared" si="5"/>
        <v>#DIV/0!</v>
      </c>
      <c r="F20" s="60" t="e">
        <f t="shared" si="6"/>
        <v>#DIV/0!</v>
      </c>
      <c r="G20" s="60" t="e">
        <f t="shared" si="7"/>
        <v>#DIV/0!</v>
      </c>
      <c r="H20" s="60" t="e">
        <f t="shared" si="8"/>
        <v>#DIV/0!</v>
      </c>
      <c r="I20" s="60" t="e">
        <f t="shared" si="9"/>
        <v>#DIV/0!</v>
      </c>
      <c r="J20" s="60" t="e">
        <f t="shared" si="10"/>
        <v>#DIV/0!</v>
      </c>
      <c r="K20" s="60" t="e">
        <f t="shared" si="11"/>
        <v>#DIV/0!</v>
      </c>
      <c r="L20" s="60" t="e">
        <f t="shared" si="12"/>
        <v>#DIV/0!</v>
      </c>
      <c r="M20" s="60" t="e">
        <f t="shared" si="13"/>
        <v>#DIV/0!</v>
      </c>
      <c r="N20" s="60" t="e">
        <f t="shared" si="14"/>
        <v>#DIV/0!</v>
      </c>
      <c r="O20" s="61" t="e">
        <f>Links!B20</f>
        <v>#DIV/0!</v>
      </c>
      <c r="P20" s="61" t="e">
        <f>Links!C20+'On-Ramps'!AC20</f>
        <v>#DIV/0!</v>
      </c>
      <c r="Q20" s="61" t="e">
        <f>Links!D20</f>
        <v>#DIV/0!</v>
      </c>
      <c r="R20" s="61" t="e">
        <f>Links!E20+'On-Ramps'!AD20</f>
        <v>#DIV/0!</v>
      </c>
      <c r="S20" s="61" t="e">
        <f>Links!F20+'On-Ramps'!AE20</f>
        <v>#DIV/0!</v>
      </c>
      <c r="T20" s="61" t="e">
        <f>Links!G20+'On-Ramps'!AF20</f>
        <v>#DIV/0!</v>
      </c>
      <c r="U20" s="61" t="e">
        <f>Links!H20+'On-Ramps'!AG20</f>
        <v>#DIV/0!</v>
      </c>
      <c r="V20" s="61" t="e">
        <f>Links!J20+'On-Ramps'!AH20</f>
        <v>#DIV/0!</v>
      </c>
      <c r="W20" s="61" t="e">
        <f>Links!K20+'On-Ramps'!AI20</f>
        <v>#DIV/0!</v>
      </c>
      <c r="X20" s="61" t="e">
        <f>Links!L20+'On-Ramps'!AJ20</f>
        <v>#DIV/0!</v>
      </c>
      <c r="Y20" s="61" t="e">
        <f>Links!M20</f>
        <v>#DIV/0!</v>
      </c>
      <c r="Z20" s="61" t="e">
        <f>Links!N20+'On-Ramps'!AK20</f>
        <v>#DIV/0!</v>
      </c>
      <c r="AA20" s="61" t="e">
        <f>Links!O20</f>
        <v>#DIV/0!</v>
      </c>
      <c r="AB20" s="60" t="e">
        <f t="shared" si="17"/>
        <v>#DIV/0!</v>
      </c>
      <c r="AC20" s="60" t="e">
        <f t="shared" si="18"/>
        <v>#DIV/0!</v>
      </c>
      <c r="AD20" s="60" t="e">
        <f t="shared" si="19"/>
        <v>#DIV/0!</v>
      </c>
      <c r="AE20" s="60" t="e">
        <f t="shared" si="20"/>
        <v>#DIV/0!</v>
      </c>
      <c r="AF20" s="60" t="e">
        <f t="shared" si="21"/>
        <v>#DIV/0!</v>
      </c>
      <c r="AG20" s="60" t="e">
        <f t="shared" si="22"/>
        <v>#DIV/0!</v>
      </c>
      <c r="AH20" s="60" t="e">
        <f t="shared" si="23"/>
        <v>#DIV/0!</v>
      </c>
      <c r="AI20" s="60" t="e">
        <f t="shared" si="24"/>
        <v>#DIV/0!</v>
      </c>
      <c r="AJ20" s="60" t="e">
        <f t="shared" si="25"/>
        <v>#DIV/0!</v>
      </c>
      <c r="AK20" s="60" t="e">
        <f t="shared" si="26"/>
        <v>#DIV/0!</v>
      </c>
      <c r="AL20" s="60" t="e">
        <f t="shared" si="27"/>
        <v>#DIV/0!</v>
      </c>
      <c r="AM20" s="60" t="e">
        <f t="shared" si="28"/>
        <v>#DIV/0!</v>
      </c>
      <c r="AN20" s="60" t="e">
        <f t="shared" ref="AN20:AN83" si="30">BA20*(1-BA20)*AA20</f>
        <v>#DIV/0!</v>
      </c>
      <c r="AO20" s="61" t="e">
        <f t="shared" si="29"/>
        <v>#DIV/0!</v>
      </c>
      <c r="AP20" s="61" t="e">
        <f t="shared" si="29"/>
        <v>#DIV/0!</v>
      </c>
      <c r="AQ20" s="61" t="e">
        <f t="shared" si="29"/>
        <v>#DIV/0!</v>
      </c>
      <c r="AR20" s="61" t="e">
        <f t="shared" si="29"/>
        <v>#DIV/0!</v>
      </c>
      <c r="AS20" s="61" t="e">
        <f t="shared" si="29"/>
        <v>#DIV/0!</v>
      </c>
      <c r="AT20" s="61" t="e">
        <f t="shared" si="29"/>
        <v>#DIV/0!</v>
      </c>
      <c r="AU20" s="61" t="e">
        <f t="shared" si="29"/>
        <v>#DIV/0!</v>
      </c>
      <c r="AV20" s="61" t="e">
        <f t="shared" si="29"/>
        <v>#DIV/0!</v>
      </c>
      <c r="AW20" s="61" t="e">
        <f t="shared" si="29"/>
        <v>#DIV/0!</v>
      </c>
      <c r="AX20" s="61" t="e">
        <f t="shared" si="29"/>
        <v>#DIV/0!</v>
      </c>
      <c r="AY20" s="61" t="e">
        <f t="shared" si="29"/>
        <v>#DIV/0!</v>
      </c>
      <c r="AZ20" s="61" t="e">
        <f t="shared" si="29"/>
        <v>#DIV/0!</v>
      </c>
      <c r="BA20" s="61" t="e">
        <f t="shared" si="29"/>
        <v>#DIV/0!</v>
      </c>
      <c r="BB20" s="60" t="e">
        <f>Links!AF20</f>
        <v>#DIV/0!</v>
      </c>
      <c r="BC20" s="60" t="e">
        <f>(Links!AG20*Links!C20+'On-Ramps'!AC20*'On-Ramps'!CE20)/('On-Ramps'!AC20+Links!C20)</f>
        <v>#DIV/0!</v>
      </c>
      <c r="BD20" s="60" t="e">
        <f>Links!AH20</f>
        <v>#DIV/0!</v>
      </c>
      <c r="BE20" s="60" t="e">
        <f>(Links!AI20*Links!E20+'On-Ramps'!AD20*'On-Ramps'!CF19)/('On-Ramps'!AD20+Links!E20)</f>
        <v>#DIV/0!</v>
      </c>
      <c r="BF20" s="60" t="e">
        <f>(Links!F20*Links!AJ20+'On-Ramps'!AE20*'On-Ramps'!CG20)/('On-Ramps'!AE20+Links!F20)</f>
        <v>#DIV/0!</v>
      </c>
      <c r="BG20" s="60" t="e">
        <f>(Links!G20*Links!AK20+'On-Ramps'!AF20*'On-Ramps'!CH20)/('On-Ramps'!AF20+Links!G20)</f>
        <v>#DIV/0!</v>
      </c>
      <c r="BH20" s="60" t="e">
        <f>(Links!H20*Links!AL20+'On-Ramps'!AG20*'On-Ramps'!CI20)/('On-Ramps'!AG20+Links!H20)</f>
        <v>#DIV/0!</v>
      </c>
      <c r="BI20" s="60" t="e">
        <f>(Links!J20*Links!AN20+'On-Ramps'!AH20*'On-Ramps'!CJ20)/('On-Ramps'!AH20+Links!J20)</f>
        <v>#DIV/0!</v>
      </c>
      <c r="BJ20" s="60" t="e">
        <f>(Links!K20*Links!AO20+'On-Ramps'!AI20*'On-Ramps'!CK20)/('On-Ramps'!AI20+Links!K20)</f>
        <v>#DIV/0!</v>
      </c>
      <c r="BK20" s="60" t="e">
        <f>(Links!L20*Links!AP20+'On-Ramps'!AJ20*'On-Ramps'!CL20)/(Links!L20+'On-Ramps'!AJ20)</f>
        <v>#DIV/0!</v>
      </c>
      <c r="BL20" s="60" t="e">
        <f>Links!AQ20</f>
        <v>#DIV/0!</v>
      </c>
      <c r="BM20" s="60" t="e">
        <f>(Links!N20*Links!AR20+'On-Ramps'!AL20*'On-Ramps'!CM20)/(Links!N20+'On-Ramps'!AL20)</f>
        <v>#DIV/0!</v>
      </c>
      <c r="BN20" s="60" t="e">
        <f>Links!AS20</f>
        <v>#DIV/0!</v>
      </c>
      <c r="BO20" s="61" t="e">
        <f>(Links!R20^2+'Off-Ramp'!L20^2)/(Links!R20+'Off-Ramp'!L20)</f>
        <v>#DIV/0!</v>
      </c>
      <c r="BP20" s="61" t="e">
        <f>Links!S20</f>
        <v>#DIV/0!</v>
      </c>
      <c r="BQ20" s="61" t="e">
        <f>(Links!S20^2+'Off-Ramp'!C20^2)/(Links!S20+'Off-Ramp'!C20)</f>
        <v>#DIV/0!</v>
      </c>
      <c r="BR20" s="61" t="e">
        <f>Links!T20</f>
        <v>#DIV/0!</v>
      </c>
      <c r="BS20" s="61" t="e">
        <f>(Links!U20^2+'Off-Ramp'!N20^2)/(Links!U20+'Off-Ramp'!N20)</f>
        <v>#DIV/0!</v>
      </c>
      <c r="BT20" s="61" t="e">
        <f>(Links!V20^2+'Off-Ramp'!O20^2)/(Links!V20+'Off-Ramp'!O20)</f>
        <v>#DIV/0!</v>
      </c>
      <c r="BU20" s="61" t="e">
        <f>(Links!W20^2+'Off-Ramp'!P20^2)/(Links!W20+'Off-Ramp'!P20)</f>
        <v>#DIV/0!</v>
      </c>
      <c r="BV20" s="61" t="e">
        <f>(Links!Y20^2+'Off-Ramp'!Q20^2)/(Links!Y20+'Off-Ramp'!Q20)</f>
        <v>#DIV/0!</v>
      </c>
      <c r="BW20" s="61" t="e">
        <f>(Links!Z20^2+'Off-Ramp'!R20^2)/(Links!Z20+'Off-Ramp'!R20)</f>
        <v>#DIV/0!</v>
      </c>
      <c r="BX20" s="61" t="e">
        <f>(Links!AA20+'Off-Ramp'!S20)/(Links!AA20^2+'Off-Ramp'!S20^2)</f>
        <v>#DIV/0!</v>
      </c>
      <c r="BY20" s="61" t="e">
        <f>(Links!AB20^2+'Off-Ramp'!T20^2)/(Links!AB20+'Off-Ramp'!T20)</f>
        <v>#DIV/0!</v>
      </c>
      <c r="BZ20" s="61" t="e">
        <f>Links!AC20</f>
        <v>#DIV/0!</v>
      </c>
      <c r="CA20" s="61" t="e">
        <f>(Links!AD20^2+'Off-Ramp'!U20^2)/(Links!AD20+'Off-Ramp'!U20)</f>
        <v>#DIV/0!</v>
      </c>
    </row>
    <row r="21" spans="1:79" x14ac:dyDescent="0.15">
      <c r="A21" s="59">
        <v>19</v>
      </c>
      <c r="B21" s="60" t="e">
        <f t="shared" si="2"/>
        <v>#DIV/0!</v>
      </c>
      <c r="C21" s="60" t="e">
        <f t="shared" si="3"/>
        <v>#DIV/0!</v>
      </c>
      <c r="D21" s="60" t="e">
        <f t="shared" si="4"/>
        <v>#DIV/0!</v>
      </c>
      <c r="E21" s="60" t="e">
        <f t="shared" si="5"/>
        <v>#DIV/0!</v>
      </c>
      <c r="F21" s="60" t="e">
        <f t="shared" si="6"/>
        <v>#DIV/0!</v>
      </c>
      <c r="G21" s="60" t="e">
        <f t="shared" si="7"/>
        <v>#DIV/0!</v>
      </c>
      <c r="H21" s="60" t="e">
        <f t="shared" si="8"/>
        <v>#DIV/0!</v>
      </c>
      <c r="I21" s="60" t="e">
        <f t="shared" si="9"/>
        <v>#DIV/0!</v>
      </c>
      <c r="J21" s="60" t="e">
        <f t="shared" si="10"/>
        <v>#DIV/0!</v>
      </c>
      <c r="K21" s="60" t="e">
        <f t="shared" si="11"/>
        <v>#DIV/0!</v>
      </c>
      <c r="L21" s="60" t="e">
        <f t="shared" si="12"/>
        <v>#DIV/0!</v>
      </c>
      <c r="M21" s="60" t="e">
        <f t="shared" si="13"/>
        <v>#DIV/0!</v>
      </c>
      <c r="N21" s="60" t="e">
        <f t="shared" si="14"/>
        <v>#DIV/0!</v>
      </c>
      <c r="O21" s="61" t="e">
        <f>Links!B21</f>
        <v>#DIV/0!</v>
      </c>
      <c r="P21" s="61" t="e">
        <f>Links!C21+'On-Ramps'!AC21</f>
        <v>#DIV/0!</v>
      </c>
      <c r="Q21" s="61" t="e">
        <f>Links!D21</f>
        <v>#DIV/0!</v>
      </c>
      <c r="R21" s="61" t="e">
        <f>Links!E21+'On-Ramps'!AD21</f>
        <v>#DIV/0!</v>
      </c>
      <c r="S21" s="61" t="e">
        <f>Links!F21+'On-Ramps'!AE21</f>
        <v>#DIV/0!</v>
      </c>
      <c r="T21" s="61" t="e">
        <f>Links!G21+'On-Ramps'!AF21</f>
        <v>#DIV/0!</v>
      </c>
      <c r="U21" s="61" t="e">
        <f>Links!H21+'On-Ramps'!AG21</f>
        <v>#DIV/0!</v>
      </c>
      <c r="V21" s="61" t="e">
        <f>Links!J21+'On-Ramps'!AH21</f>
        <v>#DIV/0!</v>
      </c>
      <c r="W21" s="61" t="e">
        <f>Links!K21+'On-Ramps'!AI21</f>
        <v>#DIV/0!</v>
      </c>
      <c r="X21" s="61" t="e">
        <f>Links!L21+'On-Ramps'!AJ21</f>
        <v>#DIV/0!</v>
      </c>
      <c r="Y21" s="61" t="e">
        <f>Links!M21</f>
        <v>#DIV/0!</v>
      </c>
      <c r="Z21" s="61" t="e">
        <f>Links!N21+'On-Ramps'!AK21</f>
        <v>#DIV/0!</v>
      </c>
      <c r="AA21" s="61" t="e">
        <f>Links!O21</f>
        <v>#DIV/0!</v>
      </c>
      <c r="AB21" s="60" t="e">
        <f t="shared" si="17"/>
        <v>#DIV/0!</v>
      </c>
      <c r="AC21" s="60" t="e">
        <f t="shared" si="18"/>
        <v>#DIV/0!</v>
      </c>
      <c r="AD21" s="60" t="e">
        <f t="shared" si="19"/>
        <v>#DIV/0!</v>
      </c>
      <c r="AE21" s="60" t="e">
        <f t="shared" si="20"/>
        <v>#DIV/0!</v>
      </c>
      <c r="AF21" s="60" t="e">
        <f t="shared" si="21"/>
        <v>#DIV/0!</v>
      </c>
      <c r="AG21" s="60" t="e">
        <f t="shared" si="22"/>
        <v>#DIV/0!</v>
      </c>
      <c r="AH21" s="60" t="e">
        <f t="shared" si="23"/>
        <v>#DIV/0!</v>
      </c>
      <c r="AI21" s="60" t="e">
        <f t="shared" si="24"/>
        <v>#DIV/0!</v>
      </c>
      <c r="AJ21" s="60" t="e">
        <f t="shared" si="25"/>
        <v>#DIV/0!</v>
      </c>
      <c r="AK21" s="60" t="e">
        <f t="shared" si="26"/>
        <v>#DIV/0!</v>
      </c>
      <c r="AL21" s="60" t="e">
        <f t="shared" si="27"/>
        <v>#DIV/0!</v>
      </c>
      <c r="AM21" s="60" t="e">
        <f t="shared" si="28"/>
        <v>#DIV/0!</v>
      </c>
      <c r="AN21" s="60" t="e">
        <f t="shared" si="30"/>
        <v>#DIV/0!</v>
      </c>
      <c r="AO21" s="61" t="e">
        <f t="shared" si="29"/>
        <v>#DIV/0!</v>
      </c>
      <c r="AP21" s="61" t="e">
        <f t="shared" si="29"/>
        <v>#DIV/0!</v>
      </c>
      <c r="AQ21" s="61" t="e">
        <f t="shared" si="29"/>
        <v>#DIV/0!</v>
      </c>
      <c r="AR21" s="61" t="e">
        <f t="shared" si="29"/>
        <v>#DIV/0!</v>
      </c>
      <c r="AS21" s="61" t="e">
        <f t="shared" si="29"/>
        <v>#DIV/0!</v>
      </c>
      <c r="AT21" s="61" t="e">
        <f t="shared" si="29"/>
        <v>#DIV/0!</v>
      </c>
      <c r="AU21" s="61" t="e">
        <f t="shared" si="29"/>
        <v>#DIV/0!</v>
      </c>
      <c r="AV21" s="61" t="e">
        <f t="shared" si="29"/>
        <v>#DIV/0!</v>
      </c>
      <c r="AW21" s="61" t="e">
        <f t="shared" si="29"/>
        <v>#DIV/0!</v>
      </c>
      <c r="AX21" s="61" t="e">
        <f t="shared" si="29"/>
        <v>#DIV/0!</v>
      </c>
      <c r="AY21" s="61" t="e">
        <f t="shared" si="29"/>
        <v>#DIV/0!</v>
      </c>
      <c r="AZ21" s="61" t="e">
        <f t="shared" si="29"/>
        <v>#DIV/0!</v>
      </c>
      <c r="BA21" s="61" t="e">
        <f t="shared" si="29"/>
        <v>#DIV/0!</v>
      </c>
      <c r="BB21" s="60" t="e">
        <f>Links!AF21</f>
        <v>#DIV/0!</v>
      </c>
      <c r="BC21" s="60" t="e">
        <f>(Links!AG21*Links!C21+'On-Ramps'!AC21*'On-Ramps'!CE21)/('On-Ramps'!AC21+Links!C21)</f>
        <v>#DIV/0!</v>
      </c>
      <c r="BD21" s="60" t="e">
        <f>Links!AH21</f>
        <v>#DIV/0!</v>
      </c>
      <c r="BE21" s="60" t="e">
        <f>(Links!AI21*Links!E21+'On-Ramps'!AD21*'On-Ramps'!CF20)/('On-Ramps'!AD21+Links!E21)</f>
        <v>#DIV/0!</v>
      </c>
      <c r="BF21" s="60" t="e">
        <f>(Links!F21*Links!AJ21+'On-Ramps'!AE21*'On-Ramps'!CG21)/('On-Ramps'!AE21+Links!F21)</f>
        <v>#DIV/0!</v>
      </c>
      <c r="BG21" s="60" t="e">
        <f>(Links!G21*Links!AK21+'On-Ramps'!AF21*'On-Ramps'!CH21)/('On-Ramps'!AF21+Links!G21)</f>
        <v>#DIV/0!</v>
      </c>
      <c r="BH21" s="60" t="e">
        <f>(Links!H21*Links!AL21+'On-Ramps'!AG21*'On-Ramps'!CI21)/('On-Ramps'!AG21+Links!H21)</f>
        <v>#DIV/0!</v>
      </c>
      <c r="BI21" s="60" t="e">
        <f>(Links!J21*Links!AN21+'On-Ramps'!AH21*'On-Ramps'!CJ21)/('On-Ramps'!AH21+Links!J21)</f>
        <v>#DIV/0!</v>
      </c>
      <c r="BJ21" s="60" t="e">
        <f>(Links!K21*Links!AO21+'On-Ramps'!AI21*'On-Ramps'!CK21)/('On-Ramps'!AI21+Links!K21)</f>
        <v>#DIV/0!</v>
      </c>
      <c r="BK21" s="60" t="e">
        <f>(Links!L21*Links!AP21+'On-Ramps'!AJ21*'On-Ramps'!CL21)/(Links!L21+'On-Ramps'!AJ21)</f>
        <v>#DIV/0!</v>
      </c>
      <c r="BL21" s="60" t="e">
        <f>Links!AQ21</f>
        <v>#DIV/0!</v>
      </c>
      <c r="BM21" s="60" t="e">
        <f>(Links!N21*Links!AR21+'On-Ramps'!AL21*'On-Ramps'!CM21)/(Links!N21+'On-Ramps'!AL21)</f>
        <v>#DIV/0!</v>
      </c>
      <c r="BN21" s="60" t="e">
        <f>Links!AS21</f>
        <v>#DIV/0!</v>
      </c>
      <c r="BO21" s="61" t="e">
        <f>(Links!R21^2+'Off-Ramp'!L21^2)/(Links!R21+'Off-Ramp'!L21)</f>
        <v>#DIV/0!</v>
      </c>
      <c r="BP21" s="61" t="e">
        <f>Links!S21</f>
        <v>#DIV/0!</v>
      </c>
      <c r="BQ21" s="61" t="e">
        <f>(Links!S21^2+'Off-Ramp'!C21^2)/(Links!S21+'Off-Ramp'!C21)</f>
        <v>#DIV/0!</v>
      </c>
      <c r="BR21" s="61" t="e">
        <f>Links!T21</f>
        <v>#DIV/0!</v>
      </c>
      <c r="BS21" s="61" t="e">
        <f>(Links!U21^2+'Off-Ramp'!N21^2)/(Links!U21+'Off-Ramp'!N21)</f>
        <v>#DIV/0!</v>
      </c>
      <c r="BT21" s="61" t="e">
        <f>(Links!V21^2+'Off-Ramp'!O21^2)/(Links!V21+'Off-Ramp'!O21)</f>
        <v>#DIV/0!</v>
      </c>
      <c r="BU21" s="61" t="e">
        <f>(Links!W21^2+'Off-Ramp'!P21^2)/(Links!W21+'Off-Ramp'!P21)</f>
        <v>#DIV/0!</v>
      </c>
      <c r="BV21" s="61" t="e">
        <f>(Links!Y21^2+'Off-Ramp'!Q21^2)/(Links!Y21+'Off-Ramp'!Q21)</f>
        <v>#DIV/0!</v>
      </c>
      <c r="BW21" s="61" t="e">
        <f>(Links!Z21^2+'Off-Ramp'!R21^2)/(Links!Z21+'Off-Ramp'!R21)</f>
        <v>#DIV/0!</v>
      </c>
      <c r="BX21" s="61" t="e">
        <f>(Links!AA21+'Off-Ramp'!S21)/(Links!AA21^2+'Off-Ramp'!S21^2)</f>
        <v>#DIV/0!</v>
      </c>
      <c r="BY21" s="61" t="e">
        <f>(Links!AB21^2+'Off-Ramp'!T21^2)/(Links!AB21+'Off-Ramp'!T21)</f>
        <v>#DIV/0!</v>
      </c>
      <c r="BZ21" s="61" t="e">
        <f>Links!AC21</f>
        <v>#DIV/0!</v>
      </c>
      <c r="CA21" s="61" t="e">
        <f>(Links!AD21^2+'Off-Ramp'!U21^2)/(Links!AD21+'Off-Ramp'!U21)</f>
        <v>#DIV/0!</v>
      </c>
    </row>
    <row r="22" spans="1:79" x14ac:dyDescent="0.15">
      <c r="A22" s="59">
        <v>20</v>
      </c>
      <c r="B22" s="60" t="e">
        <f t="shared" si="2"/>
        <v>#DIV/0!</v>
      </c>
      <c r="C22" s="60" t="e">
        <f t="shared" si="3"/>
        <v>#DIV/0!</v>
      </c>
      <c r="D22" s="60" t="e">
        <f t="shared" si="4"/>
        <v>#DIV/0!</v>
      </c>
      <c r="E22" s="60" t="e">
        <f t="shared" si="5"/>
        <v>#DIV/0!</v>
      </c>
      <c r="F22" s="60" t="e">
        <f t="shared" si="6"/>
        <v>#DIV/0!</v>
      </c>
      <c r="G22" s="60" t="e">
        <f t="shared" si="7"/>
        <v>#DIV/0!</v>
      </c>
      <c r="H22" s="60" t="e">
        <f t="shared" si="8"/>
        <v>#DIV/0!</v>
      </c>
      <c r="I22" s="60" t="e">
        <f t="shared" si="9"/>
        <v>#DIV/0!</v>
      </c>
      <c r="J22" s="60" t="e">
        <f t="shared" si="10"/>
        <v>#DIV/0!</v>
      </c>
      <c r="K22" s="60" t="e">
        <f t="shared" si="11"/>
        <v>#DIV/0!</v>
      </c>
      <c r="L22" s="60" t="e">
        <f t="shared" si="12"/>
        <v>#DIV/0!</v>
      </c>
      <c r="M22" s="60" t="e">
        <f t="shared" si="13"/>
        <v>#DIV/0!</v>
      </c>
      <c r="N22" s="60" t="e">
        <f t="shared" si="14"/>
        <v>#DIV/0!</v>
      </c>
      <c r="O22" s="61" t="e">
        <f>Links!B22</f>
        <v>#DIV/0!</v>
      </c>
      <c r="P22" s="61" t="e">
        <f>Links!C22+'On-Ramps'!AC22</f>
        <v>#DIV/0!</v>
      </c>
      <c r="Q22" s="61" t="e">
        <f>Links!D22</f>
        <v>#DIV/0!</v>
      </c>
      <c r="R22" s="61" t="e">
        <f>Links!E22+'On-Ramps'!AD22</f>
        <v>#DIV/0!</v>
      </c>
      <c r="S22" s="61" t="e">
        <f>Links!F22+'On-Ramps'!AE22</f>
        <v>#DIV/0!</v>
      </c>
      <c r="T22" s="61" t="e">
        <f>Links!G22+'On-Ramps'!AF22</f>
        <v>#DIV/0!</v>
      </c>
      <c r="U22" s="61" t="e">
        <f>Links!H22+'On-Ramps'!AG22</f>
        <v>#DIV/0!</v>
      </c>
      <c r="V22" s="61" t="e">
        <f>Links!J22+'On-Ramps'!AH22</f>
        <v>#DIV/0!</v>
      </c>
      <c r="W22" s="61" t="e">
        <f>Links!K22+'On-Ramps'!AI22</f>
        <v>#DIV/0!</v>
      </c>
      <c r="X22" s="61" t="e">
        <f>Links!L22+'On-Ramps'!AJ22</f>
        <v>#DIV/0!</v>
      </c>
      <c r="Y22" s="61" t="e">
        <f>Links!M22</f>
        <v>#DIV/0!</v>
      </c>
      <c r="Z22" s="61" t="e">
        <f>Links!N22+'On-Ramps'!AK22</f>
        <v>#DIV/0!</v>
      </c>
      <c r="AA22" s="61" t="e">
        <f>Links!O22</f>
        <v>#DIV/0!</v>
      </c>
      <c r="AB22" s="60" t="e">
        <f t="shared" si="17"/>
        <v>#DIV/0!</v>
      </c>
      <c r="AC22" s="60" t="e">
        <f t="shared" si="18"/>
        <v>#DIV/0!</v>
      </c>
      <c r="AD22" s="60" t="e">
        <f t="shared" si="19"/>
        <v>#DIV/0!</v>
      </c>
      <c r="AE22" s="60" t="e">
        <f t="shared" si="20"/>
        <v>#DIV/0!</v>
      </c>
      <c r="AF22" s="60" t="e">
        <f t="shared" si="21"/>
        <v>#DIV/0!</v>
      </c>
      <c r="AG22" s="60" t="e">
        <f t="shared" si="22"/>
        <v>#DIV/0!</v>
      </c>
      <c r="AH22" s="60" t="e">
        <f t="shared" si="23"/>
        <v>#DIV/0!</v>
      </c>
      <c r="AI22" s="60" t="e">
        <f t="shared" si="24"/>
        <v>#DIV/0!</v>
      </c>
      <c r="AJ22" s="60" t="e">
        <f t="shared" si="25"/>
        <v>#DIV/0!</v>
      </c>
      <c r="AK22" s="60" t="e">
        <f t="shared" si="26"/>
        <v>#DIV/0!</v>
      </c>
      <c r="AL22" s="60" t="e">
        <f t="shared" si="27"/>
        <v>#DIV/0!</v>
      </c>
      <c r="AM22" s="60" t="e">
        <f t="shared" si="28"/>
        <v>#DIV/0!</v>
      </c>
      <c r="AN22" s="60" t="e">
        <f t="shared" si="30"/>
        <v>#DIV/0!</v>
      </c>
      <c r="AO22" s="61" t="e">
        <f t="shared" si="29"/>
        <v>#DIV/0!</v>
      </c>
      <c r="AP22" s="61" t="e">
        <f t="shared" si="29"/>
        <v>#DIV/0!</v>
      </c>
      <c r="AQ22" s="61" t="e">
        <f t="shared" si="29"/>
        <v>#DIV/0!</v>
      </c>
      <c r="AR22" s="61" t="e">
        <f t="shared" si="29"/>
        <v>#DIV/0!</v>
      </c>
      <c r="AS22" s="61" t="e">
        <f t="shared" si="29"/>
        <v>#DIV/0!</v>
      </c>
      <c r="AT22" s="61" t="e">
        <f t="shared" si="29"/>
        <v>#DIV/0!</v>
      </c>
      <c r="AU22" s="61" t="e">
        <f t="shared" si="29"/>
        <v>#DIV/0!</v>
      </c>
      <c r="AV22" s="61" t="e">
        <f t="shared" si="29"/>
        <v>#DIV/0!</v>
      </c>
      <c r="AW22" s="61" t="e">
        <f t="shared" si="29"/>
        <v>#DIV/0!</v>
      </c>
      <c r="AX22" s="61" t="e">
        <f t="shared" si="29"/>
        <v>#DIV/0!</v>
      </c>
      <c r="AY22" s="61" t="e">
        <f t="shared" si="29"/>
        <v>#DIV/0!</v>
      </c>
      <c r="AZ22" s="61" t="e">
        <f t="shared" si="29"/>
        <v>#DIV/0!</v>
      </c>
      <c r="BA22" s="61" t="e">
        <f t="shared" si="29"/>
        <v>#DIV/0!</v>
      </c>
      <c r="BB22" s="60" t="e">
        <f>Links!AF22</f>
        <v>#DIV/0!</v>
      </c>
      <c r="BC22" s="60" t="e">
        <f>(Links!AG22*Links!C22+'On-Ramps'!AC22*'On-Ramps'!CE22)/('On-Ramps'!AC22+Links!C22)</f>
        <v>#DIV/0!</v>
      </c>
      <c r="BD22" s="60" t="e">
        <f>Links!AH22</f>
        <v>#DIV/0!</v>
      </c>
      <c r="BE22" s="60" t="e">
        <f>(Links!AI22*Links!E22+'On-Ramps'!AD22*'On-Ramps'!CF21)/('On-Ramps'!AD22+Links!E22)</f>
        <v>#DIV/0!</v>
      </c>
      <c r="BF22" s="60" t="e">
        <f>(Links!F22*Links!AJ22+'On-Ramps'!AE22*'On-Ramps'!CG22)/('On-Ramps'!AE22+Links!F22)</f>
        <v>#DIV/0!</v>
      </c>
      <c r="BG22" s="60" t="e">
        <f>(Links!G22*Links!AK22+'On-Ramps'!AF22*'On-Ramps'!CH22)/('On-Ramps'!AF22+Links!G22)</f>
        <v>#DIV/0!</v>
      </c>
      <c r="BH22" s="60" t="e">
        <f>(Links!H22*Links!AL22+'On-Ramps'!AG22*'On-Ramps'!CI22)/('On-Ramps'!AG22+Links!H22)</f>
        <v>#DIV/0!</v>
      </c>
      <c r="BI22" s="60" t="e">
        <f>(Links!J22*Links!AN22+'On-Ramps'!AH22*'On-Ramps'!CJ22)/('On-Ramps'!AH22+Links!J22)</f>
        <v>#DIV/0!</v>
      </c>
      <c r="BJ22" s="60" t="e">
        <f>(Links!K22*Links!AO22+'On-Ramps'!AI22*'On-Ramps'!CK22)/('On-Ramps'!AI22+Links!K22)</f>
        <v>#DIV/0!</v>
      </c>
      <c r="BK22" s="60" t="e">
        <f>(Links!L22*Links!AP22+'On-Ramps'!AJ22*'On-Ramps'!CL22)/(Links!L22+'On-Ramps'!AJ22)</f>
        <v>#DIV/0!</v>
      </c>
      <c r="BL22" s="60" t="e">
        <f>Links!AQ22</f>
        <v>#DIV/0!</v>
      </c>
      <c r="BM22" s="60" t="e">
        <f>(Links!N22*Links!AR22+'On-Ramps'!AL22*'On-Ramps'!CM22)/(Links!N22+'On-Ramps'!AL22)</f>
        <v>#DIV/0!</v>
      </c>
      <c r="BN22" s="60" t="e">
        <f>Links!AS22</f>
        <v>#DIV/0!</v>
      </c>
      <c r="BO22" s="61" t="e">
        <f>(Links!R22^2+'Off-Ramp'!L22^2)/(Links!R22+'Off-Ramp'!L22)</f>
        <v>#DIV/0!</v>
      </c>
      <c r="BP22" s="61" t="e">
        <f>Links!S22</f>
        <v>#DIV/0!</v>
      </c>
      <c r="BQ22" s="61" t="e">
        <f>(Links!S22^2+'Off-Ramp'!C22^2)/(Links!S22+'Off-Ramp'!C22)</f>
        <v>#DIV/0!</v>
      </c>
      <c r="BR22" s="61" t="e">
        <f>Links!T22</f>
        <v>#DIV/0!</v>
      </c>
      <c r="BS22" s="61" t="e">
        <f>(Links!U22^2+'Off-Ramp'!N22^2)/(Links!U22+'Off-Ramp'!N22)</f>
        <v>#DIV/0!</v>
      </c>
      <c r="BT22" s="61" t="e">
        <f>(Links!V22^2+'Off-Ramp'!O22^2)/(Links!V22+'Off-Ramp'!O22)</f>
        <v>#DIV/0!</v>
      </c>
      <c r="BU22" s="61" t="e">
        <f>(Links!W22^2+'Off-Ramp'!P22^2)/(Links!W22+'Off-Ramp'!P22)</f>
        <v>#DIV/0!</v>
      </c>
      <c r="BV22" s="61" t="e">
        <f>(Links!Y22^2+'Off-Ramp'!Q22^2)/(Links!Y22+'Off-Ramp'!Q22)</f>
        <v>#DIV/0!</v>
      </c>
      <c r="BW22" s="61" t="e">
        <f>(Links!Z22^2+'Off-Ramp'!R22^2)/(Links!Z22+'Off-Ramp'!R22)</f>
        <v>#DIV/0!</v>
      </c>
      <c r="BX22" s="61" t="e">
        <f>(Links!AA22+'Off-Ramp'!S22)/(Links!AA22^2+'Off-Ramp'!S22^2)</f>
        <v>#DIV/0!</v>
      </c>
      <c r="BY22" s="61" t="e">
        <f>(Links!AB22^2+'Off-Ramp'!T22^2)/(Links!AB22+'Off-Ramp'!T22)</f>
        <v>#DIV/0!</v>
      </c>
      <c r="BZ22" s="61" t="e">
        <f>Links!AC22</f>
        <v>#DIV/0!</v>
      </c>
      <c r="CA22" s="61" t="e">
        <f>(Links!AD22^2+'Off-Ramp'!U22^2)/(Links!AD22+'Off-Ramp'!U22)</f>
        <v>#DIV/0!</v>
      </c>
    </row>
    <row r="23" spans="1:79" x14ac:dyDescent="0.15">
      <c r="A23" s="59">
        <v>21</v>
      </c>
      <c r="B23" s="60" t="e">
        <f t="shared" si="2"/>
        <v>#DIV/0!</v>
      </c>
      <c r="C23" s="60" t="e">
        <f t="shared" si="3"/>
        <v>#DIV/0!</v>
      </c>
      <c r="D23" s="60" t="e">
        <f t="shared" si="4"/>
        <v>#DIV/0!</v>
      </c>
      <c r="E23" s="60" t="e">
        <f t="shared" si="5"/>
        <v>#DIV/0!</v>
      </c>
      <c r="F23" s="60" t="e">
        <f t="shared" si="6"/>
        <v>#DIV/0!</v>
      </c>
      <c r="G23" s="60" t="e">
        <f t="shared" si="7"/>
        <v>#DIV/0!</v>
      </c>
      <c r="H23" s="60" t="e">
        <f t="shared" si="8"/>
        <v>#DIV/0!</v>
      </c>
      <c r="I23" s="60" t="e">
        <f t="shared" si="9"/>
        <v>#DIV/0!</v>
      </c>
      <c r="J23" s="60" t="e">
        <f t="shared" si="10"/>
        <v>#DIV/0!</v>
      </c>
      <c r="K23" s="60" t="e">
        <f t="shared" si="11"/>
        <v>#DIV/0!</v>
      </c>
      <c r="L23" s="60" t="e">
        <f t="shared" si="12"/>
        <v>#DIV/0!</v>
      </c>
      <c r="M23" s="60" t="e">
        <f t="shared" si="13"/>
        <v>#DIV/0!</v>
      </c>
      <c r="N23" s="60" t="e">
        <f t="shared" si="14"/>
        <v>#DIV/0!</v>
      </c>
      <c r="O23" s="61" t="e">
        <f>Links!B23</f>
        <v>#DIV/0!</v>
      </c>
      <c r="P23" s="61" t="e">
        <f>Links!C23+'On-Ramps'!AC23</f>
        <v>#DIV/0!</v>
      </c>
      <c r="Q23" s="61" t="e">
        <f>Links!D23</f>
        <v>#DIV/0!</v>
      </c>
      <c r="R23" s="61" t="e">
        <f>Links!E23+'On-Ramps'!AD23</f>
        <v>#DIV/0!</v>
      </c>
      <c r="S23" s="61" t="e">
        <f>Links!F23+'On-Ramps'!AE23</f>
        <v>#DIV/0!</v>
      </c>
      <c r="T23" s="61" t="e">
        <f>Links!G23+'On-Ramps'!AF23</f>
        <v>#DIV/0!</v>
      </c>
      <c r="U23" s="61" t="e">
        <f>Links!H23+'On-Ramps'!AG23</f>
        <v>#DIV/0!</v>
      </c>
      <c r="V23" s="61" t="e">
        <f>Links!J23+'On-Ramps'!AH23</f>
        <v>#DIV/0!</v>
      </c>
      <c r="W23" s="61" t="e">
        <f>Links!K23+'On-Ramps'!AI23</f>
        <v>#DIV/0!</v>
      </c>
      <c r="X23" s="61" t="e">
        <f>Links!L23+'On-Ramps'!AJ23</f>
        <v>#DIV/0!</v>
      </c>
      <c r="Y23" s="61" t="e">
        <f>Links!M23</f>
        <v>#DIV/0!</v>
      </c>
      <c r="Z23" s="61" t="e">
        <f>Links!N23+'On-Ramps'!AK23</f>
        <v>#DIV/0!</v>
      </c>
      <c r="AA23" s="61" t="e">
        <f>Links!O23</f>
        <v>#DIV/0!</v>
      </c>
      <c r="AB23" s="60" t="e">
        <f t="shared" si="17"/>
        <v>#DIV/0!</v>
      </c>
      <c r="AC23" s="60" t="e">
        <f t="shared" si="18"/>
        <v>#DIV/0!</v>
      </c>
      <c r="AD23" s="60" t="e">
        <f t="shared" si="19"/>
        <v>#DIV/0!</v>
      </c>
      <c r="AE23" s="60" t="e">
        <f t="shared" si="20"/>
        <v>#DIV/0!</v>
      </c>
      <c r="AF23" s="60" t="e">
        <f t="shared" si="21"/>
        <v>#DIV/0!</v>
      </c>
      <c r="AG23" s="60" t="e">
        <f t="shared" si="22"/>
        <v>#DIV/0!</v>
      </c>
      <c r="AH23" s="60" t="e">
        <f t="shared" si="23"/>
        <v>#DIV/0!</v>
      </c>
      <c r="AI23" s="60" t="e">
        <f t="shared" si="24"/>
        <v>#DIV/0!</v>
      </c>
      <c r="AJ23" s="60" t="e">
        <f t="shared" si="25"/>
        <v>#DIV/0!</v>
      </c>
      <c r="AK23" s="60" t="e">
        <f t="shared" si="26"/>
        <v>#DIV/0!</v>
      </c>
      <c r="AL23" s="60" t="e">
        <f t="shared" si="27"/>
        <v>#DIV/0!</v>
      </c>
      <c r="AM23" s="60" t="e">
        <f t="shared" si="28"/>
        <v>#DIV/0!</v>
      </c>
      <c r="AN23" s="60" t="e">
        <f t="shared" si="30"/>
        <v>#DIV/0!</v>
      </c>
      <c r="AO23" s="61" t="e">
        <f t="shared" si="29"/>
        <v>#DIV/0!</v>
      </c>
      <c r="AP23" s="61" t="e">
        <f t="shared" si="29"/>
        <v>#DIV/0!</v>
      </c>
      <c r="AQ23" s="61" t="e">
        <f t="shared" si="29"/>
        <v>#DIV/0!</v>
      </c>
      <c r="AR23" s="61" t="e">
        <f t="shared" si="29"/>
        <v>#DIV/0!</v>
      </c>
      <c r="AS23" s="61" t="e">
        <f t="shared" si="29"/>
        <v>#DIV/0!</v>
      </c>
      <c r="AT23" s="61" t="e">
        <f t="shared" si="29"/>
        <v>#DIV/0!</v>
      </c>
      <c r="AU23" s="61" t="e">
        <f t="shared" si="29"/>
        <v>#DIV/0!</v>
      </c>
      <c r="AV23" s="61" t="e">
        <f t="shared" si="29"/>
        <v>#DIV/0!</v>
      </c>
      <c r="AW23" s="61" t="e">
        <f t="shared" si="29"/>
        <v>#DIV/0!</v>
      </c>
      <c r="AX23" s="61" t="e">
        <f t="shared" si="29"/>
        <v>#DIV/0!</v>
      </c>
      <c r="AY23" s="61" t="e">
        <f t="shared" si="29"/>
        <v>#DIV/0!</v>
      </c>
      <c r="AZ23" s="61" t="e">
        <f t="shared" si="29"/>
        <v>#DIV/0!</v>
      </c>
      <c r="BA23" s="61" t="e">
        <f t="shared" si="29"/>
        <v>#DIV/0!</v>
      </c>
      <c r="BB23" s="60" t="e">
        <f>Links!AF23</f>
        <v>#DIV/0!</v>
      </c>
      <c r="BC23" s="60" t="e">
        <f>(Links!AG23*Links!C23+'On-Ramps'!AC23*'On-Ramps'!CE23)/('On-Ramps'!AC23+Links!C23)</f>
        <v>#DIV/0!</v>
      </c>
      <c r="BD23" s="60" t="e">
        <f>Links!AH23</f>
        <v>#DIV/0!</v>
      </c>
      <c r="BE23" s="60" t="e">
        <f>(Links!AI23*Links!E23+'On-Ramps'!AD23*'On-Ramps'!CF22)/('On-Ramps'!AD23+Links!E23)</f>
        <v>#DIV/0!</v>
      </c>
      <c r="BF23" s="60" t="e">
        <f>(Links!F23*Links!AJ23+'On-Ramps'!AE23*'On-Ramps'!CG23)/('On-Ramps'!AE23+Links!F23)</f>
        <v>#DIV/0!</v>
      </c>
      <c r="BG23" s="60" t="e">
        <f>(Links!G23*Links!AK23+'On-Ramps'!AF23*'On-Ramps'!CH23)/('On-Ramps'!AF23+Links!G23)</f>
        <v>#DIV/0!</v>
      </c>
      <c r="BH23" s="60" t="e">
        <f>(Links!H23*Links!AL23+'On-Ramps'!AG23*'On-Ramps'!CI23)/('On-Ramps'!AG23+Links!H23)</f>
        <v>#DIV/0!</v>
      </c>
      <c r="BI23" s="60" t="e">
        <f>(Links!J23*Links!AN23+'On-Ramps'!AH23*'On-Ramps'!CJ23)/('On-Ramps'!AH23+Links!J23)</f>
        <v>#DIV/0!</v>
      </c>
      <c r="BJ23" s="60" t="e">
        <f>(Links!K23*Links!AO23+'On-Ramps'!AI23*'On-Ramps'!CK23)/('On-Ramps'!AI23+Links!K23)</f>
        <v>#DIV/0!</v>
      </c>
      <c r="BK23" s="60" t="e">
        <f>(Links!L23*Links!AP23+'On-Ramps'!AJ23*'On-Ramps'!CL23)/(Links!L23+'On-Ramps'!AJ23)</f>
        <v>#DIV/0!</v>
      </c>
      <c r="BL23" s="60" t="e">
        <f>Links!AQ23</f>
        <v>#DIV/0!</v>
      </c>
      <c r="BM23" s="60" t="e">
        <f>(Links!N23*Links!AR23+'On-Ramps'!AL23*'On-Ramps'!CM23)/(Links!N23+'On-Ramps'!AL23)</f>
        <v>#DIV/0!</v>
      </c>
      <c r="BN23" s="60" t="e">
        <f>Links!AS23</f>
        <v>#DIV/0!</v>
      </c>
      <c r="BO23" s="61" t="e">
        <f>(Links!R23^2+'Off-Ramp'!L23^2)/(Links!R23+'Off-Ramp'!L23)</f>
        <v>#DIV/0!</v>
      </c>
      <c r="BP23" s="61" t="e">
        <f>Links!S23</f>
        <v>#DIV/0!</v>
      </c>
      <c r="BQ23" s="61" t="e">
        <f>(Links!S23^2+'Off-Ramp'!C23^2)/(Links!S23+'Off-Ramp'!C23)</f>
        <v>#DIV/0!</v>
      </c>
      <c r="BR23" s="61" t="e">
        <f>Links!T23</f>
        <v>#DIV/0!</v>
      </c>
      <c r="BS23" s="61" t="e">
        <f>(Links!U23^2+'Off-Ramp'!N23^2)/(Links!U23+'Off-Ramp'!N23)</f>
        <v>#DIV/0!</v>
      </c>
      <c r="BT23" s="61" t="e">
        <f>(Links!V23^2+'Off-Ramp'!O23^2)/(Links!V23+'Off-Ramp'!O23)</f>
        <v>#DIV/0!</v>
      </c>
      <c r="BU23" s="61" t="e">
        <f>(Links!W23^2+'Off-Ramp'!P23^2)/(Links!W23+'Off-Ramp'!P23)</f>
        <v>#DIV/0!</v>
      </c>
      <c r="BV23" s="61" t="e">
        <f>(Links!Y23^2+'Off-Ramp'!Q23^2)/(Links!Y23+'Off-Ramp'!Q23)</f>
        <v>#DIV/0!</v>
      </c>
      <c r="BW23" s="61" t="e">
        <f>(Links!Z23^2+'Off-Ramp'!R23^2)/(Links!Z23+'Off-Ramp'!R23)</f>
        <v>#DIV/0!</v>
      </c>
      <c r="BX23" s="61" t="e">
        <f>(Links!AA23+'Off-Ramp'!S23)/(Links!AA23^2+'Off-Ramp'!S23^2)</f>
        <v>#DIV/0!</v>
      </c>
      <c r="BY23" s="61" t="e">
        <f>(Links!AB23^2+'Off-Ramp'!T23^2)/(Links!AB23+'Off-Ramp'!T23)</f>
        <v>#DIV/0!</v>
      </c>
      <c r="BZ23" s="61" t="e">
        <f>Links!AC23</f>
        <v>#DIV/0!</v>
      </c>
      <c r="CA23" s="61" t="e">
        <f>(Links!AD23^2+'Off-Ramp'!U23^2)/(Links!AD23+'Off-Ramp'!U23)</f>
        <v>#DIV/0!</v>
      </c>
    </row>
    <row r="24" spans="1:79" x14ac:dyDescent="0.15">
      <c r="A24" s="59">
        <v>22</v>
      </c>
      <c r="B24" s="60" t="e">
        <f t="shared" si="2"/>
        <v>#DIV/0!</v>
      </c>
      <c r="C24" s="60" t="e">
        <f t="shared" si="3"/>
        <v>#DIV/0!</v>
      </c>
      <c r="D24" s="60" t="e">
        <f t="shared" si="4"/>
        <v>#DIV/0!</v>
      </c>
      <c r="E24" s="60" t="e">
        <f t="shared" si="5"/>
        <v>#DIV/0!</v>
      </c>
      <c r="F24" s="60" t="e">
        <f t="shared" si="6"/>
        <v>#DIV/0!</v>
      </c>
      <c r="G24" s="60" t="e">
        <f t="shared" si="7"/>
        <v>#DIV/0!</v>
      </c>
      <c r="H24" s="60" t="e">
        <f t="shared" si="8"/>
        <v>#DIV/0!</v>
      </c>
      <c r="I24" s="60" t="e">
        <f t="shared" si="9"/>
        <v>#DIV/0!</v>
      </c>
      <c r="J24" s="60" t="e">
        <f t="shared" si="10"/>
        <v>#DIV/0!</v>
      </c>
      <c r="K24" s="60" t="e">
        <f t="shared" si="11"/>
        <v>#DIV/0!</v>
      </c>
      <c r="L24" s="60" t="e">
        <f t="shared" si="12"/>
        <v>#DIV/0!</v>
      </c>
      <c r="M24" s="60" t="e">
        <f t="shared" si="13"/>
        <v>#DIV/0!</v>
      </c>
      <c r="N24" s="60" t="e">
        <f t="shared" si="14"/>
        <v>#DIV/0!</v>
      </c>
      <c r="O24" s="61" t="e">
        <f>Links!B24</f>
        <v>#DIV/0!</v>
      </c>
      <c r="P24" s="61" t="e">
        <f>Links!C24+'On-Ramps'!AC24</f>
        <v>#DIV/0!</v>
      </c>
      <c r="Q24" s="61" t="e">
        <f>Links!D24</f>
        <v>#DIV/0!</v>
      </c>
      <c r="R24" s="61" t="e">
        <f>Links!E24+'On-Ramps'!AD24</f>
        <v>#DIV/0!</v>
      </c>
      <c r="S24" s="61" t="e">
        <f>Links!F24+'On-Ramps'!AE24</f>
        <v>#DIV/0!</v>
      </c>
      <c r="T24" s="61" t="e">
        <f>Links!G24+'On-Ramps'!AF24</f>
        <v>#DIV/0!</v>
      </c>
      <c r="U24" s="61" t="e">
        <f>Links!H24+'On-Ramps'!AG24</f>
        <v>#DIV/0!</v>
      </c>
      <c r="V24" s="61" t="e">
        <f>Links!J24+'On-Ramps'!AH24</f>
        <v>#DIV/0!</v>
      </c>
      <c r="W24" s="61" t="e">
        <f>Links!K24+'On-Ramps'!AI24</f>
        <v>#DIV/0!</v>
      </c>
      <c r="X24" s="61" t="e">
        <f>Links!L24+'On-Ramps'!AJ24</f>
        <v>#DIV/0!</v>
      </c>
      <c r="Y24" s="61" t="e">
        <f>Links!M24</f>
        <v>#DIV/0!</v>
      </c>
      <c r="Z24" s="61" t="e">
        <f>Links!N24+'On-Ramps'!AK24</f>
        <v>#DIV/0!</v>
      </c>
      <c r="AA24" s="61" t="e">
        <f>Links!O24</f>
        <v>#DIV/0!</v>
      </c>
      <c r="AB24" s="60" t="e">
        <f t="shared" si="17"/>
        <v>#DIV/0!</v>
      </c>
      <c r="AC24" s="60" t="e">
        <f t="shared" si="18"/>
        <v>#DIV/0!</v>
      </c>
      <c r="AD24" s="60" t="e">
        <f t="shared" si="19"/>
        <v>#DIV/0!</v>
      </c>
      <c r="AE24" s="60" t="e">
        <f t="shared" si="20"/>
        <v>#DIV/0!</v>
      </c>
      <c r="AF24" s="60" t="e">
        <f t="shared" si="21"/>
        <v>#DIV/0!</v>
      </c>
      <c r="AG24" s="60" t="e">
        <f t="shared" si="22"/>
        <v>#DIV/0!</v>
      </c>
      <c r="AH24" s="60" t="e">
        <f t="shared" si="23"/>
        <v>#DIV/0!</v>
      </c>
      <c r="AI24" s="60" t="e">
        <f t="shared" si="24"/>
        <v>#DIV/0!</v>
      </c>
      <c r="AJ24" s="60" t="e">
        <f t="shared" si="25"/>
        <v>#DIV/0!</v>
      </c>
      <c r="AK24" s="60" t="e">
        <f t="shared" si="26"/>
        <v>#DIV/0!</v>
      </c>
      <c r="AL24" s="60" t="e">
        <f t="shared" si="27"/>
        <v>#DIV/0!</v>
      </c>
      <c r="AM24" s="60" t="e">
        <f t="shared" si="28"/>
        <v>#DIV/0!</v>
      </c>
      <c r="AN24" s="60" t="e">
        <f t="shared" si="30"/>
        <v>#DIV/0!</v>
      </c>
      <c r="AO24" s="61" t="e">
        <f t="shared" si="29"/>
        <v>#DIV/0!</v>
      </c>
      <c r="AP24" s="61" t="e">
        <f t="shared" si="29"/>
        <v>#DIV/0!</v>
      </c>
      <c r="AQ24" s="61" t="e">
        <f t="shared" si="29"/>
        <v>#DIV/0!</v>
      </c>
      <c r="AR24" s="61" t="e">
        <f t="shared" si="29"/>
        <v>#DIV/0!</v>
      </c>
      <c r="AS24" s="61" t="e">
        <f t="shared" si="29"/>
        <v>#DIV/0!</v>
      </c>
      <c r="AT24" s="61" t="e">
        <f t="shared" si="29"/>
        <v>#DIV/0!</v>
      </c>
      <c r="AU24" s="61" t="e">
        <f t="shared" si="29"/>
        <v>#DIV/0!</v>
      </c>
      <c r="AV24" s="61" t="e">
        <f t="shared" si="29"/>
        <v>#DIV/0!</v>
      </c>
      <c r="AW24" s="61" t="e">
        <f t="shared" si="29"/>
        <v>#DIV/0!</v>
      </c>
      <c r="AX24" s="61" t="e">
        <f t="shared" si="29"/>
        <v>#DIV/0!</v>
      </c>
      <c r="AY24" s="61" t="e">
        <f t="shared" si="29"/>
        <v>#DIV/0!</v>
      </c>
      <c r="AZ24" s="61" t="e">
        <f t="shared" si="29"/>
        <v>#DIV/0!</v>
      </c>
      <c r="BA24" s="61" t="e">
        <f t="shared" si="29"/>
        <v>#DIV/0!</v>
      </c>
      <c r="BB24" s="60" t="e">
        <f>Links!AF24</f>
        <v>#DIV/0!</v>
      </c>
      <c r="BC24" s="60" t="e">
        <f>(Links!AG24*Links!C24+'On-Ramps'!AC24*'On-Ramps'!CE24)/('On-Ramps'!AC24+Links!C24)</f>
        <v>#DIV/0!</v>
      </c>
      <c r="BD24" s="60" t="e">
        <f>Links!AH24</f>
        <v>#DIV/0!</v>
      </c>
      <c r="BE24" s="60" t="e">
        <f>(Links!AI24*Links!E24+'On-Ramps'!AD24*'On-Ramps'!CF23)/('On-Ramps'!AD24+Links!E24)</f>
        <v>#DIV/0!</v>
      </c>
      <c r="BF24" s="60" t="e">
        <f>(Links!F24*Links!AJ24+'On-Ramps'!AE24*'On-Ramps'!CG24)/('On-Ramps'!AE24+Links!F24)</f>
        <v>#DIV/0!</v>
      </c>
      <c r="BG24" s="60" t="e">
        <f>(Links!G24*Links!AK24+'On-Ramps'!AF24*'On-Ramps'!CH24)/('On-Ramps'!AF24+Links!G24)</f>
        <v>#DIV/0!</v>
      </c>
      <c r="BH24" s="60" t="e">
        <f>(Links!H24*Links!AL24+'On-Ramps'!AG24*'On-Ramps'!CI24)/('On-Ramps'!AG24+Links!H24)</f>
        <v>#DIV/0!</v>
      </c>
      <c r="BI24" s="60" t="e">
        <f>(Links!J24*Links!AN24+'On-Ramps'!AH24*'On-Ramps'!CJ24)/('On-Ramps'!AH24+Links!J24)</f>
        <v>#DIV/0!</v>
      </c>
      <c r="BJ24" s="60" t="e">
        <f>(Links!K24*Links!AO24+'On-Ramps'!AI24*'On-Ramps'!CK24)/('On-Ramps'!AI24+Links!K24)</f>
        <v>#DIV/0!</v>
      </c>
      <c r="BK24" s="60" t="e">
        <f>(Links!L24*Links!AP24+'On-Ramps'!AJ24*'On-Ramps'!CL24)/(Links!L24+'On-Ramps'!AJ24)</f>
        <v>#DIV/0!</v>
      </c>
      <c r="BL24" s="60" t="e">
        <f>Links!AQ24</f>
        <v>#DIV/0!</v>
      </c>
      <c r="BM24" s="60" t="e">
        <f>(Links!N24*Links!AR24+'On-Ramps'!AL24*'On-Ramps'!CM24)/(Links!N24+'On-Ramps'!AL24)</f>
        <v>#DIV/0!</v>
      </c>
      <c r="BN24" s="60" t="e">
        <f>Links!AS24</f>
        <v>#DIV/0!</v>
      </c>
      <c r="BO24" s="61" t="e">
        <f>(Links!R24^2+'Off-Ramp'!L24^2)/(Links!R24+'Off-Ramp'!L24)</f>
        <v>#DIV/0!</v>
      </c>
      <c r="BP24" s="61" t="e">
        <f>Links!S24</f>
        <v>#DIV/0!</v>
      </c>
      <c r="BQ24" s="61" t="e">
        <f>(Links!S24^2+'Off-Ramp'!C24^2)/(Links!S24+'Off-Ramp'!C24)</f>
        <v>#DIV/0!</v>
      </c>
      <c r="BR24" s="61" t="e">
        <f>Links!T24</f>
        <v>#DIV/0!</v>
      </c>
      <c r="BS24" s="61" t="e">
        <f>(Links!U24^2+'Off-Ramp'!N24^2)/(Links!U24+'Off-Ramp'!N24)</f>
        <v>#DIV/0!</v>
      </c>
      <c r="BT24" s="61" t="e">
        <f>(Links!V24^2+'Off-Ramp'!O24^2)/(Links!V24+'Off-Ramp'!O24)</f>
        <v>#DIV/0!</v>
      </c>
      <c r="BU24" s="61" t="e">
        <f>(Links!W24^2+'Off-Ramp'!P24^2)/(Links!W24+'Off-Ramp'!P24)</f>
        <v>#DIV/0!</v>
      </c>
      <c r="BV24" s="61" t="e">
        <f>(Links!Y24^2+'Off-Ramp'!Q24^2)/(Links!Y24+'Off-Ramp'!Q24)</f>
        <v>#DIV/0!</v>
      </c>
      <c r="BW24" s="61" t="e">
        <f>(Links!Z24^2+'Off-Ramp'!R24^2)/(Links!Z24+'Off-Ramp'!R24)</f>
        <v>#DIV/0!</v>
      </c>
      <c r="BX24" s="61" t="e">
        <f>(Links!AA24+'Off-Ramp'!S24)/(Links!AA24^2+'Off-Ramp'!S24^2)</f>
        <v>#DIV/0!</v>
      </c>
      <c r="BY24" s="61" t="e">
        <f>(Links!AB24^2+'Off-Ramp'!T24^2)/(Links!AB24+'Off-Ramp'!T24)</f>
        <v>#DIV/0!</v>
      </c>
      <c r="BZ24" s="61" t="e">
        <f>Links!AC24</f>
        <v>#DIV/0!</v>
      </c>
      <c r="CA24" s="61" t="e">
        <f>(Links!AD24^2+'Off-Ramp'!U24^2)/(Links!AD24+'Off-Ramp'!U24)</f>
        <v>#DIV/0!</v>
      </c>
    </row>
    <row r="25" spans="1:79" x14ac:dyDescent="0.15">
      <c r="A25" s="59">
        <v>23</v>
      </c>
      <c r="B25" s="60" t="e">
        <f t="shared" si="2"/>
        <v>#DIV/0!</v>
      </c>
      <c r="C25" s="60" t="e">
        <f t="shared" si="3"/>
        <v>#DIV/0!</v>
      </c>
      <c r="D25" s="60" t="e">
        <f t="shared" si="4"/>
        <v>#DIV/0!</v>
      </c>
      <c r="E25" s="60" t="e">
        <f t="shared" si="5"/>
        <v>#DIV/0!</v>
      </c>
      <c r="F25" s="60" t="e">
        <f t="shared" si="6"/>
        <v>#DIV/0!</v>
      </c>
      <c r="G25" s="60" t="e">
        <f t="shared" si="7"/>
        <v>#DIV/0!</v>
      </c>
      <c r="H25" s="60" t="e">
        <f t="shared" si="8"/>
        <v>#DIV/0!</v>
      </c>
      <c r="I25" s="60" t="e">
        <f t="shared" si="9"/>
        <v>#DIV/0!</v>
      </c>
      <c r="J25" s="60" t="e">
        <f t="shared" si="10"/>
        <v>#DIV/0!</v>
      </c>
      <c r="K25" s="60" t="e">
        <f t="shared" si="11"/>
        <v>#DIV/0!</v>
      </c>
      <c r="L25" s="60" t="e">
        <f t="shared" si="12"/>
        <v>#DIV/0!</v>
      </c>
      <c r="M25" s="60" t="e">
        <f t="shared" si="13"/>
        <v>#DIV/0!</v>
      </c>
      <c r="N25" s="60" t="e">
        <f t="shared" si="14"/>
        <v>#DIV/0!</v>
      </c>
      <c r="O25" s="61" t="e">
        <f>Links!B25</f>
        <v>#DIV/0!</v>
      </c>
      <c r="P25" s="61" t="e">
        <f>Links!C25+'On-Ramps'!AC25</f>
        <v>#DIV/0!</v>
      </c>
      <c r="Q25" s="61" t="e">
        <f>Links!D25</f>
        <v>#DIV/0!</v>
      </c>
      <c r="R25" s="61" t="e">
        <f>Links!E25+'On-Ramps'!AD25</f>
        <v>#DIV/0!</v>
      </c>
      <c r="S25" s="61" t="e">
        <f>Links!F25+'On-Ramps'!AE25</f>
        <v>#DIV/0!</v>
      </c>
      <c r="T25" s="61" t="e">
        <f>Links!G25+'On-Ramps'!AF25</f>
        <v>#DIV/0!</v>
      </c>
      <c r="U25" s="61" t="e">
        <f>Links!H25+'On-Ramps'!AG25</f>
        <v>#DIV/0!</v>
      </c>
      <c r="V25" s="61" t="e">
        <f>Links!J25+'On-Ramps'!AH25</f>
        <v>#DIV/0!</v>
      </c>
      <c r="W25" s="61" t="e">
        <f>Links!K25+'On-Ramps'!AI25</f>
        <v>#DIV/0!</v>
      </c>
      <c r="X25" s="61" t="e">
        <f>Links!L25+'On-Ramps'!AJ25</f>
        <v>#DIV/0!</v>
      </c>
      <c r="Y25" s="61" t="e">
        <f>Links!M25</f>
        <v>#DIV/0!</v>
      </c>
      <c r="Z25" s="61" t="e">
        <f>Links!N25+'On-Ramps'!AK25</f>
        <v>#DIV/0!</v>
      </c>
      <c r="AA25" s="61" t="e">
        <f>Links!O25</f>
        <v>#DIV/0!</v>
      </c>
      <c r="AB25" s="60" t="e">
        <f t="shared" si="17"/>
        <v>#DIV/0!</v>
      </c>
      <c r="AC25" s="60" t="e">
        <f t="shared" si="18"/>
        <v>#DIV/0!</v>
      </c>
      <c r="AD25" s="60" t="e">
        <f t="shared" si="19"/>
        <v>#DIV/0!</v>
      </c>
      <c r="AE25" s="60" t="e">
        <f t="shared" si="20"/>
        <v>#DIV/0!</v>
      </c>
      <c r="AF25" s="60" t="e">
        <f t="shared" si="21"/>
        <v>#DIV/0!</v>
      </c>
      <c r="AG25" s="60" t="e">
        <f t="shared" si="22"/>
        <v>#DIV/0!</v>
      </c>
      <c r="AH25" s="60" t="e">
        <f t="shared" si="23"/>
        <v>#DIV/0!</v>
      </c>
      <c r="AI25" s="60" t="e">
        <f t="shared" si="24"/>
        <v>#DIV/0!</v>
      </c>
      <c r="AJ25" s="60" t="e">
        <f t="shared" si="25"/>
        <v>#DIV/0!</v>
      </c>
      <c r="AK25" s="60" t="e">
        <f t="shared" si="26"/>
        <v>#DIV/0!</v>
      </c>
      <c r="AL25" s="60" t="e">
        <f t="shared" si="27"/>
        <v>#DIV/0!</v>
      </c>
      <c r="AM25" s="60" t="e">
        <f t="shared" si="28"/>
        <v>#DIV/0!</v>
      </c>
      <c r="AN25" s="60" t="e">
        <f t="shared" si="30"/>
        <v>#DIV/0!</v>
      </c>
      <c r="AO25" s="61" t="e">
        <f t="shared" si="29"/>
        <v>#DIV/0!</v>
      </c>
      <c r="AP25" s="61" t="e">
        <f t="shared" si="29"/>
        <v>#DIV/0!</v>
      </c>
      <c r="AQ25" s="61" t="e">
        <f t="shared" si="29"/>
        <v>#DIV/0!</v>
      </c>
      <c r="AR25" s="61" t="e">
        <f t="shared" si="29"/>
        <v>#DIV/0!</v>
      </c>
      <c r="AS25" s="61" t="e">
        <f t="shared" si="29"/>
        <v>#DIV/0!</v>
      </c>
      <c r="AT25" s="61" t="e">
        <f t="shared" si="29"/>
        <v>#DIV/0!</v>
      </c>
      <c r="AU25" s="61" t="e">
        <f t="shared" si="29"/>
        <v>#DIV/0!</v>
      </c>
      <c r="AV25" s="61" t="e">
        <f t="shared" si="29"/>
        <v>#DIV/0!</v>
      </c>
      <c r="AW25" s="61" t="e">
        <f t="shared" si="29"/>
        <v>#DIV/0!</v>
      </c>
      <c r="AX25" s="61" t="e">
        <f t="shared" si="29"/>
        <v>#DIV/0!</v>
      </c>
      <c r="AY25" s="61" t="e">
        <f t="shared" si="29"/>
        <v>#DIV/0!</v>
      </c>
      <c r="AZ25" s="61" t="e">
        <f t="shared" si="29"/>
        <v>#DIV/0!</v>
      </c>
      <c r="BA25" s="61" t="e">
        <f t="shared" si="29"/>
        <v>#DIV/0!</v>
      </c>
      <c r="BB25" s="60" t="e">
        <f>Links!AF25</f>
        <v>#DIV/0!</v>
      </c>
      <c r="BC25" s="60" t="e">
        <f>(Links!AG25*Links!C25+'On-Ramps'!AC25*'On-Ramps'!CE25)/('On-Ramps'!AC25+Links!C25)</f>
        <v>#DIV/0!</v>
      </c>
      <c r="BD25" s="60" t="e">
        <f>Links!AH25</f>
        <v>#DIV/0!</v>
      </c>
      <c r="BE25" s="60" t="e">
        <f>(Links!AI25*Links!E25+'On-Ramps'!AD25*'On-Ramps'!CF24)/('On-Ramps'!AD25+Links!E25)</f>
        <v>#DIV/0!</v>
      </c>
      <c r="BF25" s="60" t="e">
        <f>(Links!F25*Links!AJ25+'On-Ramps'!AE25*'On-Ramps'!CG25)/('On-Ramps'!AE25+Links!F25)</f>
        <v>#DIV/0!</v>
      </c>
      <c r="BG25" s="60" t="e">
        <f>(Links!G25*Links!AK25+'On-Ramps'!AF25*'On-Ramps'!CH25)/('On-Ramps'!AF25+Links!G25)</f>
        <v>#DIV/0!</v>
      </c>
      <c r="BH25" s="60" t="e">
        <f>(Links!H25*Links!AL25+'On-Ramps'!AG25*'On-Ramps'!CI25)/('On-Ramps'!AG25+Links!H25)</f>
        <v>#DIV/0!</v>
      </c>
      <c r="BI25" s="60" t="e">
        <f>(Links!J25*Links!AN25+'On-Ramps'!AH25*'On-Ramps'!CJ25)/('On-Ramps'!AH25+Links!J25)</f>
        <v>#DIV/0!</v>
      </c>
      <c r="BJ25" s="60" t="e">
        <f>(Links!K25*Links!AO25+'On-Ramps'!AI25*'On-Ramps'!CK25)/('On-Ramps'!AI25+Links!K25)</f>
        <v>#DIV/0!</v>
      </c>
      <c r="BK25" s="60" t="e">
        <f>(Links!L25*Links!AP25+'On-Ramps'!AJ25*'On-Ramps'!CL25)/(Links!L25+'On-Ramps'!AJ25)</f>
        <v>#DIV/0!</v>
      </c>
      <c r="BL25" s="60" t="e">
        <f>Links!AQ25</f>
        <v>#DIV/0!</v>
      </c>
      <c r="BM25" s="60" t="e">
        <f>(Links!N25*Links!AR25+'On-Ramps'!AL25*'On-Ramps'!CM25)/(Links!N25+'On-Ramps'!AL25)</f>
        <v>#DIV/0!</v>
      </c>
      <c r="BN25" s="60" t="e">
        <f>Links!AS25</f>
        <v>#DIV/0!</v>
      </c>
      <c r="BO25" s="61" t="e">
        <f>(Links!R25^2+'Off-Ramp'!L25^2)/(Links!R25+'Off-Ramp'!L25)</f>
        <v>#DIV/0!</v>
      </c>
      <c r="BP25" s="61" t="e">
        <f>Links!S25</f>
        <v>#DIV/0!</v>
      </c>
      <c r="BQ25" s="61" t="e">
        <f>(Links!S25^2+'Off-Ramp'!C25^2)/(Links!S25+'Off-Ramp'!C25)</f>
        <v>#DIV/0!</v>
      </c>
      <c r="BR25" s="61" t="e">
        <f>Links!T25</f>
        <v>#DIV/0!</v>
      </c>
      <c r="BS25" s="61" t="e">
        <f>(Links!U25^2+'Off-Ramp'!N25^2)/(Links!U25+'Off-Ramp'!N25)</f>
        <v>#DIV/0!</v>
      </c>
      <c r="BT25" s="61" t="e">
        <f>(Links!V25^2+'Off-Ramp'!O25^2)/(Links!V25+'Off-Ramp'!O25)</f>
        <v>#DIV/0!</v>
      </c>
      <c r="BU25" s="61" t="e">
        <f>(Links!W25^2+'Off-Ramp'!P25^2)/(Links!W25+'Off-Ramp'!P25)</f>
        <v>#DIV/0!</v>
      </c>
      <c r="BV25" s="61" t="e">
        <f>(Links!Y25^2+'Off-Ramp'!Q25^2)/(Links!Y25+'Off-Ramp'!Q25)</f>
        <v>#DIV/0!</v>
      </c>
      <c r="BW25" s="61" t="e">
        <f>(Links!Z25^2+'Off-Ramp'!R25^2)/(Links!Z25+'Off-Ramp'!R25)</f>
        <v>#DIV/0!</v>
      </c>
      <c r="BX25" s="61" t="e">
        <f>(Links!AA25+'Off-Ramp'!S25)/(Links!AA25^2+'Off-Ramp'!S25^2)</f>
        <v>#DIV/0!</v>
      </c>
      <c r="BY25" s="61" t="e">
        <f>(Links!AB25^2+'Off-Ramp'!T25^2)/(Links!AB25+'Off-Ramp'!T25)</f>
        <v>#DIV/0!</v>
      </c>
      <c r="BZ25" s="61" t="e">
        <f>Links!AC25</f>
        <v>#DIV/0!</v>
      </c>
      <c r="CA25" s="61" t="e">
        <f>(Links!AD25^2+'Off-Ramp'!U25^2)/(Links!AD25+'Off-Ramp'!U25)</f>
        <v>#DIV/0!</v>
      </c>
    </row>
    <row r="26" spans="1:79" x14ac:dyDescent="0.15">
      <c r="A26" s="59">
        <v>24</v>
      </c>
      <c r="B26" s="60" t="e">
        <f t="shared" si="2"/>
        <v>#DIV/0!</v>
      </c>
      <c r="C26" s="60" t="e">
        <f t="shared" si="3"/>
        <v>#DIV/0!</v>
      </c>
      <c r="D26" s="60" t="e">
        <f t="shared" si="4"/>
        <v>#DIV/0!</v>
      </c>
      <c r="E26" s="60" t="e">
        <f t="shared" si="5"/>
        <v>#DIV/0!</v>
      </c>
      <c r="F26" s="60" t="e">
        <f t="shared" si="6"/>
        <v>#DIV/0!</v>
      </c>
      <c r="G26" s="60" t="e">
        <f t="shared" si="7"/>
        <v>#DIV/0!</v>
      </c>
      <c r="H26" s="60" t="e">
        <f t="shared" si="8"/>
        <v>#DIV/0!</v>
      </c>
      <c r="I26" s="60" t="e">
        <f t="shared" si="9"/>
        <v>#DIV/0!</v>
      </c>
      <c r="J26" s="60" t="e">
        <f t="shared" si="10"/>
        <v>#DIV/0!</v>
      </c>
      <c r="K26" s="60" t="e">
        <f t="shared" si="11"/>
        <v>#DIV/0!</v>
      </c>
      <c r="L26" s="60" t="e">
        <f t="shared" si="12"/>
        <v>#DIV/0!</v>
      </c>
      <c r="M26" s="60" t="e">
        <f t="shared" si="13"/>
        <v>#DIV/0!</v>
      </c>
      <c r="N26" s="60" t="e">
        <f t="shared" si="14"/>
        <v>#DIV/0!</v>
      </c>
      <c r="O26" s="61" t="e">
        <f>Links!B26</f>
        <v>#DIV/0!</v>
      </c>
      <c r="P26" s="61" t="e">
        <f>Links!C26+'On-Ramps'!AC26</f>
        <v>#DIV/0!</v>
      </c>
      <c r="Q26" s="61" t="e">
        <f>Links!D26</f>
        <v>#DIV/0!</v>
      </c>
      <c r="R26" s="61" t="e">
        <f>Links!E26+'On-Ramps'!AD26</f>
        <v>#DIV/0!</v>
      </c>
      <c r="S26" s="61" t="e">
        <f>Links!F26+'On-Ramps'!AE26</f>
        <v>#DIV/0!</v>
      </c>
      <c r="T26" s="61" t="e">
        <f>Links!G26+'On-Ramps'!AF26</f>
        <v>#DIV/0!</v>
      </c>
      <c r="U26" s="61" t="e">
        <f>Links!H26+'On-Ramps'!AG26</f>
        <v>#DIV/0!</v>
      </c>
      <c r="V26" s="61" t="e">
        <f>Links!J26+'On-Ramps'!AH26</f>
        <v>#DIV/0!</v>
      </c>
      <c r="W26" s="61" t="e">
        <f>Links!K26+'On-Ramps'!AI26</f>
        <v>#DIV/0!</v>
      </c>
      <c r="X26" s="61" t="e">
        <f>Links!L26+'On-Ramps'!AJ26</f>
        <v>#DIV/0!</v>
      </c>
      <c r="Y26" s="61" t="e">
        <f>Links!M26</f>
        <v>#DIV/0!</v>
      </c>
      <c r="Z26" s="61" t="e">
        <f>Links!N26+'On-Ramps'!AK26</f>
        <v>#DIV/0!</v>
      </c>
      <c r="AA26" s="61" t="e">
        <f>Links!O26</f>
        <v>#DIV/0!</v>
      </c>
      <c r="AB26" s="60" t="e">
        <f t="shared" si="17"/>
        <v>#DIV/0!</v>
      </c>
      <c r="AC26" s="60" t="e">
        <f t="shared" si="18"/>
        <v>#DIV/0!</v>
      </c>
      <c r="AD26" s="60" t="e">
        <f t="shared" si="19"/>
        <v>#DIV/0!</v>
      </c>
      <c r="AE26" s="60" t="e">
        <f t="shared" si="20"/>
        <v>#DIV/0!</v>
      </c>
      <c r="AF26" s="60" t="e">
        <f t="shared" si="21"/>
        <v>#DIV/0!</v>
      </c>
      <c r="AG26" s="60" t="e">
        <f t="shared" si="22"/>
        <v>#DIV/0!</v>
      </c>
      <c r="AH26" s="60" t="e">
        <f t="shared" si="23"/>
        <v>#DIV/0!</v>
      </c>
      <c r="AI26" s="60" t="e">
        <f t="shared" si="24"/>
        <v>#DIV/0!</v>
      </c>
      <c r="AJ26" s="60" t="e">
        <f t="shared" si="25"/>
        <v>#DIV/0!</v>
      </c>
      <c r="AK26" s="60" t="e">
        <f t="shared" si="26"/>
        <v>#DIV/0!</v>
      </c>
      <c r="AL26" s="60" t="e">
        <f t="shared" si="27"/>
        <v>#DIV/0!</v>
      </c>
      <c r="AM26" s="60" t="e">
        <f t="shared" si="28"/>
        <v>#DIV/0!</v>
      </c>
      <c r="AN26" s="60" t="e">
        <f t="shared" si="30"/>
        <v>#DIV/0!</v>
      </c>
      <c r="AO26" s="61" t="e">
        <f t="shared" si="29"/>
        <v>#DIV/0!</v>
      </c>
      <c r="AP26" s="61" t="e">
        <f t="shared" si="29"/>
        <v>#DIV/0!</v>
      </c>
      <c r="AQ26" s="61" t="e">
        <f t="shared" si="29"/>
        <v>#DIV/0!</v>
      </c>
      <c r="AR26" s="61" t="e">
        <f t="shared" si="29"/>
        <v>#DIV/0!</v>
      </c>
      <c r="AS26" s="61" t="e">
        <f t="shared" si="29"/>
        <v>#DIV/0!</v>
      </c>
      <c r="AT26" s="61" t="e">
        <f t="shared" si="29"/>
        <v>#DIV/0!</v>
      </c>
      <c r="AU26" s="61" t="e">
        <f t="shared" si="29"/>
        <v>#DIV/0!</v>
      </c>
      <c r="AV26" s="61" t="e">
        <f t="shared" si="29"/>
        <v>#DIV/0!</v>
      </c>
      <c r="AW26" s="61" t="e">
        <f t="shared" si="29"/>
        <v>#DIV/0!</v>
      </c>
      <c r="AX26" s="61" t="e">
        <f t="shared" si="29"/>
        <v>#DIV/0!</v>
      </c>
      <c r="AY26" s="61" t="e">
        <f t="shared" si="29"/>
        <v>#DIV/0!</v>
      </c>
      <c r="AZ26" s="61" t="e">
        <f t="shared" si="29"/>
        <v>#DIV/0!</v>
      </c>
      <c r="BA26" s="61" t="e">
        <f t="shared" si="29"/>
        <v>#DIV/0!</v>
      </c>
      <c r="BB26" s="60" t="e">
        <f>Links!AF26</f>
        <v>#DIV/0!</v>
      </c>
      <c r="BC26" s="60" t="e">
        <f>(Links!AG26*Links!C26+'On-Ramps'!AC26*'On-Ramps'!CE26)/('On-Ramps'!AC26+Links!C26)</f>
        <v>#DIV/0!</v>
      </c>
      <c r="BD26" s="60" t="e">
        <f>Links!AH26</f>
        <v>#DIV/0!</v>
      </c>
      <c r="BE26" s="60" t="e">
        <f>(Links!AI26*Links!E26+'On-Ramps'!AD26*'On-Ramps'!CF25)/('On-Ramps'!AD26+Links!E26)</f>
        <v>#DIV/0!</v>
      </c>
      <c r="BF26" s="60" t="e">
        <f>(Links!F26*Links!AJ26+'On-Ramps'!AE26*'On-Ramps'!CG26)/('On-Ramps'!AE26+Links!F26)</f>
        <v>#DIV/0!</v>
      </c>
      <c r="BG26" s="60" t="e">
        <f>(Links!G26*Links!AK26+'On-Ramps'!AF26*'On-Ramps'!CH26)/('On-Ramps'!AF26+Links!G26)</f>
        <v>#DIV/0!</v>
      </c>
      <c r="BH26" s="60" t="e">
        <f>(Links!H26*Links!AL26+'On-Ramps'!AG26*'On-Ramps'!CI26)/('On-Ramps'!AG26+Links!H26)</f>
        <v>#DIV/0!</v>
      </c>
      <c r="BI26" s="60" t="e">
        <f>(Links!J26*Links!AN26+'On-Ramps'!AH26*'On-Ramps'!CJ26)/('On-Ramps'!AH26+Links!J26)</f>
        <v>#DIV/0!</v>
      </c>
      <c r="BJ26" s="60" t="e">
        <f>(Links!K26*Links!AO26+'On-Ramps'!AI26*'On-Ramps'!CK26)/('On-Ramps'!AI26+Links!K26)</f>
        <v>#DIV/0!</v>
      </c>
      <c r="BK26" s="60" t="e">
        <f>(Links!L26*Links!AP26+'On-Ramps'!AJ26*'On-Ramps'!CL26)/(Links!L26+'On-Ramps'!AJ26)</f>
        <v>#DIV/0!</v>
      </c>
      <c r="BL26" s="60" t="e">
        <f>Links!AQ26</f>
        <v>#DIV/0!</v>
      </c>
      <c r="BM26" s="60" t="e">
        <f>(Links!N26*Links!AR26+'On-Ramps'!AL26*'On-Ramps'!CM26)/(Links!N26+'On-Ramps'!AL26)</f>
        <v>#DIV/0!</v>
      </c>
      <c r="BN26" s="60" t="e">
        <f>Links!AS26</f>
        <v>#DIV/0!</v>
      </c>
      <c r="BO26" s="61" t="e">
        <f>(Links!R26^2+'Off-Ramp'!L26^2)/(Links!R26+'Off-Ramp'!L26)</f>
        <v>#DIV/0!</v>
      </c>
      <c r="BP26" s="61" t="e">
        <f>Links!S26</f>
        <v>#DIV/0!</v>
      </c>
      <c r="BQ26" s="61" t="e">
        <f>(Links!S26^2+'Off-Ramp'!C26^2)/(Links!S26+'Off-Ramp'!C26)</f>
        <v>#DIV/0!</v>
      </c>
      <c r="BR26" s="61" t="e">
        <f>Links!T26</f>
        <v>#DIV/0!</v>
      </c>
      <c r="BS26" s="61" t="e">
        <f>(Links!U26^2+'Off-Ramp'!N26^2)/(Links!U26+'Off-Ramp'!N26)</f>
        <v>#DIV/0!</v>
      </c>
      <c r="BT26" s="61" t="e">
        <f>(Links!V26^2+'Off-Ramp'!O26^2)/(Links!V26+'Off-Ramp'!O26)</f>
        <v>#DIV/0!</v>
      </c>
      <c r="BU26" s="61" t="e">
        <f>(Links!W26^2+'Off-Ramp'!P26^2)/(Links!W26+'Off-Ramp'!P26)</f>
        <v>#DIV/0!</v>
      </c>
      <c r="BV26" s="61" t="e">
        <f>(Links!Y26^2+'Off-Ramp'!Q26^2)/(Links!Y26+'Off-Ramp'!Q26)</f>
        <v>#DIV/0!</v>
      </c>
      <c r="BW26" s="61" t="e">
        <f>(Links!Z26^2+'Off-Ramp'!R26^2)/(Links!Z26+'Off-Ramp'!R26)</f>
        <v>#DIV/0!</v>
      </c>
      <c r="BX26" s="61" t="e">
        <f>(Links!AA26+'Off-Ramp'!S26)/(Links!AA26^2+'Off-Ramp'!S26^2)</f>
        <v>#DIV/0!</v>
      </c>
      <c r="BY26" s="61" t="e">
        <f>(Links!AB26^2+'Off-Ramp'!T26^2)/(Links!AB26+'Off-Ramp'!T26)</f>
        <v>#DIV/0!</v>
      </c>
      <c r="BZ26" s="61" t="e">
        <f>Links!AC26</f>
        <v>#DIV/0!</v>
      </c>
      <c r="CA26" s="61" t="e">
        <f>(Links!AD26^2+'Off-Ramp'!U26^2)/(Links!AD26+'Off-Ramp'!U26)</f>
        <v>#DIV/0!</v>
      </c>
    </row>
    <row r="27" spans="1:79" x14ac:dyDescent="0.15">
      <c r="A27" s="59">
        <v>25</v>
      </c>
      <c r="B27" s="60" t="e">
        <f t="shared" si="2"/>
        <v>#DIV/0!</v>
      </c>
      <c r="C27" s="60" t="e">
        <f t="shared" si="3"/>
        <v>#DIV/0!</v>
      </c>
      <c r="D27" s="60" t="e">
        <f t="shared" si="4"/>
        <v>#DIV/0!</v>
      </c>
      <c r="E27" s="60" t="e">
        <f t="shared" si="5"/>
        <v>#DIV/0!</v>
      </c>
      <c r="F27" s="60" t="e">
        <f t="shared" si="6"/>
        <v>#DIV/0!</v>
      </c>
      <c r="G27" s="60" t="e">
        <f t="shared" si="7"/>
        <v>#DIV/0!</v>
      </c>
      <c r="H27" s="60" t="e">
        <f t="shared" si="8"/>
        <v>#DIV/0!</v>
      </c>
      <c r="I27" s="60" t="e">
        <f t="shared" si="9"/>
        <v>#DIV/0!</v>
      </c>
      <c r="J27" s="60" t="e">
        <f t="shared" si="10"/>
        <v>#DIV/0!</v>
      </c>
      <c r="K27" s="60" t="e">
        <f t="shared" si="11"/>
        <v>#DIV/0!</v>
      </c>
      <c r="L27" s="60" t="e">
        <f t="shared" si="12"/>
        <v>#DIV/0!</v>
      </c>
      <c r="M27" s="60" t="e">
        <f t="shared" si="13"/>
        <v>#DIV/0!</v>
      </c>
      <c r="N27" s="60" t="e">
        <f t="shared" si="14"/>
        <v>#DIV/0!</v>
      </c>
      <c r="O27" s="61" t="e">
        <f>Links!B27</f>
        <v>#DIV/0!</v>
      </c>
      <c r="P27" s="61" t="e">
        <f>Links!C27+'On-Ramps'!AC27</f>
        <v>#DIV/0!</v>
      </c>
      <c r="Q27" s="61" t="e">
        <f>Links!D27</f>
        <v>#DIV/0!</v>
      </c>
      <c r="R27" s="61" t="e">
        <f>Links!E27+'On-Ramps'!AD27</f>
        <v>#DIV/0!</v>
      </c>
      <c r="S27" s="61" t="e">
        <f>Links!F27+'On-Ramps'!AE27</f>
        <v>#DIV/0!</v>
      </c>
      <c r="T27" s="61" t="e">
        <f>Links!G27+'On-Ramps'!AF27</f>
        <v>#DIV/0!</v>
      </c>
      <c r="U27" s="61" t="e">
        <f>Links!H27+'On-Ramps'!AG27</f>
        <v>#DIV/0!</v>
      </c>
      <c r="V27" s="61" t="e">
        <f>Links!J27+'On-Ramps'!AH27</f>
        <v>#DIV/0!</v>
      </c>
      <c r="W27" s="61" t="e">
        <f>Links!K27+'On-Ramps'!AI27</f>
        <v>#DIV/0!</v>
      </c>
      <c r="X27" s="61" t="e">
        <f>Links!L27+'On-Ramps'!AJ27</f>
        <v>#DIV/0!</v>
      </c>
      <c r="Y27" s="61" t="e">
        <f>Links!M27</f>
        <v>#DIV/0!</v>
      </c>
      <c r="Z27" s="61" t="e">
        <f>Links!N27+'On-Ramps'!AK27</f>
        <v>#DIV/0!</v>
      </c>
      <c r="AA27" s="61" t="e">
        <f>Links!O27</f>
        <v>#DIV/0!</v>
      </c>
      <c r="AB27" s="60" t="e">
        <f t="shared" si="17"/>
        <v>#DIV/0!</v>
      </c>
      <c r="AC27" s="60" t="e">
        <f t="shared" si="18"/>
        <v>#DIV/0!</v>
      </c>
      <c r="AD27" s="60" t="e">
        <f t="shared" si="19"/>
        <v>#DIV/0!</v>
      </c>
      <c r="AE27" s="60" t="e">
        <f t="shared" si="20"/>
        <v>#DIV/0!</v>
      </c>
      <c r="AF27" s="60" t="e">
        <f t="shared" si="21"/>
        <v>#DIV/0!</v>
      </c>
      <c r="AG27" s="60" t="e">
        <f t="shared" si="22"/>
        <v>#DIV/0!</v>
      </c>
      <c r="AH27" s="60" t="e">
        <f t="shared" si="23"/>
        <v>#DIV/0!</v>
      </c>
      <c r="AI27" s="60" t="e">
        <f t="shared" si="24"/>
        <v>#DIV/0!</v>
      </c>
      <c r="AJ27" s="60" t="e">
        <f t="shared" si="25"/>
        <v>#DIV/0!</v>
      </c>
      <c r="AK27" s="60" t="e">
        <f t="shared" si="26"/>
        <v>#DIV/0!</v>
      </c>
      <c r="AL27" s="60" t="e">
        <f t="shared" si="27"/>
        <v>#DIV/0!</v>
      </c>
      <c r="AM27" s="60" t="e">
        <f t="shared" si="28"/>
        <v>#DIV/0!</v>
      </c>
      <c r="AN27" s="60" t="e">
        <f t="shared" si="30"/>
        <v>#DIV/0!</v>
      </c>
      <c r="AO27" s="61" t="e">
        <f t="shared" si="29"/>
        <v>#DIV/0!</v>
      </c>
      <c r="AP27" s="61" t="e">
        <f t="shared" si="29"/>
        <v>#DIV/0!</v>
      </c>
      <c r="AQ27" s="61" t="e">
        <f t="shared" si="29"/>
        <v>#DIV/0!</v>
      </c>
      <c r="AR27" s="61" t="e">
        <f t="shared" si="29"/>
        <v>#DIV/0!</v>
      </c>
      <c r="AS27" s="61" t="e">
        <f t="shared" si="29"/>
        <v>#DIV/0!</v>
      </c>
      <c r="AT27" s="61" t="e">
        <f t="shared" si="29"/>
        <v>#DIV/0!</v>
      </c>
      <c r="AU27" s="61" t="e">
        <f t="shared" si="29"/>
        <v>#DIV/0!</v>
      </c>
      <c r="AV27" s="61" t="e">
        <f t="shared" si="29"/>
        <v>#DIV/0!</v>
      </c>
      <c r="AW27" s="61" t="e">
        <f t="shared" si="29"/>
        <v>#DIV/0!</v>
      </c>
      <c r="AX27" s="61" t="e">
        <f t="shared" si="29"/>
        <v>#DIV/0!</v>
      </c>
      <c r="AY27" s="61" t="e">
        <f t="shared" si="29"/>
        <v>#DIV/0!</v>
      </c>
      <c r="AZ27" s="61" t="e">
        <f t="shared" si="29"/>
        <v>#DIV/0!</v>
      </c>
      <c r="BA27" s="61" t="e">
        <f t="shared" si="29"/>
        <v>#DIV/0!</v>
      </c>
      <c r="BB27" s="60" t="e">
        <f>Links!AF27</f>
        <v>#DIV/0!</v>
      </c>
      <c r="BC27" s="60" t="e">
        <f>(Links!AG27*Links!C27+'On-Ramps'!AC27*'On-Ramps'!CE27)/('On-Ramps'!AC27+Links!C27)</f>
        <v>#DIV/0!</v>
      </c>
      <c r="BD27" s="60" t="e">
        <f>Links!AH27</f>
        <v>#DIV/0!</v>
      </c>
      <c r="BE27" s="60" t="e">
        <f>(Links!AI27*Links!E27+'On-Ramps'!AD27*'On-Ramps'!CF26)/('On-Ramps'!AD27+Links!E27)</f>
        <v>#DIV/0!</v>
      </c>
      <c r="BF27" s="60" t="e">
        <f>(Links!F27*Links!AJ27+'On-Ramps'!AE27*'On-Ramps'!CG27)/('On-Ramps'!AE27+Links!F27)</f>
        <v>#DIV/0!</v>
      </c>
      <c r="BG27" s="60" t="e">
        <f>(Links!G27*Links!AK27+'On-Ramps'!AF27*'On-Ramps'!CH27)/('On-Ramps'!AF27+Links!G27)</f>
        <v>#DIV/0!</v>
      </c>
      <c r="BH27" s="60" t="e">
        <f>(Links!H27*Links!AL27+'On-Ramps'!AG27*'On-Ramps'!CI27)/('On-Ramps'!AG27+Links!H27)</f>
        <v>#DIV/0!</v>
      </c>
      <c r="BI27" s="60" t="e">
        <f>(Links!J27*Links!AN27+'On-Ramps'!AH27*'On-Ramps'!CJ27)/('On-Ramps'!AH27+Links!J27)</f>
        <v>#DIV/0!</v>
      </c>
      <c r="BJ27" s="60" t="e">
        <f>(Links!K27*Links!AO27+'On-Ramps'!AI27*'On-Ramps'!CK27)/('On-Ramps'!AI27+Links!K27)</f>
        <v>#DIV/0!</v>
      </c>
      <c r="BK27" s="60" t="e">
        <f>(Links!L27*Links!AP27+'On-Ramps'!AJ27*'On-Ramps'!CL27)/(Links!L27+'On-Ramps'!AJ27)</f>
        <v>#DIV/0!</v>
      </c>
      <c r="BL27" s="60" t="e">
        <f>Links!AQ27</f>
        <v>#DIV/0!</v>
      </c>
      <c r="BM27" s="60" t="e">
        <f>(Links!N27*Links!AR27+'On-Ramps'!AL27*'On-Ramps'!CM27)/(Links!N27+'On-Ramps'!AL27)</f>
        <v>#DIV/0!</v>
      </c>
      <c r="BN27" s="60" t="e">
        <f>Links!AS27</f>
        <v>#DIV/0!</v>
      </c>
      <c r="BO27" s="61" t="e">
        <f>(Links!R27^2+'Off-Ramp'!L27^2)/(Links!R27+'Off-Ramp'!L27)</f>
        <v>#DIV/0!</v>
      </c>
      <c r="BP27" s="61" t="e">
        <f>Links!S27</f>
        <v>#DIV/0!</v>
      </c>
      <c r="BQ27" s="61" t="e">
        <f>(Links!S27^2+'Off-Ramp'!C27^2)/(Links!S27+'Off-Ramp'!C27)</f>
        <v>#DIV/0!</v>
      </c>
      <c r="BR27" s="61" t="e">
        <f>Links!T27</f>
        <v>#DIV/0!</v>
      </c>
      <c r="BS27" s="61" t="e">
        <f>(Links!U27^2+'Off-Ramp'!N27^2)/(Links!U27+'Off-Ramp'!N27)</f>
        <v>#DIV/0!</v>
      </c>
      <c r="BT27" s="61" t="e">
        <f>(Links!V27^2+'Off-Ramp'!O27^2)/(Links!V27+'Off-Ramp'!O27)</f>
        <v>#DIV/0!</v>
      </c>
      <c r="BU27" s="61" t="e">
        <f>(Links!W27^2+'Off-Ramp'!P27^2)/(Links!W27+'Off-Ramp'!P27)</f>
        <v>#DIV/0!</v>
      </c>
      <c r="BV27" s="61" t="e">
        <f>(Links!Y27^2+'Off-Ramp'!Q27^2)/(Links!Y27+'Off-Ramp'!Q27)</f>
        <v>#DIV/0!</v>
      </c>
      <c r="BW27" s="61" t="e">
        <f>(Links!Z27^2+'Off-Ramp'!R27^2)/(Links!Z27+'Off-Ramp'!R27)</f>
        <v>#DIV/0!</v>
      </c>
      <c r="BX27" s="61" t="e">
        <f>(Links!AA27+'Off-Ramp'!S27)/(Links!AA27^2+'Off-Ramp'!S27^2)</f>
        <v>#DIV/0!</v>
      </c>
      <c r="BY27" s="61" t="e">
        <f>(Links!AB27^2+'Off-Ramp'!T27^2)/(Links!AB27+'Off-Ramp'!T27)</f>
        <v>#DIV/0!</v>
      </c>
      <c r="BZ27" s="61" t="e">
        <f>Links!AC27</f>
        <v>#DIV/0!</v>
      </c>
      <c r="CA27" s="61" t="e">
        <f>(Links!AD27^2+'Off-Ramp'!U27^2)/(Links!AD27+'Off-Ramp'!U27)</f>
        <v>#DIV/0!</v>
      </c>
    </row>
    <row r="28" spans="1:79" x14ac:dyDescent="0.15">
      <c r="A28" s="59">
        <v>26</v>
      </c>
      <c r="B28" s="60" t="e">
        <f t="shared" si="2"/>
        <v>#DIV/0!</v>
      </c>
      <c r="C28" s="60" t="e">
        <f t="shared" si="3"/>
        <v>#DIV/0!</v>
      </c>
      <c r="D28" s="60" t="e">
        <f t="shared" si="4"/>
        <v>#DIV/0!</v>
      </c>
      <c r="E28" s="60" t="e">
        <f t="shared" si="5"/>
        <v>#DIV/0!</v>
      </c>
      <c r="F28" s="60" t="e">
        <f t="shared" si="6"/>
        <v>#DIV/0!</v>
      </c>
      <c r="G28" s="60" t="e">
        <f t="shared" si="7"/>
        <v>#DIV/0!</v>
      </c>
      <c r="H28" s="60" t="e">
        <f t="shared" si="8"/>
        <v>#DIV/0!</v>
      </c>
      <c r="I28" s="60" t="e">
        <f t="shared" si="9"/>
        <v>#DIV/0!</v>
      </c>
      <c r="J28" s="60" t="e">
        <f t="shared" si="10"/>
        <v>#DIV/0!</v>
      </c>
      <c r="K28" s="60" t="e">
        <f t="shared" si="11"/>
        <v>#DIV/0!</v>
      </c>
      <c r="L28" s="60" t="e">
        <f t="shared" si="12"/>
        <v>#DIV/0!</v>
      </c>
      <c r="M28" s="60" t="e">
        <f t="shared" si="13"/>
        <v>#DIV/0!</v>
      </c>
      <c r="N28" s="60" t="e">
        <f t="shared" si="14"/>
        <v>#DIV/0!</v>
      </c>
      <c r="O28" s="61" t="e">
        <f>Links!B28</f>
        <v>#DIV/0!</v>
      </c>
      <c r="P28" s="61" t="e">
        <f>Links!C28+'On-Ramps'!AC28</f>
        <v>#DIV/0!</v>
      </c>
      <c r="Q28" s="61" t="e">
        <f>Links!D28</f>
        <v>#DIV/0!</v>
      </c>
      <c r="R28" s="61" t="e">
        <f>Links!E28+'On-Ramps'!AD28</f>
        <v>#DIV/0!</v>
      </c>
      <c r="S28" s="61" t="e">
        <f>Links!F28+'On-Ramps'!AE28</f>
        <v>#DIV/0!</v>
      </c>
      <c r="T28" s="61" t="e">
        <f>Links!G28+'On-Ramps'!AF28</f>
        <v>#DIV/0!</v>
      </c>
      <c r="U28" s="61" t="e">
        <f>Links!H28+'On-Ramps'!AG28</f>
        <v>#DIV/0!</v>
      </c>
      <c r="V28" s="61" t="e">
        <f>Links!J28+'On-Ramps'!AH28</f>
        <v>#DIV/0!</v>
      </c>
      <c r="W28" s="61" t="e">
        <f>Links!K28+'On-Ramps'!AI28</f>
        <v>#DIV/0!</v>
      </c>
      <c r="X28" s="61" t="e">
        <f>Links!L28+'On-Ramps'!AJ28</f>
        <v>#DIV/0!</v>
      </c>
      <c r="Y28" s="61" t="e">
        <f>Links!M28</f>
        <v>#DIV/0!</v>
      </c>
      <c r="Z28" s="61" t="e">
        <f>Links!N28+'On-Ramps'!AK28</f>
        <v>#DIV/0!</v>
      </c>
      <c r="AA28" s="61" t="e">
        <f>Links!O28</f>
        <v>#DIV/0!</v>
      </c>
      <c r="AB28" s="60" t="e">
        <f t="shared" si="17"/>
        <v>#DIV/0!</v>
      </c>
      <c r="AC28" s="60" t="e">
        <f t="shared" si="18"/>
        <v>#DIV/0!</v>
      </c>
      <c r="AD28" s="60" t="e">
        <f t="shared" si="19"/>
        <v>#DIV/0!</v>
      </c>
      <c r="AE28" s="60" t="e">
        <f t="shared" si="20"/>
        <v>#DIV/0!</v>
      </c>
      <c r="AF28" s="60" t="e">
        <f t="shared" si="21"/>
        <v>#DIV/0!</v>
      </c>
      <c r="AG28" s="60" t="e">
        <f t="shared" si="22"/>
        <v>#DIV/0!</v>
      </c>
      <c r="AH28" s="60" t="e">
        <f t="shared" si="23"/>
        <v>#DIV/0!</v>
      </c>
      <c r="AI28" s="60" t="e">
        <f t="shared" si="24"/>
        <v>#DIV/0!</v>
      </c>
      <c r="AJ28" s="60" t="e">
        <f t="shared" si="25"/>
        <v>#DIV/0!</v>
      </c>
      <c r="AK28" s="60" t="e">
        <f t="shared" si="26"/>
        <v>#DIV/0!</v>
      </c>
      <c r="AL28" s="60" t="e">
        <f t="shared" si="27"/>
        <v>#DIV/0!</v>
      </c>
      <c r="AM28" s="60" t="e">
        <f t="shared" si="28"/>
        <v>#DIV/0!</v>
      </c>
      <c r="AN28" s="60" t="e">
        <f t="shared" si="30"/>
        <v>#DIV/0!</v>
      </c>
      <c r="AO28" s="61" t="e">
        <f t="shared" si="29"/>
        <v>#DIV/0!</v>
      </c>
      <c r="AP28" s="61" t="e">
        <f t="shared" si="29"/>
        <v>#DIV/0!</v>
      </c>
      <c r="AQ28" s="61" t="e">
        <f t="shared" si="29"/>
        <v>#DIV/0!</v>
      </c>
      <c r="AR28" s="61" t="e">
        <f t="shared" si="29"/>
        <v>#DIV/0!</v>
      </c>
      <c r="AS28" s="61" t="e">
        <f t="shared" si="29"/>
        <v>#DIV/0!</v>
      </c>
      <c r="AT28" s="61" t="e">
        <f t="shared" si="29"/>
        <v>#DIV/0!</v>
      </c>
      <c r="AU28" s="61" t="e">
        <f t="shared" si="29"/>
        <v>#DIV/0!</v>
      </c>
      <c r="AV28" s="61" t="e">
        <f t="shared" si="29"/>
        <v>#DIV/0!</v>
      </c>
      <c r="AW28" s="61" t="e">
        <f t="shared" si="29"/>
        <v>#DIV/0!</v>
      </c>
      <c r="AX28" s="61" t="e">
        <f t="shared" si="29"/>
        <v>#DIV/0!</v>
      </c>
      <c r="AY28" s="61" t="e">
        <f t="shared" si="29"/>
        <v>#DIV/0!</v>
      </c>
      <c r="AZ28" s="61" t="e">
        <f t="shared" si="29"/>
        <v>#DIV/0!</v>
      </c>
      <c r="BA28" s="61" t="e">
        <f t="shared" si="29"/>
        <v>#DIV/0!</v>
      </c>
      <c r="BB28" s="60" t="e">
        <f>Links!AF28</f>
        <v>#DIV/0!</v>
      </c>
      <c r="BC28" s="60" t="e">
        <f>(Links!AG28*Links!C28+'On-Ramps'!AC28*'On-Ramps'!CE28)/('On-Ramps'!AC28+Links!C28)</f>
        <v>#DIV/0!</v>
      </c>
      <c r="BD28" s="60" t="e">
        <f>Links!AH28</f>
        <v>#DIV/0!</v>
      </c>
      <c r="BE28" s="60" t="e">
        <f>(Links!AI28*Links!E28+'On-Ramps'!AD28*'On-Ramps'!CF27)/('On-Ramps'!AD28+Links!E28)</f>
        <v>#DIV/0!</v>
      </c>
      <c r="BF28" s="60" t="e">
        <f>(Links!F28*Links!AJ28+'On-Ramps'!AE28*'On-Ramps'!CG28)/('On-Ramps'!AE28+Links!F28)</f>
        <v>#DIV/0!</v>
      </c>
      <c r="BG28" s="60" t="e">
        <f>(Links!G28*Links!AK28+'On-Ramps'!AF28*'On-Ramps'!CH28)/('On-Ramps'!AF28+Links!G28)</f>
        <v>#DIV/0!</v>
      </c>
      <c r="BH28" s="60" t="e">
        <f>(Links!H28*Links!AL28+'On-Ramps'!AG28*'On-Ramps'!CI28)/('On-Ramps'!AG28+Links!H28)</f>
        <v>#DIV/0!</v>
      </c>
      <c r="BI28" s="60" t="e">
        <f>(Links!J28*Links!AN28+'On-Ramps'!AH28*'On-Ramps'!CJ28)/('On-Ramps'!AH28+Links!J28)</f>
        <v>#DIV/0!</v>
      </c>
      <c r="BJ28" s="60" t="e">
        <f>(Links!K28*Links!AO28+'On-Ramps'!AI28*'On-Ramps'!CK28)/('On-Ramps'!AI28+Links!K28)</f>
        <v>#DIV/0!</v>
      </c>
      <c r="BK28" s="60" t="e">
        <f>(Links!L28*Links!AP28+'On-Ramps'!AJ28*'On-Ramps'!CL28)/(Links!L28+'On-Ramps'!AJ28)</f>
        <v>#DIV/0!</v>
      </c>
      <c r="BL28" s="60" t="e">
        <f>Links!AQ28</f>
        <v>#DIV/0!</v>
      </c>
      <c r="BM28" s="60" t="e">
        <f>(Links!N28*Links!AR28+'On-Ramps'!AL28*'On-Ramps'!CM28)/(Links!N28+'On-Ramps'!AL28)</f>
        <v>#DIV/0!</v>
      </c>
      <c r="BN28" s="60" t="e">
        <f>Links!AS28</f>
        <v>#DIV/0!</v>
      </c>
      <c r="BO28" s="61" t="e">
        <f>(Links!R28^2+'Off-Ramp'!L28^2)/(Links!R28+'Off-Ramp'!L28)</f>
        <v>#DIV/0!</v>
      </c>
      <c r="BP28" s="61" t="e">
        <f>Links!S28</f>
        <v>#DIV/0!</v>
      </c>
      <c r="BQ28" s="61" t="e">
        <f>(Links!S28^2+'Off-Ramp'!C28^2)/(Links!S28+'Off-Ramp'!C28)</f>
        <v>#DIV/0!</v>
      </c>
      <c r="BR28" s="61" t="e">
        <f>Links!T28</f>
        <v>#DIV/0!</v>
      </c>
      <c r="BS28" s="61" t="e">
        <f>(Links!U28^2+'Off-Ramp'!N28^2)/(Links!U28+'Off-Ramp'!N28)</f>
        <v>#DIV/0!</v>
      </c>
      <c r="BT28" s="61" t="e">
        <f>(Links!V28^2+'Off-Ramp'!O28^2)/(Links!V28+'Off-Ramp'!O28)</f>
        <v>#DIV/0!</v>
      </c>
      <c r="BU28" s="61" t="e">
        <f>(Links!W28^2+'Off-Ramp'!P28^2)/(Links!W28+'Off-Ramp'!P28)</f>
        <v>#DIV/0!</v>
      </c>
      <c r="BV28" s="61" t="e">
        <f>(Links!Y28^2+'Off-Ramp'!Q28^2)/(Links!Y28+'Off-Ramp'!Q28)</f>
        <v>#DIV/0!</v>
      </c>
      <c r="BW28" s="61" t="e">
        <f>(Links!Z28^2+'Off-Ramp'!R28^2)/(Links!Z28+'Off-Ramp'!R28)</f>
        <v>#DIV/0!</v>
      </c>
      <c r="BX28" s="61" t="e">
        <f>(Links!AA28+'Off-Ramp'!S28)/(Links!AA28^2+'Off-Ramp'!S28^2)</f>
        <v>#DIV/0!</v>
      </c>
      <c r="BY28" s="61" t="e">
        <f>(Links!AB28^2+'Off-Ramp'!T28^2)/(Links!AB28+'Off-Ramp'!T28)</f>
        <v>#DIV/0!</v>
      </c>
      <c r="BZ28" s="61" t="e">
        <f>Links!AC28</f>
        <v>#DIV/0!</v>
      </c>
      <c r="CA28" s="61" t="e">
        <f>(Links!AD28^2+'Off-Ramp'!U28^2)/(Links!AD28+'Off-Ramp'!U28)</f>
        <v>#DIV/0!</v>
      </c>
    </row>
    <row r="29" spans="1:79" x14ac:dyDescent="0.15">
      <c r="A29" s="59">
        <v>27</v>
      </c>
      <c r="B29" s="60" t="e">
        <f t="shared" si="2"/>
        <v>#DIV/0!</v>
      </c>
      <c r="C29" s="60" t="e">
        <f t="shared" si="3"/>
        <v>#DIV/0!</v>
      </c>
      <c r="D29" s="60" t="e">
        <f t="shared" si="4"/>
        <v>#DIV/0!</v>
      </c>
      <c r="E29" s="60" t="e">
        <f t="shared" si="5"/>
        <v>#DIV/0!</v>
      </c>
      <c r="F29" s="60" t="e">
        <f t="shared" si="6"/>
        <v>#DIV/0!</v>
      </c>
      <c r="G29" s="60" t="e">
        <f t="shared" si="7"/>
        <v>#DIV/0!</v>
      </c>
      <c r="H29" s="60" t="e">
        <f t="shared" si="8"/>
        <v>#DIV/0!</v>
      </c>
      <c r="I29" s="60" t="e">
        <f t="shared" si="9"/>
        <v>#DIV/0!</v>
      </c>
      <c r="J29" s="60" t="e">
        <f t="shared" si="10"/>
        <v>#DIV/0!</v>
      </c>
      <c r="K29" s="60" t="e">
        <f t="shared" si="11"/>
        <v>#DIV/0!</v>
      </c>
      <c r="L29" s="60" t="e">
        <f t="shared" si="12"/>
        <v>#DIV/0!</v>
      </c>
      <c r="M29" s="60" t="e">
        <f t="shared" si="13"/>
        <v>#DIV/0!</v>
      </c>
      <c r="N29" s="60" t="e">
        <f t="shared" si="14"/>
        <v>#DIV/0!</v>
      </c>
      <c r="O29" s="61" t="e">
        <f>Links!B29</f>
        <v>#DIV/0!</v>
      </c>
      <c r="P29" s="61" t="e">
        <f>Links!C29+'On-Ramps'!AC29</f>
        <v>#DIV/0!</v>
      </c>
      <c r="Q29" s="61" t="e">
        <f>Links!D29</f>
        <v>#DIV/0!</v>
      </c>
      <c r="R29" s="61" t="e">
        <f>Links!E29+'On-Ramps'!AD29</f>
        <v>#DIV/0!</v>
      </c>
      <c r="S29" s="61" t="e">
        <f>Links!F29+'On-Ramps'!AE29</f>
        <v>#DIV/0!</v>
      </c>
      <c r="T29" s="61" t="e">
        <f>Links!G29+'On-Ramps'!AF29</f>
        <v>#DIV/0!</v>
      </c>
      <c r="U29" s="61" t="e">
        <f>Links!H29+'On-Ramps'!AG29</f>
        <v>#DIV/0!</v>
      </c>
      <c r="V29" s="61" t="e">
        <f>Links!J29+'On-Ramps'!AH29</f>
        <v>#DIV/0!</v>
      </c>
      <c r="W29" s="61" t="e">
        <f>Links!K29+'On-Ramps'!AI29</f>
        <v>#DIV/0!</v>
      </c>
      <c r="X29" s="61" t="e">
        <f>Links!L29+'On-Ramps'!AJ29</f>
        <v>#DIV/0!</v>
      </c>
      <c r="Y29" s="61" t="e">
        <f>Links!M29</f>
        <v>#DIV/0!</v>
      </c>
      <c r="Z29" s="61" t="e">
        <f>Links!N29+'On-Ramps'!AK29</f>
        <v>#DIV/0!</v>
      </c>
      <c r="AA29" s="61" t="e">
        <f>Links!O29</f>
        <v>#DIV/0!</v>
      </c>
      <c r="AB29" s="60" t="e">
        <f t="shared" si="17"/>
        <v>#DIV/0!</v>
      </c>
      <c r="AC29" s="60" t="e">
        <f t="shared" si="18"/>
        <v>#DIV/0!</v>
      </c>
      <c r="AD29" s="60" t="e">
        <f t="shared" si="19"/>
        <v>#DIV/0!</v>
      </c>
      <c r="AE29" s="60" t="e">
        <f t="shared" si="20"/>
        <v>#DIV/0!</v>
      </c>
      <c r="AF29" s="60" t="e">
        <f t="shared" si="21"/>
        <v>#DIV/0!</v>
      </c>
      <c r="AG29" s="60" t="e">
        <f t="shared" si="22"/>
        <v>#DIV/0!</v>
      </c>
      <c r="AH29" s="60" t="e">
        <f t="shared" si="23"/>
        <v>#DIV/0!</v>
      </c>
      <c r="AI29" s="60" t="e">
        <f t="shared" si="24"/>
        <v>#DIV/0!</v>
      </c>
      <c r="AJ29" s="60" t="e">
        <f t="shared" si="25"/>
        <v>#DIV/0!</v>
      </c>
      <c r="AK29" s="60" t="e">
        <f t="shared" si="26"/>
        <v>#DIV/0!</v>
      </c>
      <c r="AL29" s="60" t="e">
        <f t="shared" si="27"/>
        <v>#DIV/0!</v>
      </c>
      <c r="AM29" s="60" t="e">
        <f t="shared" si="28"/>
        <v>#DIV/0!</v>
      </c>
      <c r="AN29" s="60" t="e">
        <f t="shared" si="30"/>
        <v>#DIV/0!</v>
      </c>
      <c r="AO29" s="61" t="e">
        <f t="shared" si="29"/>
        <v>#DIV/0!</v>
      </c>
      <c r="AP29" s="61" t="e">
        <f t="shared" si="29"/>
        <v>#DIV/0!</v>
      </c>
      <c r="AQ29" s="61" t="e">
        <f t="shared" si="29"/>
        <v>#DIV/0!</v>
      </c>
      <c r="AR29" s="61" t="e">
        <f t="shared" si="29"/>
        <v>#DIV/0!</v>
      </c>
      <c r="AS29" s="61" t="e">
        <f t="shared" si="29"/>
        <v>#DIV/0!</v>
      </c>
      <c r="AT29" s="61" t="e">
        <f t="shared" si="29"/>
        <v>#DIV/0!</v>
      </c>
      <c r="AU29" s="61" t="e">
        <f t="shared" si="29"/>
        <v>#DIV/0!</v>
      </c>
      <c r="AV29" s="61" t="e">
        <f t="shared" si="29"/>
        <v>#DIV/0!</v>
      </c>
      <c r="AW29" s="61" t="e">
        <f t="shared" si="29"/>
        <v>#DIV/0!</v>
      </c>
      <c r="AX29" s="61" t="e">
        <f t="shared" si="29"/>
        <v>#DIV/0!</v>
      </c>
      <c r="AY29" s="61" t="e">
        <f t="shared" si="29"/>
        <v>#DIV/0!</v>
      </c>
      <c r="AZ29" s="61" t="e">
        <f t="shared" si="29"/>
        <v>#DIV/0!</v>
      </c>
      <c r="BA29" s="61" t="e">
        <f t="shared" si="29"/>
        <v>#DIV/0!</v>
      </c>
      <c r="BB29" s="60" t="e">
        <f>Links!AF29</f>
        <v>#DIV/0!</v>
      </c>
      <c r="BC29" s="60" t="e">
        <f>(Links!AG29*Links!C29+'On-Ramps'!AC29*'On-Ramps'!CE29)/('On-Ramps'!AC29+Links!C29)</f>
        <v>#DIV/0!</v>
      </c>
      <c r="BD29" s="60" t="e">
        <f>Links!AH29</f>
        <v>#DIV/0!</v>
      </c>
      <c r="BE29" s="60" t="e">
        <f>(Links!AI29*Links!E29+'On-Ramps'!AD29*'On-Ramps'!CF28)/('On-Ramps'!AD29+Links!E29)</f>
        <v>#DIV/0!</v>
      </c>
      <c r="BF29" s="60" t="e">
        <f>(Links!F29*Links!AJ29+'On-Ramps'!AE29*'On-Ramps'!CG29)/('On-Ramps'!AE29+Links!F29)</f>
        <v>#DIV/0!</v>
      </c>
      <c r="BG29" s="60" t="e">
        <f>(Links!G29*Links!AK29+'On-Ramps'!AF29*'On-Ramps'!CH29)/('On-Ramps'!AF29+Links!G29)</f>
        <v>#DIV/0!</v>
      </c>
      <c r="BH29" s="60" t="e">
        <f>(Links!H29*Links!AL29+'On-Ramps'!AG29*'On-Ramps'!CI29)/('On-Ramps'!AG29+Links!H29)</f>
        <v>#DIV/0!</v>
      </c>
      <c r="BI29" s="60" t="e">
        <f>(Links!J29*Links!AN29+'On-Ramps'!AH29*'On-Ramps'!CJ29)/('On-Ramps'!AH29+Links!J29)</f>
        <v>#DIV/0!</v>
      </c>
      <c r="BJ29" s="60" t="e">
        <f>(Links!K29*Links!AO29+'On-Ramps'!AI29*'On-Ramps'!CK29)/('On-Ramps'!AI29+Links!K29)</f>
        <v>#DIV/0!</v>
      </c>
      <c r="BK29" s="60" t="e">
        <f>(Links!L29*Links!AP29+'On-Ramps'!AJ29*'On-Ramps'!CL29)/(Links!L29+'On-Ramps'!AJ29)</f>
        <v>#DIV/0!</v>
      </c>
      <c r="BL29" s="60" t="e">
        <f>Links!AQ29</f>
        <v>#DIV/0!</v>
      </c>
      <c r="BM29" s="60" t="e">
        <f>(Links!N29*Links!AR29+'On-Ramps'!AL29*'On-Ramps'!CM29)/(Links!N29+'On-Ramps'!AL29)</f>
        <v>#DIV/0!</v>
      </c>
      <c r="BN29" s="60" t="e">
        <f>Links!AS29</f>
        <v>#DIV/0!</v>
      </c>
      <c r="BO29" s="61" t="e">
        <f>(Links!R29^2+'Off-Ramp'!L29^2)/(Links!R29+'Off-Ramp'!L29)</f>
        <v>#DIV/0!</v>
      </c>
      <c r="BP29" s="61" t="e">
        <f>Links!S29</f>
        <v>#DIV/0!</v>
      </c>
      <c r="BQ29" s="61" t="e">
        <f>(Links!S29^2+'Off-Ramp'!C29^2)/(Links!S29+'Off-Ramp'!C29)</f>
        <v>#DIV/0!</v>
      </c>
      <c r="BR29" s="61" t="e">
        <f>Links!T29</f>
        <v>#DIV/0!</v>
      </c>
      <c r="BS29" s="61" t="e">
        <f>(Links!U29^2+'Off-Ramp'!N29^2)/(Links!U29+'Off-Ramp'!N29)</f>
        <v>#DIV/0!</v>
      </c>
      <c r="BT29" s="61" t="e">
        <f>(Links!V29^2+'Off-Ramp'!O29^2)/(Links!V29+'Off-Ramp'!O29)</f>
        <v>#DIV/0!</v>
      </c>
      <c r="BU29" s="61" t="e">
        <f>(Links!W29^2+'Off-Ramp'!P29^2)/(Links!W29+'Off-Ramp'!P29)</f>
        <v>#DIV/0!</v>
      </c>
      <c r="BV29" s="61" t="e">
        <f>(Links!Y29^2+'Off-Ramp'!Q29^2)/(Links!Y29+'Off-Ramp'!Q29)</f>
        <v>#DIV/0!</v>
      </c>
      <c r="BW29" s="61" t="e">
        <f>(Links!Z29^2+'Off-Ramp'!R29^2)/(Links!Z29+'Off-Ramp'!R29)</f>
        <v>#DIV/0!</v>
      </c>
      <c r="BX29" s="61" t="e">
        <f>(Links!AA29+'Off-Ramp'!S29)/(Links!AA29^2+'Off-Ramp'!S29^2)</f>
        <v>#DIV/0!</v>
      </c>
      <c r="BY29" s="61" t="e">
        <f>(Links!AB29^2+'Off-Ramp'!T29^2)/(Links!AB29+'Off-Ramp'!T29)</f>
        <v>#DIV/0!</v>
      </c>
      <c r="BZ29" s="61" t="e">
        <f>Links!AC29</f>
        <v>#DIV/0!</v>
      </c>
      <c r="CA29" s="61" t="e">
        <f>(Links!AD29^2+'Off-Ramp'!U29^2)/(Links!AD29+'Off-Ramp'!U29)</f>
        <v>#DIV/0!</v>
      </c>
    </row>
    <row r="30" spans="1:79" x14ac:dyDescent="0.15">
      <c r="A30" s="59">
        <v>28</v>
      </c>
      <c r="B30" s="60" t="e">
        <f t="shared" si="2"/>
        <v>#DIV/0!</v>
      </c>
      <c r="C30" s="60" t="e">
        <f t="shared" si="3"/>
        <v>#DIV/0!</v>
      </c>
      <c r="D30" s="60" t="e">
        <f t="shared" si="4"/>
        <v>#DIV/0!</v>
      </c>
      <c r="E30" s="60" t="e">
        <f t="shared" si="5"/>
        <v>#DIV/0!</v>
      </c>
      <c r="F30" s="60" t="e">
        <f t="shared" si="6"/>
        <v>#DIV/0!</v>
      </c>
      <c r="G30" s="60" t="e">
        <f t="shared" si="7"/>
        <v>#DIV/0!</v>
      </c>
      <c r="H30" s="60" t="e">
        <f t="shared" si="8"/>
        <v>#DIV/0!</v>
      </c>
      <c r="I30" s="60" t="e">
        <f t="shared" si="9"/>
        <v>#DIV/0!</v>
      </c>
      <c r="J30" s="60" t="e">
        <f t="shared" si="10"/>
        <v>#DIV/0!</v>
      </c>
      <c r="K30" s="60" t="e">
        <f t="shared" si="11"/>
        <v>#DIV/0!</v>
      </c>
      <c r="L30" s="60" t="e">
        <f t="shared" si="12"/>
        <v>#DIV/0!</v>
      </c>
      <c r="M30" s="60" t="e">
        <f t="shared" si="13"/>
        <v>#DIV/0!</v>
      </c>
      <c r="N30" s="60" t="e">
        <f t="shared" si="14"/>
        <v>#DIV/0!</v>
      </c>
      <c r="O30" s="61" t="e">
        <f>Links!B30</f>
        <v>#DIV/0!</v>
      </c>
      <c r="P30" s="61" t="e">
        <f>Links!C30+'On-Ramps'!AC30</f>
        <v>#DIV/0!</v>
      </c>
      <c r="Q30" s="61" t="e">
        <f>Links!D30</f>
        <v>#DIV/0!</v>
      </c>
      <c r="R30" s="61" t="e">
        <f>Links!E30+'On-Ramps'!AD30</f>
        <v>#DIV/0!</v>
      </c>
      <c r="S30" s="61" t="e">
        <f>Links!F30+'On-Ramps'!AE30</f>
        <v>#DIV/0!</v>
      </c>
      <c r="T30" s="61" t="e">
        <f>Links!G30+'On-Ramps'!AF30</f>
        <v>#DIV/0!</v>
      </c>
      <c r="U30" s="61" t="e">
        <f>Links!H30+'On-Ramps'!AG30</f>
        <v>#DIV/0!</v>
      </c>
      <c r="V30" s="61" t="e">
        <f>Links!J30+'On-Ramps'!AH30</f>
        <v>#DIV/0!</v>
      </c>
      <c r="W30" s="61" t="e">
        <f>Links!K30+'On-Ramps'!AI30</f>
        <v>#DIV/0!</v>
      </c>
      <c r="X30" s="61" t="e">
        <f>Links!L30+'On-Ramps'!AJ30</f>
        <v>#DIV/0!</v>
      </c>
      <c r="Y30" s="61" t="e">
        <f>Links!M30</f>
        <v>#DIV/0!</v>
      </c>
      <c r="Z30" s="61" t="e">
        <f>Links!N30+'On-Ramps'!AK30</f>
        <v>#DIV/0!</v>
      </c>
      <c r="AA30" s="61" t="e">
        <f>Links!O30</f>
        <v>#DIV/0!</v>
      </c>
      <c r="AB30" s="60" t="e">
        <f t="shared" si="17"/>
        <v>#DIV/0!</v>
      </c>
      <c r="AC30" s="60" t="e">
        <f t="shared" si="18"/>
        <v>#DIV/0!</v>
      </c>
      <c r="AD30" s="60" t="e">
        <f t="shared" si="19"/>
        <v>#DIV/0!</v>
      </c>
      <c r="AE30" s="60" t="e">
        <f t="shared" si="20"/>
        <v>#DIV/0!</v>
      </c>
      <c r="AF30" s="60" t="e">
        <f t="shared" si="21"/>
        <v>#DIV/0!</v>
      </c>
      <c r="AG30" s="60" t="e">
        <f t="shared" si="22"/>
        <v>#DIV/0!</v>
      </c>
      <c r="AH30" s="60" t="e">
        <f t="shared" si="23"/>
        <v>#DIV/0!</v>
      </c>
      <c r="AI30" s="60" t="e">
        <f t="shared" si="24"/>
        <v>#DIV/0!</v>
      </c>
      <c r="AJ30" s="60" t="e">
        <f t="shared" si="25"/>
        <v>#DIV/0!</v>
      </c>
      <c r="AK30" s="60" t="e">
        <f t="shared" si="26"/>
        <v>#DIV/0!</v>
      </c>
      <c r="AL30" s="60" t="e">
        <f t="shared" si="27"/>
        <v>#DIV/0!</v>
      </c>
      <c r="AM30" s="60" t="e">
        <f t="shared" si="28"/>
        <v>#DIV/0!</v>
      </c>
      <c r="AN30" s="60" t="e">
        <f t="shared" si="30"/>
        <v>#DIV/0!</v>
      </c>
      <c r="AO30" s="61" t="e">
        <f t="shared" si="29"/>
        <v>#DIV/0!</v>
      </c>
      <c r="AP30" s="61" t="e">
        <f t="shared" si="29"/>
        <v>#DIV/0!</v>
      </c>
      <c r="AQ30" s="61" t="e">
        <f t="shared" si="29"/>
        <v>#DIV/0!</v>
      </c>
      <c r="AR30" s="61" t="e">
        <f t="shared" si="29"/>
        <v>#DIV/0!</v>
      </c>
      <c r="AS30" s="61" t="e">
        <f t="shared" si="29"/>
        <v>#DIV/0!</v>
      </c>
      <c r="AT30" s="61" t="e">
        <f t="shared" si="29"/>
        <v>#DIV/0!</v>
      </c>
      <c r="AU30" s="61" t="e">
        <f t="shared" si="29"/>
        <v>#DIV/0!</v>
      </c>
      <c r="AV30" s="61" t="e">
        <f t="shared" si="29"/>
        <v>#DIV/0!</v>
      </c>
      <c r="AW30" s="61" t="e">
        <f t="shared" si="29"/>
        <v>#DIV/0!</v>
      </c>
      <c r="AX30" s="61" t="e">
        <f t="shared" si="29"/>
        <v>#DIV/0!</v>
      </c>
      <c r="AY30" s="61" t="e">
        <f t="shared" si="29"/>
        <v>#DIV/0!</v>
      </c>
      <c r="AZ30" s="61" t="e">
        <f t="shared" si="29"/>
        <v>#DIV/0!</v>
      </c>
      <c r="BA30" s="61" t="e">
        <f t="shared" si="29"/>
        <v>#DIV/0!</v>
      </c>
      <c r="BB30" s="60" t="e">
        <f>Links!AF30</f>
        <v>#DIV/0!</v>
      </c>
      <c r="BC30" s="60" t="e">
        <f>(Links!AG30*Links!C30+'On-Ramps'!AC30*'On-Ramps'!CE30)/('On-Ramps'!AC30+Links!C30)</f>
        <v>#DIV/0!</v>
      </c>
      <c r="BD30" s="60" t="e">
        <f>Links!AH30</f>
        <v>#DIV/0!</v>
      </c>
      <c r="BE30" s="60" t="e">
        <f>(Links!AI30*Links!E30+'On-Ramps'!AD30*'On-Ramps'!CF29)/('On-Ramps'!AD30+Links!E30)</f>
        <v>#DIV/0!</v>
      </c>
      <c r="BF30" s="60" t="e">
        <f>(Links!F30*Links!AJ30+'On-Ramps'!AE30*'On-Ramps'!CG30)/('On-Ramps'!AE30+Links!F30)</f>
        <v>#DIV/0!</v>
      </c>
      <c r="BG30" s="60" t="e">
        <f>(Links!G30*Links!AK30+'On-Ramps'!AF30*'On-Ramps'!CH30)/('On-Ramps'!AF30+Links!G30)</f>
        <v>#DIV/0!</v>
      </c>
      <c r="BH30" s="60" t="e">
        <f>(Links!H30*Links!AL30+'On-Ramps'!AG30*'On-Ramps'!CI30)/('On-Ramps'!AG30+Links!H30)</f>
        <v>#DIV/0!</v>
      </c>
      <c r="BI30" s="60" t="e">
        <f>(Links!J30*Links!AN30+'On-Ramps'!AH30*'On-Ramps'!CJ30)/('On-Ramps'!AH30+Links!J30)</f>
        <v>#DIV/0!</v>
      </c>
      <c r="BJ30" s="60" t="e">
        <f>(Links!K30*Links!AO30+'On-Ramps'!AI30*'On-Ramps'!CK30)/('On-Ramps'!AI30+Links!K30)</f>
        <v>#DIV/0!</v>
      </c>
      <c r="BK30" s="60" t="e">
        <f>(Links!L30*Links!AP30+'On-Ramps'!AJ30*'On-Ramps'!CL30)/(Links!L30+'On-Ramps'!AJ30)</f>
        <v>#DIV/0!</v>
      </c>
      <c r="BL30" s="60" t="e">
        <f>Links!AQ30</f>
        <v>#DIV/0!</v>
      </c>
      <c r="BM30" s="60" t="e">
        <f>(Links!N30*Links!AR30+'On-Ramps'!AL30*'On-Ramps'!CM30)/(Links!N30+'On-Ramps'!AL30)</f>
        <v>#DIV/0!</v>
      </c>
      <c r="BN30" s="60" t="e">
        <f>Links!AS30</f>
        <v>#DIV/0!</v>
      </c>
      <c r="BO30" s="61" t="e">
        <f>(Links!R30^2+'Off-Ramp'!L30^2)/(Links!R30+'Off-Ramp'!L30)</f>
        <v>#DIV/0!</v>
      </c>
      <c r="BP30" s="61" t="e">
        <f>Links!S30</f>
        <v>#DIV/0!</v>
      </c>
      <c r="BQ30" s="61" t="e">
        <f>(Links!S30^2+'Off-Ramp'!C30^2)/(Links!S30+'Off-Ramp'!C30)</f>
        <v>#DIV/0!</v>
      </c>
      <c r="BR30" s="61" t="e">
        <f>Links!T30</f>
        <v>#DIV/0!</v>
      </c>
      <c r="BS30" s="61" t="e">
        <f>(Links!U30^2+'Off-Ramp'!N30^2)/(Links!U30+'Off-Ramp'!N30)</f>
        <v>#DIV/0!</v>
      </c>
      <c r="BT30" s="61" t="e">
        <f>(Links!V30^2+'Off-Ramp'!O30^2)/(Links!V30+'Off-Ramp'!O30)</f>
        <v>#DIV/0!</v>
      </c>
      <c r="BU30" s="61" t="e">
        <f>(Links!W30^2+'Off-Ramp'!P30^2)/(Links!W30+'Off-Ramp'!P30)</f>
        <v>#DIV/0!</v>
      </c>
      <c r="BV30" s="61" t="e">
        <f>(Links!Y30^2+'Off-Ramp'!Q30^2)/(Links!Y30+'Off-Ramp'!Q30)</f>
        <v>#DIV/0!</v>
      </c>
      <c r="BW30" s="61" t="e">
        <f>(Links!Z30^2+'Off-Ramp'!R30^2)/(Links!Z30+'Off-Ramp'!R30)</f>
        <v>#DIV/0!</v>
      </c>
      <c r="BX30" s="61" t="e">
        <f>(Links!AA30+'Off-Ramp'!S30)/(Links!AA30^2+'Off-Ramp'!S30^2)</f>
        <v>#DIV/0!</v>
      </c>
      <c r="BY30" s="61" t="e">
        <f>(Links!AB30^2+'Off-Ramp'!T30^2)/(Links!AB30+'Off-Ramp'!T30)</f>
        <v>#DIV/0!</v>
      </c>
      <c r="BZ30" s="61" t="e">
        <f>Links!AC30</f>
        <v>#DIV/0!</v>
      </c>
      <c r="CA30" s="61" t="e">
        <f>(Links!AD30^2+'Off-Ramp'!U30^2)/(Links!AD30+'Off-Ramp'!U30)</f>
        <v>#DIV/0!</v>
      </c>
    </row>
    <row r="31" spans="1:79" x14ac:dyDescent="0.15">
      <c r="A31" s="59">
        <v>29</v>
      </c>
      <c r="B31" s="60" t="e">
        <f t="shared" si="2"/>
        <v>#DIV/0!</v>
      </c>
      <c r="C31" s="60" t="e">
        <f t="shared" si="3"/>
        <v>#DIV/0!</v>
      </c>
      <c r="D31" s="60" t="e">
        <f t="shared" si="4"/>
        <v>#DIV/0!</v>
      </c>
      <c r="E31" s="60" t="e">
        <f t="shared" si="5"/>
        <v>#DIV/0!</v>
      </c>
      <c r="F31" s="60" t="e">
        <f t="shared" si="6"/>
        <v>#DIV/0!</v>
      </c>
      <c r="G31" s="60" t="e">
        <f t="shared" si="7"/>
        <v>#DIV/0!</v>
      </c>
      <c r="H31" s="60" t="e">
        <f t="shared" si="8"/>
        <v>#DIV/0!</v>
      </c>
      <c r="I31" s="60" t="e">
        <f t="shared" si="9"/>
        <v>#DIV/0!</v>
      </c>
      <c r="J31" s="60" t="e">
        <f t="shared" si="10"/>
        <v>#DIV/0!</v>
      </c>
      <c r="K31" s="60" t="e">
        <f t="shared" si="11"/>
        <v>#DIV/0!</v>
      </c>
      <c r="L31" s="60" t="e">
        <f t="shared" si="12"/>
        <v>#DIV/0!</v>
      </c>
      <c r="M31" s="60" t="e">
        <f t="shared" si="13"/>
        <v>#DIV/0!</v>
      </c>
      <c r="N31" s="60" t="e">
        <f t="shared" si="14"/>
        <v>#DIV/0!</v>
      </c>
      <c r="O31" s="61" t="e">
        <f>Links!B31</f>
        <v>#DIV/0!</v>
      </c>
      <c r="P31" s="61" t="e">
        <f>Links!C31+'On-Ramps'!AC31</f>
        <v>#DIV/0!</v>
      </c>
      <c r="Q31" s="61" t="e">
        <f>Links!D31</f>
        <v>#DIV/0!</v>
      </c>
      <c r="R31" s="61" t="e">
        <f>Links!E31+'On-Ramps'!AD31</f>
        <v>#DIV/0!</v>
      </c>
      <c r="S31" s="61" t="e">
        <f>Links!F31+'On-Ramps'!AE31</f>
        <v>#DIV/0!</v>
      </c>
      <c r="T31" s="61" t="e">
        <f>Links!G31+'On-Ramps'!AF31</f>
        <v>#DIV/0!</v>
      </c>
      <c r="U31" s="61" t="e">
        <f>Links!H31+'On-Ramps'!AG31</f>
        <v>#DIV/0!</v>
      </c>
      <c r="V31" s="61" t="e">
        <f>Links!J31+'On-Ramps'!AH31</f>
        <v>#DIV/0!</v>
      </c>
      <c r="W31" s="61" t="e">
        <f>Links!K31+'On-Ramps'!AI31</f>
        <v>#DIV/0!</v>
      </c>
      <c r="X31" s="61" t="e">
        <f>Links!L31+'On-Ramps'!AJ31</f>
        <v>#DIV/0!</v>
      </c>
      <c r="Y31" s="61" t="e">
        <f>Links!M31</f>
        <v>#DIV/0!</v>
      </c>
      <c r="Z31" s="61" t="e">
        <f>Links!N31+'On-Ramps'!AK31</f>
        <v>#DIV/0!</v>
      </c>
      <c r="AA31" s="61" t="e">
        <f>Links!O31</f>
        <v>#DIV/0!</v>
      </c>
      <c r="AB31" s="60" t="e">
        <f t="shared" si="17"/>
        <v>#DIV/0!</v>
      </c>
      <c r="AC31" s="60" t="e">
        <f t="shared" si="18"/>
        <v>#DIV/0!</v>
      </c>
      <c r="AD31" s="60" t="e">
        <f t="shared" si="19"/>
        <v>#DIV/0!</v>
      </c>
      <c r="AE31" s="60" t="e">
        <f t="shared" si="20"/>
        <v>#DIV/0!</v>
      </c>
      <c r="AF31" s="60" t="e">
        <f t="shared" si="21"/>
        <v>#DIV/0!</v>
      </c>
      <c r="AG31" s="60" t="e">
        <f t="shared" si="22"/>
        <v>#DIV/0!</v>
      </c>
      <c r="AH31" s="60" t="e">
        <f t="shared" si="23"/>
        <v>#DIV/0!</v>
      </c>
      <c r="AI31" s="60" t="e">
        <f t="shared" si="24"/>
        <v>#DIV/0!</v>
      </c>
      <c r="AJ31" s="60" t="e">
        <f t="shared" si="25"/>
        <v>#DIV/0!</v>
      </c>
      <c r="AK31" s="60" t="e">
        <f t="shared" si="26"/>
        <v>#DIV/0!</v>
      </c>
      <c r="AL31" s="60" t="e">
        <f t="shared" si="27"/>
        <v>#DIV/0!</v>
      </c>
      <c r="AM31" s="60" t="e">
        <f t="shared" si="28"/>
        <v>#DIV/0!</v>
      </c>
      <c r="AN31" s="60" t="e">
        <f t="shared" si="30"/>
        <v>#DIV/0!</v>
      </c>
      <c r="AO31" s="61" t="e">
        <f t="shared" si="29"/>
        <v>#DIV/0!</v>
      </c>
      <c r="AP31" s="61" t="e">
        <f t="shared" si="29"/>
        <v>#DIV/0!</v>
      </c>
      <c r="AQ31" s="61" t="e">
        <f t="shared" si="29"/>
        <v>#DIV/0!</v>
      </c>
      <c r="AR31" s="61" t="e">
        <f t="shared" si="29"/>
        <v>#DIV/0!</v>
      </c>
      <c r="AS31" s="61" t="e">
        <f t="shared" si="29"/>
        <v>#DIV/0!</v>
      </c>
      <c r="AT31" s="61" t="e">
        <f t="shared" si="29"/>
        <v>#DIV/0!</v>
      </c>
      <c r="AU31" s="61" t="e">
        <f t="shared" si="29"/>
        <v>#DIV/0!</v>
      </c>
      <c r="AV31" s="61" t="e">
        <f t="shared" si="29"/>
        <v>#DIV/0!</v>
      </c>
      <c r="AW31" s="61" t="e">
        <f t="shared" si="29"/>
        <v>#DIV/0!</v>
      </c>
      <c r="AX31" s="61" t="e">
        <f t="shared" si="29"/>
        <v>#DIV/0!</v>
      </c>
      <c r="AY31" s="61" t="e">
        <f t="shared" si="29"/>
        <v>#DIV/0!</v>
      </c>
      <c r="AZ31" s="61" t="e">
        <f t="shared" si="29"/>
        <v>#DIV/0!</v>
      </c>
      <c r="BA31" s="61" t="e">
        <f t="shared" si="29"/>
        <v>#DIV/0!</v>
      </c>
      <c r="BB31" s="60" t="e">
        <f>Links!AF31</f>
        <v>#DIV/0!</v>
      </c>
      <c r="BC31" s="60" t="e">
        <f>(Links!AG31*Links!C31+'On-Ramps'!AC31*'On-Ramps'!CE31)/('On-Ramps'!AC31+Links!C31)</f>
        <v>#DIV/0!</v>
      </c>
      <c r="BD31" s="60" t="e">
        <f>Links!AH31</f>
        <v>#DIV/0!</v>
      </c>
      <c r="BE31" s="60" t="e">
        <f>(Links!AI31*Links!E31+'On-Ramps'!AD31*'On-Ramps'!CF30)/('On-Ramps'!AD31+Links!E31)</f>
        <v>#DIV/0!</v>
      </c>
      <c r="BF31" s="60" t="e">
        <f>(Links!F31*Links!AJ31+'On-Ramps'!AE31*'On-Ramps'!CG31)/('On-Ramps'!AE31+Links!F31)</f>
        <v>#DIV/0!</v>
      </c>
      <c r="BG31" s="60" t="e">
        <f>(Links!G31*Links!AK31+'On-Ramps'!AF31*'On-Ramps'!CH31)/('On-Ramps'!AF31+Links!G31)</f>
        <v>#DIV/0!</v>
      </c>
      <c r="BH31" s="60" t="e">
        <f>(Links!H31*Links!AL31+'On-Ramps'!AG31*'On-Ramps'!CI31)/('On-Ramps'!AG31+Links!H31)</f>
        <v>#DIV/0!</v>
      </c>
      <c r="BI31" s="60" t="e">
        <f>(Links!J31*Links!AN31+'On-Ramps'!AH31*'On-Ramps'!CJ31)/('On-Ramps'!AH31+Links!J31)</f>
        <v>#DIV/0!</v>
      </c>
      <c r="BJ31" s="60" t="e">
        <f>(Links!K31*Links!AO31+'On-Ramps'!AI31*'On-Ramps'!CK31)/('On-Ramps'!AI31+Links!K31)</f>
        <v>#DIV/0!</v>
      </c>
      <c r="BK31" s="60" t="e">
        <f>(Links!L31*Links!AP31+'On-Ramps'!AJ31*'On-Ramps'!CL31)/(Links!L31+'On-Ramps'!AJ31)</f>
        <v>#DIV/0!</v>
      </c>
      <c r="BL31" s="60" t="e">
        <f>Links!AQ31</f>
        <v>#DIV/0!</v>
      </c>
      <c r="BM31" s="60" t="e">
        <f>(Links!N31*Links!AR31+'On-Ramps'!AL31*'On-Ramps'!CM31)/(Links!N31+'On-Ramps'!AL31)</f>
        <v>#DIV/0!</v>
      </c>
      <c r="BN31" s="60" t="e">
        <f>Links!AS31</f>
        <v>#DIV/0!</v>
      </c>
      <c r="BO31" s="61" t="e">
        <f>(Links!R31^2+'Off-Ramp'!L31^2)/(Links!R31+'Off-Ramp'!L31)</f>
        <v>#DIV/0!</v>
      </c>
      <c r="BP31" s="61" t="e">
        <f>Links!S31</f>
        <v>#DIV/0!</v>
      </c>
      <c r="BQ31" s="61" t="e">
        <f>(Links!S31^2+'Off-Ramp'!C31^2)/(Links!S31+'Off-Ramp'!C31)</f>
        <v>#DIV/0!</v>
      </c>
      <c r="BR31" s="61" t="e">
        <f>Links!T31</f>
        <v>#DIV/0!</v>
      </c>
      <c r="BS31" s="61" t="e">
        <f>(Links!U31^2+'Off-Ramp'!N31^2)/(Links!U31+'Off-Ramp'!N31)</f>
        <v>#DIV/0!</v>
      </c>
      <c r="BT31" s="61" t="e">
        <f>(Links!V31^2+'Off-Ramp'!O31^2)/(Links!V31+'Off-Ramp'!O31)</f>
        <v>#DIV/0!</v>
      </c>
      <c r="BU31" s="61" t="e">
        <f>(Links!W31^2+'Off-Ramp'!P31^2)/(Links!W31+'Off-Ramp'!P31)</f>
        <v>#DIV/0!</v>
      </c>
      <c r="BV31" s="61" t="e">
        <f>(Links!Y31^2+'Off-Ramp'!Q31^2)/(Links!Y31+'Off-Ramp'!Q31)</f>
        <v>#DIV/0!</v>
      </c>
      <c r="BW31" s="61" t="e">
        <f>(Links!Z31^2+'Off-Ramp'!R31^2)/(Links!Z31+'Off-Ramp'!R31)</f>
        <v>#DIV/0!</v>
      </c>
      <c r="BX31" s="61" t="e">
        <f>(Links!AA31+'Off-Ramp'!S31)/(Links!AA31^2+'Off-Ramp'!S31^2)</f>
        <v>#DIV/0!</v>
      </c>
      <c r="BY31" s="61" t="e">
        <f>(Links!AB31^2+'Off-Ramp'!T31^2)/(Links!AB31+'Off-Ramp'!T31)</f>
        <v>#DIV/0!</v>
      </c>
      <c r="BZ31" s="61" t="e">
        <f>Links!AC31</f>
        <v>#DIV/0!</v>
      </c>
      <c r="CA31" s="61" t="e">
        <f>(Links!AD31^2+'Off-Ramp'!U31^2)/(Links!AD31+'Off-Ramp'!U31)</f>
        <v>#DIV/0!</v>
      </c>
    </row>
    <row r="32" spans="1:79" x14ac:dyDescent="0.15">
      <c r="A32" s="59">
        <v>30</v>
      </c>
      <c r="B32" s="60" t="e">
        <f t="shared" si="2"/>
        <v>#DIV/0!</v>
      </c>
      <c r="C32" s="60" t="e">
        <f t="shared" si="3"/>
        <v>#DIV/0!</v>
      </c>
      <c r="D32" s="60" t="e">
        <f t="shared" si="4"/>
        <v>#DIV/0!</v>
      </c>
      <c r="E32" s="60" t="e">
        <f t="shared" si="5"/>
        <v>#DIV/0!</v>
      </c>
      <c r="F32" s="60" t="e">
        <f t="shared" si="6"/>
        <v>#DIV/0!</v>
      </c>
      <c r="G32" s="60" t="e">
        <f t="shared" si="7"/>
        <v>#DIV/0!</v>
      </c>
      <c r="H32" s="60" t="e">
        <f t="shared" si="8"/>
        <v>#DIV/0!</v>
      </c>
      <c r="I32" s="60" t="e">
        <f t="shared" si="9"/>
        <v>#DIV/0!</v>
      </c>
      <c r="J32" s="60" t="e">
        <f t="shared" si="10"/>
        <v>#DIV/0!</v>
      </c>
      <c r="K32" s="60" t="e">
        <f t="shared" si="11"/>
        <v>#DIV/0!</v>
      </c>
      <c r="L32" s="60" t="e">
        <f t="shared" si="12"/>
        <v>#DIV/0!</v>
      </c>
      <c r="M32" s="60" t="e">
        <f t="shared" si="13"/>
        <v>#DIV/0!</v>
      </c>
      <c r="N32" s="60" t="e">
        <f t="shared" si="14"/>
        <v>#DIV/0!</v>
      </c>
      <c r="O32" s="61" t="e">
        <f>Links!B32</f>
        <v>#DIV/0!</v>
      </c>
      <c r="P32" s="61" t="e">
        <f>Links!C32+'On-Ramps'!AC32</f>
        <v>#DIV/0!</v>
      </c>
      <c r="Q32" s="61" t="e">
        <f>Links!D32</f>
        <v>#DIV/0!</v>
      </c>
      <c r="R32" s="61" t="e">
        <f>Links!E32+'On-Ramps'!AD32</f>
        <v>#DIV/0!</v>
      </c>
      <c r="S32" s="61" t="e">
        <f>Links!F32+'On-Ramps'!AE32</f>
        <v>#DIV/0!</v>
      </c>
      <c r="T32" s="61" t="e">
        <f>Links!G32+'On-Ramps'!AF32</f>
        <v>#DIV/0!</v>
      </c>
      <c r="U32" s="61" t="e">
        <f>Links!H32+'On-Ramps'!AG32</f>
        <v>#DIV/0!</v>
      </c>
      <c r="V32" s="61" t="e">
        <f>Links!J32+'On-Ramps'!AH32</f>
        <v>#DIV/0!</v>
      </c>
      <c r="W32" s="61" t="e">
        <f>Links!K32+'On-Ramps'!AI32</f>
        <v>#DIV/0!</v>
      </c>
      <c r="X32" s="61" t="e">
        <f>Links!L32+'On-Ramps'!AJ32</f>
        <v>#DIV/0!</v>
      </c>
      <c r="Y32" s="61" t="e">
        <f>Links!M32</f>
        <v>#DIV/0!</v>
      </c>
      <c r="Z32" s="61" t="e">
        <f>Links!N32+'On-Ramps'!AK32</f>
        <v>#DIV/0!</v>
      </c>
      <c r="AA32" s="61" t="e">
        <f>Links!O32</f>
        <v>#DIV/0!</v>
      </c>
      <c r="AB32" s="60" t="e">
        <f t="shared" si="17"/>
        <v>#DIV/0!</v>
      </c>
      <c r="AC32" s="60" t="e">
        <f t="shared" si="18"/>
        <v>#DIV/0!</v>
      </c>
      <c r="AD32" s="60" t="e">
        <f t="shared" si="19"/>
        <v>#DIV/0!</v>
      </c>
      <c r="AE32" s="60" t="e">
        <f t="shared" si="20"/>
        <v>#DIV/0!</v>
      </c>
      <c r="AF32" s="60" t="e">
        <f t="shared" si="21"/>
        <v>#DIV/0!</v>
      </c>
      <c r="AG32" s="60" t="e">
        <f t="shared" si="22"/>
        <v>#DIV/0!</v>
      </c>
      <c r="AH32" s="60" t="e">
        <f t="shared" si="23"/>
        <v>#DIV/0!</v>
      </c>
      <c r="AI32" s="60" t="e">
        <f t="shared" si="24"/>
        <v>#DIV/0!</v>
      </c>
      <c r="AJ32" s="60" t="e">
        <f t="shared" si="25"/>
        <v>#DIV/0!</v>
      </c>
      <c r="AK32" s="60" t="e">
        <f t="shared" si="26"/>
        <v>#DIV/0!</v>
      </c>
      <c r="AL32" s="60" t="e">
        <f t="shared" si="27"/>
        <v>#DIV/0!</v>
      </c>
      <c r="AM32" s="60" t="e">
        <f t="shared" si="28"/>
        <v>#DIV/0!</v>
      </c>
      <c r="AN32" s="60" t="e">
        <f t="shared" si="30"/>
        <v>#DIV/0!</v>
      </c>
      <c r="AO32" s="61" t="e">
        <f t="shared" si="29"/>
        <v>#DIV/0!</v>
      </c>
      <c r="AP32" s="61" t="e">
        <f t="shared" si="29"/>
        <v>#DIV/0!</v>
      </c>
      <c r="AQ32" s="61" t="e">
        <f t="shared" si="29"/>
        <v>#DIV/0!</v>
      </c>
      <c r="AR32" s="61" t="e">
        <f t="shared" si="29"/>
        <v>#DIV/0!</v>
      </c>
      <c r="AS32" s="61" t="e">
        <f t="shared" si="29"/>
        <v>#DIV/0!</v>
      </c>
      <c r="AT32" s="61" t="e">
        <f t="shared" si="29"/>
        <v>#DIV/0!</v>
      </c>
      <c r="AU32" s="61" t="e">
        <f t="shared" si="29"/>
        <v>#DIV/0!</v>
      </c>
      <c r="AV32" s="61" t="e">
        <f t="shared" si="29"/>
        <v>#DIV/0!</v>
      </c>
      <c r="AW32" s="61" t="e">
        <f t="shared" si="29"/>
        <v>#DIV/0!</v>
      </c>
      <c r="AX32" s="61" t="e">
        <f t="shared" si="29"/>
        <v>#DIV/0!</v>
      </c>
      <c r="AY32" s="61" t="e">
        <f t="shared" si="29"/>
        <v>#DIV/0!</v>
      </c>
      <c r="AZ32" s="61" t="e">
        <f t="shared" si="29"/>
        <v>#DIV/0!</v>
      </c>
      <c r="BA32" s="61" t="e">
        <f t="shared" si="29"/>
        <v>#DIV/0!</v>
      </c>
      <c r="BB32" s="60" t="e">
        <f>Links!AF32</f>
        <v>#DIV/0!</v>
      </c>
      <c r="BC32" s="60" t="e">
        <f>(Links!AG32*Links!C32+'On-Ramps'!AC32*'On-Ramps'!CE32)/('On-Ramps'!AC32+Links!C32)</f>
        <v>#DIV/0!</v>
      </c>
      <c r="BD32" s="60" t="e">
        <f>Links!AH32</f>
        <v>#DIV/0!</v>
      </c>
      <c r="BE32" s="60" t="e">
        <f>(Links!AI32*Links!E32+'On-Ramps'!AD32*'On-Ramps'!CF31)/('On-Ramps'!AD32+Links!E32)</f>
        <v>#DIV/0!</v>
      </c>
      <c r="BF32" s="60" t="e">
        <f>(Links!F32*Links!AJ32+'On-Ramps'!AE32*'On-Ramps'!CG32)/('On-Ramps'!AE32+Links!F32)</f>
        <v>#DIV/0!</v>
      </c>
      <c r="BG32" s="60" t="e">
        <f>(Links!G32*Links!AK32+'On-Ramps'!AF32*'On-Ramps'!CH32)/('On-Ramps'!AF32+Links!G32)</f>
        <v>#DIV/0!</v>
      </c>
      <c r="BH32" s="60" t="e">
        <f>(Links!H32*Links!AL32+'On-Ramps'!AG32*'On-Ramps'!CI32)/('On-Ramps'!AG32+Links!H32)</f>
        <v>#DIV/0!</v>
      </c>
      <c r="BI32" s="60" t="e">
        <f>(Links!J32*Links!AN32+'On-Ramps'!AH32*'On-Ramps'!CJ32)/('On-Ramps'!AH32+Links!J32)</f>
        <v>#DIV/0!</v>
      </c>
      <c r="BJ32" s="60" t="e">
        <f>(Links!K32*Links!AO32+'On-Ramps'!AI32*'On-Ramps'!CK32)/('On-Ramps'!AI32+Links!K32)</f>
        <v>#DIV/0!</v>
      </c>
      <c r="BK32" s="60" t="e">
        <f>(Links!L32*Links!AP32+'On-Ramps'!AJ32*'On-Ramps'!CL32)/(Links!L32+'On-Ramps'!AJ32)</f>
        <v>#DIV/0!</v>
      </c>
      <c r="BL32" s="60" t="e">
        <f>Links!AQ32</f>
        <v>#DIV/0!</v>
      </c>
      <c r="BM32" s="60" t="e">
        <f>(Links!N32*Links!AR32+'On-Ramps'!AL32*'On-Ramps'!CM32)/(Links!N32+'On-Ramps'!AL32)</f>
        <v>#DIV/0!</v>
      </c>
      <c r="BN32" s="60" t="e">
        <f>Links!AS32</f>
        <v>#DIV/0!</v>
      </c>
      <c r="BO32" s="61" t="e">
        <f>(Links!R32^2+'Off-Ramp'!L32^2)/(Links!R32+'Off-Ramp'!L32)</f>
        <v>#DIV/0!</v>
      </c>
      <c r="BP32" s="61" t="e">
        <f>Links!S32</f>
        <v>#DIV/0!</v>
      </c>
      <c r="BQ32" s="61" t="e">
        <f>(Links!S32^2+'Off-Ramp'!C32^2)/(Links!S32+'Off-Ramp'!C32)</f>
        <v>#DIV/0!</v>
      </c>
      <c r="BR32" s="61" t="e">
        <f>Links!T32</f>
        <v>#DIV/0!</v>
      </c>
      <c r="BS32" s="61" t="e">
        <f>(Links!U32^2+'Off-Ramp'!N32^2)/(Links!U32+'Off-Ramp'!N32)</f>
        <v>#DIV/0!</v>
      </c>
      <c r="BT32" s="61" t="e">
        <f>(Links!V32^2+'Off-Ramp'!O32^2)/(Links!V32+'Off-Ramp'!O32)</f>
        <v>#DIV/0!</v>
      </c>
      <c r="BU32" s="61" t="e">
        <f>(Links!W32^2+'Off-Ramp'!P32^2)/(Links!W32+'Off-Ramp'!P32)</f>
        <v>#DIV/0!</v>
      </c>
      <c r="BV32" s="61" t="e">
        <f>(Links!Y32^2+'Off-Ramp'!Q32^2)/(Links!Y32+'Off-Ramp'!Q32)</f>
        <v>#DIV/0!</v>
      </c>
      <c r="BW32" s="61" t="e">
        <f>(Links!Z32^2+'Off-Ramp'!R32^2)/(Links!Z32+'Off-Ramp'!R32)</f>
        <v>#DIV/0!</v>
      </c>
      <c r="BX32" s="61" t="e">
        <f>(Links!AA32+'Off-Ramp'!S32)/(Links!AA32^2+'Off-Ramp'!S32^2)</f>
        <v>#DIV/0!</v>
      </c>
      <c r="BY32" s="61" t="e">
        <f>(Links!AB32^2+'Off-Ramp'!T32^2)/(Links!AB32+'Off-Ramp'!T32)</f>
        <v>#DIV/0!</v>
      </c>
      <c r="BZ32" s="61" t="e">
        <f>Links!AC32</f>
        <v>#DIV/0!</v>
      </c>
      <c r="CA32" s="61" t="e">
        <f>(Links!AD32^2+'Off-Ramp'!U32^2)/(Links!AD32+'Off-Ramp'!U32)</f>
        <v>#DIV/0!</v>
      </c>
    </row>
    <row r="33" spans="1:79" x14ac:dyDescent="0.15">
      <c r="A33" s="59">
        <v>31</v>
      </c>
      <c r="B33" s="60" t="e">
        <f t="shared" si="2"/>
        <v>#DIV/0!</v>
      </c>
      <c r="C33" s="60" t="e">
        <f t="shared" si="3"/>
        <v>#DIV/0!</v>
      </c>
      <c r="D33" s="60" t="e">
        <f t="shared" si="4"/>
        <v>#DIV/0!</v>
      </c>
      <c r="E33" s="60" t="e">
        <f t="shared" si="5"/>
        <v>#DIV/0!</v>
      </c>
      <c r="F33" s="60" t="e">
        <f t="shared" si="6"/>
        <v>#DIV/0!</v>
      </c>
      <c r="G33" s="60" t="e">
        <f t="shared" si="7"/>
        <v>#DIV/0!</v>
      </c>
      <c r="H33" s="60" t="e">
        <f t="shared" si="8"/>
        <v>#DIV/0!</v>
      </c>
      <c r="I33" s="60" t="e">
        <f t="shared" si="9"/>
        <v>#DIV/0!</v>
      </c>
      <c r="J33" s="60" t="e">
        <f t="shared" si="10"/>
        <v>#DIV/0!</v>
      </c>
      <c r="K33" s="60" t="e">
        <f t="shared" si="11"/>
        <v>#DIV/0!</v>
      </c>
      <c r="L33" s="60" t="e">
        <f t="shared" si="12"/>
        <v>#DIV/0!</v>
      </c>
      <c r="M33" s="60" t="e">
        <f t="shared" si="13"/>
        <v>#DIV/0!</v>
      </c>
      <c r="N33" s="60" t="e">
        <f t="shared" si="14"/>
        <v>#DIV/0!</v>
      </c>
      <c r="O33" s="61" t="e">
        <f>Links!B33</f>
        <v>#DIV/0!</v>
      </c>
      <c r="P33" s="61" t="e">
        <f>Links!C33+'On-Ramps'!AC33</f>
        <v>#DIV/0!</v>
      </c>
      <c r="Q33" s="61" t="e">
        <f>Links!D33</f>
        <v>#DIV/0!</v>
      </c>
      <c r="R33" s="61" t="e">
        <f>Links!E33+'On-Ramps'!AD33</f>
        <v>#DIV/0!</v>
      </c>
      <c r="S33" s="61" t="e">
        <f>Links!F33+'On-Ramps'!AE33</f>
        <v>#DIV/0!</v>
      </c>
      <c r="T33" s="61" t="e">
        <f>Links!G33+'On-Ramps'!AF33</f>
        <v>#DIV/0!</v>
      </c>
      <c r="U33" s="61" t="e">
        <f>Links!H33+'On-Ramps'!AG33</f>
        <v>#DIV/0!</v>
      </c>
      <c r="V33" s="61" t="e">
        <f>Links!J33+'On-Ramps'!AH33</f>
        <v>#DIV/0!</v>
      </c>
      <c r="W33" s="61" t="e">
        <f>Links!K33+'On-Ramps'!AI33</f>
        <v>#DIV/0!</v>
      </c>
      <c r="X33" s="61" t="e">
        <f>Links!L33+'On-Ramps'!AJ33</f>
        <v>#DIV/0!</v>
      </c>
      <c r="Y33" s="61" t="e">
        <f>Links!M33</f>
        <v>#DIV/0!</v>
      </c>
      <c r="Z33" s="61" t="e">
        <f>Links!N33+'On-Ramps'!AK33</f>
        <v>#DIV/0!</v>
      </c>
      <c r="AA33" s="61" t="e">
        <f>Links!O33</f>
        <v>#DIV/0!</v>
      </c>
      <c r="AB33" s="60" t="e">
        <f t="shared" si="17"/>
        <v>#DIV/0!</v>
      </c>
      <c r="AC33" s="60" t="e">
        <f t="shared" si="18"/>
        <v>#DIV/0!</v>
      </c>
      <c r="AD33" s="60" t="e">
        <f t="shared" si="19"/>
        <v>#DIV/0!</v>
      </c>
      <c r="AE33" s="60" t="e">
        <f t="shared" si="20"/>
        <v>#DIV/0!</v>
      </c>
      <c r="AF33" s="60" t="e">
        <f t="shared" si="21"/>
        <v>#DIV/0!</v>
      </c>
      <c r="AG33" s="60" t="e">
        <f t="shared" si="22"/>
        <v>#DIV/0!</v>
      </c>
      <c r="AH33" s="60" t="e">
        <f t="shared" si="23"/>
        <v>#DIV/0!</v>
      </c>
      <c r="AI33" s="60" t="e">
        <f t="shared" si="24"/>
        <v>#DIV/0!</v>
      </c>
      <c r="AJ33" s="60" t="e">
        <f t="shared" si="25"/>
        <v>#DIV/0!</v>
      </c>
      <c r="AK33" s="60" t="e">
        <f t="shared" si="26"/>
        <v>#DIV/0!</v>
      </c>
      <c r="AL33" s="60" t="e">
        <f t="shared" si="27"/>
        <v>#DIV/0!</v>
      </c>
      <c r="AM33" s="60" t="e">
        <f t="shared" si="28"/>
        <v>#DIV/0!</v>
      </c>
      <c r="AN33" s="60" t="e">
        <f t="shared" si="30"/>
        <v>#DIV/0!</v>
      </c>
      <c r="AO33" s="61" t="e">
        <f t="shared" si="29"/>
        <v>#DIV/0!</v>
      </c>
      <c r="AP33" s="61" t="e">
        <f t="shared" si="29"/>
        <v>#DIV/0!</v>
      </c>
      <c r="AQ33" s="61" t="e">
        <f t="shared" si="29"/>
        <v>#DIV/0!</v>
      </c>
      <c r="AR33" s="61" t="e">
        <f t="shared" si="29"/>
        <v>#DIV/0!</v>
      </c>
      <c r="AS33" s="61" t="e">
        <f t="shared" si="29"/>
        <v>#DIV/0!</v>
      </c>
      <c r="AT33" s="61" t="e">
        <f t="shared" si="29"/>
        <v>#DIV/0!</v>
      </c>
      <c r="AU33" s="61" t="e">
        <f t="shared" si="29"/>
        <v>#DIV/0!</v>
      </c>
      <c r="AV33" s="61" t="e">
        <f t="shared" si="29"/>
        <v>#DIV/0!</v>
      </c>
      <c r="AW33" s="61" t="e">
        <f t="shared" si="29"/>
        <v>#DIV/0!</v>
      </c>
      <c r="AX33" s="61" t="e">
        <f t="shared" si="29"/>
        <v>#DIV/0!</v>
      </c>
      <c r="AY33" s="61" t="e">
        <f t="shared" si="29"/>
        <v>#DIV/0!</v>
      </c>
      <c r="AZ33" s="61" t="e">
        <f t="shared" si="29"/>
        <v>#DIV/0!</v>
      </c>
      <c r="BA33" s="61" t="e">
        <f t="shared" si="29"/>
        <v>#DIV/0!</v>
      </c>
      <c r="BB33" s="60" t="e">
        <f>Links!AF33</f>
        <v>#DIV/0!</v>
      </c>
      <c r="BC33" s="60" t="e">
        <f>(Links!AG33*Links!C33+'On-Ramps'!AC33*'On-Ramps'!CE33)/('On-Ramps'!AC33+Links!C33)</f>
        <v>#DIV/0!</v>
      </c>
      <c r="BD33" s="60" t="e">
        <f>Links!AH33</f>
        <v>#DIV/0!</v>
      </c>
      <c r="BE33" s="60" t="e">
        <f>(Links!AI33*Links!E33+'On-Ramps'!AD33*'On-Ramps'!CF32)/('On-Ramps'!AD33+Links!E33)</f>
        <v>#DIV/0!</v>
      </c>
      <c r="BF33" s="60" t="e">
        <f>(Links!F33*Links!AJ33+'On-Ramps'!AE33*'On-Ramps'!CG33)/('On-Ramps'!AE33+Links!F33)</f>
        <v>#DIV/0!</v>
      </c>
      <c r="BG33" s="60" t="e">
        <f>(Links!G33*Links!AK33+'On-Ramps'!AF33*'On-Ramps'!CH33)/('On-Ramps'!AF33+Links!G33)</f>
        <v>#DIV/0!</v>
      </c>
      <c r="BH33" s="60" t="e">
        <f>(Links!H33*Links!AL33+'On-Ramps'!AG33*'On-Ramps'!CI33)/('On-Ramps'!AG33+Links!H33)</f>
        <v>#DIV/0!</v>
      </c>
      <c r="BI33" s="60" t="e">
        <f>(Links!J33*Links!AN33+'On-Ramps'!AH33*'On-Ramps'!CJ33)/('On-Ramps'!AH33+Links!J33)</f>
        <v>#DIV/0!</v>
      </c>
      <c r="BJ33" s="60" t="e">
        <f>(Links!K33*Links!AO33+'On-Ramps'!AI33*'On-Ramps'!CK33)/('On-Ramps'!AI33+Links!K33)</f>
        <v>#DIV/0!</v>
      </c>
      <c r="BK33" s="60" t="e">
        <f>(Links!L33*Links!AP33+'On-Ramps'!AJ33*'On-Ramps'!CL33)/(Links!L33+'On-Ramps'!AJ33)</f>
        <v>#DIV/0!</v>
      </c>
      <c r="BL33" s="60" t="e">
        <f>Links!AQ33</f>
        <v>#DIV/0!</v>
      </c>
      <c r="BM33" s="60" t="e">
        <f>(Links!N33*Links!AR33+'On-Ramps'!AL33*'On-Ramps'!CM33)/(Links!N33+'On-Ramps'!AL33)</f>
        <v>#DIV/0!</v>
      </c>
      <c r="BN33" s="60" t="e">
        <f>Links!AS33</f>
        <v>#DIV/0!</v>
      </c>
      <c r="BO33" s="61" t="e">
        <f>(Links!R33^2+'Off-Ramp'!L33^2)/(Links!R33+'Off-Ramp'!L33)</f>
        <v>#DIV/0!</v>
      </c>
      <c r="BP33" s="61" t="e">
        <f>Links!S33</f>
        <v>#DIV/0!</v>
      </c>
      <c r="BQ33" s="61" t="e">
        <f>(Links!S33^2+'Off-Ramp'!C33^2)/(Links!S33+'Off-Ramp'!C33)</f>
        <v>#DIV/0!</v>
      </c>
      <c r="BR33" s="61" t="e">
        <f>Links!T33</f>
        <v>#DIV/0!</v>
      </c>
      <c r="BS33" s="61" t="e">
        <f>(Links!U33^2+'Off-Ramp'!N33^2)/(Links!U33+'Off-Ramp'!N33)</f>
        <v>#DIV/0!</v>
      </c>
      <c r="BT33" s="61" t="e">
        <f>(Links!V33^2+'Off-Ramp'!O33^2)/(Links!V33+'Off-Ramp'!O33)</f>
        <v>#DIV/0!</v>
      </c>
      <c r="BU33" s="61" t="e">
        <f>(Links!W33^2+'Off-Ramp'!P33^2)/(Links!W33+'Off-Ramp'!P33)</f>
        <v>#DIV/0!</v>
      </c>
      <c r="BV33" s="61" t="e">
        <f>(Links!Y33^2+'Off-Ramp'!Q33^2)/(Links!Y33+'Off-Ramp'!Q33)</f>
        <v>#DIV/0!</v>
      </c>
      <c r="BW33" s="61" t="e">
        <f>(Links!Z33^2+'Off-Ramp'!R33^2)/(Links!Z33+'Off-Ramp'!R33)</f>
        <v>#DIV/0!</v>
      </c>
      <c r="BX33" s="61" t="e">
        <f>(Links!AA33+'Off-Ramp'!S33)/(Links!AA33^2+'Off-Ramp'!S33^2)</f>
        <v>#DIV/0!</v>
      </c>
      <c r="BY33" s="61" t="e">
        <f>(Links!AB33^2+'Off-Ramp'!T33^2)/(Links!AB33+'Off-Ramp'!T33)</f>
        <v>#DIV/0!</v>
      </c>
      <c r="BZ33" s="61" t="e">
        <f>Links!AC33</f>
        <v>#DIV/0!</v>
      </c>
      <c r="CA33" s="61" t="e">
        <f>(Links!AD33^2+'Off-Ramp'!U33^2)/(Links!AD33+'Off-Ramp'!U33)</f>
        <v>#DIV/0!</v>
      </c>
    </row>
    <row r="34" spans="1:79" x14ac:dyDescent="0.15">
      <c r="A34" s="59">
        <v>32</v>
      </c>
      <c r="B34" s="60" t="e">
        <f t="shared" si="2"/>
        <v>#DIV/0!</v>
      </c>
      <c r="C34" s="60" t="e">
        <f t="shared" si="3"/>
        <v>#DIV/0!</v>
      </c>
      <c r="D34" s="60" t="e">
        <f t="shared" si="4"/>
        <v>#DIV/0!</v>
      </c>
      <c r="E34" s="60" t="e">
        <f t="shared" si="5"/>
        <v>#DIV/0!</v>
      </c>
      <c r="F34" s="60" t="e">
        <f t="shared" si="6"/>
        <v>#DIV/0!</v>
      </c>
      <c r="G34" s="60" t="e">
        <f t="shared" si="7"/>
        <v>#DIV/0!</v>
      </c>
      <c r="H34" s="60" t="e">
        <f t="shared" si="8"/>
        <v>#DIV/0!</v>
      </c>
      <c r="I34" s="60" t="e">
        <f t="shared" si="9"/>
        <v>#DIV/0!</v>
      </c>
      <c r="J34" s="60" t="e">
        <f t="shared" si="10"/>
        <v>#DIV/0!</v>
      </c>
      <c r="K34" s="60" t="e">
        <f t="shared" si="11"/>
        <v>#DIV/0!</v>
      </c>
      <c r="L34" s="60" t="e">
        <f t="shared" si="12"/>
        <v>#DIV/0!</v>
      </c>
      <c r="M34" s="60" t="e">
        <f t="shared" si="13"/>
        <v>#DIV/0!</v>
      </c>
      <c r="N34" s="60" t="e">
        <f t="shared" si="14"/>
        <v>#DIV/0!</v>
      </c>
      <c r="O34" s="61" t="e">
        <f>Links!B34</f>
        <v>#DIV/0!</v>
      </c>
      <c r="P34" s="61" t="e">
        <f>Links!C34+'On-Ramps'!AC34</f>
        <v>#DIV/0!</v>
      </c>
      <c r="Q34" s="61" t="e">
        <f>Links!D34</f>
        <v>#DIV/0!</v>
      </c>
      <c r="R34" s="61" t="e">
        <f>Links!E34+'On-Ramps'!AD34</f>
        <v>#DIV/0!</v>
      </c>
      <c r="S34" s="61" t="e">
        <f>Links!F34+'On-Ramps'!AE34</f>
        <v>#DIV/0!</v>
      </c>
      <c r="T34" s="61" t="e">
        <f>Links!G34+'On-Ramps'!AF34</f>
        <v>#DIV/0!</v>
      </c>
      <c r="U34" s="61" t="e">
        <f>Links!H34+'On-Ramps'!AG34</f>
        <v>#DIV/0!</v>
      </c>
      <c r="V34" s="61" t="e">
        <f>Links!J34+'On-Ramps'!AH34</f>
        <v>#DIV/0!</v>
      </c>
      <c r="W34" s="61" t="e">
        <f>Links!K34+'On-Ramps'!AI34</f>
        <v>#DIV/0!</v>
      </c>
      <c r="X34" s="61" t="e">
        <f>Links!L34+'On-Ramps'!AJ34</f>
        <v>#DIV/0!</v>
      </c>
      <c r="Y34" s="61" t="e">
        <f>Links!M34</f>
        <v>#DIV/0!</v>
      </c>
      <c r="Z34" s="61" t="e">
        <f>Links!N34+'On-Ramps'!AK34</f>
        <v>#DIV/0!</v>
      </c>
      <c r="AA34" s="61" t="e">
        <f>Links!O34</f>
        <v>#DIV/0!</v>
      </c>
      <c r="AB34" s="60" t="e">
        <f t="shared" si="17"/>
        <v>#DIV/0!</v>
      </c>
      <c r="AC34" s="60" t="e">
        <f t="shared" si="18"/>
        <v>#DIV/0!</v>
      </c>
      <c r="AD34" s="60" t="e">
        <f t="shared" si="19"/>
        <v>#DIV/0!</v>
      </c>
      <c r="AE34" s="60" t="e">
        <f t="shared" si="20"/>
        <v>#DIV/0!</v>
      </c>
      <c r="AF34" s="60" t="e">
        <f t="shared" si="21"/>
        <v>#DIV/0!</v>
      </c>
      <c r="AG34" s="60" t="e">
        <f t="shared" si="22"/>
        <v>#DIV/0!</v>
      </c>
      <c r="AH34" s="60" t="e">
        <f t="shared" si="23"/>
        <v>#DIV/0!</v>
      </c>
      <c r="AI34" s="60" t="e">
        <f t="shared" si="24"/>
        <v>#DIV/0!</v>
      </c>
      <c r="AJ34" s="60" t="e">
        <f t="shared" si="25"/>
        <v>#DIV/0!</v>
      </c>
      <c r="AK34" s="60" t="e">
        <f t="shared" si="26"/>
        <v>#DIV/0!</v>
      </c>
      <c r="AL34" s="60" t="e">
        <f t="shared" si="27"/>
        <v>#DIV/0!</v>
      </c>
      <c r="AM34" s="60" t="e">
        <f t="shared" si="28"/>
        <v>#DIV/0!</v>
      </c>
      <c r="AN34" s="60" t="e">
        <f t="shared" si="30"/>
        <v>#DIV/0!</v>
      </c>
      <c r="AO34" s="61" t="e">
        <f t="shared" si="29"/>
        <v>#DIV/0!</v>
      </c>
      <c r="AP34" s="61" t="e">
        <f t="shared" si="29"/>
        <v>#DIV/0!</v>
      </c>
      <c r="AQ34" s="61" t="e">
        <f t="shared" si="29"/>
        <v>#DIV/0!</v>
      </c>
      <c r="AR34" s="61" t="e">
        <f t="shared" si="29"/>
        <v>#DIV/0!</v>
      </c>
      <c r="AS34" s="61" t="e">
        <f t="shared" si="29"/>
        <v>#DIV/0!</v>
      </c>
      <c r="AT34" s="61" t="e">
        <f t="shared" si="29"/>
        <v>#DIV/0!</v>
      </c>
      <c r="AU34" s="61" t="e">
        <f t="shared" si="29"/>
        <v>#DIV/0!</v>
      </c>
      <c r="AV34" s="61" t="e">
        <f t="shared" si="29"/>
        <v>#DIV/0!</v>
      </c>
      <c r="AW34" s="61" t="e">
        <f t="shared" si="29"/>
        <v>#DIV/0!</v>
      </c>
      <c r="AX34" s="61" t="e">
        <f t="shared" si="29"/>
        <v>#DIV/0!</v>
      </c>
      <c r="AY34" s="61" t="e">
        <f t="shared" si="29"/>
        <v>#DIV/0!</v>
      </c>
      <c r="AZ34" s="61" t="e">
        <f t="shared" si="29"/>
        <v>#DIV/0!</v>
      </c>
      <c r="BA34" s="61" t="e">
        <f t="shared" si="29"/>
        <v>#DIV/0!</v>
      </c>
      <c r="BB34" s="60" t="e">
        <f>Links!AF34</f>
        <v>#DIV/0!</v>
      </c>
      <c r="BC34" s="60" t="e">
        <f>(Links!AG34*Links!C34+'On-Ramps'!AC34*'On-Ramps'!CE34)/('On-Ramps'!AC34+Links!C34)</f>
        <v>#DIV/0!</v>
      </c>
      <c r="BD34" s="60" t="e">
        <f>Links!AH34</f>
        <v>#DIV/0!</v>
      </c>
      <c r="BE34" s="60" t="e">
        <f>(Links!AI34*Links!E34+'On-Ramps'!AD34*'On-Ramps'!CF33)/('On-Ramps'!AD34+Links!E34)</f>
        <v>#DIV/0!</v>
      </c>
      <c r="BF34" s="60" t="e">
        <f>(Links!F34*Links!AJ34+'On-Ramps'!AE34*'On-Ramps'!CG34)/('On-Ramps'!AE34+Links!F34)</f>
        <v>#DIV/0!</v>
      </c>
      <c r="BG34" s="60" t="e">
        <f>(Links!G34*Links!AK34+'On-Ramps'!AF34*'On-Ramps'!CH34)/('On-Ramps'!AF34+Links!G34)</f>
        <v>#DIV/0!</v>
      </c>
      <c r="BH34" s="60" t="e">
        <f>(Links!H34*Links!AL34+'On-Ramps'!AG34*'On-Ramps'!CI34)/('On-Ramps'!AG34+Links!H34)</f>
        <v>#DIV/0!</v>
      </c>
      <c r="BI34" s="60" t="e">
        <f>(Links!J34*Links!AN34+'On-Ramps'!AH34*'On-Ramps'!CJ34)/('On-Ramps'!AH34+Links!J34)</f>
        <v>#DIV/0!</v>
      </c>
      <c r="BJ34" s="60" t="e">
        <f>(Links!K34*Links!AO34+'On-Ramps'!AI34*'On-Ramps'!CK34)/('On-Ramps'!AI34+Links!K34)</f>
        <v>#DIV/0!</v>
      </c>
      <c r="BK34" s="60" t="e">
        <f>(Links!L34*Links!AP34+'On-Ramps'!AJ34*'On-Ramps'!CL34)/(Links!L34+'On-Ramps'!AJ34)</f>
        <v>#DIV/0!</v>
      </c>
      <c r="BL34" s="60" t="e">
        <f>Links!AQ34</f>
        <v>#DIV/0!</v>
      </c>
      <c r="BM34" s="60" t="e">
        <f>(Links!N34*Links!AR34+'On-Ramps'!AL34*'On-Ramps'!CM34)/(Links!N34+'On-Ramps'!AL34)</f>
        <v>#DIV/0!</v>
      </c>
      <c r="BN34" s="60" t="e">
        <f>Links!AS34</f>
        <v>#DIV/0!</v>
      </c>
      <c r="BO34" s="61" t="e">
        <f>(Links!R34^2+'Off-Ramp'!L34^2)/(Links!R34+'Off-Ramp'!L34)</f>
        <v>#DIV/0!</v>
      </c>
      <c r="BP34" s="61" t="e">
        <f>Links!S34</f>
        <v>#DIV/0!</v>
      </c>
      <c r="BQ34" s="61" t="e">
        <f>(Links!S34^2+'Off-Ramp'!C34^2)/(Links!S34+'Off-Ramp'!C34)</f>
        <v>#DIV/0!</v>
      </c>
      <c r="BR34" s="61" t="e">
        <f>Links!T34</f>
        <v>#DIV/0!</v>
      </c>
      <c r="BS34" s="61" t="e">
        <f>(Links!U34^2+'Off-Ramp'!N34^2)/(Links!U34+'Off-Ramp'!N34)</f>
        <v>#DIV/0!</v>
      </c>
      <c r="BT34" s="61" t="e">
        <f>(Links!V34^2+'Off-Ramp'!O34^2)/(Links!V34+'Off-Ramp'!O34)</f>
        <v>#DIV/0!</v>
      </c>
      <c r="BU34" s="61" t="e">
        <f>(Links!W34^2+'Off-Ramp'!P34^2)/(Links!W34+'Off-Ramp'!P34)</f>
        <v>#DIV/0!</v>
      </c>
      <c r="BV34" s="61" t="e">
        <f>(Links!Y34^2+'Off-Ramp'!Q34^2)/(Links!Y34+'Off-Ramp'!Q34)</f>
        <v>#DIV/0!</v>
      </c>
      <c r="BW34" s="61" t="e">
        <f>(Links!Z34^2+'Off-Ramp'!R34^2)/(Links!Z34+'Off-Ramp'!R34)</f>
        <v>#DIV/0!</v>
      </c>
      <c r="BX34" s="61" t="e">
        <f>(Links!AA34+'Off-Ramp'!S34)/(Links!AA34^2+'Off-Ramp'!S34^2)</f>
        <v>#DIV/0!</v>
      </c>
      <c r="BY34" s="61" t="e">
        <f>(Links!AB34^2+'Off-Ramp'!T34^2)/(Links!AB34+'Off-Ramp'!T34)</f>
        <v>#DIV/0!</v>
      </c>
      <c r="BZ34" s="61" t="e">
        <f>Links!AC34</f>
        <v>#DIV/0!</v>
      </c>
      <c r="CA34" s="61" t="e">
        <f>(Links!AD34^2+'Off-Ramp'!U34^2)/(Links!AD34+'Off-Ramp'!U34)</f>
        <v>#DIV/0!</v>
      </c>
    </row>
    <row r="35" spans="1:79" x14ac:dyDescent="0.15">
      <c r="A35" s="59">
        <v>33</v>
      </c>
      <c r="B35" s="60" t="e">
        <f t="shared" si="2"/>
        <v>#DIV/0!</v>
      </c>
      <c r="C35" s="60" t="e">
        <f t="shared" si="3"/>
        <v>#DIV/0!</v>
      </c>
      <c r="D35" s="60" t="e">
        <f t="shared" si="4"/>
        <v>#DIV/0!</v>
      </c>
      <c r="E35" s="60" t="e">
        <f t="shared" si="5"/>
        <v>#DIV/0!</v>
      </c>
      <c r="F35" s="60" t="e">
        <f t="shared" si="6"/>
        <v>#DIV/0!</v>
      </c>
      <c r="G35" s="60" t="e">
        <f t="shared" si="7"/>
        <v>#DIV/0!</v>
      </c>
      <c r="H35" s="60" t="e">
        <f t="shared" si="8"/>
        <v>#DIV/0!</v>
      </c>
      <c r="I35" s="60" t="e">
        <f t="shared" si="9"/>
        <v>#DIV/0!</v>
      </c>
      <c r="J35" s="60" t="e">
        <f t="shared" si="10"/>
        <v>#DIV/0!</v>
      </c>
      <c r="K35" s="60" t="e">
        <f t="shared" si="11"/>
        <v>#DIV/0!</v>
      </c>
      <c r="L35" s="60" t="e">
        <f t="shared" si="12"/>
        <v>#DIV/0!</v>
      </c>
      <c r="M35" s="60" t="e">
        <f t="shared" si="13"/>
        <v>#DIV/0!</v>
      </c>
      <c r="N35" s="60" t="e">
        <f t="shared" si="14"/>
        <v>#DIV/0!</v>
      </c>
      <c r="O35" s="61" t="e">
        <f>Links!B35</f>
        <v>#DIV/0!</v>
      </c>
      <c r="P35" s="61" t="e">
        <f>Links!C35+'On-Ramps'!AC35</f>
        <v>#DIV/0!</v>
      </c>
      <c r="Q35" s="61" t="e">
        <f>Links!D35</f>
        <v>#DIV/0!</v>
      </c>
      <c r="R35" s="61" t="e">
        <f>Links!E35+'On-Ramps'!AD35</f>
        <v>#DIV/0!</v>
      </c>
      <c r="S35" s="61" t="e">
        <f>Links!F35+'On-Ramps'!AE35</f>
        <v>#DIV/0!</v>
      </c>
      <c r="T35" s="61" t="e">
        <f>Links!G35+'On-Ramps'!AF35</f>
        <v>#DIV/0!</v>
      </c>
      <c r="U35" s="61" t="e">
        <f>Links!H35+'On-Ramps'!AG35</f>
        <v>#DIV/0!</v>
      </c>
      <c r="V35" s="61" t="e">
        <f>Links!J35+'On-Ramps'!AH35</f>
        <v>#DIV/0!</v>
      </c>
      <c r="W35" s="61" t="e">
        <f>Links!K35+'On-Ramps'!AI35</f>
        <v>#DIV/0!</v>
      </c>
      <c r="X35" s="61" t="e">
        <f>Links!L35+'On-Ramps'!AJ35</f>
        <v>#DIV/0!</v>
      </c>
      <c r="Y35" s="61" t="e">
        <f>Links!M35</f>
        <v>#DIV/0!</v>
      </c>
      <c r="Z35" s="61" t="e">
        <f>Links!N35+'On-Ramps'!AK35</f>
        <v>#DIV/0!</v>
      </c>
      <c r="AA35" s="61" t="e">
        <f>Links!O35</f>
        <v>#DIV/0!</v>
      </c>
      <c r="AB35" s="60" t="e">
        <f t="shared" si="17"/>
        <v>#DIV/0!</v>
      </c>
      <c r="AC35" s="60" t="e">
        <f t="shared" si="18"/>
        <v>#DIV/0!</v>
      </c>
      <c r="AD35" s="60" t="e">
        <f t="shared" si="19"/>
        <v>#DIV/0!</v>
      </c>
      <c r="AE35" s="60" t="e">
        <f t="shared" si="20"/>
        <v>#DIV/0!</v>
      </c>
      <c r="AF35" s="60" t="e">
        <f t="shared" si="21"/>
        <v>#DIV/0!</v>
      </c>
      <c r="AG35" s="60" t="e">
        <f t="shared" si="22"/>
        <v>#DIV/0!</v>
      </c>
      <c r="AH35" s="60" t="e">
        <f t="shared" si="23"/>
        <v>#DIV/0!</v>
      </c>
      <c r="AI35" s="60" t="e">
        <f t="shared" si="24"/>
        <v>#DIV/0!</v>
      </c>
      <c r="AJ35" s="60" t="e">
        <f t="shared" si="25"/>
        <v>#DIV/0!</v>
      </c>
      <c r="AK35" s="60" t="e">
        <f t="shared" si="26"/>
        <v>#DIV/0!</v>
      </c>
      <c r="AL35" s="60" t="e">
        <f t="shared" si="27"/>
        <v>#DIV/0!</v>
      </c>
      <c r="AM35" s="60" t="e">
        <f t="shared" si="28"/>
        <v>#DIV/0!</v>
      </c>
      <c r="AN35" s="60" t="e">
        <f t="shared" si="30"/>
        <v>#DIV/0!</v>
      </c>
      <c r="AO35" s="61" t="e">
        <f t="shared" si="29"/>
        <v>#DIV/0!</v>
      </c>
      <c r="AP35" s="61" t="e">
        <f t="shared" si="29"/>
        <v>#DIV/0!</v>
      </c>
      <c r="AQ35" s="61" t="e">
        <f t="shared" si="29"/>
        <v>#DIV/0!</v>
      </c>
      <c r="AR35" s="61" t="e">
        <f t="shared" si="29"/>
        <v>#DIV/0!</v>
      </c>
      <c r="AS35" s="61" t="e">
        <f t="shared" si="29"/>
        <v>#DIV/0!</v>
      </c>
      <c r="AT35" s="61" t="e">
        <f t="shared" si="29"/>
        <v>#DIV/0!</v>
      </c>
      <c r="AU35" s="61" t="e">
        <f t="shared" si="29"/>
        <v>#DIV/0!</v>
      </c>
      <c r="AV35" s="61" t="e">
        <f t="shared" si="29"/>
        <v>#DIV/0!</v>
      </c>
      <c r="AW35" s="61" t="e">
        <f t="shared" si="29"/>
        <v>#DIV/0!</v>
      </c>
      <c r="AX35" s="61" t="e">
        <f t="shared" si="29"/>
        <v>#DIV/0!</v>
      </c>
      <c r="AY35" s="61" t="e">
        <f t="shared" si="29"/>
        <v>#DIV/0!</v>
      </c>
      <c r="AZ35" s="61" t="e">
        <f t="shared" si="29"/>
        <v>#DIV/0!</v>
      </c>
      <c r="BA35" s="61" t="e">
        <f t="shared" si="29"/>
        <v>#DIV/0!</v>
      </c>
      <c r="BB35" s="60" t="e">
        <f>Links!AF35</f>
        <v>#DIV/0!</v>
      </c>
      <c r="BC35" s="60" t="e">
        <f>(Links!AG35*Links!C35+'On-Ramps'!AC35*'On-Ramps'!CE35)/('On-Ramps'!AC35+Links!C35)</f>
        <v>#DIV/0!</v>
      </c>
      <c r="BD35" s="60" t="e">
        <f>Links!AH35</f>
        <v>#DIV/0!</v>
      </c>
      <c r="BE35" s="60" t="e">
        <f>(Links!AI35*Links!E35+'On-Ramps'!AD35*'On-Ramps'!CF34)/('On-Ramps'!AD35+Links!E35)</f>
        <v>#DIV/0!</v>
      </c>
      <c r="BF35" s="60" t="e">
        <f>(Links!F35*Links!AJ35+'On-Ramps'!AE35*'On-Ramps'!CG35)/('On-Ramps'!AE35+Links!F35)</f>
        <v>#DIV/0!</v>
      </c>
      <c r="BG35" s="60" t="e">
        <f>(Links!G35*Links!AK35+'On-Ramps'!AF35*'On-Ramps'!CH35)/('On-Ramps'!AF35+Links!G35)</f>
        <v>#DIV/0!</v>
      </c>
      <c r="BH35" s="60" t="e">
        <f>(Links!H35*Links!AL35+'On-Ramps'!AG35*'On-Ramps'!CI35)/('On-Ramps'!AG35+Links!H35)</f>
        <v>#DIV/0!</v>
      </c>
      <c r="BI35" s="60" t="e">
        <f>(Links!J35*Links!AN35+'On-Ramps'!AH35*'On-Ramps'!CJ35)/('On-Ramps'!AH35+Links!J35)</f>
        <v>#DIV/0!</v>
      </c>
      <c r="BJ35" s="60" t="e">
        <f>(Links!K35*Links!AO35+'On-Ramps'!AI35*'On-Ramps'!CK35)/('On-Ramps'!AI35+Links!K35)</f>
        <v>#DIV/0!</v>
      </c>
      <c r="BK35" s="60" t="e">
        <f>(Links!L35*Links!AP35+'On-Ramps'!AJ35*'On-Ramps'!CL35)/(Links!L35+'On-Ramps'!AJ35)</f>
        <v>#DIV/0!</v>
      </c>
      <c r="BL35" s="60" t="e">
        <f>Links!AQ35</f>
        <v>#DIV/0!</v>
      </c>
      <c r="BM35" s="60" t="e">
        <f>(Links!N35*Links!AR35+'On-Ramps'!AL35*'On-Ramps'!CM35)/(Links!N35+'On-Ramps'!AL35)</f>
        <v>#DIV/0!</v>
      </c>
      <c r="BN35" s="60" t="e">
        <f>Links!AS35</f>
        <v>#DIV/0!</v>
      </c>
      <c r="BO35" s="61" t="e">
        <f>(Links!R35^2+'Off-Ramp'!L35^2)/(Links!R35+'Off-Ramp'!L35)</f>
        <v>#DIV/0!</v>
      </c>
      <c r="BP35" s="61" t="e">
        <f>Links!S35</f>
        <v>#DIV/0!</v>
      </c>
      <c r="BQ35" s="61" t="e">
        <f>(Links!S35^2+'Off-Ramp'!C35^2)/(Links!S35+'Off-Ramp'!C35)</f>
        <v>#DIV/0!</v>
      </c>
      <c r="BR35" s="61" t="e">
        <f>Links!T35</f>
        <v>#DIV/0!</v>
      </c>
      <c r="BS35" s="61" t="e">
        <f>(Links!U35^2+'Off-Ramp'!N35^2)/(Links!U35+'Off-Ramp'!N35)</f>
        <v>#DIV/0!</v>
      </c>
      <c r="BT35" s="61" t="e">
        <f>(Links!V35^2+'Off-Ramp'!O35^2)/(Links!V35+'Off-Ramp'!O35)</f>
        <v>#DIV/0!</v>
      </c>
      <c r="BU35" s="61" t="e">
        <f>(Links!W35^2+'Off-Ramp'!P35^2)/(Links!W35+'Off-Ramp'!P35)</f>
        <v>#DIV/0!</v>
      </c>
      <c r="BV35" s="61" t="e">
        <f>(Links!Y35^2+'Off-Ramp'!Q35^2)/(Links!Y35+'Off-Ramp'!Q35)</f>
        <v>#DIV/0!</v>
      </c>
      <c r="BW35" s="61" t="e">
        <f>(Links!Z35^2+'Off-Ramp'!R35^2)/(Links!Z35+'Off-Ramp'!R35)</f>
        <v>#DIV/0!</v>
      </c>
      <c r="BX35" s="61" t="e">
        <f>(Links!AA35+'Off-Ramp'!S35)/(Links!AA35^2+'Off-Ramp'!S35^2)</f>
        <v>#DIV/0!</v>
      </c>
      <c r="BY35" s="61" t="e">
        <f>(Links!AB35^2+'Off-Ramp'!T35^2)/(Links!AB35+'Off-Ramp'!T35)</f>
        <v>#DIV/0!</v>
      </c>
      <c r="BZ35" s="61" t="e">
        <f>Links!AC35</f>
        <v>#DIV/0!</v>
      </c>
      <c r="CA35" s="61" t="e">
        <f>(Links!AD35^2+'Off-Ramp'!U35^2)/(Links!AD35+'Off-Ramp'!U35)</f>
        <v>#DIV/0!</v>
      </c>
    </row>
    <row r="36" spans="1:79" x14ac:dyDescent="0.15">
      <c r="A36" s="59">
        <v>34</v>
      </c>
      <c r="B36" s="60" t="e">
        <f t="shared" si="2"/>
        <v>#DIV/0!</v>
      </c>
      <c r="C36" s="60" t="e">
        <f t="shared" si="3"/>
        <v>#DIV/0!</v>
      </c>
      <c r="D36" s="60" t="e">
        <f t="shared" si="4"/>
        <v>#DIV/0!</v>
      </c>
      <c r="E36" s="60" t="e">
        <f t="shared" si="5"/>
        <v>#DIV/0!</v>
      </c>
      <c r="F36" s="60" t="e">
        <f t="shared" si="6"/>
        <v>#DIV/0!</v>
      </c>
      <c r="G36" s="60" t="e">
        <f t="shared" si="7"/>
        <v>#DIV/0!</v>
      </c>
      <c r="H36" s="60" t="e">
        <f t="shared" si="8"/>
        <v>#DIV/0!</v>
      </c>
      <c r="I36" s="60" t="e">
        <f t="shared" si="9"/>
        <v>#DIV/0!</v>
      </c>
      <c r="J36" s="60" t="e">
        <f t="shared" si="10"/>
        <v>#DIV/0!</v>
      </c>
      <c r="K36" s="60" t="e">
        <f t="shared" si="11"/>
        <v>#DIV/0!</v>
      </c>
      <c r="L36" s="60" t="e">
        <f t="shared" si="12"/>
        <v>#DIV/0!</v>
      </c>
      <c r="M36" s="60" t="e">
        <f t="shared" si="13"/>
        <v>#DIV/0!</v>
      </c>
      <c r="N36" s="60" t="e">
        <f t="shared" si="14"/>
        <v>#DIV/0!</v>
      </c>
      <c r="O36" s="61" t="e">
        <f>Links!B36</f>
        <v>#DIV/0!</v>
      </c>
      <c r="P36" s="61" t="e">
        <f>Links!C36+'On-Ramps'!AC36</f>
        <v>#DIV/0!</v>
      </c>
      <c r="Q36" s="61" t="e">
        <f>Links!D36</f>
        <v>#DIV/0!</v>
      </c>
      <c r="R36" s="61" t="e">
        <f>Links!E36+'On-Ramps'!AD36</f>
        <v>#DIV/0!</v>
      </c>
      <c r="S36" s="61" t="e">
        <f>Links!F36+'On-Ramps'!AE36</f>
        <v>#DIV/0!</v>
      </c>
      <c r="T36" s="61" t="e">
        <f>Links!G36+'On-Ramps'!AF36</f>
        <v>#DIV/0!</v>
      </c>
      <c r="U36" s="61" t="e">
        <f>Links!H36+'On-Ramps'!AG36</f>
        <v>#DIV/0!</v>
      </c>
      <c r="V36" s="61" t="e">
        <f>Links!J36+'On-Ramps'!AH36</f>
        <v>#DIV/0!</v>
      </c>
      <c r="W36" s="61" t="e">
        <f>Links!K36+'On-Ramps'!AI36</f>
        <v>#DIV/0!</v>
      </c>
      <c r="X36" s="61" t="e">
        <f>Links!L36+'On-Ramps'!AJ36</f>
        <v>#DIV/0!</v>
      </c>
      <c r="Y36" s="61" t="e">
        <f>Links!M36</f>
        <v>#DIV/0!</v>
      </c>
      <c r="Z36" s="61" t="e">
        <f>Links!N36+'On-Ramps'!AK36</f>
        <v>#DIV/0!</v>
      </c>
      <c r="AA36" s="61" t="e">
        <f>Links!O36</f>
        <v>#DIV/0!</v>
      </c>
      <c r="AB36" s="60" t="e">
        <f t="shared" si="17"/>
        <v>#DIV/0!</v>
      </c>
      <c r="AC36" s="60" t="e">
        <f t="shared" si="18"/>
        <v>#DIV/0!</v>
      </c>
      <c r="AD36" s="60" t="e">
        <f t="shared" si="19"/>
        <v>#DIV/0!</v>
      </c>
      <c r="AE36" s="60" t="e">
        <f t="shared" si="20"/>
        <v>#DIV/0!</v>
      </c>
      <c r="AF36" s="60" t="e">
        <f t="shared" si="21"/>
        <v>#DIV/0!</v>
      </c>
      <c r="AG36" s="60" t="e">
        <f t="shared" si="22"/>
        <v>#DIV/0!</v>
      </c>
      <c r="AH36" s="60" t="e">
        <f t="shared" si="23"/>
        <v>#DIV/0!</v>
      </c>
      <c r="AI36" s="60" t="e">
        <f t="shared" si="24"/>
        <v>#DIV/0!</v>
      </c>
      <c r="AJ36" s="60" t="e">
        <f t="shared" si="25"/>
        <v>#DIV/0!</v>
      </c>
      <c r="AK36" s="60" t="e">
        <f t="shared" si="26"/>
        <v>#DIV/0!</v>
      </c>
      <c r="AL36" s="60" t="e">
        <f t="shared" si="27"/>
        <v>#DIV/0!</v>
      </c>
      <c r="AM36" s="60" t="e">
        <f t="shared" si="28"/>
        <v>#DIV/0!</v>
      </c>
      <c r="AN36" s="60" t="e">
        <f t="shared" si="30"/>
        <v>#DIV/0!</v>
      </c>
      <c r="AO36" s="61" t="e">
        <f t="shared" si="29"/>
        <v>#DIV/0!</v>
      </c>
      <c r="AP36" s="61" t="e">
        <f t="shared" si="29"/>
        <v>#DIV/0!</v>
      </c>
      <c r="AQ36" s="61" t="e">
        <f t="shared" si="29"/>
        <v>#DIV/0!</v>
      </c>
      <c r="AR36" s="61" t="e">
        <f t="shared" si="29"/>
        <v>#DIV/0!</v>
      </c>
      <c r="AS36" s="61" t="e">
        <f t="shared" si="29"/>
        <v>#DIV/0!</v>
      </c>
      <c r="AT36" s="61" t="e">
        <f t="shared" si="29"/>
        <v>#DIV/0!</v>
      </c>
      <c r="AU36" s="61" t="e">
        <f t="shared" si="29"/>
        <v>#DIV/0!</v>
      </c>
      <c r="AV36" s="61" t="e">
        <f t="shared" si="29"/>
        <v>#DIV/0!</v>
      </c>
      <c r="AW36" s="61" t="e">
        <f t="shared" si="29"/>
        <v>#DIV/0!</v>
      </c>
      <c r="AX36" s="61" t="e">
        <f t="shared" si="29"/>
        <v>#DIV/0!</v>
      </c>
      <c r="AY36" s="61" t="e">
        <f t="shared" si="29"/>
        <v>#DIV/0!</v>
      </c>
      <c r="AZ36" s="61" t="e">
        <f t="shared" si="29"/>
        <v>#DIV/0!</v>
      </c>
      <c r="BA36" s="61" t="e">
        <f t="shared" si="29"/>
        <v>#DIV/0!</v>
      </c>
      <c r="BB36" s="60" t="e">
        <f>Links!AF36</f>
        <v>#DIV/0!</v>
      </c>
      <c r="BC36" s="60" t="e">
        <f>(Links!AG36*Links!C36+'On-Ramps'!AC36*'On-Ramps'!CE36)/('On-Ramps'!AC36+Links!C36)</f>
        <v>#DIV/0!</v>
      </c>
      <c r="BD36" s="60" t="e">
        <f>Links!AH36</f>
        <v>#DIV/0!</v>
      </c>
      <c r="BE36" s="60" t="e">
        <f>(Links!AI36*Links!E36+'On-Ramps'!AD36*'On-Ramps'!CF35)/('On-Ramps'!AD36+Links!E36)</f>
        <v>#DIV/0!</v>
      </c>
      <c r="BF36" s="60" t="e">
        <f>(Links!F36*Links!AJ36+'On-Ramps'!AE36*'On-Ramps'!CG36)/('On-Ramps'!AE36+Links!F36)</f>
        <v>#DIV/0!</v>
      </c>
      <c r="BG36" s="60" t="e">
        <f>(Links!G36*Links!AK36+'On-Ramps'!AF36*'On-Ramps'!CH36)/('On-Ramps'!AF36+Links!G36)</f>
        <v>#DIV/0!</v>
      </c>
      <c r="BH36" s="60" t="e">
        <f>(Links!H36*Links!AL36+'On-Ramps'!AG36*'On-Ramps'!CI36)/('On-Ramps'!AG36+Links!H36)</f>
        <v>#DIV/0!</v>
      </c>
      <c r="BI36" s="60" t="e">
        <f>(Links!J36*Links!AN36+'On-Ramps'!AH36*'On-Ramps'!CJ36)/('On-Ramps'!AH36+Links!J36)</f>
        <v>#DIV/0!</v>
      </c>
      <c r="BJ36" s="60" t="e">
        <f>(Links!K36*Links!AO36+'On-Ramps'!AI36*'On-Ramps'!CK36)/('On-Ramps'!AI36+Links!K36)</f>
        <v>#DIV/0!</v>
      </c>
      <c r="BK36" s="60" t="e">
        <f>(Links!L36*Links!AP36+'On-Ramps'!AJ36*'On-Ramps'!CL36)/(Links!L36+'On-Ramps'!AJ36)</f>
        <v>#DIV/0!</v>
      </c>
      <c r="BL36" s="60" t="e">
        <f>Links!AQ36</f>
        <v>#DIV/0!</v>
      </c>
      <c r="BM36" s="60" t="e">
        <f>(Links!N36*Links!AR36+'On-Ramps'!AL36*'On-Ramps'!CM36)/(Links!N36+'On-Ramps'!AL36)</f>
        <v>#DIV/0!</v>
      </c>
      <c r="BN36" s="60" t="e">
        <f>Links!AS36</f>
        <v>#DIV/0!</v>
      </c>
      <c r="BO36" s="61" t="e">
        <f>(Links!R36^2+'Off-Ramp'!L36^2)/(Links!R36+'Off-Ramp'!L36)</f>
        <v>#DIV/0!</v>
      </c>
      <c r="BP36" s="61" t="e">
        <f>Links!S36</f>
        <v>#DIV/0!</v>
      </c>
      <c r="BQ36" s="61" t="e">
        <f>(Links!S36^2+'Off-Ramp'!C36^2)/(Links!S36+'Off-Ramp'!C36)</f>
        <v>#DIV/0!</v>
      </c>
      <c r="BR36" s="61" t="e">
        <f>Links!T36</f>
        <v>#DIV/0!</v>
      </c>
      <c r="BS36" s="61" t="e">
        <f>(Links!U36^2+'Off-Ramp'!N36^2)/(Links!U36+'Off-Ramp'!N36)</f>
        <v>#DIV/0!</v>
      </c>
      <c r="BT36" s="61" t="e">
        <f>(Links!V36^2+'Off-Ramp'!O36^2)/(Links!V36+'Off-Ramp'!O36)</f>
        <v>#DIV/0!</v>
      </c>
      <c r="BU36" s="61" t="e">
        <f>(Links!W36^2+'Off-Ramp'!P36^2)/(Links!W36+'Off-Ramp'!P36)</f>
        <v>#DIV/0!</v>
      </c>
      <c r="BV36" s="61" t="e">
        <f>(Links!Y36^2+'Off-Ramp'!Q36^2)/(Links!Y36+'Off-Ramp'!Q36)</f>
        <v>#DIV/0!</v>
      </c>
      <c r="BW36" s="61" t="e">
        <f>(Links!Z36^2+'Off-Ramp'!R36^2)/(Links!Z36+'Off-Ramp'!R36)</f>
        <v>#DIV/0!</v>
      </c>
      <c r="BX36" s="61" t="e">
        <f>(Links!AA36+'Off-Ramp'!S36)/(Links!AA36^2+'Off-Ramp'!S36^2)</f>
        <v>#DIV/0!</v>
      </c>
      <c r="BY36" s="61" t="e">
        <f>(Links!AB36^2+'Off-Ramp'!T36^2)/(Links!AB36+'Off-Ramp'!T36)</f>
        <v>#DIV/0!</v>
      </c>
      <c r="BZ36" s="61" t="e">
        <f>Links!AC36</f>
        <v>#DIV/0!</v>
      </c>
      <c r="CA36" s="61" t="e">
        <f>(Links!AD36^2+'Off-Ramp'!U36^2)/(Links!AD36+'Off-Ramp'!U36)</f>
        <v>#DIV/0!</v>
      </c>
    </row>
    <row r="37" spans="1:79" x14ac:dyDescent="0.15">
      <c r="A37" s="59">
        <v>35</v>
      </c>
      <c r="B37" s="60" t="e">
        <f t="shared" si="2"/>
        <v>#DIV/0!</v>
      </c>
      <c r="C37" s="60" t="e">
        <f t="shared" si="3"/>
        <v>#DIV/0!</v>
      </c>
      <c r="D37" s="60" t="e">
        <f t="shared" si="4"/>
        <v>#DIV/0!</v>
      </c>
      <c r="E37" s="60" t="e">
        <f t="shared" si="5"/>
        <v>#DIV/0!</v>
      </c>
      <c r="F37" s="60" t="e">
        <f t="shared" si="6"/>
        <v>#DIV/0!</v>
      </c>
      <c r="G37" s="60" t="e">
        <f t="shared" si="7"/>
        <v>#DIV/0!</v>
      </c>
      <c r="H37" s="60" t="e">
        <f t="shared" si="8"/>
        <v>#DIV/0!</v>
      </c>
      <c r="I37" s="60" t="e">
        <f t="shared" si="9"/>
        <v>#DIV/0!</v>
      </c>
      <c r="J37" s="60" t="e">
        <f t="shared" si="10"/>
        <v>#DIV/0!</v>
      </c>
      <c r="K37" s="60" t="e">
        <f t="shared" si="11"/>
        <v>#DIV/0!</v>
      </c>
      <c r="L37" s="60" t="e">
        <f t="shared" si="12"/>
        <v>#DIV/0!</v>
      </c>
      <c r="M37" s="60" t="e">
        <f t="shared" si="13"/>
        <v>#DIV/0!</v>
      </c>
      <c r="N37" s="60" t="e">
        <f t="shared" si="14"/>
        <v>#DIV/0!</v>
      </c>
      <c r="O37" s="61" t="e">
        <f>Links!B37</f>
        <v>#DIV/0!</v>
      </c>
      <c r="P37" s="61" t="e">
        <f>Links!C37+'On-Ramps'!AC37</f>
        <v>#DIV/0!</v>
      </c>
      <c r="Q37" s="61" t="e">
        <f>Links!D37</f>
        <v>#DIV/0!</v>
      </c>
      <c r="R37" s="61" t="e">
        <f>Links!E37+'On-Ramps'!AD37</f>
        <v>#DIV/0!</v>
      </c>
      <c r="S37" s="61" t="e">
        <f>Links!F37+'On-Ramps'!AE37</f>
        <v>#DIV/0!</v>
      </c>
      <c r="T37" s="61" t="e">
        <f>Links!G37+'On-Ramps'!AF37</f>
        <v>#DIV/0!</v>
      </c>
      <c r="U37" s="61" t="e">
        <f>Links!H37+'On-Ramps'!AG37</f>
        <v>#DIV/0!</v>
      </c>
      <c r="V37" s="61" t="e">
        <f>Links!J37+'On-Ramps'!AH37</f>
        <v>#DIV/0!</v>
      </c>
      <c r="W37" s="61" t="e">
        <f>Links!K37+'On-Ramps'!AI37</f>
        <v>#DIV/0!</v>
      </c>
      <c r="X37" s="61" t="e">
        <f>Links!L37+'On-Ramps'!AJ37</f>
        <v>#DIV/0!</v>
      </c>
      <c r="Y37" s="61" t="e">
        <f>Links!M37</f>
        <v>#DIV/0!</v>
      </c>
      <c r="Z37" s="61" t="e">
        <f>Links!N37+'On-Ramps'!AK37</f>
        <v>#DIV/0!</v>
      </c>
      <c r="AA37" s="61" t="e">
        <f>Links!O37</f>
        <v>#DIV/0!</v>
      </c>
      <c r="AB37" s="60" t="e">
        <f t="shared" si="17"/>
        <v>#DIV/0!</v>
      </c>
      <c r="AC37" s="60" t="e">
        <f t="shared" si="18"/>
        <v>#DIV/0!</v>
      </c>
      <c r="AD37" s="60" t="e">
        <f t="shared" si="19"/>
        <v>#DIV/0!</v>
      </c>
      <c r="AE37" s="60" t="e">
        <f t="shared" si="20"/>
        <v>#DIV/0!</v>
      </c>
      <c r="AF37" s="60" t="e">
        <f t="shared" si="21"/>
        <v>#DIV/0!</v>
      </c>
      <c r="AG37" s="60" t="e">
        <f t="shared" si="22"/>
        <v>#DIV/0!</v>
      </c>
      <c r="AH37" s="60" t="e">
        <f t="shared" si="23"/>
        <v>#DIV/0!</v>
      </c>
      <c r="AI37" s="60" t="e">
        <f t="shared" si="24"/>
        <v>#DIV/0!</v>
      </c>
      <c r="AJ37" s="60" t="e">
        <f t="shared" si="25"/>
        <v>#DIV/0!</v>
      </c>
      <c r="AK37" s="60" t="e">
        <f t="shared" si="26"/>
        <v>#DIV/0!</v>
      </c>
      <c r="AL37" s="60" t="e">
        <f t="shared" si="27"/>
        <v>#DIV/0!</v>
      </c>
      <c r="AM37" s="60" t="e">
        <f t="shared" si="28"/>
        <v>#DIV/0!</v>
      </c>
      <c r="AN37" s="60" t="e">
        <f t="shared" si="30"/>
        <v>#DIV/0!</v>
      </c>
      <c r="AO37" s="61" t="e">
        <f t="shared" ref="AO37:BA56" si="31">AO$3</f>
        <v>#DIV/0!</v>
      </c>
      <c r="AP37" s="61" t="e">
        <f t="shared" si="31"/>
        <v>#DIV/0!</v>
      </c>
      <c r="AQ37" s="61" t="e">
        <f t="shared" si="31"/>
        <v>#DIV/0!</v>
      </c>
      <c r="AR37" s="61" t="e">
        <f t="shared" si="31"/>
        <v>#DIV/0!</v>
      </c>
      <c r="AS37" s="61" t="e">
        <f t="shared" si="31"/>
        <v>#DIV/0!</v>
      </c>
      <c r="AT37" s="61" t="e">
        <f t="shared" si="31"/>
        <v>#DIV/0!</v>
      </c>
      <c r="AU37" s="61" t="e">
        <f t="shared" si="31"/>
        <v>#DIV/0!</v>
      </c>
      <c r="AV37" s="61" t="e">
        <f t="shared" si="31"/>
        <v>#DIV/0!</v>
      </c>
      <c r="AW37" s="61" t="e">
        <f t="shared" si="31"/>
        <v>#DIV/0!</v>
      </c>
      <c r="AX37" s="61" t="e">
        <f t="shared" si="31"/>
        <v>#DIV/0!</v>
      </c>
      <c r="AY37" s="61" t="e">
        <f t="shared" si="31"/>
        <v>#DIV/0!</v>
      </c>
      <c r="AZ37" s="61" t="e">
        <f t="shared" si="31"/>
        <v>#DIV/0!</v>
      </c>
      <c r="BA37" s="61" t="e">
        <f t="shared" si="31"/>
        <v>#DIV/0!</v>
      </c>
      <c r="BB37" s="60" t="e">
        <f>Links!AF37</f>
        <v>#DIV/0!</v>
      </c>
      <c r="BC37" s="60" t="e">
        <f>(Links!AG37*Links!C37+'On-Ramps'!AC37*'On-Ramps'!CE37)/('On-Ramps'!AC37+Links!C37)</f>
        <v>#DIV/0!</v>
      </c>
      <c r="BD37" s="60" t="e">
        <f>Links!AH37</f>
        <v>#DIV/0!</v>
      </c>
      <c r="BE37" s="60" t="e">
        <f>(Links!AI37*Links!E37+'On-Ramps'!AD37*'On-Ramps'!CF36)/('On-Ramps'!AD37+Links!E37)</f>
        <v>#DIV/0!</v>
      </c>
      <c r="BF37" s="60" t="e">
        <f>(Links!F37*Links!AJ37+'On-Ramps'!AE37*'On-Ramps'!CG37)/('On-Ramps'!AE37+Links!F37)</f>
        <v>#DIV/0!</v>
      </c>
      <c r="BG37" s="60" t="e">
        <f>(Links!G37*Links!AK37+'On-Ramps'!AF37*'On-Ramps'!CH37)/('On-Ramps'!AF37+Links!G37)</f>
        <v>#DIV/0!</v>
      </c>
      <c r="BH37" s="60" t="e">
        <f>(Links!H37*Links!AL37+'On-Ramps'!AG37*'On-Ramps'!CI37)/('On-Ramps'!AG37+Links!H37)</f>
        <v>#DIV/0!</v>
      </c>
      <c r="BI37" s="60" t="e">
        <f>(Links!J37*Links!AN37+'On-Ramps'!AH37*'On-Ramps'!CJ37)/('On-Ramps'!AH37+Links!J37)</f>
        <v>#DIV/0!</v>
      </c>
      <c r="BJ37" s="60" t="e">
        <f>(Links!K37*Links!AO37+'On-Ramps'!AI37*'On-Ramps'!CK37)/('On-Ramps'!AI37+Links!K37)</f>
        <v>#DIV/0!</v>
      </c>
      <c r="BK37" s="60" t="e">
        <f>(Links!L37*Links!AP37+'On-Ramps'!AJ37*'On-Ramps'!CL37)/(Links!L37+'On-Ramps'!AJ37)</f>
        <v>#DIV/0!</v>
      </c>
      <c r="BL37" s="60" t="e">
        <f>Links!AQ37</f>
        <v>#DIV/0!</v>
      </c>
      <c r="BM37" s="60" t="e">
        <f>(Links!N37*Links!AR37+'On-Ramps'!AL37*'On-Ramps'!CM37)/(Links!N37+'On-Ramps'!AL37)</f>
        <v>#DIV/0!</v>
      </c>
      <c r="BN37" s="60" t="e">
        <f>Links!AS37</f>
        <v>#DIV/0!</v>
      </c>
      <c r="BO37" s="61" t="e">
        <f>(Links!R37^2+'Off-Ramp'!L37^2)/(Links!R37+'Off-Ramp'!L37)</f>
        <v>#DIV/0!</v>
      </c>
      <c r="BP37" s="61" t="e">
        <f>Links!S37</f>
        <v>#DIV/0!</v>
      </c>
      <c r="BQ37" s="61" t="e">
        <f>(Links!S37^2+'Off-Ramp'!C37^2)/(Links!S37+'Off-Ramp'!C37)</f>
        <v>#DIV/0!</v>
      </c>
      <c r="BR37" s="61" t="e">
        <f>Links!T37</f>
        <v>#DIV/0!</v>
      </c>
      <c r="BS37" s="61" t="e">
        <f>(Links!U37^2+'Off-Ramp'!N37^2)/(Links!U37+'Off-Ramp'!N37)</f>
        <v>#DIV/0!</v>
      </c>
      <c r="BT37" s="61" t="e">
        <f>(Links!V37^2+'Off-Ramp'!O37^2)/(Links!V37+'Off-Ramp'!O37)</f>
        <v>#DIV/0!</v>
      </c>
      <c r="BU37" s="61" t="e">
        <f>(Links!W37^2+'Off-Ramp'!P37^2)/(Links!W37+'Off-Ramp'!P37)</f>
        <v>#DIV/0!</v>
      </c>
      <c r="BV37" s="61" t="e">
        <f>(Links!Y37^2+'Off-Ramp'!Q37^2)/(Links!Y37+'Off-Ramp'!Q37)</f>
        <v>#DIV/0!</v>
      </c>
      <c r="BW37" s="61" t="e">
        <f>(Links!Z37^2+'Off-Ramp'!R37^2)/(Links!Z37+'Off-Ramp'!R37)</f>
        <v>#DIV/0!</v>
      </c>
      <c r="BX37" s="61" t="e">
        <f>(Links!AA37+'Off-Ramp'!S37)/(Links!AA37^2+'Off-Ramp'!S37^2)</f>
        <v>#DIV/0!</v>
      </c>
      <c r="BY37" s="61" t="e">
        <f>(Links!AB37^2+'Off-Ramp'!T37^2)/(Links!AB37+'Off-Ramp'!T37)</f>
        <v>#DIV/0!</v>
      </c>
      <c r="BZ37" s="61" t="e">
        <f>Links!AC37</f>
        <v>#DIV/0!</v>
      </c>
      <c r="CA37" s="61" t="e">
        <f>(Links!AD37^2+'Off-Ramp'!U37^2)/(Links!AD37+'Off-Ramp'!U37)</f>
        <v>#DIV/0!</v>
      </c>
    </row>
    <row r="38" spans="1:79" x14ac:dyDescent="0.15">
      <c r="A38" s="59">
        <v>36</v>
      </c>
      <c r="B38" s="60" t="e">
        <f t="shared" si="2"/>
        <v>#DIV/0!</v>
      </c>
      <c r="C38" s="60" t="e">
        <f t="shared" si="3"/>
        <v>#DIV/0!</v>
      </c>
      <c r="D38" s="60" t="e">
        <f t="shared" si="4"/>
        <v>#DIV/0!</v>
      </c>
      <c r="E38" s="60" t="e">
        <f t="shared" si="5"/>
        <v>#DIV/0!</v>
      </c>
      <c r="F38" s="60" t="e">
        <f t="shared" si="6"/>
        <v>#DIV/0!</v>
      </c>
      <c r="G38" s="60" t="e">
        <f t="shared" si="7"/>
        <v>#DIV/0!</v>
      </c>
      <c r="H38" s="60" t="e">
        <f t="shared" si="8"/>
        <v>#DIV/0!</v>
      </c>
      <c r="I38" s="60" t="e">
        <f t="shared" si="9"/>
        <v>#DIV/0!</v>
      </c>
      <c r="J38" s="60" t="e">
        <f t="shared" si="10"/>
        <v>#DIV/0!</v>
      </c>
      <c r="K38" s="60" t="e">
        <f t="shared" si="11"/>
        <v>#DIV/0!</v>
      </c>
      <c r="L38" s="60" t="e">
        <f t="shared" si="12"/>
        <v>#DIV/0!</v>
      </c>
      <c r="M38" s="60" t="e">
        <f t="shared" si="13"/>
        <v>#DIV/0!</v>
      </c>
      <c r="N38" s="60" t="e">
        <f t="shared" si="14"/>
        <v>#DIV/0!</v>
      </c>
      <c r="O38" s="61" t="e">
        <f>Links!B38</f>
        <v>#DIV/0!</v>
      </c>
      <c r="P38" s="61" t="e">
        <f>Links!C38+'On-Ramps'!AC38</f>
        <v>#DIV/0!</v>
      </c>
      <c r="Q38" s="61" t="e">
        <f>Links!D38</f>
        <v>#DIV/0!</v>
      </c>
      <c r="R38" s="61" t="e">
        <f>Links!E38+'On-Ramps'!AD38</f>
        <v>#DIV/0!</v>
      </c>
      <c r="S38" s="61" t="e">
        <f>Links!F38+'On-Ramps'!AE38</f>
        <v>#DIV/0!</v>
      </c>
      <c r="T38" s="61" t="e">
        <f>Links!G38+'On-Ramps'!AF38</f>
        <v>#DIV/0!</v>
      </c>
      <c r="U38" s="61" t="e">
        <f>Links!H38+'On-Ramps'!AG38</f>
        <v>#DIV/0!</v>
      </c>
      <c r="V38" s="61" t="e">
        <f>Links!J38+'On-Ramps'!AH38</f>
        <v>#DIV/0!</v>
      </c>
      <c r="W38" s="61" t="e">
        <f>Links!K38+'On-Ramps'!AI38</f>
        <v>#DIV/0!</v>
      </c>
      <c r="X38" s="61" t="e">
        <f>Links!L38+'On-Ramps'!AJ38</f>
        <v>#DIV/0!</v>
      </c>
      <c r="Y38" s="61" t="e">
        <f>Links!M38</f>
        <v>#DIV/0!</v>
      </c>
      <c r="Z38" s="61" t="e">
        <f>Links!N38+'On-Ramps'!AK38</f>
        <v>#DIV/0!</v>
      </c>
      <c r="AA38" s="61" t="e">
        <f>Links!O38</f>
        <v>#DIV/0!</v>
      </c>
      <c r="AB38" s="60" t="e">
        <f t="shared" si="17"/>
        <v>#DIV/0!</v>
      </c>
      <c r="AC38" s="60" t="e">
        <f t="shared" si="18"/>
        <v>#DIV/0!</v>
      </c>
      <c r="AD38" s="60" t="e">
        <f t="shared" si="19"/>
        <v>#DIV/0!</v>
      </c>
      <c r="AE38" s="60" t="e">
        <f t="shared" si="20"/>
        <v>#DIV/0!</v>
      </c>
      <c r="AF38" s="60" t="e">
        <f t="shared" si="21"/>
        <v>#DIV/0!</v>
      </c>
      <c r="AG38" s="60" t="e">
        <f t="shared" si="22"/>
        <v>#DIV/0!</v>
      </c>
      <c r="AH38" s="60" t="e">
        <f t="shared" si="23"/>
        <v>#DIV/0!</v>
      </c>
      <c r="AI38" s="60" t="e">
        <f t="shared" si="24"/>
        <v>#DIV/0!</v>
      </c>
      <c r="AJ38" s="60" t="e">
        <f t="shared" si="25"/>
        <v>#DIV/0!</v>
      </c>
      <c r="AK38" s="60" t="e">
        <f t="shared" si="26"/>
        <v>#DIV/0!</v>
      </c>
      <c r="AL38" s="60" t="e">
        <f t="shared" si="27"/>
        <v>#DIV/0!</v>
      </c>
      <c r="AM38" s="60" t="e">
        <f t="shared" si="28"/>
        <v>#DIV/0!</v>
      </c>
      <c r="AN38" s="60" t="e">
        <f t="shared" si="30"/>
        <v>#DIV/0!</v>
      </c>
      <c r="AO38" s="61" t="e">
        <f t="shared" si="31"/>
        <v>#DIV/0!</v>
      </c>
      <c r="AP38" s="61" t="e">
        <f t="shared" si="31"/>
        <v>#DIV/0!</v>
      </c>
      <c r="AQ38" s="61" t="e">
        <f t="shared" si="31"/>
        <v>#DIV/0!</v>
      </c>
      <c r="AR38" s="61" t="e">
        <f t="shared" si="31"/>
        <v>#DIV/0!</v>
      </c>
      <c r="AS38" s="61" t="e">
        <f t="shared" si="31"/>
        <v>#DIV/0!</v>
      </c>
      <c r="AT38" s="61" t="e">
        <f t="shared" si="31"/>
        <v>#DIV/0!</v>
      </c>
      <c r="AU38" s="61" t="e">
        <f t="shared" si="31"/>
        <v>#DIV/0!</v>
      </c>
      <c r="AV38" s="61" t="e">
        <f t="shared" si="31"/>
        <v>#DIV/0!</v>
      </c>
      <c r="AW38" s="61" t="e">
        <f t="shared" si="31"/>
        <v>#DIV/0!</v>
      </c>
      <c r="AX38" s="61" t="e">
        <f t="shared" si="31"/>
        <v>#DIV/0!</v>
      </c>
      <c r="AY38" s="61" t="e">
        <f t="shared" si="31"/>
        <v>#DIV/0!</v>
      </c>
      <c r="AZ38" s="61" t="e">
        <f t="shared" si="31"/>
        <v>#DIV/0!</v>
      </c>
      <c r="BA38" s="61" t="e">
        <f t="shared" si="31"/>
        <v>#DIV/0!</v>
      </c>
      <c r="BB38" s="60" t="e">
        <f>Links!AF38</f>
        <v>#DIV/0!</v>
      </c>
      <c r="BC38" s="60" t="e">
        <f>(Links!AG38*Links!C38+'On-Ramps'!AC38*'On-Ramps'!CE38)/('On-Ramps'!AC38+Links!C38)</f>
        <v>#DIV/0!</v>
      </c>
      <c r="BD38" s="60" t="e">
        <f>Links!AH38</f>
        <v>#DIV/0!</v>
      </c>
      <c r="BE38" s="60" t="e">
        <f>(Links!AI38*Links!E38+'On-Ramps'!AD38*'On-Ramps'!CF37)/('On-Ramps'!AD38+Links!E38)</f>
        <v>#DIV/0!</v>
      </c>
      <c r="BF38" s="60" t="e">
        <f>(Links!F38*Links!AJ38+'On-Ramps'!AE38*'On-Ramps'!CG38)/('On-Ramps'!AE38+Links!F38)</f>
        <v>#DIV/0!</v>
      </c>
      <c r="BG38" s="60" t="e">
        <f>(Links!G38*Links!AK38+'On-Ramps'!AF38*'On-Ramps'!CH38)/('On-Ramps'!AF38+Links!G38)</f>
        <v>#DIV/0!</v>
      </c>
      <c r="BH38" s="60" t="e">
        <f>(Links!H38*Links!AL38+'On-Ramps'!AG38*'On-Ramps'!CI38)/('On-Ramps'!AG38+Links!H38)</f>
        <v>#DIV/0!</v>
      </c>
      <c r="BI38" s="60" t="e">
        <f>(Links!J38*Links!AN38+'On-Ramps'!AH38*'On-Ramps'!CJ38)/('On-Ramps'!AH38+Links!J38)</f>
        <v>#DIV/0!</v>
      </c>
      <c r="BJ38" s="60" t="e">
        <f>(Links!K38*Links!AO38+'On-Ramps'!AI38*'On-Ramps'!CK38)/('On-Ramps'!AI38+Links!K38)</f>
        <v>#DIV/0!</v>
      </c>
      <c r="BK38" s="60" t="e">
        <f>(Links!L38*Links!AP38+'On-Ramps'!AJ38*'On-Ramps'!CL38)/(Links!L38+'On-Ramps'!AJ38)</f>
        <v>#DIV/0!</v>
      </c>
      <c r="BL38" s="60" t="e">
        <f>Links!AQ38</f>
        <v>#DIV/0!</v>
      </c>
      <c r="BM38" s="60" t="e">
        <f>(Links!N38*Links!AR38+'On-Ramps'!AL38*'On-Ramps'!CM38)/(Links!N38+'On-Ramps'!AL38)</f>
        <v>#DIV/0!</v>
      </c>
      <c r="BN38" s="60" t="e">
        <f>Links!AS38</f>
        <v>#DIV/0!</v>
      </c>
      <c r="BO38" s="61" t="e">
        <f>(Links!R38^2+'Off-Ramp'!L38^2)/(Links!R38+'Off-Ramp'!L38)</f>
        <v>#DIV/0!</v>
      </c>
      <c r="BP38" s="61" t="e">
        <f>Links!S38</f>
        <v>#DIV/0!</v>
      </c>
      <c r="BQ38" s="61" t="e">
        <f>(Links!S38^2+'Off-Ramp'!C38^2)/(Links!S38+'Off-Ramp'!C38)</f>
        <v>#DIV/0!</v>
      </c>
      <c r="BR38" s="61" t="e">
        <f>Links!T38</f>
        <v>#DIV/0!</v>
      </c>
      <c r="BS38" s="61" t="e">
        <f>(Links!U38^2+'Off-Ramp'!N38^2)/(Links!U38+'Off-Ramp'!N38)</f>
        <v>#DIV/0!</v>
      </c>
      <c r="BT38" s="61" t="e">
        <f>(Links!V38^2+'Off-Ramp'!O38^2)/(Links!V38+'Off-Ramp'!O38)</f>
        <v>#DIV/0!</v>
      </c>
      <c r="BU38" s="61" t="e">
        <f>(Links!W38^2+'Off-Ramp'!P38^2)/(Links!W38+'Off-Ramp'!P38)</f>
        <v>#DIV/0!</v>
      </c>
      <c r="BV38" s="61" t="e">
        <f>(Links!Y38^2+'Off-Ramp'!Q38^2)/(Links!Y38+'Off-Ramp'!Q38)</f>
        <v>#DIV/0!</v>
      </c>
      <c r="BW38" s="61" t="e">
        <f>(Links!Z38^2+'Off-Ramp'!R38^2)/(Links!Z38+'Off-Ramp'!R38)</f>
        <v>#DIV/0!</v>
      </c>
      <c r="BX38" s="61" t="e">
        <f>(Links!AA38+'Off-Ramp'!S38)/(Links!AA38^2+'Off-Ramp'!S38^2)</f>
        <v>#DIV/0!</v>
      </c>
      <c r="BY38" s="61" t="e">
        <f>(Links!AB38^2+'Off-Ramp'!T38^2)/(Links!AB38+'Off-Ramp'!T38)</f>
        <v>#DIV/0!</v>
      </c>
      <c r="BZ38" s="61" t="e">
        <f>Links!AC38</f>
        <v>#DIV/0!</v>
      </c>
      <c r="CA38" s="61" t="e">
        <f>(Links!AD38^2+'Off-Ramp'!U38^2)/(Links!AD38+'Off-Ramp'!U38)</f>
        <v>#DIV/0!</v>
      </c>
    </row>
    <row r="39" spans="1:79" x14ac:dyDescent="0.15">
      <c r="A39" s="59">
        <v>37</v>
      </c>
      <c r="B39" s="60" t="e">
        <f t="shared" si="2"/>
        <v>#DIV/0!</v>
      </c>
      <c r="C39" s="60" t="e">
        <f t="shared" si="3"/>
        <v>#DIV/0!</v>
      </c>
      <c r="D39" s="60" t="e">
        <f t="shared" si="4"/>
        <v>#DIV/0!</v>
      </c>
      <c r="E39" s="60" t="e">
        <f t="shared" si="5"/>
        <v>#DIV/0!</v>
      </c>
      <c r="F39" s="60" t="e">
        <f t="shared" si="6"/>
        <v>#DIV/0!</v>
      </c>
      <c r="G39" s="60" t="e">
        <f t="shared" si="7"/>
        <v>#DIV/0!</v>
      </c>
      <c r="H39" s="60" t="e">
        <f t="shared" si="8"/>
        <v>#DIV/0!</v>
      </c>
      <c r="I39" s="60" t="e">
        <f t="shared" si="9"/>
        <v>#DIV/0!</v>
      </c>
      <c r="J39" s="60" t="e">
        <f t="shared" si="10"/>
        <v>#DIV/0!</v>
      </c>
      <c r="K39" s="60" t="e">
        <f t="shared" si="11"/>
        <v>#DIV/0!</v>
      </c>
      <c r="L39" s="60" t="e">
        <f t="shared" si="12"/>
        <v>#DIV/0!</v>
      </c>
      <c r="M39" s="60" t="e">
        <f t="shared" si="13"/>
        <v>#DIV/0!</v>
      </c>
      <c r="N39" s="60" t="e">
        <f t="shared" si="14"/>
        <v>#DIV/0!</v>
      </c>
      <c r="O39" s="61" t="e">
        <f>Links!B39</f>
        <v>#DIV/0!</v>
      </c>
      <c r="P39" s="61" t="e">
        <f>Links!C39+'On-Ramps'!AC39</f>
        <v>#DIV/0!</v>
      </c>
      <c r="Q39" s="61" t="e">
        <f>Links!D39</f>
        <v>#DIV/0!</v>
      </c>
      <c r="R39" s="61" t="e">
        <f>Links!E39+'On-Ramps'!AD39</f>
        <v>#DIV/0!</v>
      </c>
      <c r="S39" s="61" t="e">
        <f>Links!F39+'On-Ramps'!AE39</f>
        <v>#DIV/0!</v>
      </c>
      <c r="T39" s="61" t="e">
        <f>Links!G39+'On-Ramps'!AF39</f>
        <v>#DIV/0!</v>
      </c>
      <c r="U39" s="61" t="e">
        <f>Links!H39+'On-Ramps'!AG39</f>
        <v>#DIV/0!</v>
      </c>
      <c r="V39" s="61" t="e">
        <f>Links!J39+'On-Ramps'!AH39</f>
        <v>#DIV/0!</v>
      </c>
      <c r="W39" s="61" t="e">
        <f>Links!K39+'On-Ramps'!AI39</f>
        <v>#DIV/0!</v>
      </c>
      <c r="X39" s="61" t="e">
        <f>Links!L39+'On-Ramps'!AJ39</f>
        <v>#DIV/0!</v>
      </c>
      <c r="Y39" s="61" t="e">
        <f>Links!M39</f>
        <v>#DIV/0!</v>
      </c>
      <c r="Z39" s="61" t="e">
        <f>Links!N39+'On-Ramps'!AK39</f>
        <v>#DIV/0!</v>
      </c>
      <c r="AA39" s="61" t="e">
        <f>Links!O39</f>
        <v>#DIV/0!</v>
      </c>
      <c r="AB39" s="60" t="e">
        <f t="shared" si="17"/>
        <v>#DIV/0!</v>
      </c>
      <c r="AC39" s="60" t="e">
        <f t="shared" si="18"/>
        <v>#DIV/0!</v>
      </c>
      <c r="AD39" s="60" t="e">
        <f t="shared" si="19"/>
        <v>#DIV/0!</v>
      </c>
      <c r="AE39" s="60" t="e">
        <f t="shared" si="20"/>
        <v>#DIV/0!</v>
      </c>
      <c r="AF39" s="60" t="e">
        <f t="shared" si="21"/>
        <v>#DIV/0!</v>
      </c>
      <c r="AG39" s="60" t="e">
        <f t="shared" si="22"/>
        <v>#DIV/0!</v>
      </c>
      <c r="AH39" s="60" t="e">
        <f t="shared" si="23"/>
        <v>#DIV/0!</v>
      </c>
      <c r="AI39" s="60" t="e">
        <f t="shared" si="24"/>
        <v>#DIV/0!</v>
      </c>
      <c r="AJ39" s="60" t="e">
        <f t="shared" si="25"/>
        <v>#DIV/0!</v>
      </c>
      <c r="AK39" s="60" t="e">
        <f t="shared" si="26"/>
        <v>#DIV/0!</v>
      </c>
      <c r="AL39" s="60" t="e">
        <f t="shared" si="27"/>
        <v>#DIV/0!</v>
      </c>
      <c r="AM39" s="60" t="e">
        <f t="shared" si="28"/>
        <v>#DIV/0!</v>
      </c>
      <c r="AN39" s="60" t="e">
        <f t="shared" si="30"/>
        <v>#DIV/0!</v>
      </c>
      <c r="AO39" s="61" t="e">
        <f t="shared" si="31"/>
        <v>#DIV/0!</v>
      </c>
      <c r="AP39" s="61" t="e">
        <f t="shared" si="31"/>
        <v>#DIV/0!</v>
      </c>
      <c r="AQ39" s="61" t="e">
        <f t="shared" si="31"/>
        <v>#DIV/0!</v>
      </c>
      <c r="AR39" s="61" t="e">
        <f t="shared" si="31"/>
        <v>#DIV/0!</v>
      </c>
      <c r="AS39" s="61" t="e">
        <f t="shared" si="31"/>
        <v>#DIV/0!</v>
      </c>
      <c r="AT39" s="61" t="e">
        <f t="shared" si="31"/>
        <v>#DIV/0!</v>
      </c>
      <c r="AU39" s="61" t="e">
        <f t="shared" si="31"/>
        <v>#DIV/0!</v>
      </c>
      <c r="AV39" s="61" t="e">
        <f t="shared" si="31"/>
        <v>#DIV/0!</v>
      </c>
      <c r="AW39" s="61" t="e">
        <f t="shared" si="31"/>
        <v>#DIV/0!</v>
      </c>
      <c r="AX39" s="61" t="e">
        <f t="shared" si="31"/>
        <v>#DIV/0!</v>
      </c>
      <c r="AY39" s="61" t="e">
        <f t="shared" si="31"/>
        <v>#DIV/0!</v>
      </c>
      <c r="AZ39" s="61" t="e">
        <f t="shared" si="31"/>
        <v>#DIV/0!</v>
      </c>
      <c r="BA39" s="61" t="e">
        <f t="shared" si="31"/>
        <v>#DIV/0!</v>
      </c>
      <c r="BB39" s="60" t="e">
        <f>Links!AF39</f>
        <v>#DIV/0!</v>
      </c>
      <c r="BC39" s="60" t="e">
        <f>(Links!AG39*Links!C39+'On-Ramps'!AC39*'On-Ramps'!CE39)/('On-Ramps'!AC39+Links!C39)</f>
        <v>#DIV/0!</v>
      </c>
      <c r="BD39" s="60" t="e">
        <f>Links!AH39</f>
        <v>#DIV/0!</v>
      </c>
      <c r="BE39" s="60" t="e">
        <f>(Links!AI39*Links!E39+'On-Ramps'!AD39*'On-Ramps'!CF38)/('On-Ramps'!AD39+Links!E39)</f>
        <v>#DIV/0!</v>
      </c>
      <c r="BF39" s="60" t="e">
        <f>(Links!F39*Links!AJ39+'On-Ramps'!AE39*'On-Ramps'!CG39)/('On-Ramps'!AE39+Links!F39)</f>
        <v>#DIV/0!</v>
      </c>
      <c r="BG39" s="60" t="e">
        <f>(Links!G39*Links!AK39+'On-Ramps'!AF39*'On-Ramps'!CH39)/('On-Ramps'!AF39+Links!G39)</f>
        <v>#DIV/0!</v>
      </c>
      <c r="BH39" s="60" t="e">
        <f>(Links!H39*Links!AL39+'On-Ramps'!AG39*'On-Ramps'!CI39)/('On-Ramps'!AG39+Links!H39)</f>
        <v>#DIV/0!</v>
      </c>
      <c r="BI39" s="60" t="e">
        <f>(Links!J39*Links!AN39+'On-Ramps'!AH39*'On-Ramps'!CJ39)/('On-Ramps'!AH39+Links!J39)</f>
        <v>#DIV/0!</v>
      </c>
      <c r="BJ39" s="60" t="e">
        <f>(Links!K39*Links!AO39+'On-Ramps'!AI39*'On-Ramps'!CK39)/('On-Ramps'!AI39+Links!K39)</f>
        <v>#DIV/0!</v>
      </c>
      <c r="BK39" s="60" t="e">
        <f>(Links!L39*Links!AP39+'On-Ramps'!AJ39*'On-Ramps'!CL39)/(Links!L39+'On-Ramps'!AJ39)</f>
        <v>#DIV/0!</v>
      </c>
      <c r="BL39" s="60" t="e">
        <f>Links!AQ39</f>
        <v>#DIV/0!</v>
      </c>
      <c r="BM39" s="60" t="e">
        <f>(Links!N39*Links!AR39+'On-Ramps'!AL39*'On-Ramps'!CM39)/(Links!N39+'On-Ramps'!AL39)</f>
        <v>#DIV/0!</v>
      </c>
      <c r="BN39" s="60" t="e">
        <f>Links!AS39</f>
        <v>#DIV/0!</v>
      </c>
      <c r="BO39" s="61" t="e">
        <f>(Links!R39^2+'Off-Ramp'!L39^2)/(Links!R39+'Off-Ramp'!L39)</f>
        <v>#DIV/0!</v>
      </c>
      <c r="BP39" s="61" t="e">
        <f>Links!S39</f>
        <v>#DIV/0!</v>
      </c>
      <c r="BQ39" s="61" t="e">
        <f>(Links!S39^2+'Off-Ramp'!C39^2)/(Links!S39+'Off-Ramp'!C39)</f>
        <v>#DIV/0!</v>
      </c>
      <c r="BR39" s="61" t="e">
        <f>Links!T39</f>
        <v>#DIV/0!</v>
      </c>
      <c r="BS39" s="61" t="e">
        <f>(Links!U39^2+'Off-Ramp'!N39^2)/(Links!U39+'Off-Ramp'!N39)</f>
        <v>#DIV/0!</v>
      </c>
      <c r="BT39" s="61" t="e">
        <f>(Links!V39^2+'Off-Ramp'!O39^2)/(Links!V39+'Off-Ramp'!O39)</f>
        <v>#DIV/0!</v>
      </c>
      <c r="BU39" s="61" t="e">
        <f>(Links!W39^2+'Off-Ramp'!P39^2)/(Links!W39+'Off-Ramp'!P39)</f>
        <v>#DIV/0!</v>
      </c>
      <c r="BV39" s="61" t="e">
        <f>(Links!Y39^2+'Off-Ramp'!Q39^2)/(Links!Y39+'Off-Ramp'!Q39)</f>
        <v>#DIV/0!</v>
      </c>
      <c r="BW39" s="61" t="e">
        <f>(Links!Z39^2+'Off-Ramp'!R39^2)/(Links!Z39+'Off-Ramp'!R39)</f>
        <v>#DIV/0!</v>
      </c>
      <c r="BX39" s="61" t="e">
        <f>(Links!AA39+'Off-Ramp'!S39)/(Links!AA39^2+'Off-Ramp'!S39^2)</f>
        <v>#DIV/0!</v>
      </c>
      <c r="BY39" s="61" t="e">
        <f>(Links!AB39^2+'Off-Ramp'!T39^2)/(Links!AB39+'Off-Ramp'!T39)</f>
        <v>#DIV/0!</v>
      </c>
      <c r="BZ39" s="61" t="e">
        <f>Links!AC39</f>
        <v>#DIV/0!</v>
      </c>
      <c r="CA39" s="61" t="e">
        <f>(Links!AD39^2+'Off-Ramp'!U39^2)/(Links!AD39+'Off-Ramp'!U39)</f>
        <v>#DIV/0!</v>
      </c>
    </row>
    <row r="40" spans="1:79" x14ac:dyDescent="0.15">
      <c r="A40" s="59">
        <v>38</v>
      </c>
      <c r="B40" s="60" t="e">
        <f t="shared" si="2"/>
        <v>#DIV/0!</v>
      </c>
      <c r="C40" s="60" t="e">
        <f t="shared" si="3"/>
        <v>#DIV/0!</v>
      </c>
      <c r="D40" s="60" t="e">
        <f t="shared" si="4"/>
        <v>#DIV/0!</v>
      </c>
      <c r="E40" s="60" t="e">
        <f t="shared" si="5"/>
        <v>#DIV/0!</v>
      </c>
      <c r="F40" s="60" t="e">
        <f t="shared" si="6"/>
        <v>#DIV/0!</v>
      </c>
      <c r="G40" s="60" t="e">
        <f t="shared" si="7"/>
        <v>#DIV/0!</v>
      </c>
      <c r="H40" s="60" t="e">
        <f t="shared" si="8"/>
        <v>#DIV/0!</v>
      </c>
      <c r="I40" s="60" t="e">
        <f t="shared" si="9"/>
        <v>#DIV/0!</v>
      </c>
      <c r="J40" s="60" t="e">
        <f t="shared" si="10"/>
        <v>#DIV/0!</v>
      </c>
      <c r="K40" s="60" t="e">
        <f t="shared" si="11"/>
        <v>#DIV/0!</v>
      </c>
      <c r="L40" s="60" t="e">
        <f t="shared" si="12"/>
        <v>#DIV/0!</v>
      </c>
      <c r="M40" s="60" t="e">
        <f t="shared" si="13"/>
        <v>#DIV/0!</v>
      </c>
      <c r="N40" s="60" t="e">
        <f t="shared" si="14"/>
        <v>#DIV/0!</v>
      </c>
      <c r="O40" s="61" t="e">
        <f>Links!B40</f>
        <v>#DIV/0!</v>
      </c>
      <c r="P40" s="61" t="e">
        <f>Links!C40+'On-Ramps'!AC40</f>
        <v>#DIV/0!</v>
      </c>
      <c r="Q40" s="61" t="e">
        <f>Links!D40</f>
        <v>#DIV/0!</v>
      </c>
      <c r="R40" s="61" t="e">
        <f>Links!E40+'On-Ramps'!AD40</f>
        <v>#DIV/0!</v>
      </c>
      <c r="S40" s="61" t="e">
        <f>Links!F40+'On-Ramps'!AE40</f>
        <v>#DIV/0!</v>
      </c>
      <c r="T40" s="61" t="e">
        <f>Links!G40+'On-Ramps'!AF40</f>
        <v>#DIV/0!</v>
      </c>
      <c r="U40" s="61" t="e">
        <f>Links!H40+'On-Ramps'!AG40</f>
        <v>#DIV/0!</v>
      </c>
      <c r="V40" s="61" t="e">
        <f>Links!J40+'On-Ramps'!AH40</f>
        <v>#DIV/0!</v>
      </c>
      <c r="W40" s="61" t="e">
        <f>Links!K40+'On-Ramps'!AI40</f>
        <v>#DIV/0!</v>
      </c>
      <c r="X40" s="61" t="e">
        <f>Links!L40+'On-Ramps'!AJ40</f>
        <v>#DIV/0!</v>
      </c>
      <c r="Y40" s="61" t="e">
        <f>Links!M40</f>
        <v>#DIV/0!</v>
      </c>
      <c r="Z40" s="61" t="e">
        <f>Links!N40+'On-Ramps'!AK40</f>
        <v>#DIV/0!</v>
      </c>
      <c r="AA40" s="61" t="e">
        <f>Links!O40</f>
        <v>#DIV/0!</v>
      </c>
      <c r="AB40" s="60" t="e">
        <f t="shared" si="17"/>
        <v>#DIV/0!</v>
      </c>
      <c r="AC40" s="60" t="e">
        <f t="shared" si="18"/>
        <v>#DIV/0!</v>
      </c>
      <c r="AD40" s="60" t="e">
        <f t="shared" si="19"/>
        <v>#DIV/0!</v>
      </c>
      <c r="AE40" s="60" t="e">
        <f t="shared" si="20"/>
        <v>#DIV/0!</v>
      </c>
      <c r="AF40" s="60" t="e">
        <f t="shared" si="21"/>
        <v>#DIV/0!</v>
      </c>
      <c r="AG40" s="60" t="e">
        <f t="shared" si="22"/>
        <v>#DIV/0!</v>
      </c>
      <c r="AH40" s="60" t="e">
        <f t="shared" si="23"/>
        <v>#DIV/0!</v>
      </c>
      <c r="AI40" s="60" t="e">
        <f t="shared" si="24"/>
        <v>#DIV/0!</v>
      </c>
      <c r="AJ40" s="60" t="e">
        <f t="shared" si="25"/>
        <v>#DIV/0!</v>
      </c>
      <c r="AK40" s="60" t="e">
        <f t="shared" si="26"/>
        <v>#DIV/0!</v>
      </c>
      <c r="AL40" s="60" t="e">
        <f t="shared" si="27"/>
        <v>#DIV/0!</v>
      </c>
      <c r="AM40" s="60" t="e">
        <f t="shared" si="28"/>
        <v>#DIV/0!</v>
      </c>
      <c r="AN40" s="60" t="e">
        <f t="shared" si="30"/>
        <v>#DIV/0!</v>
      </c>
      <c r="AO40" s="61" t="e">
        <f t="shared" si="31"/>
        <v>#DIV/0!</v>
      </c>
      <c r="AP40" s="61" t="e">
        <f t="shared" si="31"/>
        <v>#DIV/0!</v>
      </c>
      <c r="AQ40" s="61" t="e">
        <f t="shared" si="31"/>
        <v>#DIV/0!</v>
      </c>
      <c r="AR40" s="61" t="e">
        <f t="shared" si="31"/>
        <v>#DIV/0!</v>
      </c>
      <c r="AS40" s="61" t="e">
        <f t="shared" si="31"/>
        <v>#DIV/0!</v>
      </c>
      <c r="AT40" s="61" t="e">
        <f t="shared" si="31"/>
        <v>#DIV/0!</v>
      </c>
      <c r="AU40" s="61" t="e">
        <f t="shared" si="31"/>
        <v>#DIV/0!</v>
      </c>
      <c r="AV40" s="61" t="e">
        <f t="shared" si="31"/>
        <v>#DIV/0!</v>
      </c>
      <c r="AW40" s="61" t="e">
        <f t="shared" si="31"/>
        <v>#DIV/0!</v>
      </c>
      <c r="AX40" s="61" t="e">
        <f t="shared" si="31"/>
        <v>#DIV/0!</v>
      </c>
      <c r="AY40" s="61" t="e">
        <f t="shared" si="31"/>
        <v>#DIV/0!</v>
      </c>
      <c r="AZ40" s="61" t="e">
        <f t="shared" si="31"/>
        <v>#DIV/0!</v>
      </c>
      <c r="BA40" s="61" t="e">
        <f t="shared" si="31"/>
        <v>#DIV/0!</v>
      </c>
      <c r="BB40" s="60" t="e">
        <f>Links!AF40</f>
        <v>#DIV/0!</v>
      </c>
      <c r="BC40" s="60" t="e">
        <f>(Links!AG40*Links!C40+'On-Ramps'!AC40*'On-Ramps'!CE40)/('On-Ramps'!AC40+Links!C40)</f>
        <v>#DIV/0!</v>
      </c>
      <c r="BD40" s="60" t="e">
        <f>Links!AH40</f>
        <v>#DIV/0!</v>
      </c>
      <c r="BE40" s="60" t="e">
        <f>(Links!AI40*Links!E40+'On-Ramps'!AD40*'On-Ramps'!CF39)/('On-Ramps'!AD40+Links!E40)</f>
        <v>#DIV/0!</v>
      </c>
      <c r="BF40" s="60" t="e">
        <f>(Links!F40*Links!AJ40+'On-Ramps'!AE40*'On-Ramps'!CG40)/('On-Ramps'!AE40+Links!F40)</f>
        <v>#DIV/0!</v>
      </c>
      <c r="BG40" s="60" t="e">
        <f>(Links!G40*Links!AK40+'On-Ramps'!AF40*'On-Ramps'!CH40)/('On-Ramps'!AF40+Links!G40)</f>
        <v>#DIV/0!</v>
      </c>
      <c r="BH40" s="60" t="e">
        <f>(Links!H40*Links!AL40+'On-Ramps'!AG40*'On-Ramps'!CI40)/('On-Ramps'!AG40+Links!H40)</f>
        <v>#DIV/0!</v>
      </c>
      <c r="BI40" s="60" t="e">
        <f>(Links!J40*Links!AN40+'On-Ramps'!AH40*'On-Ramps'!CJ40)/('On-Ramps'!AH40+Links!J40)</f>
        <v>#DIV/0!</v>
      </c>
      <c r="BJ40" s="60" t="e">
        <f>(Links!K40*Links!AO40+'On-Ramps'!AI40*'On-Ramps'!CK40)/('On-Ramps'!AI40+Links!K40)</f>
        <v>#DIV/0!</v>
      </c>
      <c r="BK40" s="60" t="e">
        <f>(Links!L40*Links!AP40+'On-Ramps'!AJ40*'On-Ramps'!CL40)/(Links!L40+'On-Ramps'!AJ40)</f>
        <v>#DIV/0!</v>
      </c>
      <c r="BL40" s="60" t="e">
        <f>Links!AQ40</f>
        <v>#DIV/0!</v>
      </c>
      <c r="BM40" s="60" t="e">
        <f>(Links!N40*Links!AR40+'On-Ramps'!AL40*'On-Ramps'!CM40)/(Links!N40+'On-Ramps'!AL40)</f>
        <v>#DIV/0!</v>
      </c>
      <c r="BN40" s="60" t="e">
        <f>Links!AS40</f>
        <v>#DIV/0!</v>
      </c>
      <c r="BO40" s="61" t="e">
        <f>(Links!R40^2+'Off-Ramp'!L40^2)/(Links!R40+'Off-Ramp'!L40)</f>
        <v>#DIV/0!</v>
      </c>
      <c r="BP40" s="61" t="e">
        <f>Links!S40</f>
        <v>#DIV/0!</v>
      </c>
      <c r="BQ40" s="61" t="e">
        <f>(Links!S40^2+'Off-Ramp'!C40^2)/(Links!S40+'Off-Ramp'!C40)</f>
        <v>#DIV/0!</v>
      </c>
      <c r="BR40" s="61" t="e">
        <f>Links!T40</f>
        <v>#DIV/0!</v>
      </c>
      <c r="BS40" s="61" t="e">
        <f>(Links!U40^2+'Off-Ramp'!N40^2)/(Links!U40+'Off-Ramp'!N40)</f>
        <v>#DIV/0!</v>
      </c>
      <c r="BT40" s="61" t="e">
        <f>(Links!V40^2+'Off-Ramp'!O40^2)/(Links!V40+'Off-Ramp'!O40)</f>
        <v>#DIV/0!</v>
      </c>
      <c r="BU40" s="61" t="e">
        <f>(Links!W40^2+'Off-Ramp'!P40^2)/(Links!W40+'Off-Ramp'!P40)</f>
        <v>#DIV/0!</v>
      </c>
      <c r="BV40" s="61" t="e">
        <f>(Links!Y40^2+'Off-Ramp'!Q40^2)/(Links!Y40+'Off-Ramp'!Q40)</f>
        <v>#DIV/0!</v>
      </c>
      <c r="BW40" s="61" t="e">
        <f>(Links!Z40^2+'Off-Ramp'!R40^2)/(Links!Z40+'Off-Ramp'!R40)</f>
        <v>#DIV/0!</v>
      </c>
      <c r="BX40" s="61" t="e">
        <f>(Links!AA40+'Off-Ramp'!S40)/(Links!AA40^2+'Off-Ramp'!S40^2)</f>
        <v>#DIV/0!</v>
      </c>
      <c r="BY40" s="61" t="e">
        <f>(Links!AB40^2+'Off-Ramp'!T40^2)/(Links!AB40+'Off-Ramp'!T40)</f>
        <v>#DIV/0!</v>
      </c>
      <c r="BZ40" s="61" t="e">
        <f>Links!AC40</f>
        <v>#DIV/0!</v>
      </c>
      <c r="CA40" s="61" t="e">
        <f>(Links!AD40^2+'Off-Ramp'!U40^2)/(Links!AD40+'Off-Ramp'!U40)</f>
        <v>#DIV/0!</v>
      </c>
    </row>
    <row r="41" spans="1:79" x14ac:dyDescent="0.15">
      <c r="A41" s="59">
        <v>39</v>
      </c>
      <c r="B41" s="60" t="e">
        <f t="shared" si="2"/>
        <v>#DIV/0!</v>
      </c>
      <c r="C41" s="60" t="e">
        <f t="shared" si="3"/>
        <v>#DIV/0!</v>
      </c>
      <c r="D41" s="60" t="e">
        <f t="shared" si="4"/>
        <v>#DIV/0!</v>
      </c>
      <c r="E41" s="60" t="e">
        <f t="shared" si="5"/>
        <v>#DIV/0!</v>
      </c>
      <c r="F41" s="60" t="e">
        <f t="shared" si="6"/>
        <v>#DIV/0!</v>
      </c>
      <c r="G41" s="60" t="e">
        <f t="shared" si="7"/>
        <v>#DIV/0!</v>
      </c>
      <c r="H41" s="60" t="e">
        <f t="shared" si="8"/>
        <v>#DIV/0!</v>
      </c>
      <c r="I41" s="60" t="e">
        <f t="shared" si="9"/>
        <v>#DIV/0!</v>
      </c>
      <c r="J41" s="60" t="e">
        <f t="shared" si="10"/>
        <v>#DIV/0!</v>
      </c>
      <c r="K41" s="60" t="e">
        <f t="shared" si="11"/>
        <v>#DIV/0!</v>
      </c>
      <c r="L41" s="60" t="e">
        <f t="shared" si="12"/>
        <v>#DIV/0!</v>
      </c>
      <c r="M41" s="60" t="e">
        <f t="shared" si="13"/>
        <v>#DIV/0!</v>
      </c>
      <c r="N41" s="60" t="e">
        <f t="shared" si="14"/>
        <v>#DIV/0!</v>
      </c>
      <c r="O41" s="61" t="e">
        <f>Links!B41</f>
        <v>#DIV/0!</v>
      </c>
      <c r="P41" s="61" t="e">
        <f>Links!C41+'On-Ramps'!AC41</f>
        <v>#DIV/0!</v>
      </c>
      <c r="Q41" s="61" t="e">
        <f>Links!D41</f>
        <v>#DIV/0!</v>
      </c>
      <c r="R41" s="61" t="e">
        <f>Links!E41+'On-Ramps'!AD41</f>
        <v>#DIV/0!</v>
      </c>
      <c r="S41" s="61" t="e">
        <f>Links!F41+'On-Ramps'!AE41</f>
        <v>#DIV/0!</v>
      </c>
      <c r="T41" s="61" t="e">
        <f>Links!G41+'On-Ramps'!AF41</f>
        <v>#DIV/0!</v>
      </c>
      <c r="U41" s="61" t="e">
        <f>Links!H41+'On-Ramps'!AG41</f>
        <v>#DIV/0!</v>
      </c>
      <c r="V41" s="61" t="e">
        <f>Links!J41+'On-Ramps'!AH41</f>
        <v>#DIV/0!</v>
      </c>
      <c r="W41" s="61" t="e">
        <f>Links!K41+'On-Ramps'!AI41</f>
        <v>#DIV/0!</v>
      </c>
      <c r="X41" s="61" t="e">
        <f>Links!L41+'On-Ramps'!AJ41</f>
        <v>#DIV/0!</v>
      </c>
      <c r="Y41" s="61" t="e">
        <f>Links!M41</f>
        <v>#DIV/0!</v>
      </c>
      <c r="Z41" s="61" t="e">
        <f>Links!N41+'On-Ramps'!AK41</f>
        <v>#DIV/0!</v>
      </c>
      <c r="AA41" s="61" t="e">
        <f>Links!O41</f>
        <v>#DIV/0!</v>
      </c>
      <c r="AB41" s="60" t="e">
        <f t="shared" si="17"/>
        <v>#DIV/0!</v>
      </c>
      <c r="AC41" s="60" t="e">
        <f t="shared" si="18"/>
        <v>#DIV/0!</v>
      </c>
      <c r="AD41" s="60" t="e">
        <f t="shared" si="19"/>
        <v>#DIV/0!</v>
      </c>
      <c r="AE41" s="60" t="e">
        <f t="shared" si="20"/>
        <v>#DIV/0!</v>
      </c>
      <c r="AF41" s="60" t="e">
        <f t="shared" si="21"/>
        <v>#DIV/0!</v>
      </c>
      <c r="AG41" s="60" t="e">
        <f t="shared" si="22"/>
        <v>#DIV/0!</v>
      </c>
      <c r="AH41" s="60" t="e">
        <f t="shared" si="23"/>
        <v>#DIV/0!</v>
      </c>
      <c r="AI41" s="60" t="e">
        <f t="shared" si="24"/>
        <v>#DIV/0!</v>
      </c>
      <c r="AJ41" s="60" t="e">
        <f t="shared" si="25"/>
        <v>#DIV/0!</v>
      </c>
      <c r="AK41" s="60" t="e">
        <f t="shared" si="26"/>
        <v>#DIV/0!</v>
      </c>
      <c r="AL41" s="60" t="e">
        <f t="shared" si="27"/>
        <v>#DIV/0!</v>
      </c>
      <c r="AM41" s="60" t="e">
        <f t="shared" si="28"/>
        <v>#DIV/0!</v>
      </c>
      <c r="AN41" s="60" t="e">
        <f t="shared" si="30"/>
        <v>#DIV/0!</v>
      </c>
      <c r="AO41" s="61" t="e">
        <f t="shared" si="31"/>
        <v>#DIV/0!</v>
      </c>
      <c r="AP41" s="61" t="e">
        <f t="shared" si="31"/>
        <v>#DIV/0!</v>
      </c>
      <c r="AQ41" s="61" t="e">
        <f t="shared" si="31"/>
        <v>#DIV/0!</v>
      </c>
      <c r="AR41" s="61" t="e">
        <f t="shared" si="31"/>
        <v>#DIV/0!</v>
      </c>
      <c r="AS41" s="61" t="e">
        <f t="shared" si="31"/>
        <v>#DIV/0!</v>
      </c>
      <c r="AT41" s="61" t="e">
        <f t="shared" si="31"/>
        <v>#DIV/0!</v>
      </c>
      <c r="AU41" s="61" t="e">
        <f t="shared" si="31"/>
        <v>#DIV/0!</v>
      </c>
      <c r="AV41" s="61" t="e">
        <f t="shared" si="31"/>
        <v>#DIV/0!</v>
      </c>
      <c r="AW41" s="61" t="e">
        <f t="shared" si="31"/>
        <v>#DIV/0!</v>
      </c>
      <c r="AX41" s="61" t="e">
        <f t="shared" si="31"/>
        <v>#DIV/0!</v>
      </c>
      <c r="AY41" s="61" t="e">
        <f t="shared" si="31"/>
        <v>#DIV/0!</v>
      </c>
      <c r="AZ41" s="61" t="e">
        <f t="shared" si="31"/>
        <v>#DIV/0!</v>
      </c>
      <c r="BA41" s="61" t="e">
        <f t="shared" si="31"/>
        <v>#DIV/0!</v>
      </c>
      <c r="BB41" s="60" t="e">
        <f>Links!AF41</f>
        <v>#DIV/0!</v>
      </c>
      <c r="BC41" s="60" t="e">
        <f>(Links!AG41*Links!C41+'On-Ramps'!AC41*'On-Ramps'!CE41)/('On-Ramps'!AC41+Links!C41)</f>
        <v>#DIV/0!</v>
      </c>
      <c r="BD41" s="60" t="e">
        <f>Links!AH41</f>
        <v>#DIV/0!</v>
      </c>
      <c r="BE41" s="60" t="e">
        <f>(Links!AI41*Links!E41+'On-Ramps'!AD41*'On-Ramps'!CF40)/('On-Ramps'!AD41+Links!E41)</f>
        <v>#DIV/0!</v>
      </c>
      <c r="BF41" s="60" t="e">
        <f>(Links!F41*Links!AJ41+'On-Ramps'!AE41*'On-Ramps'!CG41)/('On-Ramps'!AE41+Links!F41)</f>
        <v>#DIV/0!</v>
      </c>
      <c r="BG41" s="60" t="e">
        <f>(Links!G41*Links!AK41+'On-Ramps'!AF41*'On-Ramps'!CH41)/('On-Ramps'!AF41+Links!G41)</f>
        <v>#DIV/0!</v>
      </c>
      <c r="BH41" s="60" t="e">
        <f>(Links!H41*Links!AL41+'On-Ramps'!AG41*'On-Ramps'!CI41)/('On-Ramps'!AG41+Links!H41)</f>
        <v>#DIV/0!</v>
      </c>
      <c r="BI41" s="60" t="e">
        <f>(Links!J41*Links!AN41+'On-Ramps'!AH41*'On-Ramps'!CJ41)/('On-Ramps'!AH41+Links!J41)</f>
        <v>#DIV/0!</v>
      </c>
      <c r="BJ41" s="60" t="e">
        <f>(Links!K41*Links!AO41+'On-Ramps'!AI41*'On-Ramps'!CK41)/('On-Ramps'!AI41+Links!K41)</f>
        <v>#DIV/0!</v>
      </c>
      <c r="BK41" s="60" t="e">
        <f>(Links!L41*Links!AP41+'On-Ramps'!AJ41*'On-Ramps'!CL41)/(Links!L41+'On-Ramps'!AJ41)</f>
        <v>#DIV/0!</v>
      </c>
      <c r="BL41" s="60" t="e">
        <f>Links!AQ41</f>
        <v>#DIV/0!</v>
      </c>
      <c r="BM41" s="60" t="e">
        <f>(Links!N41*Links!AR41+'On-Ramps'!AL41*'On-Ramps'!CM41)/(Links!N41+'On-Ramps'!AL41)</f>
        <v>#DIV/0!</v>
      </c>
      <c r="BN41" s="60" t="e">
        <f>Links!AS41</f>
        <v>#DIV/0!</v>
      </c>
      <c r="BO41" s="61" t="e">
        <f>(Links!R41^2+'Off-Ramp'!L41^2)/(Links!R41+'Off-Ramp'!L41)</f>
        <v>#DIV/0!</v>
      </c>
      <c r="BP41" s="61" t="e">
        <f>Links!S41</f>
        <v>#DIV/0!</v>
      </c>
      <c r="BQ41" s="61" t="e">
        <f>(Links!S41^2+'Off-Ramp'!C41^2)/(Links!S41+'Off-Ramp'!C41)</f>
        <v>#DIV/0!</v>
      </c>
      <c r="BR41" s="61" t="e">
        <f>Links!T41</f>
        <v>#DIV/0!</v>
      </c>
      <c r="BS41" s="61" t="e">
        <f>(Links!U41^2+'Off-Ramp'!N41^2)/(Links!U41+'Off-Ramp'!N41)</f>
        <v>#DIV/0!</v>
      </c>
      <c r="BT41" s="61" t="e">
        <f>(Links!V41^2+'Off-Ramp'!O41^2)/(Links!V41+'Off-Ramp'!O41)</f>
        <v>#DIV/0!</v>
      </c>
      <c r="BU41" s="61" t="e">
        <f>(Links!W41^2+'Off-Ramp'!P41^2)/(Links!W41+'Off-Ramp'!P41)</f>
        <v>#DIV/0!</v>
      </c>
      <c r="BV41" s="61" t="e">
        <f>(Links!Y41^2+'Off-Ramp'!Q41^2)/(Links!Y41+'Off-Ramp'!Q41)</f>
        <v>#DIV/0!</v>
      </c>
      <c r="BW41" s="61" t="e">
        <f>(Links!Z41^2+'Off-Ramp'!R41^2)/(Links!Z41+'Off-Ramp'!R41)</f>
        <v>#DIV/0!</v>
      </c>
      <c r="BX41" s="61" t="e">
        <f>(Links!AA41+'Off-Ramp'!S41)/(Links!AA41^2+'Off-Ramp'!S41^2)</f>
        <v>#DIV/0!</v>
      </c>
      <c r="BY41" s="61" t="e">
        <f>(Links!AB41^2+'Off-Ramp'!T41^2)/(Links!AB41+'Off-Ramp'!T41)</f>
        <v>#DIV/0!</v>
      </c>
      <c r="BZ41" s="61" t="e">
        <f>Links!AC41</f>
        <v>#DIV/0!</v>
      </c>
      <c r="CA41" s="61" t="e">
        <f>(Links!AD41^2+'Off-Ramp'!U41^2)/(Links!AD41+'Off-Ramp'!U41)</f>
        <v>#DIV/0!</v>
      </c>
    </row>
    <row r="42" spans="1:79" x14ac:dyDescent="0.15">
      <c r="A42" s="59">
        <v>40</v>
      </c>
      <c r="B42" s="60" t="e">
        <f t="shared" si="2"/>
        <v>#DIV/0!</v>
      </c>
      <c r="C42" s="60" t="e">
        <f t="shared" si="3"/>
        <v>#DIV/0!</v>
      </c>
      <c r="D42" s="60" t="e">
        <f t="shared" si="4"/>
        <v>#DIV/0!</v>
      </c>
      <c r="E42" s="60" t="e">
        <f t="shared" si="5"/>
        <v>#DIV/0!</v>
      </c>
      <c r="F42" s="60" t="e">
        <f t="shared" si="6"/>
        <v>#DIV/0!</v>
      </c>
      <c r="G42" s="60" t="e">
        <f t="shared" si="7"/>
        <v>#DIV/0!</v>
      </c>
      <c r="H42" s="60" t="e">
        <f t="shared" si="8"/>
        <v>#DIV/0!</v>
      </c>
      <c r="I42" s="60" t="e">
        <f t="shared" si="9"/>
        <v>#DIV/0!</v>
      </c>
      <c r="J42" s="60" t="e">
        <f t="shared" si="10"/>
        <v>#DIV/0!</v>
      </c>
      <c r="K42" s="60" t="e">
        <f t="shared" si="11"/>
        <v>#DIV/0!</v>
      </c>
      <c r="L42" s="60" t="e">
        <f t="shared" si="12"/>
        <v>#DIV/0!</v>
      </c>
      <c r="M42" s="60" t="e">
        <f t="shared" si="13"/>
        <v>#DIV/0!</v>
      </c>
      <c r="N42" s="60" t="e">
        <f t="shared" si="14"/>
        <v>#DIV/0!</v>
      </c>
      <c r="O42" s="61" t="e">
        <f>Links!B42</f>
        <v>#DIV/0!</v>
      </c>
      <c r="P42" s="61" t="e">
        <f>Links!C42+'On-Ramps'!AC42</f>
        <v>#DIV/0!</v>
      </c>
      <c r="Q42" s="61" t="e">
        <f>Links!D42</f>
        <v>#DIV/0!</v>
      </c>
      <c r="R42" s="61" t="e">
        <f>Links!E42+'On-Ramps'!AD42</f>
        <v>#DIV/0!</v>
      </c>
      <c r="S42" s="61" t="e">
        <f>Links!F42+'On-Ramps'!AE42</f>
        <v>#DIV/0!</v>
      </c>
      <c r="T42" s="61" t="e">
        <f>Links!G42+'On-Ramps'!AF42</f>
        <v>#DIV/0!</v>
      </c>
      <c r="U42" s="61" t="e">
        <f>Links!H42+'On-Ramps'!AG42</f>
        <v>#DIV/0!</v>
      </c>
      <c r="V42" s="61" t="e">
        <f>Links!J42+'On-Ramps'!AH42</f>
        <v>#DIV/0!</v>
      </c>
      <c r="W42" s="61" t="e">
        <f>Links!K42+'On-Ramps'!AI42</f>
        <v>#DIV/0!</v>
      </c>
      <c r="X42" s="61" t="e">
        <f>Links!L42+'On-Ramps'!AJ42</f>
        <v>#DIV/0!</v>
      </c>
      <c r="Y42" s="61" t="e">
        <f>Links!M42</f>
        <v>#DIV/0!</v>
      </c>
      <c r="Z42" s="61" t="e">
        <f>Links!N42+'On-Ramps'!AK42</f>
        <v>#DIV/0!</v>
      </c>
      <c r="AA42" s="61" t="e">
        <f>Links!O42</f>
        <v>#DIV/0!</v>
      </c>
      <c r="AB42" s="60" t="e">
        <f t="shared" si="17"/>
        <v>#DIV/0!</v>
      </c>
      <c r="AC42" s="60" t="e">
        <f t="shared" si="18"/>
        <v>#DIV/0!</v>
      </c>
      <c r="AD42" s="60" t="e">
        <f t="shared" si="19"/>
        <v>#DIV/0!</v>
      </c>
      <c r="AE42" s="60" t="e">
        <f t="shared" si="20"/>
        <v>#DIV/0!</v>
      </c>
      <c r="AF42" s="60" t="e">
        <f t="shared" si="21"/>
        <v>#DIV/0!</v>
      </c>
      <c r="AG42" s="60" t="e">
        <f t="shared" si="22"/>
        <v>#DIV/0!</v>
      </c>
      <c r="AH42" s="60" t="e">
        <f t="shared" si="23"/>
        <v>#DIV/0!</v>
      </c>
      <c r="AI42" s="60" t="e">
        <f t="shared" si="24"/>
        <v>#DIV/0!</v>
      </c>
      <c r="AJ42" s="60" t="e">
        <f t="shared" si="25"/>
        <v>#DIV/0!</v>
      </c>
      <c r="AK42" s="60" t="e">
        <f t="shared" si="26"/>
        <v>#DIV/0!</v>
      </c>
      <c r="AL42" s="60" t="e">
        <f t="shared" si="27"/>
        <v>#DIV/0!</v>
      </c>
      <c r="AM42" s="60" t="e">
        <f t="shared" si="28"/>
        <v>#DIV/0!</v>
      </c>
      <c r="AN42" s="60" t="e">
        <f t="shared" si="30"/>
        <v>#DIV/0!</v>
      </c>
      <c r="AO42" s="61" t="e">
        <f t="shared" si="31"/>
        <v>#DIV/0!</v>
      </c>
      <c r="AP42" s="61" t="e">
        <f t="shared" si="31"/>
        <v>#DIV/0!</v>
      </c>
      <c r="AQ42" s="61" t="e">
        <f t="shared" si="31"/>
        <v>#DIV/0!</v>
      </c>
      <c r="AR42" s="61" t="e">
        <f t="shared" si="31"/>
        <v>#DIV/0!</v>
      </c>
      <c r="AS42" s="61" t="e">
        <f t="shared" si="31"/>
        <v>#DIV/0!</v>
      </c>
      <c r="AT42" s="61" t="e">
        <f t="shared" si="31"/>
        <v>#DIV/0!</v>
      </c>
      <c r="AU42" s="61" t="e">
        <f t="shared" si="31"/>
        <v>#DIV/0!</v>
      </c>
      <c r="AV42" s="61" t="e">
        <f t="shared" si="31"/>
        <v>#DIV/0!</v>
      </c>
      <c r="AW42" s="61" t="e">
        <f t="shared" si="31"/>
        <v>#DIV/0!</v>
      </c>
      <c r="AX42" s="61" t="e">
        <f t="shared" si="31"/>
        <v>#DIV/0!</v>
      </c>
      <c r="AY42" s="61" t="e">
        <f t="shared" si="31"/>
        <v>#DIV/0!</v>
      </c>
      <c r="AZ42" s="61" t="e">
        <f t="shared" si="31"/>
        <v>#DIV/0!</v>
      </c>
      <c r="BA42" s="61" t="e">
        <f t="shared" si="31"/>
        <v>#DIV/0!</v>
      </c>
      <c r="BB42" s="60" t="e">
        <f>Links!AF42</f>
        <v>#DIV/0!</v>
      </c>
      <c r="BC42" s="60" t="e">
        <f>(Links!AG42*Links!C42+'On-Ramps'!AC42*'On-Ramps'!CE42)/('On-Ramps'!AC42+Links!C42)</f>
        <v>#DIV/0!</v>
      </c>
      <c r="BD42" s="60" t="e">
        <f>Links!AH42</f>
        <v>#DIV/0!</v>
      </c>
      <c r="BE42" s="60" t="e">
        <f>(Links!AI42*Links!E42+'On-Ramps'!AD42*'On-Ramps'!CF41)/('On-Ramps'!AD42+Links!E42)</f>
        <v>#DIV/0!</v>
      </c>
      <c r="BF42" s="60" t="e">
        <f>(Links!F42*Links!AJ42+'On-Ramps'!AE42*'On-Ramps'!CG42)/('On-Ramps'!AE42+Links!F42)</f>
        <v>#DIV/0!</v>
      </c>
      <c r="BG42" s="60" t="e">
        <f>(Links!G42*Links!AK42+'On-Ramps'!AF42*'On-Ramps'!CH42)/('On-Ramps'!AF42+Links!G42)</f>
        <v>#DIV/0!</v>
      </c>
      <c r="BH42" s="60" t="e">
        <f>(Links!H42*Links!AL42+'On-Ramps'!AG42*'On-Ramps'!CI42)/('On-Ramps'!AG42+Links!H42)</f>
        <v>#DIV/0!</v>
      </c>
      <c r="BI42" s="60" t="e">
        <f>(Links!J42*Links!AN42+'On-Ramps'!AH42*'On-Ramps'!CJ42)/('On-Ramps'!AH42+Links!J42)</f>
        <v>#DIV/0!</v>
      </c>
      <c r="BJ42" s="60" t="e">
        <f>(Links!K42*Links!AO42+'On-Ramps'!AI42*'On-Ramps'!CK42)/('On-Ramps'!AI42+Links!K42)</f>
        <v>#DIV/0!</v>
      </c>
      <c r="BK42" s="60" t="e">
        <f>(Links!L42*Links!AP42+'On-Ramps'!AJ42*'On-Ramps'!CL42)/(Links!L42+'On-Ramps'!AJ42)</f>
        <v>#DIV/0!</v>
      </c>
      <c r="BL42" s="60" t="e">
        <f>Links!AQ42</f>
        <v>#DIV/0!</v>
      </c>
      <c r="BM42" s="60" t="e">
        <f>(Links!N42*Links!AR42+'On-Ramps'!AL42*'On-Ramps'!CM42)/(Links!N42+'On-Ramps'!AL42)</f>
        <v>#DIV/0!</v>
      </c>
      <c r="BN42" s="60" t="e">
        <f>Links!AS42</f>
        <v>#DIV/0!</v>
      </c>
      <c r="BO42" s="61" t="e">
        <f>(Links!R42^2+'Off-Ramp'!L42^2)/(Links!R42+'Off-Ramp'!L42)</f>
        <v>#DIV/0!</v>
      </c>
      <c r="BP42" s="61" t="e">
        <f>Links!S42</f>
        <v>#DIV/0!</v>
      </c>
      <c r="BQ42" s="61" t="e">
        <f>(Links!S42^2+'Off-Ramp'!C42^2)/(Links!S42+'Off-Ramp'!C42)</f>
        <v>#DIV/0!</v>
      </c>
      <c r="BR42" s="61" t="e">
        <f>Links!T42</f>
        <v>#DIV/0!</v>
      </c>
      <c r="BS42" s="61" t="e">
        <f>(Links!U42^2+'Off-Ramp'!N42^2)/(Links!U42+'Off-Ramp'!N42)</f>
        <v>#DIV/0!</v>
      </c>
      <c r="BT42" s="61" t="e">
        <f>(Links!V42^2+'Off-Ramp'!O42^2)/(Links!V42+'Off-Ramp'!O42)</f>
        <v>#DIV/0!</v>
      </c>
      <c r="BU42" s="61" t="e">
        <f>(Links!W42^2+'Off-Ramp'!P42^2)/(Links!W42+'Off-Ramp'!P42)</f>
        <v>#DIV/0!</v>
      </c>
      <c r="BV42" s="61" t="e">
        <f>(Links!Y42^2+'Off-Ramp'!Q42^2)/(Links!Y42+'Off-Ramp'!Q42)</f>
        <v>#DIV/0!</v>
      </c>
      <c r="BW42" s="61" t="e">
        <f>(Links!Z42^2+'Off-Ramp'!R42^2)/(Links!Z42+'Off-Ramp'!R42)</f>
        <v>#DIV/0!</v>
      </c>
      <c r="BX42" s="61" t="e">
        <f>(Links!AA42+'Off-Ramp'!S42)/(Links!AA42^2+'Off-Ramp'!S42^2)</f>
        <v>#DIV/0!</v>
      </c>
      <c r="BY42" s="61" t="e">
        <f>(Links!AB42^2+'Off-Ramp'!T42^2)/(Links!AB42+'Off-Ramp'!T42)</f>
        <v>#DIV/0!</v>
      </c>
      <c r="BZ42" s="61" t="e">
        <f>Links!AC42</f>
        <v>#DIV/0!</v>
      </c>
      <c r="CA42" s="61" t="e">
        <f>(Links!AD42^2+'Off-Ramp'!U42^2)/(Links!AD42+'Off-Ramp'!U42)</f>
        <v>#DIV/0!</v>
      </c>
    </row>
    <row r="43" spans="1:79" x14ac:dyDescent="0.15">
      <c r="A43" s="59">
        <v>41</v>
      </c>
      <c r="B43" s="60" t="e">
        <f t="shared" si="2"/>
        <v>#DIV/0!</v>
      </c>
      <c r="C43" s="60" t="e">
        <f t="shared" si="3"/>
        <v>#DIV/0!</v>
      </c>
      <c r="D43" s="60" t="e">
        <f t="shared" si="4"/>
        <v>#DIV/0!</v>
      </c>
      <c r="E43" s="60" t="e">
        <f t="shared" si="5"/>
        <v>#DIV/0!</v>
      </c>
      <c r="F43" s="60" t="e">
        <f t="shared" si="6"/>
        <v>#DIV/0!</v>
      </c>
      <c r="G43" s="60" t="e">
        <f t="shared" si="7"/>
        <v>#DIV/0!</v>
      </c>
      <c r="H43" s="60" t="e">
        <f t="shared" si="8"/>
        <v>#DIV/0!</v>
      </c>
      <c r="I43" s="60" t="e">
        <f t="shared" si="9"/>
        <v>#DIV/0!</v>
      </c>
      <c r="J43" s="60" t="e">
        <f t="shared" si="10"/>
        <v>#DIV/0!</v>
      </c>
      <c r="K43" s="60" t="e">
        <f t="shared" si="11"/>
        <v>#DIV/0!</v>
      </c>
      <c r="L43" s="60" t="e">
        <f t="shared" si="12"/>
        <v>#DIV/0!</v>
      </c>
      <c r="M43" s="60" t="e">
        <f t="shared" si="13"/>
        <v>#DIV/0!</v>
      </c>
      <c r="N43" s="60" t="e">
        <f t="shared" si="14"/>
        <v>#DIV/0!</v>
      </c>
      <c r="O43" s="61" t="e">
        <f>Links!B43</f>
        <v>#DIV/0!</v>
      </c>
      <c r="P43" s="61" t="e">
        <f>Links!C43+'On-Ramps'!AC43</f>
        <v>#DIV/0!</v>
      </c>
      <c r="Q43" s="61" t="e">
        <f>Links!D43</f>
        <v>#DIV/0!</v>
      </c>
      <c r="R43" s="61" t="e">
        <f>Links!E43+'On-Ramps'!AD43</f>
        <v>#DIV/0!</v>
      </c>
      <c r="S43" s="61" t="e">
        <f>Links!F43+'On-Ramps'!AE43</f>
        <v>#DIV/0!</v>
      </c>
      <c r="T43" s="61" t="e">
        <f>Links!G43+'On-Ramps'!AF43</f>
        <v>#DIV/0!</v>
      </c>
      <c r="U43" s="61" t="e">
        <f>Links!H43+'On-Ramps'!AG43</f>
        <v>#DIV/0!</v>
      </c>
      <c r="V43" s="61" t="e">
        <f>Links!J43+'On-Ramps'!AH43</f>
        <v>#DIV/0!</v>
      </c>
      <c r="W43" s="61" t="e">
        <f>Links!K43+'On-Ramps'!AI43</f>
        <v>#DIV/0!</v>
      </c>
      <c r="X43" s="61" t="e">
        <f>Links!L43+'On-Ramps'!AJ43</f>
        <v>#DIV/0!</v>
      </c>
      <c r="Y43" s="61" t="e">
        <f>Links!M43</f>
        <v>#DIV/0!</v>
      </c>
      <c r="Z43" s="61" t="e">
        <f>Links!N43+'On-Ramps'!AK43</f>
        <v>#DIV/0!</v>
      </c>
      <c r="AA43" s="61" t="e">
        <f>Links!O43</f>
        <v>#DIV/0!</v>
      </c>
      <c r="AB43" s="60" t="e">
        <f t="shared" si="17"/>
        <v>#DIV/0!</v>
      </c>
      <c r="AC43" s="60" t="e">
        <f t="shared" si="18"/>
        <v>#DIV/0!</v>
      </c>
      <c r="AD43" s="60" t="e">
        <f t="shared" si="19"/>
        <v>#DIV/0!</v>
      </c>
      <c r="AE43" s="60" t="e">
        <f t="shared" si="20"/>
        <v>#DIV/0!</v>
      </c>
      <c r="AF43" s="60" t="e">
        <f t="shared" si="21"/>
        <v>#DIV/0!</v>
      </c>
      <c r="AG43" s="60" t="e">
        <f t="shared" si="22"/>
        <v>#DIV/0!</v>
      </c>
      <c r="AH43" s="60" t="e">
        <f t="shared" si="23"/>
        <v>#DIV/0!</v>
      </c>
      <c r="AI43" s="60" t="e">
        <f t="shared" si="24"/>
        <v>#DIV/0!</v>
      </c>
      <c r="AJ43" s="60" t="e">
        <f t="shared" si="25"/>
        <v>#DIV/0!</v>
      </c>
      <c r="AK43" s="60" t="e">
        <f t="shared" si="26"/>
        <v>#DIV/0!</v>
      </c>
      <c r="AL43" s="60" t="e">
        <f t="shared" si="27"/>
        <v>#DIV/0!</v>
      </c>
      <c r="AM43" s="60" t="e">
        <f t="shared" si="28"/>
        <v>#DIV/0!</v>
      </c>
      <c r="AN43" s="60" t="e">
        <f t="shared" si="30"/>
        <v>#DIV/0!</v>
      </c>
      <c r="AO43" s="61" t="e">
        <f t="shared" si="31"/>
        <v>#DIV/0!</v>
      </c>
      <c r="AP43" s="61" t="e">
        <f t="shared" si="31"/>
        <v>#DIV/0!</v>
      </c>
      <c r="AQ43" s="61" t="e">
        <f t="shared" si="31"/>
        <v>#DIV/0!</v>
      </c>
      <c r="AR43" s="61" t="e">
        <f t="shared" si="31"/>
        <v>#DIV/0!</v>
      </c>
      <c r="AS43" s="61" t="e">
        <f t="shared" si="31"/>
        <v>#DIV/0!</v>
      </c>
      <c r="AT43" s="61" t="e">
        <f t="shared" si="31"/>
        <v>#DIV/0!</v>
      </c>
      <c r="AU43" s="61" t="e">
        <f t="shared" si="31"/>
        <v>#DIV/0!</v>
      </c>
      <c r="AV43" s="61" t="e">
        <f t="shared" si="31"/>
        <v>#DIV/0!</v>
      </c>
      <c r="AW43" s="61" t="e">
        <f t="shared" si="31"/>
        <v>#DIV/0!</v>
      </c>
      <c r="AX43" s="61" t="e">
        <f t="shared" si="31"/>
        <v>#DIV/0!</v>
      </c>
      <c r="AY43" s="61" t="e">
        <f t="shared" si="31"/>
        <v>#DIV/0!</v>
      </c>
      <c r="AZ43" s="61" t="e">
        <f t="shared" si="31"/>
        <v>#DIV/0!</v>
      </c>
      <c r="BA43" s="61" t="e">
        <f t="shared" si="31"/>
        <v>#DIV/0!</v>
      </c>
      <c r="BB43" s="60" t="e">
        <f>Links!AF43</f>
        <v>#DIV/0!</v>
      </c>
      <c r="BC43" s="60" t="e">
        <f>(Links!AG43*Links!C43+'On-Ramps'!AC43*'On-Ramps'!CE43)/('On-Ramps'!AC43+Links!C43)</f>
        <v>#DIV/0!</v>
      </c>
      <c r="BD43" s="60" t="e">
        <f>Links!AH43</f>
        <v>#DIV/0!</v>
      </c>
      <c r="BE43" s="60" t="e">
        <f>(Links!AI43*Links!E43+'On-Ramps'!AD43*'On-Ramps'!CF42)/('On-Ramps'!AD43+Links!E43)</f>
        <v>#DIV/0!</v>
      </c>
      <c r="BF43" s="60" t="e">
        <f>(Links!F43*Links!AJ43+'On-Ramps'!AE43*'On-Ramps'!CG43)/('On-Ramps'!AE43+Links!F43)</f>
        <v>#DIV/0!</v>
      </c>
      <c r="BG43" s="60" t="e">
        <f>(Links!G43*Links!AK43+'On-Ramps'!AF43*'On-Ramps'!CH43)/('On-Ramps'!AF43+Links!G43)</f>
        <v>#DIV/0!</v>
      </c>
      <c r="BH43" s="60" t="e">
        <f>(Links!H43*Links!AL43+'On-Ramps'!AG43*'On-Ramps'!CI43)/('On-Ramps'!AG43+Links!H43)</f>
        <v>#DIV/0!</v>
      </c>
      <c r="BI43" s="60" t="e">
        <f>(Links!J43*Links!AN43+'On-Ramps'!AH43*'On-Ramps'!CJ43)/('On-Ramps'!AH43+Links!J43)</f>
        <v>#DIV/0!</v>
      </c>
      <c r="BJ43" s="60" t="e">
        <f>(Links!K43*Links!AO43+'On-Ramps'!AI43*'On-Ramps'!CK43)/('On-Ramps'!AI43+Links!K43)</f>
        <v>#DIV/0!</v>
      </c>
      <c r="BK43" s="60" t="e">
        <f>(Links!L43*Links!AP43+'On-Ramps'!AJ43*'On-Ramps'!CL43)/(Links!L43+'On-Ramps'!AJ43)</f>
        <v>#DIV/0!</v>
      </c>
      <c r="BL43" s="60" t="e">
        <f>Links!AQ43</f>
        <v>#DIV/0!</v>
      </c>
      <c r="BM43" s="60" t="e">
        <f>(Links!N43*Links!AR43+'On-Ramps'!AL43*'On-Ramps'!CM43)/(Links!N43+'On-Ramps'!AL43)</f>
        <v>#DIV/0!</v>
      </c>
      <c r="BN43" s="60" t="e">
        <f>Links!AS43</f>
        <v>#DIV/0!</v>
      </c>
      <c r="BO43" s="61" t="e">
        <f>(Links!R43^2+'Off-Ramp'!L43^2)/(Links!R43+'Off-Ramp'!L43)</f>
        <v>#DIV/0!</v>
      </c>
      <c r="BP43" s="61" t="e">
        <f>Links!S43</f>
        <v>#DIV/0!</v>
      </c>
      <c r="BQ43" s="61" t="e">
        <f>(Links!S43^2+'Off-Ramp'!C43^2)/(Links!S43+'Off-Ramp'!C43)</f>
        <v>#DIV/0!</v>
      </c>
      <c r="BR43" s="61" t="e">
        <f>Links!T43</f>
        <v>#DIV/0!</v>
      </c>
      <c r="BS43" s="61" t="e">
        <f>(Links!U43^2+'Off-Ramp'!N43^2)/(Links!U43+'Off-Ramp'!N43)</f>
        <v>#DIV/0!</v>
      </c>
      <c r="BT43" s="61" t="e">
        <f>(Links!V43^2+'Off-Ramp'!O43^2)/(Links!V43+'Off-Ramp'!O43)</f>
        <v>#DIV/0!</v>
      </c>
      <c r="BU43" s="61" t="e">
        <f>(Links!W43^2+'Off-Ramp'!P43^2)/(Links!W43+'Off-Ramp'!P43)</f>
        <v>#DIV/0!</v>
      </c>
      <c r="BV43" s="61" t="e">
        <f>(Links!Y43^2+'Off-Ramp'!Q43^2)/(Links!Y43+'Off-Ramp'!Q43)</f>
        <v>#DIV/0!</v>
      </c>
      <c r="BW43" s="61" t="e">
        <f>(Links!Z43^2+'Off-Ramp'!R43^2)/(Links!Z43+'Off-Ramp'!R43)</f>
        <v>#DIV/0!</v>
      </c>
      <c r="BX43" s="61" t="e">
        <f>(Links!AA43+'Off-Ramp'!S43)/(Links!AA43^2+'Off-Ramp'!S43^2)</f>
        <v>#DIV/0!</v>
      </c>
      <c r="BY43" s="61" t="e">
        <f>(Links!AB43^2+'Off-Ramp'!T43^2)/(Links!AB43+'Off-Ramp'!T43)</f>
        <v>#DIV/0!</v>
      </c>
      <c r="BZ43" s="61" t="e">
        <f>Links!AC43</f>
        <v>#DIV/0!</v>
      </c>
      <c r="CA43" s="61" t="e">
        <f>(Links!AD43^2+'Off-Ramp'!U43^2)/(Links!AD43+'Off-Ramp'!U43)</f>
        <v>#DIV/0!</v>
      </c>
    </row>
    <row r="44" spans="1:79" x14ac:dyDescent="0.15">
      <c r="A44" s="59">
        <v>42</v>
      </c>
      <c r="B44" s="60" t="e">
        <f t="shared" si="2"/>
        <v>#DIV/0!</v>
      </c>
      <c r="C44" s="60" t="e">
        <f t="shared" si="3"/>
        <v>#DIV/0!</v>
      </c>
      <c r="D44" s="60" t="e">
        <f t="shared" si="4"/>
        <v>#DIV/0!</v>
      </c>
      <c r="E44" s="60" t="e">
        <f t="shared" si="5"/>
        <v>#DIV/0!</v>
      </c>
      <c r="F44" s="60" t="e">
        <f t="shared" si="6"/>
        <v>#DIV/0!</v>
      </c>
      <c r="G44" s="60" t="e">
        <f t="shared" si="7"/>
        <v>#DIV/0!</v>
      </c>
      <c r="H44" s="60" t="e">
        <f t="shared" si="8"/>
        <v>#DIV/0!</v>
      </c>
      <c r="I44" s="60" t="e">
        <f t="shared" si="9"/>
        <v>#DIV/0!</v>
      </c>
      <c r="J44" s="60" t="e">
        <f t="shared" si="10"/>
        <v>#DIV/0!</v>
      </c>
      <c r="K44" s="60" t="e">
        <f t="shared" si="11"/>
        <v>#DIV/0!</v>
      </c>
      <c r="L44" s="60" t="e">
        <f t="shared" si="12"/>
        <v>#DIV/0!</v>
      </c>
      <c r="M44" s="60" t="e">
        <f t="shared" si="13"/>
        <v>#DIV/0!</v>
      </c>
      <c r="N44" s="60" t="e">
        <f t="shared" si="14"/>
        <v>#DIV/0!</v>
      </c>
      <c r="O44" s="61" t="e">
        <f>Links!B44</f>
        <v>#DIV/0!</v>
      </c>
      <c r="P44" s="61" t="e">
        <f>Links!C44+'On-Ramps'!AC44</f>
        <v>#DIV/0!</v>
      </c>
      <c r="Q44" s="61" t="e">
        <f>Links!D44</f>
        <v>#DIV/0!</v>
      </c>
      <c r="R44" s="61" t="e">
        <f>Links!E44+'On-Ramps'!AD44</f>
        <v>#DIV/0!</v>
      </c>
      <c r="S44" s="61" t="e">
        <f>Links!F44+'On-Ramps'!AE44</f>
        <v>#DIV/0!</v>
      </c>
      <c r="T44" s="61" t="e">
        <f>Links!G44+'On-Ramps'!AF44</f>
        <v>#DIV/0!</v>
      </c>
      <c r="U44" s="61" t="e">
        <f>Links!H44+'On-Ramps'!AG44</f>
        <v>#DIV/0!</v>
      </c>
      <c r="V44" s="61" t="e">
        <f>Links!J44+'On-Ramps'!AH44</f>
        <v>#DIV/0!</v>
      </c>
      <c r="W44" s="61" t="e">
        <f>Links!K44+'On-Ramps'!AI44</f>
        <v>#DIV/0!</v>
      </c>
      <c r="X44" s="61" t="e">
        <f>Links!L44+'On-Ramps'!AJ44</f>
        <v>#DIV/0!</v>
      </c>
      <c r="Y44" s="61" t="e">
        <f>Links!M44</f>
        <v>#DIV/0!</v>
      </c>
      <c r="Z44" s="61" t="e">
        <f>Links!N44+'On-Ramps'!AK44</f>
        <v>#DIV/0!</v>
      </c>
      <c r="AA44" s="61" t="e">
        <f>Links!O44</f>
        <v>#DIV/0!</v>
      </c>
      <c r="AB44" s="60" t="e">
        <f t="shared" si="17"/>
        <v>#DIV/0!</v>
      </c>
      <c r="AC44" s="60" t="e">
        <f t="shared" si="18"/>
        <v>#DIV/0!</v>
      </c>
      <c r="AD44" s="60" t="e">
        <f t="shared" si="19"/>
        <v>#DIV/0!</v>
      </c>
      <c r="AE44" s="60" t="e">
        <f t="shared" si="20"/>
        <v>#DIV/0!</v>
      </c>
      <c r="AF44" s="60" t="e">
        <f t="shared" si="21"/>
        <v>#DIV/0!</v>
      </c>
      <c r="AG44" s="60" t="e">
        <f t="shared" si="22"/>
        <v>#DIV/0!</v>
      </c>
      <c r="AH44" s="60" t="e">
        <f t="shared" si="23"/>
        <v>#DIV/0!</v>
      </c>
      <c r="AI44" s="60" t="e">
        <f t="shared" si="24"/>
        <v>#DIV/0!</v>
      </c>
      <c r="AJ44" s="60" t="e">
        <f t="shared" si="25"/>
        <v>#DIV/0!</v>
      </c>
      <c r="AK44" s="60" t="e">
        <f t="shared" si="26"/>
        <v>#DIV/0!</v>
      </c>
      <c r="AL44" s="60" t="e">
        <f t="shared" si="27"/>
        <v>#DIV/0!</v>
      </c>
      <c r="AM44" s="60" t="e">
        <f t="shared" si="28"/>
        <v>#DIV/0!</v>
      </c>
      <c r="AN44" s="60" t="e">
        <f t="shared" si="30"/>
        <v>#DIV/0!</v>
      </c>
      <c r="AO44" s="61" t="e">
        <f t="shared" si="31"/>
        <v>#DIV/0!</v>
      </c>
      <c r="AP44" s="61" t="e">
        <f t="shared" si="31"/>
        <v>#DIV/0!</v>
      </c>
      <c r="AQ44" s="61" t="e">
        <f t="shared" si="31"/>
        <v>#DIV/0!</v>
      </c>
      <c r="AR44" s="61" t="e">
        <f t="shared" si="31"/>
        <v>#DIV/0!</v>
      </c>
      <c r="AS44" s="61" t="e">
        <f t="shared" si="31"/>
        <v>#DIV/0!</v>
      </c>
      <c r="AT44" s="61" t="e">
        <f t="shared" si="31"/>
        <v>#DIV/0!</v>
      </c>
      <c r="AU44" s="61" t="e">
        <f t="shared" si="31"/>
        <v>#DIV/0!</v>
      </c>
      <c r="AV44" s="61" t="e">
        <f t="shared" si="31"/>
        <v>#DIV/0!</v>
      </c>
      <c r="AW44" s="61" t="e">
        <f t="shared" si="31"/>
        <v>#DIV/0!</v>
      </c>
      <c r="AX44" s="61" t="e">
        <f t="shared" si="31"/>
        <v>#DIV/0!</v>
      </c>
      <c r="AY44" s="61" t="e">
        <f t="shared" si="31"/>
        <v>#DIV/0!</v>
      </c>
      <c r="AZ44" s="61" t="e">
        <f t="shared" si="31"/>
        <v>#DIV/0!</v>
      </c>
      <c r="BA44" s="61" t="e">
        <f t="shared" si="31"/>
        <v>#DIV/0!</v>
      </c>
      <c r="BB44" s="60" t="e">
        <f>Links!AF44</f>
        <v>#DIV/0!</v>
      </c>
      <c r="BC44" s="60" t="e">
        <f>(Links!AG44*Links!C44+'On-Ramps'!AC44*'On-Ramps'!CE44)/('On-Ramps'!AC44+Links!C44)</f>
        <v>#DIV/0!</v>
      </c>
      <c r="BD44" s="60" t="e">
        <f>Links!AH44</f>
        <v>#DIV/0!</v>
      </c>
      <c r="BE44" s="60" t="e">
        <f>(Links!AI44*Links!E44+'On-Ramps'!AD44*'On-Ramps'!CF43)/('On-Ramps'!AD44+Links!E44)</f>
        <v>#DIV/0!</v>
      </c>
      <c r="BF44" s="60" t="e">
        <f>(Links!F44*Links!AJ44+'On-Ramps'!AE44*'On-Ramps'!CG44)/('On-Ramps'!AE44+Links!F44)</f>
        <v>#DIV/0!</v>
      </c>
      <c r="BG44" s="60" t="e">
        <f>(Links!G44*Links!AK44+'On-Ramps'!AF44*'On-Ramps'!CH44)/('On-Ramps'!AF44+Links!G44)</f>
        <v>#DIV/0!</v>
      </c>
      <c r="BH44" s="60" t="e">
        <f>(Links!H44*Links!AL44+'On-Ramps'!AG44*'On-Ramps'!CI44)/('On-Ramps'!AG44+Links!H44)</f>
        <v>#DIV/0!</v>
      </c>
      <c r="BI44" s="60" t="e">
        <f>(Links!J44*Links!AN44+'On-Ramps'!AH44*'On-Ramps'!CJ44)/('On-Ramps'!AH44+Links!J44)</f>
        <v>#DIV/0!</v>
      </c>
      <c r="BJ44" s="60" t="e">
        <f>(Links!K44*Links!AO44+'On-Ramps'!AI44*'On-Ramps'!CK44)/('On-Ramps'!AI44+Links!K44)</f>
        <v>#DIV/0!</v>
      </c>
      <c r="BK44" s="60" t="e">
        <f>(Links!L44*Links!AP44+'On-Ramps'!AJ44*'On-Ramps'!CL44)/(Links!L44+'On-Ramps'!AJ44)</f>
        <v>#DIV/0!</v>
      </c>
      <c r="BL44" s="60" t="e">
        <f>Links!AQ44</f>
        <v>#DIV/0!</v>
      </c>
      <c r="BM44" s="60" t="e">
        <f>(Links!N44*Links!AR44+'On-Ramps'!AL44*'On-Ramps'!CM44)/(Links!N44+'On-Ramps'!AL44)</f>
        <v>#DIV/0!</v>
      </c>
      <c r="BN44" s="60" t="e">
        <f>Links!AS44</f>
        <v>#DIV/0!</v>
      </c>
      <c r="BO44" s="61" t="e">
        <f>(Links!R44^2+'Off-Ramp'!L44^2)/(Links!R44+'Off-Ramp'!L44)</f>
        <v>#DIV/0!</v>
      </c>
      <c r="BP44" s="61" t="e">
        <f>Links!S44</f>
        <v>#DIV/0!</v>
      </c>
      <c r="BQ44" s="61" t="e">
        <f>(Links!S44^2+'Off-Ramp'!C44^2)/(Links!S44+'Off-Ramp'!C44)</f>
        <v>#DIV/0!</v>
      </c>
      <c r="BR44" s="61" t="e">
        <f>Links!T44</f>
        <v>#DIV/0!</v>
      </c>
      <c r="BS44" s="61" t="e">
        <f>(Links!U44^2+'Off-Ramp'!N44^2)/(Links!U44+'Off-Ramp'!N44)</f>
        <v>#DIV/0!</v>
      </c>
      <c r="BT44" s="61" t="e">
        <f>(Links!V44^2+'Off-Ramp'!O44^2)/(Links!V44+'Off-Ramp'!O44)</f>
        <v>#DIV/0!</v>
      </c>
      <c r="BU44" s="61" t="e">
        <f>(Links!W44^2+'Off-Ramp'!P44^2)/(Links!W44+'Off-Ramp'!P44)</f>
        <v>#DIV/0!</v>
      </c>
      <c r="BV44" s="61" t="e">
        <f>(Links!Y44^2+'Off-Ramp'!Q44^2)/(Links!Y44+'Off-Ramp'!Q44)</f>
        <v>#DIV/0!</v>
      </c>
      <c r="BW44" s="61" t="e">
        <f>(Links!Z44^2+'Off-Ramp'!R44^2)/(Links!Z44+'Off-Ramp'!R44)</f>
        <v>#DIV/0!</v>
      </c>
      <c r="BX44" s="61" t="e">
        <f>(Links!AA44+'Off-Ramp'!S44)/(Links!AA44^2+'Off-Ramp'!S44^2)</f>
        <v>#DIV/0!</v>
      </c>
      <c r="BY44" s="61" t="e">
        <f>(Links!AB44^2+'Off-Ramp'!T44^2)/(Links!AB44+'Off-Ramp'!T44)</f>
        <v>#DIV/0!</v>
      </c>
      <c r="BZ44" s="61" t="e">
        <f>Links!AC44</f>
        <v>#DIV/0!</v>
      </c>
      <c r="CA44" s="61" t="e">
        <f>(Links!AD44^2+'Off-Ramp'!U44^2)/(Links!AD44+'Off-Ramp'!U44)</f>
        <v>#DIV/0!</v>
      </c>
    </row>
    <row r="45" spans="1:79" x14ac:dyDescent="0.15">
      <c r="A45" s="59">
        <v>43</v>
      </c>
      <c r="B45" s="60" t="e">
        <f t="shared" si="2"/>
        <v>#DIV/0!</v>
      </c>
      <c r="C45" s="60" t="e">
        <f t="shared" si="3"/>
        <v>#DIV/0!</v>
      </c>
      <c r="D45" s="60" t="e">
        <f t="shared" si="4"/>
        <v>#DIV/0!</v>
      </c>
      <c r="E45" s="60" t="e">
        <f t="shared" si="5"/>
        <v>#DIV/0!</v>
      </c>
      <c r="F45" s="60" t="e">
        <f t="shared" si="6"/>
        <v>#DIV/0!</v>
      </c>
      <c r="G45" s="60" t="e">
        <f t="shared" si="7"/>
        <v>#DIV/0!</v>
      </c>
      <c r="H45" s="60" t="e">
        <f t="shared" si="8"/>
        <v>#DIV/0!</v>
      </c>
      <c r="I45" s="60" t="e">
        <f t="shared" si="9"/>
        <v>#DIV/0!</v>
      </c>
      <c r="J45" s="60" t="e">
        <f t="shared" si="10"/>
        <v>#DIV/0!</v>
      </c>
      <c r="K45" s="60" t="e">
        <f t="shared" si="11"/>
        <v>#DIV/0!</v>
      </c>
      <c r="L45" s="60" t="e">
        <f t="shared" si="12"/>
        <v>#DIV/0!</v>
      </c>
      <c r="M45" s="60" t="e">
        <f t="shared" si="13"/>
        <v>#DIV/0!</v>
      </c>
      <c r="N45" s="60" t="e">
        <f t="shared" si="14"/>
        <v>#DIV/0!</v>
      </c>
      <c r="O45" s="61" t="e">
        <f>Links!B45</f>
        <v>#DIV/0!</v>
      </c>
      <c r="P45" s="61" t="e">
        <f>Links!C45+'On-Ramps'!AC45</f>
        <v>#DIV/0!</v>
      </c>
      <c r="Q45" s="61" t="e">
        <f>Links!D45</f>
        <v>#DIV/0!</v>
      </c>
      <c r="R45" s="61" t="e">
        <f>Links!E45+'On-Ramps'!AD45</f>
        <v>#DIV/0!</v>
      </c>
      <c r="S45" s="61" t="e">
        <f>Links!F45+'On-Ramps'!AE45</f>
        <v>#DIV/0!</v>
      </c>
      <c r="T45" s="61" t="e">
        <f>Links!G45+'On-Ramps'!AF45</f>
        <v>#DIV/0!</v>
      </c>
      <c r="U45" s="61" t="e">
        <f>Links!H45+'On-Ramps'!AG45</f>
        <v>#DIV/0!</v>
      </c>
      <c r="V45" s="61" t="e">
        <f>Links!J45+'On-Ramps'!AH45</f>
        <v>#DIV/0!</v>
      </c>
      <c r="W45" s="61" t="e">
        <f>Links!K45+'On-Ramps'!AI45</f>
        <v>#DIV/0!</v>
      </c>
      <c r="X45" s="61" t="e">
        <f>Links!L45+'On-Ramps'!AJ45</f>
        <v>#DIV/0!</v>
      </c>
      <c r="Y45" s="61" t="e">
        <f>Links!M45</f>
        <v>#DIV/0!</v>
      </c>
      <c r="Z45" s="61" t="e">
        <f>Links!N45+'On-Ramps'!AK45</f>
        <v>#DIV/0!</v>
      </c>
      <c r="AA45" s="61" t="e">
        <f>Links!O45</f>
        <v>#DIV/0!</v>
      </c>
      <c r="AB45" s="60" t="e">
        <f t="shared" si="17"/>
        <v>#DIV/0!</v>
      </c>
      <c r="AC45" s="60" t="e">
        <f t="shared" si="18"/>
        <v>#DIV/0!</v>
      </c>
      <c r="AD45" s="60" t="e">
        <f t="shared" si="19"/>
        <v>#DIV/0!</v>
      </c>
      <c r="AE45" s="60" t="e">
        <f t="shared" si="20"/>
        <v>#DIV/0!</v>
      </c>
      <c r="AF45" s="60" t="e">
        <f t="shared" si="21"/>
        <v>#DIV/0!</v>
      </c>
      <c r="AG45" s="60" t="e">
        <f t="shared" si="22"/>
        <v>#DIV/0!</v>
      </c>
      <c r="AH45" s="60" t="e">
        <f t="shared" si="23"/>
        <v>#DIV/0!</v>
      </c>
      <c r="AI45" s="60" t="e">
        <f t="shared" si="24"/>
        <v>#DIV/0!</v>
      </c>
      <c r="AJ45" s="60" t="e">
        <f t="shared" si="25"/>
        <v>#DIV/0!</v>
      </c>
      <c r="AK45" s="60" t="e">
        <f t="shared" si="26"/>
        <v>#DIV/0!</v>
      </c>
      <c r="AL45" s="60" t="e">
        <f t="shared" si="27"/>
        <v>#DIV/0!</v>
      </c>
      <c r="AM45" s="60" t="e">
        <f t="shared" si="28"/>
        <v>#DIV/0!</v>
      </c>
      <c r="AN45" s="60" t="e">
        <f t="shared" si="30"/>
        <v>#DIV/0!</v>
      </c>
      <c r="AO45" s="61" t="e">
        <f t="shared" si="31"/>
        <v>#DIV/0!</v>
      </c>
      <c r="AP45" s="61" t="e">
        <f t="shared" si="31"/>
        <v>#DIV/0!</v>
      </c>
      <c r="AQ45" s="61" t="e">
        <f t="shared" si="31"/>
        <v>#DIV/0!</v>
      </c>
      <c r="AR45" s="61" t="e">
        <f t="shared" si="31"/>
        <v>#DIV/0!</v>
      </c>
      <c r="AS45" s="61" t="e">
        <f t="shared" si="31"/>
        <v>#DIV/0!</v>
      </c>
      <c r="AT45" s="61" t="e">
        <f t="shared" si="31"/>
        <v>#DIV/0!</v>
      </c>
      <c r="AU45" s="61" t="e">
        <f t="shared" si="31"/>
        <v>#DIV/0!</v>
      </c>
      <c r="AV45" s="61" t="e">
        <f t="shared" si="31"/>
        <v>#DIV/0!</v>
      </c>
      <c r="AW45" s="61" t="e">
        <f t="shared" si="31"/>
        <v>#DIV/0!</v>
      </c>
      <c r="AX45" s="61" t="e">
        <f t="shared" si="31"/>
        <v>#DIV/0!</v>
      </c>
      <c r="AY45" s="61" t="e">
        <f t="shared" si="31"/>
        <v>#DIV/0!</v>
      </c>
      <c r="AZ45" s="61" t="e">
        <f t="shared" si="31"/>
        <v>#DIV/0!</v>
      </c>
      <c r="BA45" s="61" t="e">
        <f t="shared" si="31"/>
        <v>#DIV/0!</v>
      </c>
      <c r="BB45" s="60" t="e">
        <f>Links!AF45</f>
        <v>#DIV/0!</v>
      </c>
      <c r="BC45" s="60" t="e">
        <f>(Links!AG45*Links!C45+'On-Ramps'!AC45*'On-Ramps'!CE45)/('On-Ramps'!AC45+Links!C45)</f>
        <v>#DIV/0!</v>
      </c>
      <c r="BD45" s="60" t="e">
        <f>Links!AH45</f>
        <v>#DIV/0!</v>
      </c>
      <c r="BE45" s="60" t="e">
        <f>(Links!AI45*Links!E45+'On-Ramps'!AD45*'On-Ramps'!CF44)/('On-Ramps'!AD45+Links!E45)</f>
        <v>#DIV/0!</v>
      </c>
      <c r="BF45" s="60" t="e">
        <f>(Links!F45*Links!AJ45+'On-Ramps'!AE45*'On-Ramps'!CG45)/('On-Ramps'!AE45+Links!F45)</f>
        <v>#DIV/0!</v>
      </c>
      <c r="BG45" s="60" t="e">
        <f>(Links!G45*Links!AK45+'On-Ramps'!AF45*'On-Ramps'!CH45)/('On-Ramps'!AF45+Links!G45)</f>
        <v>#DIV/0!</v>
      </c>
      <c r="BH45" s="60" t="e">
        <f>(Links!H45*Links!AL45+'On-Ramps'!AG45*'On-Ramps'!CI45)/('On-Ramps'!AG45+Links!H45)</f>
        <v>#DIV/0!</v>
      </c>
      <c r="BI45" s="60" t="e">
        <f>(Links!J45*Links!AN45+'On-Ramps'!AH45*'On-Ramps'!CJ45)/('On-Ramps'!AH45+Links!J45)</f>
        <v>#DIV/0!</v>
      </c>
      <c r="BJ45" s="60" t="e">
        <f>(Links!K45*Links!AO45+'On-Ramps'!AI45*'On-Ramps'!CK45)/('On-Ramps'!AI45+Links!K45)</f>
        <v>#DIV/0!</v>
      </c>
      <c r="BK45" s="60" t="e">
        <f>(Links!L45*Links!AP45+'On-Ramps'!AJ45*'On-Ramps'!CL45)/(Links!L45+'On-Ramps'!AJ45)</f>
        <v>#DIV/0!</v>
      </c>
      <c r="BL45" s="60" t="e">
        <f>Links!AQ45</f>
        <v>#DIV/0!</v>
      </c>
      <c r="BM45" s="60" t="e">
        <f>(Links!N45*Links!AR45+'On-Ramps'!AL45*'On-Ramps'!CM45)/(Links!N45+'On-Ramps'!AL45)</f>
        <v>#DIV/0!</v>
      </c>
      <c r="BN45" s="60" t="e">
        <f>Links!AS45</f>
        <v>#DIV/0!</v>
      </c>
      <c r="BO45" s="61" t="e">
        <f>(Links!R45^2+'Off-Ramp'!L45^2)/(Links!R45+'Off-Ramp'!L45)</f>
        <v>#DIV/0!</v>
      </c>
      <c r="BP45" s="61" t="e">
        <f>Links!S45</f>
        <v>#DIV/0!</v>
      </c>
      <c r="BQ45" s="61" t="e">
        <f>(Links!S45^2+'Off-Ramp'!C45^2)/(Links!S45+'Off-Ramp'!C45)</f>
        <v>#DIV/0!</v>
      </c>
      <c r="BR45" s="61" t="e">
        <f>Links!T45</f>
        <v>#DIV/0!</v>
      </c>
      <c r="BS45" s="61" t="e">
        <f>(Links!U45^2+'Off-Ramp'!N45^2)/(Links!U45+'Off-Ramp'!N45)</f>
        <v>#DIV/0!</v>
      </c>
      <c r="BT45" s="61" t="e">
        <f>(Links!V45^2+'Off-Ramp'!O45^2)/(Links!V45+'Off-Ramp'!O45)</f>
        <v>#DIV/0!</v>
      </c>
      <c r="BU45" s="61" t="e">
        <f>(Links!W45^2+'Off-Ramp'!P45^2)/(Links!W45+'Off-Ramp'!P45)</f>
        <v>#DIV/0!</v>
      </c>
      <c r="BV45" s="61" t="e">
        <f>(Links!Y45^2+'Off-Ramp'!Q45^2)/(Links!Y45+'Off-Ramp'!Q45)</f>
        <v>#DIV/0!</v>
      </c>
      <c r="BW45" s="61" t="e">
        <f>(Links!Z45^2+'Off-Ramp'!R45^2)/(Links!Z45+'Off-Ramp'!R45)</f>
        <v>#DIV/0!</v>
      </c>
      <c r="BX45" s="61" t="e">
        <f>(Links!AA45+'Off-Ramp'!S45)/(Links!AA45^2+'Off-Ramp'!S45^2)</f>
        <v>#DIV/0!</v>
      </c>
      <c r="BY45" s="61" t="e">
        <f>(Links!AB45^2+'Off-Ramp'!T45^2)/(Links!AB45+'Off-Ramp'!T45)</f>
        <v>#DIV/0!</v>
      </c>
      <c r="BZ45" s="61" t="e">
        <f>Links!AC45</f>
        <v>#DIV/0!</v>
      </c>
      <c r="CA45" s="61" t="e">
        <f>(Links!AD45^2+'Off-Ramp'!U45^2)/(Links!AD45+'Off-Ramp'!U45)</f>
        <v>#DIV/0!</v>
      </c>
    </row>
    <row r="46" spans="1:79" x14ac:dyDescent="0.15">
      <c r="A46" s="59">
        <v>44</v>
      </c>
      <c r="B46" s="60" t="e">
        <f t="shared" si="2"/>
        <v>#DIV/0!</v>
      </c>
      <c r="C46" s="60" t="e">
        <f t="shared" si="3"/>
        <v>#DIV/0!</v>
      </c>
      <c r="D46" s="60" t="e">
        <f t="shared" si="4"/>
        <v>#DIV/0!</v>
      </c>
      <c r="E46" s="60" t="e">
        <f t="shared" si="5"/>
        <v>#DIV/0!</v>
      </c>
      <c r="F46" s="60" t="e">
        <f t="shared" si="6"/>
        <v>#DIV/0!</v>
      </c>
      <c r="G46" s="60" t="e">
        <f t="shared" si="7"/>
        <v>#DIV/0!</v>
      </c>
      <c r="H46" s="60" t="e">
        <f t="shared" si="8"/>
        <v>#DIV/0!</v>
      </c>
      <c r="I46" s="60" t="e">
        <f t="shared" si="9"/>
        <v>#DIV/0!</v>
      </c>
      <c r="J46" s="60" t="e">
        <f t="shared" si="10"/>
        <v>#DIV/0!</v>
      </c>
      <c r="K46" s="60" t="e">
        <f t="shared" si="11"/>
        <v>#DIV/0!</v>
      </c>
      <c r="L46" s="60" t="e">
        <f t="shared" si="12"/>
        <v>#DIV/0!</v>
      </c>
      <c r="M46" s="60" t="e">
        <f t="shared" si="13"/>
        <v>#DIV/0!</v>
      </c>
      <c r="N46" s="60" t="e">
        <f t="shared" si="14"/>
        <v>#DIV/0!</v>
      </c>
      <c r="O46" s="61" t="e">
        <f>Links!B46</f>
        <v>#DIV/0!</v>
      </c>
      <c r="P46" s="61" t="e">
        <f>Links!C46+'On-Ramps'!AC46</f>
        <v>#DIV/0!</v>
      </c>
      <c r="Q46" s="61" t="e">
        <f>Links!D46</f>
        <v>#DIV/0!</v>
      </c>
      <c r="R46" s="61" t="e">
        <f>Links!E46+'On-Ramps'!AD46</f>
        <v>#DIV/0!</v>
      </c>
      <c r="S46" s="61" t="e">
        <f>Links!F46+'On-Ramps'!AE46</f>
        <v>#DIV/0!</v>
      </c>
      <c r="T46" s="61" t="e">
        <f>Links!G46+'On-Ramps'!AF46</f>
        <v>#DIV/0!</v>
      </c>
      <c r="U46" s="61" t="e">
        <f>Links!H46+'On-Ramps'!AG46</f>
        <v>#DIV/0!</v>
      </c>
      <c r="V46" s="61" t="e">
        <f>Links!J46+'On-Ramps'!AH46</f>
        <v>#DIV/0!</v>
      </c>
      <c r="W46" s="61" t="e">
        <f>Links!K46+'On-Ramps'!AI46</f>
        <v>#DIV/0!</v>
      </c>
      <c r="X46" s="61" t="e">
        <f>Links!L46+'On-Ramps'!AJ46</f>
        <v>#DIV/0!</v>
      </c>
      <c r="Y46" s="61" t="e">
        <f>Links!M46</f>
        <v>#DIV/0!</v>
      </c>
      <c r="Z46" s="61" t="e">
        <f>Links!N46+'On-Ramps'!AK46</f>
        <v>#DIV/0!</v>
      </c>
      <c r="AA46" s="61" t="e">
        <f>Links!O46</f>
        <v>#DIV/0!</v>
      </c>
      <c r="AB46" s="60" t="e">
        <f t="shared" si="17"/>
        <v>#DIV/0!</v>
      </c>
      <c r="AC46" s="60" t="e">
        <f t="shared" si="18"/>
        <v>#DIV/0!</v>
      </c>
      <c r="AD46" s="60" t="e">
        <f t="shared" si="19"/>
        <v>#DIV/0!</v>
      </c>
      <c r="AE46" s="60" t="e">
        <f t="shared" si="20"/>
        <v>#DIV/0!</v>
      </c>
      <c r="AF46" s="60" t="e">
        <f t="shared" si="21"/>
        <v>#DIV/0!</v>
      </c>
      <c r="AG46" s="60" t="e">
        <f t="shared" si="22"/>
        <v>#DIV/0!</v>
      </c>
      <c r="AH46" s="60" t="e">
        <f t="shared" si="23"/>
        <v>#DIV/0!</v>
      </c>
      <c r="AI46" s="60" t="e">
        <f t="shared" si="24"/>
        <v>#DIV/0!</v>
      </c>
      <c r="AJ46" s="60" t="e">
        <f t="shared" si="25"/>
        <v>#DIV/0!</v>
      </c>
      <c r="AK46" s="60" t="e">
        <f t="shared" si="26"/>
        <v>#DIV/0!</v>
      </c>
      <c r="AL46" s="60" t="e">
        <f t="shared" si="27"/>
        <v>#DIV/0!</v>
      </c>
      <c r="AM46" s="60" t="e">
        <f t="shared" si="28"/>
        <v>#DIV/0!</v>
      </c>
      <c r="AN46" s="60" t="e">
        <f t="shared" si="30"/>
        <v>#DIV/0!</v>
      </c>
      <c r="AO46" s="61" t="e">
        <f t="shared" si="31"/>
        <v>#DIV/0!</v>
      </c>
      <c r="AP46" s="61" t="e">
        <f t="shared" si="31"/>
        <v>#DIV/0!</v>
      </c>
      <c r="AQ46" s="61" t="e">
        <f t="shared" si="31"/>
        <v>#DIV/0!</v>
      </c>
      <c r="AR46" s="61" t="e">
        <f t="shared" si="31"/>
        <v>#DIV/0!</v>
      </c>
      <c r="AS46" s="61" t="e">
        <f t="shared" si="31"/>
        <v>#DIV/0!</v>
      </c>
      <c r="AT46" s="61" t="e">
        <f t="shared" si="31"/>
        <v>#DIV/0!</v>
      </c>
      <c r="AU46" s="61" t="e">
        <f t="shared" si="31"/>
        <v>#DIV/0!</v>
      </c>
      <c r="AV46" s="61" t="e">
        <f t="shared" si="31"/>
        <v>#DIV/0!</v>
      </c>
      <c r="AW46" s="61" t="e">
        <f t="shared" si="31"/>
        <v>#DIV/0!</v>
      </c>
      <c r="AX46" s="61" t="e">
        <f t="shared" si="31"/>
        <v>#DIV/0!</v>
      </c>
      <c r="AY46" s="61" t="e">
        <f t="shared" si="31"/>
        <v>#DIV/0!</v>
      </c>
      <c r="AZ46" s="61" t="e">
        <f t="shared" si="31"/>
        <v>#DIV/0!</v>
      </c>
      <c r="BA46" s="61" t="e">
        <f t="shared" si="31"/>
        <v>#DIV/0!</v>
      </c>
      <c r="BB46" s="60" t="e">
        <f>Links!AF46</f>
        <v>#DIV/0!</v>
      </c>
      <c r="BC46" s="60" t="e">
        <f>(Links!AG46*Links!C46+'On-Ramps'!AC46*'On-Ramps'!CE46)/('On-Ramps'!AC46+Links!C46)</f>
        <v>#DIV/0!</v>
      </c>
      <c r="BD46" s="60" t="e">
        <f>Links!AH46</f>
        <v>#DIV/0!</v>
      </c>
      <c r="BE46" s="60" t="e">
        <f>(Links!AI46*Links!E46+'On-Ramps'!AD46*'On-Ramps'!CF45)/('On-Ramps'!AD46+Links!E46)</f>
        <v>#DIV/0!</v>
      </c>
      <c r="BF46" s="60" t="e">
        <f>(Links!F46*Links!AJ46+'On-Ramps'!AE46*'On-Ramps'!CG46)/('On-Ramps'!AE46+Links!F46)</f>
        <v>#DIV/0!</v>
      </c>
      <c r="BG46" s="60" t="e">
        <f>(Links!G46*Links!AK46+'On-Ramps'!AF46*'On-Ramps'!CH46)/('On-Ramps'!AF46+Links!G46)</f>
        <v>#DIV/0!</v>
      </c>
      <c r="BH46" s="60" t="e">
        <f>(Links!H46*Links!AL46+'On-Ramps'!AG46*'On-Ramps'!CI46)/('On-Ramps'!AG46+Links!H46)</f>
        <v>#DIV/0!</v>
      </c>
      <c r="BI46" s="60" t="e">
        <f>(Links!J46*Links!AN46+'On-Ramps'!AH46*'On-Ramps'!CJ46)/('On-Ramps'!AH46+Links!J46)</f>
        <v>#DIV/0!</v>
      </c>
      <c r="BJ46" s="60" t="e">
        <f>(Links!K46*Links!AO46+'On-Ramps'!AI46*'On-Ramps'!CK46)/('On-Ramps'!AI46+Links!K46)</f>
        <v>#DIV/0!</v>
      </c>
      <c r="BK46" s="60" t="e">
        <f>(Links!L46*Links!AP46+'On-Ramps'!AJ46*'On-Ramps'!CL46)/(Links!L46+'On-Ramps'!AJ46)</f>
        <v>#DIV/0!</v>
      </c>
      <c r="BL46" s="60" t="e">
        <f>Links!AQ46</f>
        <v>#DIV/0!</v>
      </c>
      <c r="BM46" s="60" t="e">
        <f>(Links!N46*Links!AR46+'On-Ramps'!AL46*'On-Ramps'!CM46)/(Links!N46+'On-Ramps'!AL46)</f>
        <v>#DIV/0!</v>
      </c>
      <c r="BN46" s="60" t="e">
        <f>Links!AS46</f>
        <v>#DIV/0!</v>
      </c>
      <c r="BO46" s="61" t="e">
        <f>(Links!R46^2+'Off-Ramp'!L46^2)/(Links!R46+'Off-Ramp'!L46)</f>
        <v>#DIV/0!</v>
      </c>
      <c r="BP46" s="61" t="e">
        <f>Links!S46</f>
        <v>#DIV/0!</v>
      </c>
      <c r="BQ46" s="61" t="e">
        <f>(Links!S46^2+'Off-Ramp'!C46^2)/(Links!S46+'Off-Ramp'!C46)</f>
        <v>#DIV/0!</v>
      </c>
      <c r="BR46" s="61" t="e">
        <f>Links!T46</f>
        <v>#DIV/0!</v>
      </c>
      <c r="BS46" s="61" t="e">
        <f>(Links!U46^2+'Off-Ramp'!N46^2)/(Links!U46+'Off-Ramp'!N46)</f>
        <v>#DIV/0!</v>
      </c>
      <c r="BT46" s="61" t="e">
        <f>(Links!V46^2+'Off-Ramp'!O46^2)/(Links!V46+'Off-Ramp'!O46)</f>
        <v>#DIV/0!</v>
      </c>
      <c r="BU46" s="61" t="e">
        <f>(Links!W46^2+'Off-Ramp'!P46^2)/(Links!W46+'Off-Ramp'!P46)</f>
        <v>#DIV/0!</v>
      </c>
      <c r="BV46" s="61" t="e">
        <f>(Links!Y46^2+'Off-Ramp'!Q46^2)/(Links!Y46+'Off-Ramp'!Q46)</f>
        <v>#DIV/0!</v>
      </c>
      <c r="BW46" s="61" t="e">
        <f>(Links!Z46^2+'Off-Ramp'!R46^2)/(Links!Z46+'Off-Ramp'!R46)</f>
        <v>#DIV/0!</v>
      </c>
      <c r="BX46" s="61" t="e">
        <f>(Links!AA46+'Off-Ramp'!S46)/(Links!AA46^2+'Off-Ramp'!S46^2)</f>
        <v>#DIV/0!</v>
      </c>
      <c r="BY46" s="61" t="e">
        <f>(Links!AB46^2+'Off-Ramp'!T46^2)/(Links!AB46+'Off-Ramp'!T46)</f>
        <v>#DIV/0!</v>
      </c>
      <c r="BZ46" s="61" t="e">
        <f>Links!AC46</f>
        <v>#DIV/0!</v>
      </c>
      <c r="CA46" s="61" t="e">
        <f>(Links!AD46^2+'Off-Ramp'!U46^2)/(Links!AD46+'Off-Ramp'!U46)</f>
        <v>#DIV/0!</v>
      </c>
    </row>
    <row r="47" spans="1:79" x14ac:dyDescent="0.15">
      <c r="A47" s="59">
        <v>45</v>
      </c>
      <c r="B47" s="60" t="e">
        <f t="shared" si="2"/>
        <v>#DIV/0!</v>
      </c>
      <c r="C47" s="60" t="e">
        <f t="shared" si="3"/>
        <v>#DIV/0!</v>
      </c>
      <c r="D47" s="60" t="e">
        <f t="shared" si="4"/>
        <v>#DIV/0!</v>
      </c>
      <c r="E47" s="60" t="e">
        <f t="shared" si="5"/>
        <v>#DIV/0!</v>
      </c>
      <c r="F47" s="60" t="e">
        <f t="shared" si="6"/>
        <v>#DIV/0!</v>
      </c>
      <c r="G47" s="60" t="e">
        <f t="shared" si="7"/>
        <v>#DIV/0!</v>
      </c>
      <c r="H47" s="60" t="e">
        <f t="shared" si="8"/>
        <v>#DIV/0!</v>
      </c>
      <c r="I47" s="60" t="e">
        <f t="shared" si="9"/>
        <v>#DIV/0!</v>
      </c>
      <c r="J47" s="60" t="e">
        <f t="shared" si="10"/>
        <v>#DIV/0!</v>
      </c>
      <c r="K47" s="60" t="e">
        <f t="shared" si="11"/>
        <v>#DIV/0!</v>
      </c>
      <c r="L47" s="60" t="e">
        <f t="shared" si="12"/>
        <v>#DIV/0!</v>
      </c>
      <c r="M47" s="60" t="e">
        <f t="shared" si="13"/>
        <v>#DIV/0!</v>
      </c>
      <c r="N47" s="60" t="e">
        <f t="shared" si="14"/>
        <v>#DIV/0!</v>
      </c>
      <c r="O47" s="61" t="e">
        <f>Links!B47</f>
        <v>#DIV/0!</v>
      </c>
      <c r="P47" s="61" t="e">
        <f>Links!C47+'On-Ramps'!AC47</f>
        <v>#DIV/0!</v>
      </c>
      <c r="Q47" s="61" t="e">
        <f>Links!D47</f>
        <v>#DIV/0!</v>
      </c>
      <c r="R47" s="61" t="e">
        <f>Links!E47+'On-Ramps'!AD47</f>
        <v>#DIV/0!</v>
      </c>
      <c r="S47" s="61" t="e">
        <f>Links!F47+'On-Ramps'!AE47</f>
        <v>#DIV/0!</v>
      </c>
      <c r="T47" s="61" t="e">
        <f>Links!G47+'On-Ramps'!AF47</f>
        <v>#DIV/0!</v>
      </c>
      <c r="U47" s="61" t="e">
        <f>Links!H47+'On-Ramps'!AG47</f>
        <v>#DIV/0!</v>
      </c>
      <c r="V47" s="61" t="e">
        <f>Links!J47+'On-Ramps'!AH47</f>
        <v>#DIV/0!</v>
      </c>
      <c r="W47" s="61" t="e">
        <f>Links!K47+'On-Ramps'!AI47</f>
        <v>#DIV/0!</v>
      </c>
      <c r="X47" s="61" t="e">
        <f>Links!L47+'On-Ramps'!AJ47</f>
        <v>#DIV/0!</v>
      </c>
      <c r="Y47" s="61" t="e">
        <f>Links!M47</f>
        <v>#DIV/0!</v>
      </c>
      <c r="Z47" s="61" t="e">
        <f>Links!N47+'On-Ramps'!AK47</f>
        <v>#DIV/0!</v>
      </c>
      <c r="AA47" s="61" t="e">
        <f>Links!O47</f>
        <v>#DIV/0!</v>
      </c>
      <c r="AB47" s="60" t="e">
        <f t="shared" si="17"/>
        <v>#DIV/0!</v>
      </c>
      <c r="AC47" s="60" t="e">
        <f t="shared" si="18"/>
        <v>#DIV/0!</v>
      </c>
      <c r="AD47" s="60" t="e">
        <f t="shared" si="19"/>
        <v>#DIV/0!</v>
      </c>
      <c r="AE47" s="60" t="e">
        <f t="shared" si="20"/>
        <v>#DIV/0!</v>
      </c>
      <c r="AF47" s="60" t="e">
        <f t="shared" si="21"/>
        <v>#DIV/0!</v>
      </c>
      <c r="AG47" s="60" t="e">
        <f t="shared" si="22"/>
        <v>#DIV/0!</v>
      </c>
      <c r="AH47" s="60" t="e">
        <f t="shared" si="23"/>
        <v>#DIV/0!</v>
      </c>
      <c r="AI47" s="60" t="e">
        <f t="shared" si="24"/>
        <v>#DIV/0!</v>
      </c>
      <c r="AJ47" s="60" t="e">
        <f t="shared" si="25"/>
        <v>#DIV/0!</v>
      </c>
      <c r="AK47" s="60" t="e">
        <f t="shared" si="26"/>
        <v>#DIV/0!</v>
      </c>
      <c r="AL47" s="60" t="e">
        <f t="shared" si="27"/>
        <v>#DIV/0!</v>
      </c>
      <c r="AM47" s="60" t="e">
        <f t="shared" si="28"/>
        <v>#DIV/0!</v>
      </c>
      <c r="AN47" s="60" t="e">
        <f t="shared" si="30"/>
        <v>#DIV/0!</v>
      </c>
      <c r="AO47" s="61" t="e">
        <f t="shared" si="31"/>
        <v>#DIV/0!</v>
      </c>
      <c r="AP47" s="61" t="e">
        <f t="shared" si="31"/>
        <v>#DIV/0!</v>
      </c>
      <c r="AQ47" s="61" t="e">
        <f t="shared" si="31"/>
        <v>#DIV/0!</v>
      </c>
      <c r="AR47" s="61" t="e">
        <f t="shared" si="31"/>
        <v>#DIV/0!</v>
      </c>
      <c r="AS47" s="61" t="e">
        <f t="shared" si="31"/>
        <v>#DIV/0!</v>
      </c>
      <c r="AT47" s="61" t="e">
        <f t="shared" si="31"/>
        <v>#DIV/0!</v>
      </c>
      <c r="AU47" s="61" t="e">
        <f t="shared" si="31"/>
        <v>#DIV/0!</v>
      </c>
      <c r="AV47" s="61" t="e">
        <f t="shared" si="31"/>
        <v>#DIV/0!</v>
      </c>
      <c r="AW47" s="61" t="e">
        <f t="shared" si="31"/>
        <v>#DIV/0!</v>
      </c>
      <c r="AX47" s="61" t="e">
        <f t="shared" si="31"/>
        <v>#DIV/0!</v>
      </c>
      <c r="AY47" s="61" t="e">
        <f t="shared" si="31"/>
        <v>#DIV/0!</v>
      </c>
      <c r="AZ47" s="61" t="e">
        <f t="shared" si="31"/>
        <v>#DIV/0!</v>
      </c>
      <c r="BA47" s="61" t="e">
        <f t="shared" si="31"/>
        <v>#DIV/0!</v>
      </c>
      <c r="BB47" s="60" t="e">
        <f>Links!AF47</f>
        <v>#DIV/0!</v>
      </c>
      <c r="BC47" s="60" t="e">
        <f>(Links!AG47*Links!C47+'On-Ramps'!AC47*'On-Ramps'!CE47)/('On-Ramps'!AC47+Links!C47)</f>
        <v>#DIV/0!</v>
      </c>
      <c r="BD47" s="60" t="e">
        <f>Links!AH47</f>
        <v>#DIV/0!</v>
      </c>
      <c r="BE47" s="60" t="e">
        <f>(Links!AI47*Links!E47+'On-Ramps'!AD47*'On-Ramps'!CF46)/('On-Ramps'!AD47+Links!E47)</f>
        <v>#DIV/0!</v>
      </c>
      <c r="BF47" s="60" t="e">
        <f>(Links!F47*Links!AJ47+'On-Ramps'!AE47*'On-Ramps'!CG47)/('On-Ramps'!AE47+Links!F47)</f>
        <v>#DIV/0!</v>
      </c>
      <c r="BG47" s="60" t="e">
        <f>(Links!G47*Links!AK47+'On-Ramps'!AF47*'On-Ramps'!CH47)/('On-Ramps'!AF47+Links!G47)</f>
        <v>#DIV/0!</v>
      </c>
      <c r="BH47" s="60" t="e">
        <f>(Links!H47*Links!AL47+'On-Ramps'!AG47*'On-Ramps'!CI47)/('On-Ramps'!AG47+Links!H47)</f>
        <v>#DIV/0!</v>
      </c>
      <c r="BI47" s="60" t="e">
        <f>(Links!J47*Links!AN47+'On-Ramps'!AH47*'On-Ramps'!CJ47)/('On-Ramps'!AH47+Links!J47)</f>
        <v>#DIV/0!</v>
      </c>
      <c r="BJ47" s="60" t="e">
        <f>(Links!K47*Links!AO47+'On-Ramps'!AI47*'On-Ramps'!CK47)/('On-Ramps'!AI47+Links!K47)</f>
        <v>#DIV/0!</v>
      </c>
      <c r="BK47" s="60" t="e">
        <f>(Links!L47*Links!AP47+'On-Ramps'!AJ47*'On-Ramps'!CL47)/(Links!L47+'On-Ramps'!AJ47)</f>
        <v>#DIV/0!</v>
      </c>
      <c r="BL47" s="60" t="e">
        <f>Links!AQ47</f>
        <v>#DIV/0!</v>
      </c>
      <c r="BM47" s="60" t="e">
        <f>(Links!N47*Links!AR47+'On-Ramps'!AL47*'On-Ramps'!CM47)/(Links!N47+'On-Ramps'!AL47)</f>
        <v>#DIV/0!</v>
      </c>
      <c r="BN47" s="60" t="e">
        <f>Links!AS47</f>
        <v>#DIV/0!</v>
      </c>
      <c r="BO47" s="61" t="e">
        <f>(Links!R47^2+'Off-Ramp'!L47^2)/(Links!R47+'Off-Ramp'!L47)</f>
        <v>#DIV/0!</v>
      </c>
      <c r="BP47" s="61" t="e">
        <f>Links!S47</f>
        <v>#DIV/0!</v>
      </c>
      <c r="BQ47" s="61" t="e">
        <f>(Links!S47^2+'Off-Ramp'!C47^2)/(Links!S47+'Off-Ramp'!C47)</f>
        <v>#DIV/0!</v>
      </c>
      <c r="BR47" s="61" t="e">
        <f>Links!T47</f>
        <v>#DIV/0!</v>
      </c>
      <c r="BS47" s="61" t="e">
        <f>(Links!U47^2+'Off-Ramp'!N47^2)/(Links!U47+'Off-Ramp'!N47)</f>
        <v>#DIV/0!</v>
      </c>
      <c r="BT47" s="61" t="e">
        <f>(Links!V47^2+'Off-Ramp'!O47^2)/(Links!V47+'Off-Ramp'!O47)</f>
        <v>#DIV/0!</v>
      </c>
      <c r="BU47" s="61" t="e">
        <f>(Links!W47^2+'Off-Ramp'!P47^2)/(Links!W47+'Off-Ramp'!P47)</f>
        <v>#DIV/0!</v>
      </c>
      <c r="BV47" s="61" t="e">
        <f>(Links!Y47^2+'Off-Ramp'!Q47^2)/(Links!Y47+'Off-Ramp'!Q47)</f>
        <v>#DIV/0!</v>
      </c>
      <c r="BW47" s="61" t="e">
        <f>(Links!Z47^2+'Off-Ramp'!R47^2)/(Links!Z47+'Off-Ramp'!R47)</f>
        <v>#DIV/0!</v>
      </c>
      <c r="BX47" s="61" t="e">
        <f>(Links!AA47+'Off-Ramp'!S47)/(Links!AA47^2+'Off-Ramp'!S47^2)</f>
        <v>#DIV/0!</v>
      </c>
      <c r="BY47" s="61" t="e">
        <f>(Links!AB47^2+'Off-Ramp'!T47^2)/(Links!AB47+'Off-Ramp'!T47)</f>
        <v>#DIV/0!</v>
      </c>
      <c r="BZ47" s="61" t="e">
        <f>Links!AC47</f>
        <v>#DIV/0!</v>
      </c>
      <c r="CA47" s="61" t="e">
        <f>(Links!AD47^2+'Off-Ramp'!U47^2)/(Links!AD47+'Off-Ramp'!U47)</f>
        <v>#DIV/0!</v>
      </c>
    </row>
    <row r="48" spans="1:79" x14ac:dyDescent="0.15">
      <c r="A48" s="59">
        <v>46</v>
      </c>
      <c r="B48" s="60" t="e">
        <f t="shared" si="2"/>
        <v>#DIV/0!</v>
      </c>
      <c r="C48" s="60" t="e">
        <f t="shared" si="3"/>
        <v>#DIV/0!</v>
      </c>
      <c r="D48" s="60" t="e">
        <f t="shared" si="4"/>
        <v>#DIV/0!</v>
      </c>
      <c r="E48" s="60" t="e">
        <f t="shared" si="5"/>
        <v>#DIV/0!</v>
      </c>
      <c r="F48" s="60" t="e">
        <f t="shared" si="6"/>
        <v>#DIV/0!</v>
      </c>
      <c r="G48" s="60" t="e">
        <f t="shared" si="7"/>
        <v>#DIV/0!</v>
      </c>
      <c r="H48" s="60" t="e">
        <f t="shared" si="8"/>
        <v>#DIV/0!</v>
      </c>
      <c r="I48" s="60" t="e">
        <f t="shared" si="9"/>
        <v>#DIV/0!</v>
      </c>
      <c r="J48" s="60" t="e">
        <f t="shared" si="10"/>
        <v>#DIV/0!</v>
      </c>
      <c r="K48" s="60" t="e">
        <f t="shared" si="11"/>
        <v>#DIV/0!</v>
      </c>
      <c r="L48" s="60" t="e">
        <f t="shared" si="12"/>
        <v>#DIV/0!</v>
      </c>
      <c r="M48" s="60" t="e">
        <f t="shared" si="13"/>
        <v>#DIV/0!</v>
      </c>
      <c r="N48" s="60" t="e">
        <f t="shared" si="14"/>
        <v>#DIV/0!</v>
      </c>
      <c r="O48" s="61" t="e">
        <f>Links!B48</f>
        <v>#DIV/0!</v>
      </c>
      <c r="P48" s="61" t="e">
        <f>Links!C48+'On-Ramps'!AC48</f>
        <v>#DIV/0!</v>
      </c>
      <c r="Q48" s="61" t="e">
        <f>Links!D48</f>
        <v>#DIV/0!</v>
      </c>
      <c r="R48" s="61" t="e">
        <f>Links!E48+'On-Ramps'!AD48</f>
        <v>#DIV/0!</v>
      </c>
      <c r="S48" s="61" t="e">
        <f>Links!F48+'On-Ramps'!AE48</f>
        <v>#DIV/0!</v>
      </c>
      <c r="T48" s="61" t="e">
        <f>Links!G48+'On-Ramps'!AF48</f>
        <v>#DIV/0!</v>
      </c>
      <c r="U48" s="61" t="e">
        <f>Links!H48+'On-Ramps'!AG48</f>
        <v>#DIV/0!</v>
      </c>
      <c r="V48" s="61" t="e">
        <f>Links!J48+'On-Ramps'!AH48</f>
        <v>#DIV/0!</v>
      </c>
      <c r="W48" s="61" t="e">
        <f>Links!K48+'On-Ramps'!AI48</f>
        <v>#DIV/0!</v>
      </c>
      <c r="X48" s="61" t="e">
        <f>Links!L48+'On-Ramps'!AJ48</f>
        <v>#DIV/0!</v>
      </c>
      <c r="Y48" s="61" t="e">
        <f>Links!M48</f>
        <v>#DIV/0!</v>
      </c>
      <c r="Z48" s="61" t="e">
        <f>Links!N48+'On-Ramps'!AK48</f>
        <v>#DIV/0!</v>
      </c>
      <c r="AA48" s="61" t="e">
        <f>Links!O48</f>
        <v>#DIV/0!</v>
      </c>
      <c r="AB48" s="60" t="e">
        <f t="shared" si="17"/>
        <v>#DIV/0!</v>
      </c>
      <c r="AC48" s="60" t="e">
        <f t="shared" si="18"/>
        <v>#DIV/0!</v>
      </c>
      <c r="AD48" s="60" t="e">
        <f t="shared" si="19"/>
        <v>#DIV/0!</v>
      </c>
      <c r="AE48" s="60" t="e">
        <f t="shared" si="20"/>
        <v>#DIV/0!</v>
      </c>
      <c r="AF48" s="60" t="e">
        <f t="shared" si="21"/>
        <v>#DIV/0!</v>
      </c>
      <c r="AG48" s="60" t="e">
        <f t="shared" si="22"/>
        <v>#DIV/0!</v>
      </c>
      <c r="AH48" s="60" t="e">
        <f t="shared" si="23"/>
        <v>#DIV/0!</v>
      </c>
      <c r="AI48" s="60" t="e">
        <f t="shared" si="24"/>
        <v>#DIV/0!</v>
      </c>
      <c r="AJ48" s="60" t="e">
        <f t="shared" si="25"/>
        <v>#DIV/0!</v>
      </c>
      <c r="AK48" s="60" t="e">
        <f t="shared" si="26"/>
        <v>#DIV/0!</v>
      </c>
      <c r="AL48" s="60" t="e">
        <f t="shared" si="27"/>
        <v>#DIV/0!</v>
      </c>
      <c r="AM48" s="60" t="e">
        <f t="shared" si="28"/>
        <v>#DIV/0!</v>
      </c>
      <c r="AN48" s="60" t="e">
        <f t="shared" si="30"/>
        <v>#DIV/0!</v>
      </c>
      <c r="AO48" s="61" t="e">
        <f t="shared" si="31"/>
        <v>#DIV/0!</v>
      </c>
      <c r="AP48" s="61" t="e">
        <f t="shared" si="31"/>
        <v>#DIV/0!</v>
      </c>
      <c r="AQ48" s="61" t="e">
        <f t="shared" si="31"/>
        <v>#DIV/0!</v>
      </c>
      <c r="AR48" s="61" t="e">
        <f t="shared" si="31"/>
        <v>#DIV/0!</v>
      </c>
      <c r="AS48" s="61" t="e">
        <f t="shared" si="31"/>
        <v>#DIV/0!</v>
      </c>
      <c r="AT48" s="61" t="e">
        <f t="shared" si="31"/>
        <v>#DIV/0!</v>
      </c>
      <c r="AU48" s="61" t="e">
        <f t="shared" si="31"/>
        <v>#DIV/0!</v>
      </c>
      <c r="AV48" s="61" t="e">
        <f t="shared" si="31"/>
        <v>#DIV/0!</v>
      </c>
      <c r="AW48" s="61" t="e">
        <f t="shared" si="31"/>
        <v>#DIV/0!</v>
      </c>
      <c r="AX48" s="61" t="e">
        <f t="shared" si="31"/>
        <v>#DIV/0!</v>
      </c>
      <c r="AY48" s="61" t="e">
        <f t="shared" si="31"/>
        <v>#DIV/0!</v>
      </c>
      <c r="AZ48" s="61" t="e">
        <f t="shared" si="31"/>
        <v>#DIV/0!</v>
      </c>
      <c r="BA48" s="61" t="e">
        <f t="shared" si="31"/>
        <v>#DIV/0!</v>
      </c>
      <c r="BB48" s="60" t="e">
        <f>Links!AF48</f>
        <v>#DIV/0!</v>
      </c>
      <c r="BC48" s="60" t="e">
        <f>(Links!AG48*Links!C48+'On-Ramps'!AC48*'On-Ramps'!CE48)/('On-Ramps'!AC48+Links!C48)</f>
        <v>#DIV/0!</v>
      </c>
      <c r="BD48" s="60" t="e">
        <f>Links!AH48</f>
        <v>#DIV/0!</v>
      </c>
      <c r="BE48" s="60" t="e">
        <f>(Links!AI48*Links!E48+'On-Ramps'!AD48*'On-Ramps'!CF47)/('On-Ramps'!AD48+Links!E48)</f>
        <v>#DIV/0!</v>
      </c>
      <c r="BF48" s="60" t="e">
        <f>(Links!F48*Links!AJ48+'On-Ramps'!AE48*'On-Ramps'!CG48)/('On-Ramps'!AE48+Links!F48)</f>
        <v>#DIV/0!</v>
      </c>
      <c r="BG48" s="60" t="e">
        <f>(Links!G48*Links!AK48+'On-Ramps'!AF48*'On-Ramps'!CH48)/('On-Ramps'!AF48+Links!G48)</f>
        <v>#DIV/0!</v>
      </c>
      <c r="BH48" s="60" t="e">
        <f>(Links!H48*Links!AL48+'On-Ramps'!AG48*'On-Ramps'!CI48)/('On-Ramps'!AG48+Links!H48)</f>
        <v>#DIV/0!</v>
      </c>
      <c r="BI48" s="60" t="e">
        <f>(Links!J48*Links!AN48+'On-Ramps'!AH48*'On-Ramps'!CJ48)/('On-Ramps'!AH48+Links!J48)</f>
        <v>#DIV/0!</v>
      </c>
      <c r="BJ48" s="60" t="e">
        <f>(Links!K48*Links!AO48+'On-Ramps'!AI48*'On-Ramps'!CK48)/('On-Ramps'!AI48+Links!K48)</f>
        <v>#DIV/0!</v>
      </c>
      <c r="BK48" s="60" t="e">
        <f>(Links!L48*Links!AP48+'On-Ramps'!AJ48*'On-Ramps'!CL48)/(Links!L48+'On-Ramps'!AJ48)</f>
        <v>#DIV/0!</v>
      </c>
      <c r="BL48" s="60" t="e">
        <f>Links!AQ48</f>
        <v>#DIV/0!</v>
      </c>
      <c r="BM48" s="60" t="e">
        <f>(Links!N48*Links!AR48+'On-Ramps'!AL48*'On-Ramps'!CM48)/(Links!N48+'On-Ramps'!AL48)</f>
        <v>#DIV/0!</v>
      </c>
      <c r="BN48" s="60" t="e">
        <f>Links!AS48</f>
        <v>#DIV/0!</v>
      </c>
      <c r="BO48" s="61" t="e">
        <f>(Links!R48^2+'Off-Ramp'!L48^2)/(Links!R48+'Off-Ramp'!L48)</f>
        <v>#DIV/0!</v>
      </c>
      <c r="BP48" s="61" t="e">
        <f>Links!S48</f>
        <v>#DIV/0!</v>
      </c>
      <c r="BQ48" s="61" t="e">
        <f>(Links!S48^2+'Off-Ramp'!C48^2)/(Links!S48+'Off-Ramp'!C48)</f>
        <v>#DIV/0!</v>
      </c>
      <c r="BR48" s="61" t="e">
        <f>Links!T48</f>
        <v>#DIV/0!</v>
      </c>
      <c r="BS48" s="61" t="e">
        <f>(Links!U48^2+'Off-Ramp'!N48^2)/(Links!U48+'Off-Ramp'!N48)</f>
        <v>#DIV/0!</v>
      </c>
      <c r="BT48" s="61" t="e">
        <f>(Links!V48^2+'Off-Ramp'!O48^2)/(Links!V48+'Off-Ramp'!O48)</f>
        <v>#DIV/0!</v>
      </c>
      <c r="BU48" s="61" t="e">
        <f>(Links!W48^2+'Off-Ramp'!P48^2)/(Links!W48+'Off-Ramp'!P48)</f>
        <v>#DIV/0!</v>
      </c>
      <c r="BV48" s="61" t="e">
        <f>(Links!Y48^2+'Off-Ramp'!Q48^2)/(Links!Y48+'Off-Ramp'!Q48)</f>
        <v>#DIV/0!</v>
      </c>
      <c r="BW48" s="61" t="e">
        <f>(Links!Z48^2+'Off-Ramp'!R48^2)/(Links!Z48+'Off-Ramp'!R48)</f>
        <v>#DIV/0!</v>
      </c>
      <c r="BX48" s="61" t="e">
        <f>(Links!AA48+'Off-Ramp'!S48)/(Links!AA48^2+'Off-Ramp'!S48^2)</f>
        <v>#DIV/0!</v>
      </c>
      <c r="BY48" s="61" t="e">
        <f>(Links!AB48^2+'Off-Ramp'!T48^2)/(Links!AB48+'Off-Ramp'!T48)</f>
        <v>#DIV/0!</v>
      </c>
      <c r="BZ48" s="61" t="e">
        <f>Links!AC48</f>
        <v>#DIV/0!</v>
      </c>
      <c r="CA48" s="61" t="e">
        <f>(Links!AD48^2+'Off-Ramp'!U48^2)/(Links!AD48+'Off-Ramp'!U48)</f>
        <v>#DIV/0!</v>
      </c>
    </row>
    <row r="49" spans="1:79" x14ac:dyDescent="0.15">
      <c r="A49" s="59">
        <v>47</v>
      </c>
      <c r="B49" s="60" t="e">
        <f t="shared" si="2"/>
        <v>#DIV/0!</v>
      </c>
      <c r="C49" s="60" t="e">
        <f t="shared" si="3"/>
        <v>#DIV/0!</v>
      </c>
      <c r="D49" s="60" t="e">
        <f t="shared" si="4"/>
        <v>#DIV/0!</v>
      </c>
      <c r="E49" s="60" t="e">
        <f t="shared" si="5"/>
        <v>#DIV/0!</v>
      </c>
      <c r="F49" s="60" t="e">
        <f t="shared" si="6"/>
        <v>#DIV/0!</v>
      </c>
      <c r="G49" s="60" t="e">
        <f t="shared" si="7"/>
        <v>#DIV/0!</v>
      </c>
      <c r="H49" s="60" t="e">
        <f t="shared" si="8"/>
        <v>#DIV/0!</v>
      </c>
      <c r="I49" s="60" t="e">
        <f t="shared" si="9"/>
        <v>#DIV/0!</v>
      </c>
      <c r="J49" s="60" t="e">
        <f t="shared" si="10"/>
        <v>#DIV/0!</v>
      </c>
      <c r="K49" s="60" t="e">
        <f t="shared" si="11"/>
        <v>#DIV/0!</v>
      </c>
      <c r="L49" s="60" t="e">
        <f t="shared" si="12"/>
        <v>#DIV/0!</v>
      </c>
      <c r="M49" s="60" t="e">
        <f t="shared" si="13"/>
        <v>#DIV/0!</v>
      </c>
      <c r="N49" s="60" t="e">
        <f t="shared" si="14"/>
        <v>#DIV/0!</v>
      </c>
      <c r="O49" s="61" t="e">
        <f>Links!B49</f>
        <v>#DIV/0!</v>
      </c>
      <c r="P49" s="61" t="e">
        <f>Links!C49+'On-Ramps'!AC49</f>
        <v>#DIV/0!</v>
      </c>
      <c r="Q49" s="61" t="e">
        <f>Links!D49</f>
        <v>#DIV/0!</v>
      </c>
      <c r="R49" s="61" t="e">
        <f>Links!E49+'On-Ramps'!AD49</f>
        <v>#DIV/0!</v>
      </c>
      <c r="S49" s="61" t="e">
        <f>Links!F49+'On-Ramps'!AE49</f>
        <v>#DIV/0!</v>
      </c>
      <c r="T49" s="61" t="e">
        <f>Links!G49+'On-Ramps'!AF49</f>
        <v>#DIV/0!</v>
      </c>
      <c r="U49" s="61" t="e">
        <f>Links!H49+'On-Ramps'!AG49</f>
        <v>#DIV/0!</v>
      </c>
      <c r="V49" s="61" t="e">
        <f>Links!J49+'On-Ramps'!AH49</f>
        <v>#DIV/0!</v>
      </c>
      <c r="W49" s="61" t="e">
        <f>Links!K49+'On-Ramps'!AI49</f>
        <v>#DIV/0!</v>
      </c>
      <c r="X49" s="61" t="e">
        <f>Links!L49+'On-Ramps'!AJ49</f>
        <v>#DIV/0!</v>
      </c>
      <c r="Y49" s="61" t="e">
        <f>Links!M49</f>
        <v>#DIV/0!</v>
      </c>
      <c r="Z49" s="61" t="e">
        <f>Links!N49+'On-Ramps'!AK49</f>
        <v>#DIV/0!</v>
      </c>
      <c r="AA49" s="61" t="e">
        <f>Links!O49</f>
        <v>#DIV/0!</v>
      </c>
      <c r="AB49" s="60" t="e">
        <f t="shared" si="17"/>
        <v>#DIV/0!</v>
      </c>
      <c r="AC49" s="60" t="e">
        <f t="shared" si="18"/>
        <v>#DIV/0!</v>
      </c>
      <c r="AD49" s="60" t="e">
        <f t="shared" si="19"/>
        <v>#DIV/0!</v>
      </c>
      <c r="AE49" s="60" t="e">
        <f t="shared" si="20"/>
        <v>#DIV/0!</v>
      </c>
      <c r="AF49" s="60" t="e">
        <f t="shared" si="21"/>
        <v>#DIV/0!</v>
      </c>
      <c r="AG49" s="60" t="e">
        <f t="shared" si="22"/>
        <v>#DIV/0!</v>
      </c>
      <c r="AH49" s="60" t="e">
        <f t="shared" si="23"/>
        <v>#DIV/0!</v>
      </c>
      <c r="AI49" s="60" t="e">
        <f t="shared" si="24"/>
        <v>#DIV/0!</v>
      </c>
      <c r="AJ49" s="60" t="e">
        <f t="shared" si="25"/>
        <v>#DIV/0!</v>
      </c>
      <c r="AK49" s="60" t="e">
        <f t="shared" si="26"/>
        <v>#DIV/0!</v>
      </c>
      <c r="AL49" s="60" t="e">
        <f t="shared" si="27"/>
        <v>#DIV/0!</v>
      </c>
      <c r="AM49" s="60" t="e">
        <f t="shared" si="28"/>
        <v>#DIV/0!</v>
      </c>
      <c r="AN49" s="60" t="e">
        <f t="shared" si="30"/>
        <v>#DIV/0!</v>
      </c>
      <c r="AO49" s="61" t="e">
        <f t="shared" si="31"/>
        <v>#DIV/0!</v>
      </c>
      <c r="AP49" s="61" t="e">
        <f t="shared" si="31"/>
        <v>#DIV/0!</v>
      </c>
      <c r="AQ49" s="61" t="e">
        <f t="shared" si="31"/>
        <v>#DIV/0!</v>
      </c>
      <c r="AR49" s="61" t="e">
        <f t="shared" si="31"/>
        <v>#DIV/0!</v>
      </c>
      <c r="AS49" s="61" t="e">
        <f t="shared" si="31"/>
        <v>#DIV/0!</v>
      </c>
      <c r="AT49" s="61" t="e">
        <f t="shared" si="31"/>
        <v>#DIV/0!</v>
      </c>
      <c r="AU49" s="61" t="e">
        <f t="shared" si="31"/>
        <v>#DIV/0!</v>
      </c>
      <c r="AV49" s="61" t="e">
        <f t="shared" si="31"/>
        <v>#DIV/0!</v>
      </c>
      <c r="AW49" s="61" t="e">
        <f t="shared" si="31"/>
        <v>#DIV/0!</v>
      </c>
      <c r="AX49" s="61" t="e">
        <f t="shared" si="31"/>
        <v>#DIV/0!</v>
      </c>
      <c r="AY49" s="61" t="e">
        <f t="shared" si="31"/>
        <v>#DIV/0!</v>
      </c>
      <c r="AZ49" s="61" t="e">
        <f t="shared" si="31"/>
        <v>#DIV/0!</v>
      </c>
      <c r="BA49" s="61" t="e">
        <f t="shared" si="31"/>
        <v>#DIV/0!</v>
      </c>
      <c r="BB49" s="60" t="e">
        <f>Links!AF49</f>
        <v>#DIV/0!</v>
      </c>
      <c r="BC49" s="60" t="e">
        <f>(Links!AG49*Links!C49+'On-Ramps'!AC49*'On-Ramps'!CE49)/('On-Ramps'!AC49+Links!C49)</f>
        <v>#DIV/0!</v>
      </c>
      <c r="BD49" s="60" t="e">
        <f>Links!AH49</f>
        <v>#DIV/0!</v>
      </c>
      <c r="BE49" s="60" t="e">
        <f>(Links!AI49*Links!E49+'On-Ramps'!AD49*'On-Ramps'!CF48)/('On-Ramps'!AD49+Links!E49)</f>
        <v>#DIV/0!</v>
      </c>
      <c r="BF49" s="60" t="e">
        <f>(Links!F49*Links!AJ49+'On-Ramps'!AE49*'On-Ramps'!CG49)/('On-Ramps'!AE49+Links!F49)</f>
        <v>#DIV/0!</v>
      </c>
      <c r="BG49" s="60" t="e">
        <f>(Links!G49*Links!AK49+'On-Ramps'!AF49*'On-Ramps'!CH49)/('On-Ramps'!AF49+Links!G49)</f>
        <v>#DIV/0!</v>
      </c>
      <c r="BH49" s="60" t="e">
        <f>(Links!H49*Links!AL49+'On-Ramps'!AG49*'On-Ramps'!CI49)/('On-Ramps'!AG49+Links!H49)</f>
        <v>#DIV/0!</v>
      </c>
      <c r="BI49" s="60" t="e">
        <f>(Links!J49*Links!AN49+'On-Ramps'!AH49*'On-Ramps'!CJ49)/('On-Ramps'!AH49+Links!J49)</f>
        <v>#DIV/0!</v>
      </c>
      <c r="BJ49" s="60" t="e">
        <f>(Links!K49*Links!AO49+'On-Ramps'!AI49*'On-Ramps'!CK49)/('On-Ramps'!AI49+Links!K49)</f>
        <v>#DIV/0!</v>
      </c>
      <c r="BK49" s="60" t="e">
        <f>(Links!L49*Links!AP49+'On-Ramps'!AJ49*'On-Ramps'!CL49)/(Links!L49+'On-Ramps'!AJ49)</f>
        <v>#DIV/0!</v>
      </c>
      <c r="BL49" s="60" t="e">
        <f>Links!AQ49</f>
        <v>#DIV/0!</v>
      </c>
      <c r="BM49" s="60" t="e">
        <f>(Links!N49*Links!AR49+'On-Ramps'!AL49*'On-Ramps'!CM49)/(Links!N49+'On-Ramps'!AL49)</f>
        <v>#DIV/0!</v>
      </c>
      <c r="BN49" s="60" t="e">
        <f>Links!AS49</f>
        <v>#DIV/0!</v>
      </c>
      <c r="BO49" s="61" t="e">
        <f>(Links!R49^2+'Off-Ramp'!L49^2)/(Links!R49+'Off-Ramp'!L49)</f>
        <v>#DIV/0!</v>
      </c>
      <c r="BP49" s="61" t="e">
        <f>Links!S49</f>
        <v>#DIV/0!</v>
      </c>
      <c r="BQ49" s="61" t="e">
        <f>(Links!S49^2+'Off-Ramp'!C49^2)/(Links!S49+'Off-Ramp'!C49)</f>
        <v>#DIV/0!</v>
      </c>
      <c r="BR49" s="61" t="e">
        <f>Links!T49</f>
        <v>#DIV/0!</v>
      </c>
      <c r="BS49" s="61" t="e">
        <f>(Links!U49^2+'Off-Ramp'!N49^2)/(Links!U49+'Off-Ramp'!N49)</f>
        <v>#DIV/0!</v>
      </c>
      <c r="BT49" s="61" t="e">
        <f>(Links!V49^2+'Off-Ramp'!O49^2)/(Links!V49+'Off-Ramp'!O49)</f>
        <v>#DIV/0!</v>
      </c>
      <c r="BU49" s="61" t="e">
        <f>(Links!W49^2+'Off-Ramp'!P49^2)/(Links!W49+'Off-Ramp'!P49)</f>
        <v>#DIV/0!</v>
      </c>
      <c r="BV49" s="61" t="e">
        <f>(Links!Y49^2+'Off-Ramp'!Q49^2)/(Links!Y49+'Off-Ramp'!Q49)</f>
        <v>#DIV/0!</v>
      </c>
      <c r="BW49" s="61" t="e">
        <f>(Links!Z49^2+'Off-Ramp'!R49^2)/(Links!Z49+'Off-Ramp'!R49)</f>
        <v>#DIV/0!</v>
      </c>
      <c r="BX49" s="61" t="e">
        <f>(Links!AA49+'Off-Ramp'!S49)/(Links!AA49^2+'Off-Ramp'!S49^2)</f>
        <v>#DIV/0!</v>
      </c>
      <c r="BY49" s="61" t="e">
        <f>(Links!AB49^2+'Off-Ramp'!T49^2)/(Links!AB49+'Off-Ramp'!T49)</f>
        <v>#DIV/0!</v>
      </c>
      <c r="BZ49" s="61" t="e">
        <f>Links!AC49</f>
        <v>#DIV/0!</v>
      </c>
      <c r="CA49" s="61" t="e">
        <f>(Links!AD49^2+'Off-Ramp'!U49^2)/(Links!AD49+'Off-Ramp'!U49)</f>
        <v>#DIV/0!</v>
      </c>
    </row>
    <row r="50" spans="1:79" x14ac:dyDescent="0.15">
      <c r="A50" s="59">
        <v>48</v>
      </c>
      <c r="B50" s="60" t="e">
        <f t="shared" si="2"/>
        <v>#DIV/0!</v>
      </c>
      <c r="C50" s="60" t="e">
        <f t="shared" si="3"/>
        <v>#DIV/0!</v>
      </c>
      <c r="D50" s="60" t="e">
        <f t="shared" si="4"/>
        <v>#DIV/0!</v>
      </c>
      <c r="E50" s="60" t="e">
        <f t="shared" si="5"/>
        <v>#DIV/0!</v>
      </c>
      <c r="F50" s="60" t="e">
        <f t="shared" si="6"/>
        <v>#DIV/0!</v>
      </c>
      <c r="G50" s="60" t="e">
        <f t="shared" si="7"/>
        <v>#DIV/0!</v>
      </c>
      <c r="H50" s="60" t="e">
        <f t="shared" si="8"/>
        <v>#DIV/0!</v>
      </c>
      <c r="I50" s="60" t="e">
        <f t="shared" si="9"/>
        <v>#DIV/0!</v>
      </c>
      <c r="J50" s="60" t="e">
        <f t="shared" si="10"/>
        <v>#DIV/0!</v>
      </c>
      <c r="K50" s="60" t="e">
        <f t="shared" si="11"/>
        <v>#DIV/0!</v>
      </c>
      <c r="L50" s="60" t="e">
        <f t="shared" si="12"/>
        <v>#DIV/0!</v>
      </c>
      <c r="M50" s="60" t="e">
        <f t="shared" si="13"/>
        <v>#DIV/0!</v>
      </c>
      <c r="N50" s="60" t="e">
        <f t="shared" si="14"/>
        <v>#DIV/0!</v>
      </c>
      <c r="O50" s="61" t="e">
        <f>Links!B50</f>
        <v>#DIV/0!</v>
      </c>
      <c r="P50" s="61" t="e">
        <f>Links!C50+'On-Ramps'!AC50</f>
        <v>#DIV/0!</v>
      </c>
      <c r="Q50" s="61" t="e">
        <f>Links!D50</f>
        <v>#DIV/0!</v>
      </c>
      <c r="R50" s="61" t="e">
        <f>Links!E50+'On-Ramps'!AD50</f>
        <v>#DIV/0!</v>
      </c>
      <c r="S50" s="61" t="e">
        <f>Links!F50+'On-Ramps'!AE50</f>
        <v>#DIV/0!</v>
      </c>
      <c r="T50" s="61" t="e">
        <f>Links!G50+'On-Ramps'!AF50</f>
        <v>#DIV/0!</v>
      </c>
      <c r="U50" s="61" t="e">
        <f>Links!H50+'On-Ramps'!AG50</f>
        <v>#DIV/0!</v>
      </c>
      <c r="V50" s="61" t="e">
        <f>Links!J50+'On-Ramps'!AH50</f>
        <v>#DIV/0!</v>
      </c>
      <c r="W50" s="61" t="e">
        <f>Links!K50+'On-Ramps'!AI50</f>
        <v>#DIV/0!</v>
      </c>
      <c r="X50" s="61" t="e">
        <f>Links!L50+'On-Ramps'!AJ50</f>
        <v>#DIV/0!</v>
      </c>
      <c r="Y50" s="61" t="e">
        <f>Links!M50</f>
        <v>#DIV/0!</v>
      </c>
      <c r="Z50" s="61" t="e">
        <f>Links!N50+'On-Ramps'!AK50</f>
        <v>#DIV/0!</v>
      </c>
      <c r="AA50" s="61" t="e">
        <f>Links!O50</f>
        <v>#DIV/0!</v>
      </c>
      <c r="AB50" s="60" t="e">
        <f t="shared" si="17"/>
        <v>#DIV/0!</v>
      </c>
      <c r="AC50" s="60" t="e">
        <f t="shared" si="18"/>
        <v>#DIV/0!</v>
      </c>
      <c r="AD50" s="60" t="e">
        <f t="shared" si="19"/>
        <v>#DIV/0!</v>
      </c>
      <c r="AE50" s="60" t="e">
        <f t="shared" si="20"/>
        <v>#DIV/0!</v>
      </c>
      <c r="AF50" s="60" t="e">
        <f t="shared" si="21"/>
        <v>#DIV/0!</v>
      </c>
      <c r="AG50" s="60" t="e">
        <f t="shared" si="22"/>
        <v>#DIV/0!</v>
      </c>
      <c r="AH50" s="60" t="e">
        <f t="shared" si="23"/>
        <v>#DIV/0!</v>
      </c>
      <c r="AI50" s="60" t="e">
        <f t="shared" si="24"/>
        <v>#DIV/0!</v>
      </c>
      <c r="AJ50" s="60" t="e">
        <f t="shared" si="25"/>
        <v>#DIV/0!</v>
      </c>
      <c r="AK50" s="60" t="e">
        <f t="shared" si="26"/>
        <v>#DIV/0!</v>
      </c>
      <c r="AL50" s="60" t="e">
        <f t="shared" si="27"/>
        <v>#DIV/0!</v>
      </c>
      <c r="AM50" s="60" t="e">
        <f t="shared" si="28"/>
        <v>#DIV/0!</v>
      </c>
      <c r="AN50" s="60" t="e">
        <f t="shared" si="30"/>
        <v>#DIV/0!</v>
      </c>
      <c r="AO50" s="61" t="e">
        <f t="shared" si="31"/>
        <v>#DIV/0!</v>
      </c>
      <c r="AP50" s="61" t="e">
        <f t="shared" si="31"/>
        <v>#DIV/0!</v>
      </c>
      <c r="AQ50" s="61" t="e">
        <f t="shared" si="31"/>
        <v>#DIV/0!</v>
      </c>
      <c r="AR50" s="61" t="e">
        <f t="shared" si="31"/>
        <v>#DIV/0!</v>
      </c>
      <c r="AS50" s="61" t="e">
        <f t="shared" si="31"/>
        <v>#DIV/0!</v>
      </c>
      <c r="AT50" s="61" t="e">
        <f t="shared" si="31"/>
        <v>#DIV/0!</v>
      </c>
      <c r="AU50" s="61" t="e">
        <f t="shared" si="31"/>
        <v>#DIV/0!</v>
      </c>
      <c r="AV50" s="61" t="e">
        <f t="shared" si="31"/>
        <v>#DIV/0!</v>
      </c>
      <c r="AW50" s="61" t="e">
        <f t="shared" si="31"/>
        <v>#DIV/0!</v>
      </c>
      <c r="AX50" s="61" t="e">
        <f t="shared" si="31"/>
        <v>#DIV/0!</v>
      </c>
      <c r="AY50" s="61" t="e">
        <f t="shared" si="31"/>
        <v>#DIV/0!</v>
      </c>
      <c r="AZ50" s="61" t="e">
        <f t="shared" si="31"/>
        <v>#DIV/0!</v>
      </c>
      <c r="BA50" s="61" t="e">
        <f t="shared" si="31"/>
        <v>#DIV/0!</v>
      </c>
      <c r="BB50" s="60" t="e">
        <f>Links!AF50</f>
        <v>#DIV/0!</v>
      </c>
      <c r="BC50" s="60" t="e">
        <f>(Links!AG50*Links!C50+'On-Ramps'!AC50*'On-Ramps'!CE50)/('On-Ramps'!AC50+Links!C50)</f>
        <v>#DIV/0!</v>
      </c>
      <c r="BD50" s="60" t="e">
        <f>Links!AH50</f>
        <v>#DIV/0!</v>
      </c>
      <c r="BE50" s="60" t="e">
        <f>(Links!AI50*Links!E50+'On-Ramps'!AD50*'On-Ramps'!CF49)/('On-Ramps'!AD50+Links!E50)</f>
        <v>#DIV/0!</v>
      </c>
      <c r="BF50" s="60" t="e">
        <f>(Links!F50*Links!AJ50+'On-Ramps'!AE50*'On-Ramps'!CG50)/('On-Ramps'!AE50+Links!F50)</f>
        <v>#DIV/0!</v>
      </c>
      <c r="BG50" s="60" t="e">
        <f>(Links!G50*Links!AK50+'On-Ramps'!AF50*'On-Ramps'!CH50)/('On-Ramps'!AF50+Links!G50)</f>
        <v>#DIV/0!</v>
      </c>
      <c r="BH50" s="60" t="e">
        <f>(Links!H50*Links!AL50+'On-Ramps'!AG50*'On-Ramps'!CI50)/('On-Ramps'!AG50+Links!H50)</f>
        <v>#DIV/0!</v>
      </c>
      <c r="BI50" s="60" t="e">
        <f>(Links!J50*Links!AN50+'On-Ramps'!AH50*'On-Ramps'!CJ50)/('On-Ramps'!AH50+Links!J50)</f>
        <v>#DIV/0!</v>
      </c>
      <c r="BJ50" s="60" t="e">
        <f>(Links!K50*Links!AO50+'On-Ramps'!AI50*'On-Ramps'!CK50)/('On-Ramps'!AI50+Links!K50)</f>
        <v>#DIV/0!</v>
      </c>
      <c r="BK50" s="60" t="e">
        <f>(Links!L50*Links!AP50+'On-Ramps'!AJ50*'On-Ramps'!CL50)/(Links!L50+'On-Ramps'!AJ50)</f>
        <v>#DIV/0!</v>
      </c>
      <c r="BL50" s="60" t="e">
        <f>Links!AQ50</f>
        <v>#DIV/0!</v>
      </c>
      <c r="BM50" s="60" t="e">
        <f>(Links!N50*Links!AR50+'On-Ramps'!AL50*'On-Ramps'!CM50)/(Links!N50+'On-Ramps'!AL50)</f>
        <v>#DIV/0!</v>
      </c>
      <c r="BN50" s="60" t="e">
        <f>Links!AS50</f>
        <v>#DIV/0!</v>
      </c>
      <c r="BO50" s="61" t="e">
        <f>(Links!R50^2+'Off-Ramp'!L50^2)/(Links!R50+'Off-Ramp'!L50)</f>
        <v>#DIV/0!</v>
      </c>
      <c r="BP50" s="61" t="e">
        <f>Links!S50</f>
        <v>#DIV/0!</v>
      </c>
      <c r="BQ50" s="61" t="e">
        <f>(Links!S50^2+'Off-Ramp'!C50^2)/(Links!S50+'Off-Ramp'!C50)</f>
        <v>#DIV/0!</v>
      </c>
      <c r="BR50" s="61" t="e">
        <f>Links!T50</f>
        <v>#DIV/0!</v>
      </c>
      <c r="BS50" s="61" t="e">
        <f>(Links!U50^2+'Off-Ramp'!N50^2)/(Links!U50+'Off-Ramp'!N50)</f>
        <v>#DIV/0!</v>
      </c>
      <c r="BT50" s="61" t="e">
        <f>(Links!V50^2+'Off-Ramp'!O50^2)/(Links!V50+'Off-Ramp'!O50)</f>
        <v>#DIV/0!</v>
      </c>
      <c r="BU50" s="61" t="e">
        <f>(Links!W50^2+'Off-Ramp'!P50^2)/(Links!W50+'Off-Ramp'!P50)</f>
        <v>#DIV/0!</v>
      </c>
      <c r="BV50" s="61" t="e">
        <f>(Links!Y50^2+'Off-Ramp'!Q50^2)/(Links!Y50+'Off-Ramp'!Q50)</f>
        <v>#DIV/0!</v>
      </c>
      <c r="BW50" s="61" t="e">
        <f>(Links!Z50^2+'Off-Ramp'!R50^2)/(Links!Z50+'Off-Ramp'!R50)</f>
        <v>#DIV/0!</v>
      </c>
      <c r="BX50" s="61" t="e">
        <f>(Links!AA50+'Off-Ramp'!S50)/(Links!AA50^2+'Off-Ramp'!S50^2)</f>
        <v>#DIV/0!</v>
      </c>
      <c r="BY50" s="61" t="e">
        <f>(Links!AB50^2+'Off-Ramp'!T50^2)/(Links!AB50+'Off-Ramp'!T50)</f>
        <v>#DIV/0!</v>
      </c>
      <c r="BZ50" s="61" t="e">
        <f>Links!AC50</f>
        <v>#DIV/0!</v>
      </c>
      <c r="CA50" s="61" t="e">
        <f>(Links!AD50^2+'Off-Ramp'!U50^2)/(Links!AD50+'Off-Ramp'!U50)</f>
        <v>#DIV/0!</v>
      </c>
    </row>
    <row r="51" spans="1:79" x14ac:dyDescent="0.15">
      <c r="A51" s="59">
        <v>49</v>
      </c>
      <c r="B51" s="60" t="e">
        <f t="shared" si="2"/>
        <v>#DIV/0!</v>
      </c>
      <c r="C51" s="60" t="e">
        <f t="shared" si="3"/>
        <v>#DIV/0!</v>
      </c>
      <c r="D51" s="60" t="e">
        <f t="shared" si="4"/>
        <v>#DIV/0!</v>
      </c>
      <c r="E51" s="60" t="e">
        <f t="shared" si="5"/>
        <v>#DIV/0!</v>
      </c>
      <c r="F51" s="60" t="e">
        <f t="shared" si="6"/>
        <v>#DIV/0!</v>
      </c>
      <c r="G51" s="60" t="e">
        <f t="shared" si="7"/>
        <v>#DIV/0!</v>
      </c>
      <c r="H51" s="60" t="e">
        <f t="shared" si="8"/>
        <v>#DIV/0!</v>
      </c>
      <c r="I51" s="60" t="e">
        <f t="shared" si="9"/>
        <v>#DIV/0!</v>
      </c>
      <c r="J51" s="60" t="e">
        <f t="shared" si="10"/>
        <v>#DIV/0!</v>
      </c>
      <c r="K51" s="60" t="e">
        <f t="shared" si="11"/>
        <v>#DIV/0!</v>
      </c>
      <c r="L51" s="60" t="e">
        <f t="shared" si="12"/>
        <v>#DIV/0!</v>
      </c>
      <c r="M51" s="60" t="e">
        <f t="shared" si="13"/>
        <v>#DIV/0!</v>
      </c>
      <c r="N51" s="60" t="e">
        <f t="shared" si="14"/>
        <v>#DIV/0!</v>
      </c>
      <c r="O51" s="61" t="e">
        <f>Links!B51</f>
        <v>#DIV/0!</v>
      </c>
      <c r="P51" s="61" t="e">
        <f>Links!C51+'On-Ramps'!AC51</f>
        <v>#DIV/0!</v>
      </c>
      <c r="Q51" s="61" t="e">
        <f>Links!D51</f>
        <v>#DIV/0!</v>
      </c>
      <c r="R51" s="61" t="e">
        <f>Links!E51+'On-Ramps'!AD51</f>
        <v>#DIV/0!</v>
      </c>
      <c r="S51" s="61" t="e">
        <f>Links!F51+'On-Ramps'!AE51</f>
        <v>#DIV/0!</v>
      </c>
      <c r="T51" s="61" t="e">
        <f>Links!G51+'On-Ramps'!AF51</f>
        <v>#DIV/0!</v>
      </c>
      <c r="U51" s="61" t="e">
        <f>Links!H51+'On-Ramps'!AG51</f>
        <v>#DIV/0!</v>
      </c>
      <c r="V51" s="61" t="e">
        <f>Links!J51+'On-Ramps'!AH51</f>
        <v>#DIV/0!</v>
      </c>
      <c r="W51" s="61" t="e">
        <f>Links!K51+'On-Ramps'!AI51</f>
        <v>#DIV/0!</v>
      </c>
      <c r="X51" s="61" t="e">
        <f>Links!L51+'On-Ramps'!AJ51</f>
        <v>#DIV/0!</v>
      </c>
      <c r="Y51" s="61" t="e">
        <f>Links!M51</f>
        <v>#DIV/0!</v>
      </c>
      <c r="Z51" s="61" t="e">
        <f>Links!N51+'On-Ramps'!AK51</f>
        <v>#DIV/0!</v>
      </c>
      <c r="AA51" s="61" t="e">
        <f>Links!O51</f>
        <v>#DIV/0!</v>
      </c>
      <c r="AB51" s="60" t="e">
        <f t="shared" si="17"/>
        <v>#DIV/0!</v>
      </c>
      <c r="AC51" s="60" t="e">
        <f t="shared" si="18"/>
        <v>#DIV/0!</v>
      </c>
      <c r="AD51" s="60" t="e">
        <f t="shared" si="19"/>
        <v>#DIV/0!</v>
      </c>
      <c r="AE51" s="60" t="e">
        <f t="shared" si="20"/>
        <v>#DIV/0!</v>
      </c>
      <c r="AF51" s="60" t="e">
        <f t="shared" si="21"/>
        <v>#DIV/0!</v>
      </c>
      <c r="AG51" s="60" t="e">
        <f t="shared" si="22"/>
        <v>#DIV/0!</v>
      </c>
      <c r="AH51" s="60" t="e">
        <f t="shared" si="23"/>
        <v>#DIV/0!</v>
      </c>
      <c r="AI51" s="60" t="e">
        <f t="shared" si="24"/>
        <v>#DIV/0!</v>
      </c>
      <c r="AJ51" s="60" t="e">
        <f t="shared" si="25"/>
        <v>#DIV/0!</v>
      </c>
      <c r="AK51" s="60" t="e">
        <f t="shared" si="26"/>
        <v>#DIV/0!</v>
      </c>
      <c r="AL51" s="60" t="e">
        <f t="shared" si="27"/>
        <v>#DIV/0!</v>
      </c>
      <c r="AM51" s="60" t="e">
        <f t="shared" si="28"/>
        <v>#DIV/0!</v>
      </c>
      <c r="AN51" s="60" t="e">
        <f t="shared" si="30"/>
        <v>#DIV/0!</v>
      </c>
      <c r="AO51" s="61" t="e">
        <f t="shared" si="31"/>
        <v>#DIV/0!</v>
      </c>
      <c r="AP51" s="61" t="e">
        <f t="shared" si="31"/>
        <v>#DIV/0!</v>
      </c>
      <c r="AQ51" s="61" t="e">
        <f t="shared" si="31"/>
        <v>#DIV/0!</v>
      </c>
      <c r="AR51" s="61" t="e">
        <f t="shared" si="31"/>
        <v>#DIV/0!</v>
      </c>
      <c r="AS51" s="61" t="e">
        <f t="shared" si="31"/>
        <v>#DIV/0!</v>
      </c>
      <c r="AT51" s="61" t="e">
        <f t="shared" si="31"/>
        <v>#DIV/0!</v>
      </c>
      <c r="AU51" s="61" t="e">
        <f t="shared" si="31"/>
        <v>#DIV/0!</v>
      </c>
      <c r="AV51" s="61" t="e">
        <f t="shared" si="31"/>
        <v>#DIV/0!</v>
      </c>
      <c r="AW51" s="61" t="e">
        <f t="shared" si="31"/>
        <v>#DIV/0!</v>
      </c>
      <c r="AX51" s="61" t="e">
        <f t="shared" si="31"/>
        <v>#DIV/0!</v>
      </c>
      <c r="AY51" s="61" t="e">
        <f t="shared" si="31"/>
        <v>#DIV/0!</v>
      </c>
      <c r="AZ51" s="61" t="e">
        <f t="shared" si="31"/>
        <v>#DIV/0!</v>
      </c>
      <c r="BA51" s="61" t="e">
        <f t="shared" si="31"/>
        <v>#DIV/0!</v>
      </c>
      <c r="BB51" s="60" t="e">
        <f>Links!AF51</f>
        <v>#DIV/0!</v>
      </c>
      <c r="BC51" s="60" t="e">
        <f>(Links!AG51*Links!C51+'On-Ramps'!AC51*'On-Ramps'!CE51)/('On-Ramps'!AC51+Links!C51)</f>
        <v>#DIV/0!</v>
      </c>
      <c r="BD51" s="60" t="e">
        <f>Links!AH51</f>
        <v>#DIV/0!</v>
      </c>
      <c r="BE51" s="60" t="e">
        <f>(Links!AI51*Links!E51+'On-Ramps'!AD51*'On-Ramps'!CF50)/('On-Ramps'!AD51+Links!E51)</f>
        <v>#DIV/0!</v>
      </c>
      <c r="BF51" s="60" t="e">
        <f>(Links!F51*Links!AJ51+'On-Ramps'!AE51*'On-Ramps'!CG51)/('On-Ramps'!AE51+Links!F51)</f>
        <v>#DIV/0!</v>
      </c>
      <c r="BG51" s="60" t="e">
        <f>(Links!G51*Links!AK51+'On-Ramps'!AF51*'On-Ramps'!CH51)/('On-Ramps'!AF51+Links!G51)</f>
        <v>#DIV/0!</v>
      </c>
      <c r="BH51" s="60" t="e">
        <f>(Links!H51*Links!AL51+'On-Ramps'!AG51*'On-Ramps'!CI51)/('On-Ramps'!AG51+Links!H51)</f>
        <v>#DIV/0!</v>
      </c>
      <c r="BI51" s="60" t="e">
        <f>(Links!J51*Links!AN51+'On-Ramps'!AH51*'On-Ramps'!CJ51)/('On-Ramps'!AH51+Links!J51)</f>
        <v>#DIV/0!</v>
      </c>
      <c r="BJ51" s="60" t="e">
        <f>(Links!K51*Links!AO51+'On-Ramps'!AI51*'On-Ramps'!CK51)/('On-Ramps'!AI51+Links!K51)</f>
        <v>#DIV/0!</v>
      </c>
      <c r="BK51" s="60" t="e">
        <f>(Links!L51*Links!AP51+'On-Ramps'!AJ51*'On-Ramps'!CL51)/(Links!L51+'On-Ramps'!AJ51)</f>
        <v>#DIV/0!</v>
      </c>
      <c r="BL51" s="60" t="e">
        <f>Links!AQ51</f>
        <v>#DIV/0!</v>
      </c>
      <c r="BM51" s="60" t="e">
        <f>(Links!N51*Links!AR51+'On-Ramps'!AL51*'On-Ramps'!CM51)/(Links!N51+'On-Ramps'!AL51)</f>
        <v>#DIV/0!</v>
      </c>
      <c r="BN51" s="60" t="e">
        <f>Links!AS51</f>
        <v>#DIV/0!</v>
      </c>
      <c r="BO51" s="61" t="e">
        <f>(Links!R51^2+'Off-Ramp'!L51^2)/(Links!R51+'Off-Ramp'!L51)</f>
        <v>#DIV/0!</v>
      </c>
      <c r="BP51" s="61" t="e">
        <f>Links!S51</f>
        <v>#DIV/0!</v>
      </c>
      <c r="BQ51" s="61" t="e">
        <f>(Links!S51^2+'Off-Ramp'!C51^2)/(Links!S51+'Off-Ramp'!C51)</f>
        <v>#DIV/0!</v>
      </c>
      <c r="BR51" s="61" t="e">
        <f>Links!T51</f>
        <v>#DIV/0!</v>
      </c>
      <c r="BS51" s="61" t="e">
        <f>(Links!U51^2+'Off-Ramp'!N51^2)/(Links!U51+'Off-Ramp'!N51)</f>
        <v>#DIV/0!</v>
      </c>
      <c r="BT51" s="61" t="e">
        <f>(Links!V51^2+'Off-Ramp'!O51^2)/(Links!V51+'Off-Ramp'!O51)</f>
        <v>#DIV/0!</v>
      </c>
      <c r="BU51" s="61" t="e">
        <f>(Links!W51^2+'Off-Ramp'!P51^2)/(Links!W51+'Off-Ramp'!P51)</f>
        <v>#DIV/0!</v>
      </c>
      <c r="BV51" s="61" t="e">
        <f>(Links!Y51^2+'Off-Ramp'!Q51^2)/(Links!Y51+'Off-Ramp'!Q51)</f>
        <v>#DIV/0!</v>
      </c>
      <c r="BW51" s="61" t="e">
        <f>(Links!Z51^2+'Off-Ramp'!R51^2)/(Links!Z51+'Off-Ramp'!R51)</f>
        <v>#DIV/0!</v>
      </c>
      <c r="BX51" s="61" t="e">
        <f>(Links!AA51+'Off-Ramp'!S51)/(Links!AA51^2+'Off-Ramp'!S51^2)</f>
        <v>#DIV/0!</v>
      </c>
      <c r="BY51" s="61" t="e">
        <f>(Links!AB51^2+'Off-Ramp'!T51^2)/(Links!AB51+'Off-Ramp'!T51)</f>
        <v>#DIV/0!</v>
      </c>
      <c r="BZ51" s="61" t="e">
        <f>Links!AC51</f>
        <v>#DIV/0!</v>
      </c>
      <c r="CA51" s="61" t="e">
        <f>(Links!AD51^2+'Off-Ramp'!U51^2)/(Links!AD51+'Off-Ramp'!U51)</f>
        <v>#DIV/0!</v>
      </c>
    </row>
    <row r="52" spans="1:79" x14ac:dyDescent="0.15">
      <c r="A52" s="59">
        <v>50</v>
      </c>
      <c r="B52" s="60" t="e">
        <f t="shared" si="2"/>
        <v>#DIV/0!</v>
      </c>
      <c r="C52" s="60" t="e">
        <f t="shared" si="3"/>
        <v>#DIV/0!</v>
      </c>
      <c r="D52" s="60" t="e">
        <f t="shared" si="4"/>
        <v>#DIV/0!</v>
      </c>
      <c r="E52" s="60" t="e">
        <f t="shared" si="5"/>
        <v>#DIV/0!</v>
      </c>
      <c r="F52" s="60" t="e">
        <f t="shared" si="6"/>
        <v>#DIV/0!</v>
      </c>
      <c r="G52" s="60" t="e">
        <f t="shared" si="7"/>
        <v>#DIV/0!</v>
      </c>
      <c r="H52" s="60" t="e">
        <f t="shared" si="8"/>
        <v>#DIV/0!</v>
      </c>
      <c r="I52" s="60" t="e">
        <f t="shared" si="9"/>
        <v>#DIV/0!</v>
      </c>
      <c r="J52" s="60" t="e">
        <f t="shared" si="10"/>
        <v>#DIV/0!</v>
      </c>
      <c r="K52" s="60" t="e">
        <f t="shared" si="11"/>
        <v>#DIV/0!</v>
      </c>
      <c r="L52" s="60" t="e">
        <f t="shared" si="12"/>
        <v>#DIV/0!</v>
      </c>
      <c r="M52" s="60" t="e">
        <f t="shared" si="13"/>
        <v>#DIV/0!</v>
      </c>
      <c r="N52" s="60" t="e">
        <f t="shared" si="14"/>
        <v>#DIV/0!</v>
      </c>
      <c r="O52" s="61" t="e">
        <f>Links!B52</f>
        <v>#DIV/0!</v>
      </c>
      <c r="P52" s="61" t="e">
        <f>Links!C52+'On-Ramps'!AC52</f>
        <v>#DIV/0!</v>
      </c>
      <c r="Q52" s="61" t="e">
        <f>Links!D52</f>
        <v>#DIV/0!</v>
      </c>
      <c r="R52" s="61" t="e">
        <f>Links!E52+'On-Ramps'!AD52</f>
        <v>#DIV/0!</v>
      </c>
      <c r="S52" s="61" t="e">
        <f>Links!F52+'On-Ramps'!AE52</f>
        <v>#DIV/0!</v>
      </c>
      <c r="T52" s="61" t="e">
        <f>Links!G52+'On-Ramps'!AF52</f>
        <v>#DIV/0!</v>
      </c>
      <c r="U52" s="61" t="e">
        <f>Links!H52+'On-Ramps'!AG52</f>
        <v>#DIV/0!</v>
      </c>
      <c r="V52" s="61" t="e">
        <f>Links!J52+'On-Ramps'!AH52</f>
        <v>#DIV/0!</v>
      </c>
      <c r="W52" s="61" t="e">
        <f>Links!K52+'On-Ramps'!AI52</f>
        <v>#DIV/0!</v>
      </c>
      <c r="X52" s="61" t="e">
        <f>Links!L52+'On-Ramps'!AJ52</f>
        <v>#DIV/0!</v>
      </c>
      <c r="Y52" s="61" t="e">
        <f>Links!M52</f>
        <v>#DIV/0!</v>
      </c>
      <c r="Z52" s="61" t="e">
        <f>Links!N52+'On-Ramps'!AK52</f>
        <v>#DIV/0!</v>
      </c>
      <c r="AA52" s="61" t="e">
        <f>Links!O52</f>
        <v>#DIV/0!</v>
      </c>
      <c r="AB52" s="60" t="e">
        <f t="shared" si="17"/>
        <v>#DIV/0!</v>
      </c>
      <c r="AC52" s="60" t="e">
        <f t="shared" si="18"/>
        <v>#DIV/0!</v>
      </c>
      <c r="AD52" s="60" t="e">
        <f t="shared" si="19"/>
        <v>#DIV/0!</v>
      </c>
      <c r="AE52" s="60" t="e">
        <f t="shared" si="20"/>
        <v>#DIV/0!</v>
      </c>
      <c r="AF52" s="60" t="e">
        <f t="shared" si="21"/>
        <v>#DIV/0!</v>
      </c>
      <c r="AG52" s="60" t="e">
        <f t="shared" si="22"/>
        <v>#DIV/0!</v>
      </c>
      <c r="AH52" s="60" t="e">
        <f t="shared" si="23"/>
        <v>#DIV/0!</v>
      </c>
      <c r="AI52" s="60" t="e">
        <f t="shared" si="24"/>
        <v>#DIV/0!</v>
      </c>
      <c r="AJ52" s="60" t="e">
        <f t="shared" si="25"/>
        <v>#DIV/0!</v>
      </c>
      <c r="AK52" s="60" t="e">
        <f t="shared" si="26"/>
        <v>#DIV/0!</v>
      </c>
      <c r="AL52" s="60" t="e">
        <f t="shared" si="27"/>
        <v>#DIV/0!</v>
      </c>
      <c r="AM52" s="60" t="e">
        <f t="shared" si="28"/>
        <v>#DIV/0!</v>
      </c>
      <c r="AN52" s="60" t="e">
        <f t="shared" si="30"/>
        <v>#DIV/0!</v>
      </c>
      <c r="AO52" s="61" t="e">
        <f t="shared" si="31"/>
        <v>#DIV/0!</v>
      </c>
      <c r="AP52" s="61" t="e">
        <f t="shared" si="31"/>
        <v>#DIV/0!</v>
      </c>
      <c r="AQ52" s="61" t="e">
        <f t="shared" si="31"/>
        <v>#DIV/0!</v>
      </c>
      <c r="AR52" s="61" t="e">
        <f t="shared" si="31"/>
        <v>#DIV/0!</v>
      </c>
      <c r="AS52" s="61" t="e">
        <f t="shared" si="31"/>
        <v>#DIV/0!</v>
      </c>
      <c r="AT52" s="61" t="e">
        <f t="shared" si="31"/>
        <v>#DIV/0!</v>
      </c>
      <c r="AU52" s="61" t="e">
        <f t="shared" si="31"/>
        <v>#DIV/0!</v>
      </c>
      <c r="AV52" s="61" t="e">
        <f t="shared" si="31"/>
        <v>#DIV/0!</v>
      </c>
      <c r="AW52" s="61" t="e">
        <f t="shared" si="31"/>
        <v>#DIV/0!</v>
      </c>
      <c r="AX52" s="61" t="e">
        <f t="shared" si="31"/>
        <v>#DIV/0!</v>
      </c>
      <c r="AY52" s="61" t="e">
        <f t="shared" si="31"/>
        <v>#DIV/0!</v>
      </c>
      <c r="AZ52" s="61" t="e">
        <f t="shared" si="31"/>
        <v>#DIV/0!</v>
      </c>
      <c r="BA52" s="61" t="e">
        <f t="shared" si="31"/>
        <v>#DIV/0!</v>
      </c>
      <c r="BB52" s="60" t="e">
        <f>Links!AF52</f>
        <v>#DIV/0!</v>
      </c>
      <c r="BC52" s="60" t="e">
        <f>(Links!AG52*Links!C52+'On-Ramps'!AC52*'On-Ramps'!CE52)/('On-Ramps'!AC52+Links!C52)</f>
        <v>#DIV/0!</v>
      </c>
      <c r="BD52" s="60" t="e">
        <f>Links!AH52</f>
        <v>#DIV/0!</v>
      </c>
      <c r="BE52" s="60" t="e">
        <f>(Links!AI52*Links!E52+'On-Ramps'!AD52*'On-Ramps'!CF51)/('On-Ramps'!AD52+Links!E52)</f>
        <v>#DIV/0!</v>
      </c>
      <c r="BF52" s="60" t="e">
        <f>(Links!F52*Links!AJ52+'On-Ramps'!AE52*'On-Ramps'!CG52)/('On-Ramps'!AE52+Links!F52)</f>
        <v>#DIV/0!</v>
      </c>
      <c r="BG52" s="60" t="e">
        <f>(Links!G52*Links!AK52+'On-Ramps'!AF52*'On-Ramps'!CH52)/('On-Ramps'!AF52+Links!G52)</f>
        <v>#DIV/0!</v>
      </c>
      <c r="BH52" s="60" t="e">
        <f>(Links!H52*Links!AL52+'On-Ramps'!AG52*'On-Ramps'!CI52)/('On-Ramps'!AG52+Links!H52)</f>
        <v>#DIV/0!</v>
      </c>
      <c r="BI52" s="60" t="e">
        <f>(Links!J52*Links!AN52+'On-Ramps'!AH52*'On-Ramps'!CJ52)/('On-Ramps'!AH52+Links!J52)</f>
        <v>#DIV/0!</v>
      </c>
      <c r="BJ52" s="60" t="e">
        <f>(Links!K52*Links!AO52+'On-Ramps'!AI52*'On-Ramps'!CK52)/('On-Ramps'!AI52+Links!K52)</f>
        <v>#DIV/0!</v>
      </c>
      <c r="BK52" s="60" t="e">
        <f>(Links!L52*Links!AP52+'On-Ramps'!AJ52*'On-Ramps'!CL52)/(Links!L52+'On-Ramps'!AJ52)</f>
        <v>#DIV/0!</v>
      </c>
      <c r="BL52" s="60" t="e">
        <f>Links!AQ52</f>
        <v>#DIV/0!</v>
      </c>
      <c r="BM52" s="60" t="e">
        <f>(Links!N52*Links!AR52+'On-Ramps'!AL52*'On-Ramps'!CM52)/(Links!N52+'On-Ramps'!AL52)</f>
        <v>#DIV/0!</v>
      </c>
      <c r="BN52" s="60" t="e">
        <f>Links!AS52</f>
        <v>#DIV/0!</v>
      </c>
      <c r="BO52" s="61" t="e">
        <f>(Links!R52^2+'Off-Ramp'!L52^2)/(Links!R52+'Off-Ramp'!L52)</f>
        <v>#DIV/0!</v>
      </c>
      <c r="BP52" s="61" t="e">
        <f>Links!S52</f>
        <v>#DIV/0!</v>
      </c>
      <c r="BQ52" s="61" t="e">
        <f>(Links!S52^2+'Off-Ramp'!C52^2)/(Links!S52+'Off-Ramp'!C52)</f>
        <v>#DIV/0!</v>
      </c>
      <c r="BR52" s="61" t="e">
        <f>Links!T52</f>
        <v>#DIV/0!</v>
      </c>
      <c r="BS52" s="61" t="e">
        <f>(Links!U52^2+'Off-Ramp'!N52^2)/(Links!U52+'Off-Ramp'!N52)</f>
        <v>#DIV/0!</v>
      </c>
      <c r="BT52" s="61" t="e">
        <f>(Links!V52^2+'Off-Ramp'!O52^2)/(Links!V52+'Off-Ramp'!O52)</f>
        <v>#DIV/0!</v>
      </c>
      <c r="BU52" s="61" t="e">
        <f>(Links!W52^2+'Off-Ramp'!P52^2)/(Links!W52+'Off-Ramp'!P52)</f>
        <v>#DIV/0!</v>
      </c>
      <c r="BV52" s="61" t="e">
        <f>(Links!Y52^2+'Off-Ramp'!Q52^2)/(Links!Y52+'Off-Ramp'!Q52)</f>
        <v>#DIV/0!</v>
      </c>
      <c r="BW52" s="61" t="e">
        <f>(Links!Z52^2+'Off-Ramp'!R52^2)/(Links!Z52+'Off-Ramp'!R52)</f>
        <v>#DIV/0!</v>
      </c>
      <c r="BX52" s="61" t="e">
        <f>(Links!AA52+'Off-Ramp'!S52)/(Links!AA52^2+'Off-Ramp'!S52^2)</f>
        <v>#DIV/0!</v>
      </c>
      <c r="BY52" s="61" t="e">
        <f>(Links!AB52^2+'Off-Ramp'!T52^2)/(Links!AB52+'Off-Ramp'!T52)</f>
        <v>#DIV/0!</v>
      </c>
      <c r="BZ52" s="61" t="e">
        <f>Links!AC52</f>
        <v>#DIV/0!</v>
      </c>
      <c r="CA52" s="61" t="e">
        <f>(Links!AD52^2+'Off-Ramp'!U52^2)/(Links!AD52+'Off-Ramp'!U52)</f>
        <v>#DIV/0!</v>
      </c>
    </row>
    <row r="53" spans="1:79" x14ac:dyDescent="0.15">
      <c r="A53" s="59">
        <v>51</v>
      </c>
      <c r="B53" s="60" t="e">
        <f t="shared" si="2"/>
        <v>#DIV/0!</v>
      </c>
      <c r="C53" s="60" t="e">
        <f t="shared" si="3"/>
        <v>#DIV/0!</v>
      </c>
      <c r="D53" s="60" t="e">
        <f t="shared" si="4"/>
        <v>#DIV/0!</v>
      </c>
      <c r="E53" s="60" t="e">
        <f t="shared" si="5"/>
        <v>#DIV/0!</v>
      </c>
      <c r="F53" s="60" t="e">
        <f t="shared" si="6"/>
        <v>#DIV/0!</v>
      </c>
      <c r="G53" s="60" t="e">
        <f t="shared" si="7"/>
        <v>#DIV/0!</v>
      </c>
      <c r="H53" s="60" t="e">
        <f t="shared" si="8"/>
        <v>#DIV/0!</v>
      </c>
      <c r="I53" s="60" t="e">
        <f t="shared" si="9"/>
        <v>#DIV/0!</v>
      </c>
      <c r="J53" s="60" t="e">
        <f t="shared" si="10"/>
        <v>#DIV/0!</v>
      </c>
      <c r="K53" s="60" t="e">
        <f t="shared" si="11"/>
        <v>#DIV/0!</v>
      </c>
      <c r="L53" s="60" t="e">
        <f t="shared" si="12"/>
        <v>#DIV/0!</v>
      </c>
      <c r="M53" s="60" t="e">
        <f t="shared" si="13"/>
        <v>#DIV/0!</v>
      </c>
      <c r="N53" s="60" t="e">
        <f t="shared" si="14"/>
        <v>#DIV/0!</v>
      </c>
      <c r="O53" s="61" t="e">
        <f>Links!B53</f>
        <v>#DIV/0!</v>
      </c>
      <c r="P53" s="61" t="e">
        <f>Links!C53+'On-Ramps'!AC53</f>
        <v>#DIV/0!</v>
      </c>
      <c r="Q53" s="61" t="e">
        <f>Links!D53</f>
        <v>#DIV/0!</v>
      </c>
      <c r="R53" s="61" t="e">
        <f>Links!E53+'On-Ramps'!AD53</f>
        <v>#DIV/0!</v>
      </c>
      <c r="S53" s="61" t="e">
        <f>Links!F53+'On-Ramps'!AE53</f>
        <v>#DIV/0!</v>
      </c>
      <c r="T53" s="61" t="e">
        <f>Links!G53+'On-Ramps'!AF53</f>
        <v>#DIV/0!</v>
      </c>
      <c r="U53" s="61" t="e">
        <f>Links!H53+'On-Ramps'!AG53</f>
        <v>#DIV/0!</v>
      </c>
      <c r="V53" s="61" t="e">
        <f>Links!J53+'On-Ramps'!AH53</f>
        <v>#DIV/0!</v>
      </c>
      <c r="W53" s="61" t="e">
        <f>Links!K53+'On-Ramps'!AI53</f>
        <v>#DIV/0!</v>
      </c>
      <c r="X53" s="61" t="e">
        <f>Links!L53+'On-Ramps'!AJ53</f>
        <v>#DIV/0!</v>
      </c>
      <c r="Y53" s="61" t="e">
        <f>Links!M53</f>
        <v>#DIV/0!</v>
      </c>
      <c r="Z53" s="61" t="e">
        <f>Links!N53+'On-Ramps'!AK53</f>
        <v>#DIV/0!</v>
      </c>
      <c r="AA53" s="61" t="e">
        <f>Links!O53</f>
        <v>#DIV/0!</v>
      </c>
      <c r="AB53" s="60" t="e">
        <f t="shared" si="17"/>
        <v>#DIV/0!</v>
      </c>
      <c r="AC53" s="60" t="e">
        <f t="shared" si="18"/>
        <v>#DIV/0!</v>
      </c>
      <c r="AD53" s="60" t="e">
        <f t="shared" si="19"/>
        <v>#DIV/0!</v>
      </c>
      <c r="AE53" s="60" t="e">
        <f t="shared" si="20"/>
        <v>#DIV/0!</v>
      </c>
      <c r="AF53" s="60" t="e">
        <f t="shared" si="21"/>
        <v>#DIV/0!</v>
      </c>
      <c r="AG53" s="60" t="e">
        <f t="shared" si="22"/>
        <v>#DIV/0!</v>
      </c>
      <c r="AH53" s="60" t="e">
        <f t="shared" si="23"/>
        <v>#DIV/0!</v>
      </c>
      <c r="AI53" s="60" t="e">
        <f t="shared" si="24"/>
        <v>#DIV/0!</v>
      </c>
      <c r="AJ53" s="60" t="e">
        <f t="shared" si="25"/>
        <v>#DIV/0!</v>
      </c>
      <c r="AK53" s="60" t="e">
        <f t="shared" si="26"/>
        <v>#DIV/0!</v>
      </c>
      <c r="AL53" s="60" t="e">
        <f t="shared" si="27"/>
        <v>#DIV/0!</v>
      </c>
      <c r="AM53" s="60" t="e">
        <f t="shared" si="28"/>
        <v>#DIV/0!</v>
      </c>
      <c r="AN53" s="60" t="e">
        <f t="shared" si="30"/>
        <v>#DIV/0!</v>
      </c>
      <c r="AO53" s="61" t="e">
        <f t="shared" si="31"/>
        <v>#DIV/0!</v>
      </c>
      <c r="AP53" s="61" t="e">
        <f t="shared" si="31"/>
        <v>#DIV/0!</v>
      </c>
      <c r="AQ53" s="61" t="e">
        <f t="shared" si="31"/>
        <v>#DIV/0!</v>
      </c>
      <c r="AR53" s="61" t="e">
        <f t="shared" si="31"/>
        <v>#DIV/0!</v>
      </c>
      <c r="AS53" s="61" t="e">
        <f t="shared" si="31"/>
        <v>#DIV/0!</v>
      </c>
      <c r="AT53" s="61" t="e">
        <f t="shared" si="31"/>
        <v>#DIV/0!</v>
      </c>
      <c r="AU53" s="61" t="e">
        <f t="shared" si="31"/>
        <v>#DIV/0!</v>
      </c>
      <c r="AV53" s="61" t="e">
        <f t="shared" si="31"/>
        <v>#DIV/0!</v>
      </c>
      <c r="AW53" s="61" t="e">
        <f t="shared" si="31"/>
        <v>#DIV/0!</v>
      </c>
      <c r="AX53" s="61" t="e">
        <f t="shared" si="31"/>
        <v>#DIV/0!</v>
      </c>
      <c r="AY53" s="61" t="e">
        <f t="shared" si="31"/>
        <v>#DIV/0!</v>
      </c>
      <c r="AZ53" s="61" t="e">
        <f t="shared" si="31"/>
        <v>#DIV/0!</v>
      </c>
      <c r="BA53" s="61" t="e">
        <f t="shared" si="31"/>
        <v>#DIV/0!</v>
      </c>
      <c r="BB53" s="60" t="e">
        <f>Links!AF53</f>
        <v>#DIV/0!</v>
      </c>
      <c r="BC53" s="60" t="e">
        <f>(Links!AG53*Links!C53+'On-Ramps'!AC53*'On-Ramps'!CE53)/('On-Ramps'!AC53+Links!C53)</f>
        <v>#DIV/0!</v>
      </c>
      <c r="BD53" s="60" t="e">
        <f>Links!AH53</f>
        <v>#DIV/0!</v>
      </c>
      <c r="BE53" s="60" t="e">
        <f>(Links!AI53*Links!E53+'On-Ramps'!AD53*'On-Ramps'!CF52)/('On-Ramps'!AD53+Links!E53)</f>
        <v>#DIV/0!</v>
      </c>
      <c r="BF53" s="60" t="e">
        <f>(Links!F53*Links!AJ53+'On-Ramps'!AE53*'On-Ramps'!CG53)/('On-Ramps'!AE53+Links!F53)</f>
        <v>#DIV/0!</v>
      </c>
      <c r="BG53" s="60" t="e">
        <f>(Links!G53*Links!AK53+'On-Ramps'!AF53*'On-Ramps'!CH53)/('On-Ramps'!AF53+Links!G53)</f>
        <v>#DIV/0!</v>
      </c>
      <c r="BH53" s="60" t="e">
        <f>(Links!H53*Links!AL53+'On-Ramps'!AG53*'On-Ramps'!CI53)/('On-Ramps'!AG53+Links!H53)</f>
        <v>#DIV/0!</v>
      </c>
      <c r="BI53" s="60" t="e">
        <f>(Links!J53*Links!AN53+'On-Ramps'!AH53*'On-Ramps'!CJ53)/('On-Ramps'!AH53+Links!J53)</f>
        <v>#DIV/0!</v>
      </c>
      <c r="BJ53" s="60" t="e">
        <f>(Links!K53*Links!AO53+'On-Ramps'!AI53*'On-Ramps'!CK53)/('On-Ramps'!AI53+Links!K53)</f>
        <v>#DIV/0!</v>
      </c>
      <c r="BK53" s="60" t="e">
        <f>(Links!L53*Links!AP53+'On-Ramps'!AJ53*'On-Ramps'!CL53)/(Links!L53+'On-Ramps'!AJ53)</f>
        <v>#DIV/0!</v>
      </c>
      <c r="BL53" s="60" t="e">
        <f>Links!AQ53</f>
        <v>#DIV/0!</v>
      </c>
      <c r="BM53" s="60" t="e">
        <f>(Links!N53*Links!AR53+'On-Ramps'!AL53*'On-Ramps'!CM53)/(Links!N53+'On-Ramps'!AL53)</f>
        <v>#DIV/0!</v>
      </c>
      <c r="BN53" s="60" t="e">
        <f>Links!AS53</f>
        <v>#DIV/0!</v>
      </c>
      <c r="BO53" s="61" t="e">
        <f>(Links!R53^2+'Off-Ramp'!L53^2)/(Links!R53+'Off-Ramp'!L53)</f>
        <v>#DIV/0!</v>
      </c>
      <c r="BP53" s="61" t="e">
        <f>Links!S53</f>
        <v>#DIV/0!</v>
      </c>
      <c r="BQ53" s="61" t="e">
        <f>(Links!S53^2+'Off-Ramp'!C53^2)/(Links!S53+'Off-Ramp'!C53)</f>
        <v>#DIV/0!</v>
      </c>
      <c r="BR53" s="61" t="e">
        <f>Links!T53</f>
        <v>#DIV/0!</v>
      </c>
      <c r="BS53" s="61" t="e">
        <f>(Links!U53^2+'Off-Ramp'!N53^2)/(Links!U53+'Off-Ramp'!N53)</f>
        <v>#DIV/0!</v>
      </c>
      <c r="BT53" s="61" t="e">
        <f>(Links!V53^2+'Off-Ramp'!O53^2)/(Links!V53+'Off-Ramp'!O53)</f>
        <v>#DIV/0!</v>
      </c>
      <c r="BU53" s="61" t="e">
        <f>(Links!W53^2+'Off-Ramp'!P53^2)/(Links!W53+'Off-Ramp'!P53)</f>
        <v>#DIV/0!</v>
      </c>
      <c r="BV53" s="61" t="e">
        <f>(Links!Y53^2+'Off-Ramp'!Q53^2)/(Links!Y53+'Off-Ramp'!Q53)</f>
        <v>#DIV/0!</v>
      </c>
      <c r="BW53" s="61" t="e">
        <f>(Links!Z53^2+'Off-Ramp'!R53^2)/(Links!Z53+'Off-Ramp'!R53)</f>
        <v>#DIV/0!</v>
      </c>
      <c r="BX53" s="61" t="e">
        <f>(Links!AA53+'Off-Ramp'!S53)/(Links!AA53^2+'Off-Ramp'!S53^2)</f>
        <v>#DIV/0!</v>
      </c>
      <c r="BY53" s="61" t="e">
        <f>(Links!AB53^2+'Off-Ramp'!T53^2)/(Links!AB53+'Off-Ramp'!T53)</f>
        <v>#DIV/0!</v>
      </c>
      <c r="BZ53" s="61" t="e">
        <f>Links!AC53</f>
        <v>#DIV/0!</v>
      </c>
      <c r="CA53" s="61" t="e">
        <f>(Links!AD53^2+'Off-Ramp'!U53^2)/(Links!AD53+'Off-Ramp'!U53)</f>
        <v>#DIV/0!</v>
      </c>
    </row>
    <row r="54" spans="1:79" x14ac:dyDescent="0.15">
      <c r="A54" s="59">
        <v>52</v>
      </c>
      <c r="B54" s="60" t="e">
        <f t="shared" si="2"/>
        <v>#DIV/0!</v>
      </c>
      <c r="C54" s="60" t="e">
        <f t="shared" si="3"/>
        <v>#DIV/0!</v>
      </c>
      <c r="D54" s="60" t="e">
        <f t="shared" si="4"/>
        <v>#DIV/0!</v>
      </c>
      <c r="E54" s="60" t="e">
        <f t="shared" si="5"/>
        <v>#DIV/0!</v>
      </c>
      <c r="F54" s="60" t="e">
        <f t="shared" si="6"/>
        <v>#DIV/0!</v>
      </c>
      <c r="G54" s="60" t="e">
        <f t="shared" si="7"/>
        <v>#DIV/0!</v>
      </c>
      <c r="H54" s="60" t="e">
        <f t="shared" si="8"/>
        <v>#DIV/0!</v>
      </c>
      <c r="I54" s="60" t="e">
        <f t="shared" si="9"/>
        <v>#DIV/0!</v>
      </c>
      <c r="J54" s="60" t="e">
        <f t="shared" si="10"/>
        <v>#DIV/0!</v>
      </c>
      <c r="K54" s="60" t="e">
        <f t="shared" si="11"/>
        <v>#DIV/0!</v>
      </c>
      <c r="L54" s="60" t="e">
        <f t="shared" si="12"/>
        <v>#DIV/0!</v>
      </c>
      <c r="M54" s="60" t="e">
        <f t="shared" si="13"/>
        <v>#DIV/0!</v>
      </c>
      <c r="N54" s="60" t="e">
        <f t="shared" si="14"/>
        <v>#DIV/0!</v>
      </c>
      <c r="O54" s="61" t="e">
        <f>Links!B54</f>
        <v>#DIV/0!</v>
      </c>
      <c r="P54" s="61" t="e">
        <f>Links!C54+'On-Ramps'!AC54</f>
        <v>#DIV/0!</v>
      </c>
      <c r="Q54" s="61" t="e">
        <f>Links!D54</f>
        <v>#DIV/0!</v>
      </c>
      <c r="R54" s="61" t="e">
        <f>Links!E54+'On-Ramps'!AD54</f>
        <v>#DIV/0!</v>
      </c>
      <c r="S54" s="61" t="e">
        <f>Links!F54+'On-Ramps'!AE54</f>
        <v>#DIV/0!</v>
      </c>
      <c r="T54" s="61" t="e">
        <f>Links!G54+'On-Ramps'!AF54</f>
        <v>#DIV/0!</v>
      </c>
      <c r="U54" s="61" t="e">
        <f>Links!H54+'On-Ramps'!AG54</f>
        <v>#DIV/0!</v>
      </c>
      <c r="V54" s="61" t="e">
        <f>Links!J54+'On-Ramps'!AH54</f>
        <v>#DIV/0!</v>
      </c>
      <c r="W54" s="61" t="e">
        <f>Links!K54+'On-Ramps'!AI54</f>
        <v>#DIV/0!</v>
      </c>
      <c r="X54" s="61" t="e">
        <f>Links!L54+'On-Ramps'!AJ54</f>
        <v>#DIV/0!</v>
      </c>
      <c r="Y54" s="61" t="e">
        <f>Links!M54</f>
        <v>#DIV/0!</v>
      </c>
      <c r="Z54" s="61" t="e">
        <f>Links!N54+'On-Ramps'!AK54</f>
        <v>#DIV/0!</v>
      </c>
      <c r="AA54" s="61" t="e">
        <f>Links!O54</f>
        <v>#DIV/0!</v>
      </c>
      <c r="AB54" s="60" t="e">
        <f t="shared" si="17"/>
        <v>#DIV/0!</v>
      </c>
      <c r="AC54" s="60" t="e">
        <f t="shared" si="18"/>
        <v>#DIV/0!</v>
      </c>
      <c r="AD54" s="60" t="e">
        <f t="shared" si="19"/>
        <v>#DIV/0!</v>
      </c>
      <c r="AE54" s="60" t="e">
        <f t="shared" si="20"/>
        <v>#DIV/0!</v>
      </c>
      <c r="AF54" s="60" t="e">
        <f t="shared" si="21"/>
        <v>#DIV/0!</v>
      </c>
      <c r="AG54" s="60" t="e">
        <f t="shared" si="22"/>
        <v>#DIV/0!</v>
      </c>
      <c r="AH54" s="60" t="e">
        <f t="shared" si="23"/>
        <v>#DIV/0!</v>
      </c>
      <c r="AI54" s="60" t="e">
        <f t="shared" si="24"/>
        <v>#DIV/0!</v>
      </c>
      <c r="AJ54" s="60" t="e">
        <f t="shared" si="25"/>
        <v>#DIV/0!</v>
      </c>
      <c r="AK54" s="60" t="e">
        <f t="shared" si="26"/>
        <v>#DIV/0!</v>
      </c>
      <c r="AL54" s="60" t="e">
        <f t="shared" si="27"/>
        <v>#DIV/0!</v>
      </c>
      <c r="AM54" s="60" t="e">
        <f t="shared" si="28"/>
        <v>#DIV/0!</v>
      </c>
      <c r="AN54" s="60" t="e">
        <f t="shared" si="30"/>
        <v>#DIV/0!</v>
      </c>
      <c r="AO54" s="61" t="e">
        <f t="shared" si="31"/>
        <v>#DIV/0!</v>
      </c>
      <c r="AP54" s="61" t="e">
        <f t="shared" si="31"/>
        <v>#DIV/0!</v>
      </c>
      <c r="AQ54" s="61" t="e">
        <f t="shared" si="31"/>
        <v>#DIV/0!</v>
      </c>
      <c r="AR54" s="61" t="e">
        <f t="shared" si="31"/>
        <v>#DIV/0!</v>
      </c>
      <c r="AS54" s="61" t="e">
        <f t="shared" si="31"/>
        <v>#DIV/0!</v>
      </c>
      <c r="AT54" s="61" t="e">
        <f t="shared" si="31"/>
        <v>#DIV/0!</v>
      </c>
      <c r="AU54" s="61" t="e">
        <f t="shared" si="31"/>
        <v>#DIV/0!</v>
      </c>
      <c r="AV54" s="61" t="e">
        <f t="shared" si="31"/>
        <v>#DIV/0!</v>
      </c>
      <c r="AW54" s="61" t="e">
        <f t="shared" si="31"/>
        <v>#DIV/0!</v>
      </c>
      <c r="AX54" s="61" t="e">
        <f t="shared" si="31"/>
        <v>#DIV/0!</v>
      </c>
      <c r="AY54" s="61" t="e">
        <f t="shared" si="31"/>
        <v>#DIV/0!</v>
      </c>
      <c r="AZ54" s="61" t="e">
        <f t="shared" si="31"/>
        <v>#DIV/0!</v>
      </c>
      <c r="BA54" s="61" t="e">
        <f t="shared" si="31"/>
        <v>#DIV/0!</v>
      </c>
      <c r="BB54" s="60" t="e">
        <f>Links!AF54</f>
        <v>#DIV/0!</v>
      </c>
      <c r="BC54" s="60" t="e">
        <f>(Links!AG54*Links!C54+'On-Ramps'!AC54*'On-Ramps'!CE54)/('On-Ramps'!AC54+Links!C54)</f>
        <v>#DIV/0!</v>
      </c>
      <c r="BD54" s="60" t="e">
        <f>Links!AH54</f>
        <v>#DIV/0!</v>
      </c>
      <c r="BE54" s="60" t="e">
        <f>(Links!AI54*Links!E54+'On-Ramps'!AD54*'On-Ramps'!CF53)/('On-Ramps'!AD54+Links!E54)</f>
        <v>#DIV/0!</v>
      </c>
      <c r="BF54" s="60" t="e">
        <f>(Links!F54*Links!AJ54+'On-Ramps'!AE54*'On-Ramps'!CG54)/('On-Ramps'!AE54+Links!F54)</f>
        <v>#DIV/0!</v>
      </c>
      <c r="BG54" s="60" t="e">
        <f>(Links!G54*Links!AK54+'On-Ramps'!AF54*'On-Ramps'!CH54)/('On-Ramps'!AF54+Links!G54)</f>
        <v>#DIV/0!</v>
      </c>
      <c r="BH54" s="60" t="e">
        <f>(Links!H54*Links!AL54+'On-Ramps'!AG54*'On-Ramps'!CI54)/('On-Ramps'!AG54+Links!H54)</f>
        <v>#DIV/0!</v>
      </c>
      <c r="BI54" s="60" t="e">
        <f>(Links!J54*Links!AN54+'On-Ramps'!AH54*'On-Ramps'!CJ54)/('On-Ramps'!AH54+Links!J54)</f>
        <v>#DIV/0!</v>
      </c>
      <c r="BJ54" s="60" t="e">
        <f>(Links!K54*Links!AO54+'On-Ramps'!AI54*'On-Ramps'!CK54)/('On-Ramps'!AI54+Links!K54)</f>
        <v>#DIV/0!</v>
      </c>
      <c r="BK54" s="60" t="e">
        <f>(Links!L54*Links!AP54+'On-Ramps'!AJ54*'On-Ramps'!CL54)/(Links!L54+'On-Ramps'!AJ54)</f>
        <v>#DIV/0!</v>
      </c>
      <c r="BL54" s="60" t="e">
        <f>Links!AQ54</f>
        <v>#DIV/0!</v>
      </c>
      <c r="BM54" s="60" t="e">
        <f>(Links!N54*Links!AR54+'On-Ramps'!AL54*'On-Ramps'!CM54)/(Links!N54+'On-Ramps'!AL54)</f>
        <v>#DIV/0!</v>
      </c>
      <c r="BN54" s="60" t="e">
        <f>Links!AS54</f>
        <v>#DIV/0!</v>
      </c>
      <c r="BO54" s="61" t="e">
        <f>(Links!R54^2+'Off-Ramp'!L54^2)/(Links!R54+'Off-Ramp'!L54)</f>
        <v>#DIV/0!</v>
      </c>
      <c r="BP54" s="61" t="e">
        <f>Links!S54</f>
        <v>#DIV/0!</v>
      </c>
      <c r="BQ54" s="61" t="e">
        <f>(Links!S54^2+'Off-Ramp'!C54^2)/(Links!S54+'Off-Ramp'!C54)</f>
        <v>#DIV/0!</v>
      </c>
      <c r="BR54" s="61" t="e">
        <f>Links!T54</f>
        <v>#DIV/0!</v>
      </c>
      <c r="BS54" s="61" t="e">
        <f>(Links!U54^2+'Off-Ramp'!N54^2)/(Links!U54+'Off-Ramp'!N54)</f>
        <v>#DIV/0!</v>
      </c>
      <c r="BT54" s="61" t="e">
        <f>(Links!V54^2+'Off-Ramp'!O54^2)/(Links!V54+'Off-Ramp'!O54)</f>
        <v>#DIV/0!</v>
      </c>
      <c r="BU54" s="61" t="e">
        <f>(Links!W54^2+'Off-Ramp'!P54^2)/(Links!W54+'Off-Ramp'!P54)</f>
        <v>#DIV/0!</v>
      </c>
      <c r="BV54" s="61" t="e">
        <f>(Links!Y54^2+'Off-Ramp'!Q54^2)/(Links!Y54+'Off-Ramp'!Q54)</f>
        <v>#DIV/0!</v>
      </c>
      <c r="BW54" s="61" t="e">
        <f>(Links!Z54^2+'Off-Ramp'!R54^2)/(Links!Z54+'Off-Ramp'!R54)</f>
        <v>#DIV/0!</v>
      </c>
      <c r="BX54" s="61" t="e">
        <f>(Links!AA54+'Off-Ramp'!S54)/(Links!AA54^2+'Off-Ramp'!S54^2)</f>
        <v>#DIV/0!</v>
      </c>
      <c r="BY54" s="61" t="e">
        <f>(Links!AB54^2+'Off-Ramp'!T54^2)/(Links!AB54+'Off-Ramp'!T54)</f>
        <v>#DIV/0!</v>
      </c>
      <c r="BZ54" s="61" t="e">
        <f>Links!AC54</f>
        <v>#DIV/0!</v>
      </c>
      <c r="CA54" s="61" t="e">
        <f>(Links!AD54^2+'Off-Ramp'!U54^2)/(Links!AD54+'Off-Ramp'!U54)</f>
        <v>#DIV/0!</v>
      </c>
    </row>
    <row r="55" spans="1:79" x14ac:dyDescent="0.15">
      <c r="A55" s="59">
        <v>53</v>
      </c>
      <c r="B55" s="60" t="e">
        <f t="shared" si="2"/>
        <v>#DIV/0!</v>
      </c>
      <c r="C55" s="60" t="e">
        <f t="shared" si="3"/>
        <v>#DIV/0!</v>
      </c>
      <c r="D55" s="60" t="e">
        <f t="shared" si="4"/>
        <v>#DIV/0!</v>
      </c>
      <c r="E55" s="60" t="e">
        <f t="shared" si="5"/>
        <v>#DIV/0!</v>
      </c>
      <c r="F55" s="60" t="e">
        <f t="shared" si="6"/>
        <v>#DIV/0!</v>
      </c>
      <c r="G55" s="60" t="e">
        <f t="shared" si="7"/>
        <v>#DIV/0!</v>
      </c>
      <c r="H55" s="60" t="e">
        <f t="shared" si="8"/>
        <v>#DIV/0!</v>
      </c>
      <c r="I55" s="60" t="e">
        <f t="shared" si="9"/>
        <v>#DIV/0!</v>
      </c>
      <c r="J55" s="60" t="e">
        <f t="shared" si="10"/>
        <v>#DIV/0!</v>
      </c>
      <c r="K55" s="60" t="e">
        <f t="shared" si="11"/>
        <v>#DIV/0!</v>
      </c>
      <c r="L55" s="60" t="e">
        <f t="shared" si="12"/>
        <v>#DIV/0!</v>
      </c>
      <c r="M55" s="60" t="e">
        <f t="shared" si="13"/>
        <v>#DIV/0!</v>
      </c>
      <c r="N55" s="60" t="e">
        <f t="shared" si="14"/>
        <v>#DIV/0!</v>
      </c>
      <c r="O55" s="61" t="e">
        <f>Links!B55</f>
        <v>#DIV/0!</v>
      </c>
      <c r="P55" s="61" t="e">
        <f>Links!C55+'On-Ramps'!AC55</f>
        <v>#DIV/0!</v>
      </c>
      <c r="Q55" s="61" t="e">
        <f>Links!D55</f>
        <v>#DIV/0!</v>
      </c>
      <c r="R55" s="61" t="e">
        <f>Links!E55+'On-Ramps'!AD55</f>
        <v>#DIV/0!</v>
      </c>
      <c r="S55" s="61" t="e">
        <f>Links!F55+'On-Ramps'!AE55</f>
        <v>#DIV/0!</v>
      </c>
      <c r="T55" s="61" t="e">
        <f>Links!G55+'On-Ramps'!AF55</f>
        <v>#DIV/0!</v>
      </c>
      <c r="U55" s="61" t="e">
        <f>Links!H55+'On-Ramps'!AG55</f>
        <v>#DIV/0!</v>
      </c>
      <c r="V55" s="61" t="e">
        <f>Links!J55+'On-Ramps'!AH55</f>
        <v>#DIV/0!</v>
      </c>
      <c r="W55" s="61" t="e">
        <f>Links!K55+'On-Ramps'!AI55</f>
        <v>#DIV/0!</v>
      </c>
      <c r="X55" s="61" t="e">
        <f>Links!L55+'On-Ramps'!AJ55</f>
        <v>#DIV/0!</v>
      </c>
      <c r="Y55" s="61" t="e">
        <f>Links!M55</f>
        <v>#DIV/0!</v>
      </c>
      <c r="Z55" s="61" t="e">
        <f>Links!N55+'On-Ramps'!AK55</f>
        <v>#DIV/0!</v>
      </c>
      <c r="AA55" s="61" t="e">
        <f>Links!O55</f>
        <v>#DIV/0!</v>
      </c>
      <c r="AB55" s="60" t="e">
        <f t="shared" si="17"/>
        <v>#DIV/0!</v>
      </c>
      <c r="AC55" s="60" t="e">
        <f t="shared" si="18"/>
        <v>#DIV/0!</v>
      </c>
      <c r="AD55" s="60" t="e">
        <f t="shared" si="19"/>
        <v>#DIV/0!</v>
      </c>
      <c r="AE55" s="60" t="e">
        <f t="shared" si="20"/>
        <v>#DIV/0!</v>
      </c>
      <c r="AF55" s="60" t="e">
        <f t="shared" si="21"/>
        <v>#DIV/0!</v>
      </c>
      <c r="AG55" s="60" t="e">
        <f t="shared" si="22"/>
        <v>#DIV/0!</v>
      </c>
      <c r="AH55" s="60" t="e">
        <f t="shared" si="23"/>
        <v>#DIV/0!</v>
      </c>
      <c r="AI55" s="60" t="e">
        <f t="shared" si="24"/>
        <v>#DIV/0!</v>
      </c>
      <c r="AJ55" s="60" t="e">
        <f t="shared" si="25"/>
        <v>#DIV/0!</v>
      </c>
      <c r="AK55" s="60" t="e">
        <f t="shared" si="26"/>
        <v>#DIV/0!</v>
      </c>
      <c r="AL55" s="60" t="e">
        <f t="shared" si="27"/>
        <v>#DIV/0!</v>
      </c>
      <c r="AM55" s="60" t="e">
        <f t="shared" si="28"/>
        <v>#DIV/0!</v>
      </c>
      <c r="AN55" s="60" t="e">
        <f t="shared" si="30"/>
        <v>#DIV/0!</v>
      </c>
      <c r="AO55" s="61" t="e">
        <f t="shared" si="31"/>
        <v>#DIV/0!</v>
      </c>
      <c r="AP55" s="61" t="e">
        <f t="shared" si="31"/>
        <v>#DIV/0!</v>
      </c>
      <c r="AQ55" s="61" t="e">
        <f t="shared" si="31"/>
        <v>#DIV/0!</v>
      </c>
      <c r="AR55" s="61" t="e">
        <f t="shared" si="31"/>
        <v>#DIV/0!</v>
      </c>
      <c r="AS55" s="61" t="e">
        <f t="shared" si="31"/>
        <v>#DIV/0!</v>
      </c>
      <c r="AT55" s="61" t="e">
        <f t="shared" si="31"/>
        <v>#DIV/0!</v>
      </c>
      <c r="AU55" s="61" t="e">
        <f t="shared" si="31"/>
        <v>#DIV/0!</v>
      </c>
      <c r="AV55" s="61" t="e">
        <f t="shared" si="31"/>
        <v>#DIV/0!</v>
      </c>
      <c r="AW55" s="61" t="e">
        <f t="shared" si="31"/>
        <v>#DIV/0!</v>
      </c>
      <c r="AX55" s="61" t="e">
        <f t="shared" si="31"/>
        <v>#DIV/0!</v>
      </c>
      <c r="AY55" s="61" t="e">
        <f t="shared" si="31"/>
        <v>#DIV/0!</v>
      </c>
      <c r="AZ55" s="61" t="e">
        <f t="shared" si="31"/>
        <v>#DIV/0!</v>
      </c>
      <c r="BA55" s="61" t="e">
        <f t="shared" si="31"/>
        <v>#DIV/0!</v>
      </c>
      <c r="BB55" s="60" t="e">
        <f>Links!AF55</f>
        <v>#DIV/0!</v>
      </c>
      <c r="BC55" s="60" t="e">
        <f>(Links!AG55*Links!C55+'On-Ramps'!AC55*'On-Ramps'!CE55)/('On-Ramps'!AC55+Links!C55)</f>
        <v>#DIV/0!</v>
      </c>
      <c r="BD55" s="60" t="e">
        <f>Links!AH55</f>
        <v>#DIV/0!</v>
      </c>
      <c r="BE55" s="60" t="e">
        <f>(Links!AI55*Links!E55+'On-Ramps'!AD55*'On-Ramps'!CF54)/('On-Ramps'!AD55+Links!E55)</f>
        <v>#DIV/0!</v>
      </c>
      <c r="BF55" s="60" t="e">
        <f>(Links!F55*Links!AJ55+'On-Ramps'!AE55*'On-Ramps'!CG55)/('On-Ramps'!AE55+Links!F55)</f>
        <v>#DIV/0!</v>
      </c>
      <c r="BG55" s="60" t="e">
        <f>(Links!G55*Links!AK55+'On-Ramps'!AF55*'On-Ramps'!CH55)/('On-Ramps'!AF55+Links!G55)</f>
        <v>#DIV/0!</v>
      </c>
      <c r="BH55" s="60" t="e">
        <f>(Links!H55*Links!AL55+'On-Ramps'!AG55*'On-Ramps'!CI55)/('On-Ramps'!AG55+Links!H55)</f>
        <v>#DIV/0!</v>
      </c>
      <c r="BI55" s="60" t="e">
        <f>(Links!J55*Links!AN55+'On-Ramps'!AH55*'On-Ramps'!CJ55)/('On-Ramps'!AH55+Links!J55)</f>
        <v>#DIV/0!</v>
      </c>
      <c r="BJ55" s="60" t="e">
        <f>(Links!K55*Links!AO55+'On-Ramps'!AI55*'On-Ramps'!CK55)/('On-Ramps'!AI55+Links!K55)</f>
        <v>#DIV/0!</v>
      </c>
      <c r="BK55" s="60" t="e">
        <f>(Links!L55*Links!AP55+'On-Ramps'!AJ55*'On-Ramps'!CL55)/(Links!L55+'On-Ramps'!AJ55)</f>
        <v>#DIV/0!</v>
      </c>
      <c r="BL55" s="60" t="e">
        <f>Links!AQ55</f>
        <v>#DIV/0!</v>
      </c>
      <c r="BM55" s="60" t="e">
        <f>(Links!N55*Links!AR55+'On-Ramps'!AL55*'On-Ramps'!CM55)/(Links!N55+'On-Ramps'!AL55)</f>
        <v>#DIV/0!</v>
      </c>
      <c r="BN55" s="60" t="e">
        <f>Links!AS55</f>
        <v>#DIV/0!</v>
      </c>
      <c r="BO55" s="61" t="e">
        <f>(Links!R55^2+'Off-Ramp'!L55^2)/(Links!R55+'Off-Ramp'!L55)</f>
        <v>#DIV/0!</v>
      </c>
      <c r="BP55" s="61" t="e">
        <f>Links!S55</f>
        <v>#DIV/0!</v>
      </c>
      <c r="BQ55" s="61" t="e">
        <f>(Links!S55^2+'Off-Ramp'!C55^2)/(Links!S55+'Off-Ramp'!C55)</f>
        <v>#DIV/0!</v>
      </c>
      <c r="BR55" s="61" t="e">
        <f>Links!T55</f>
        <v>#DIV/0!</v>
      </c>
      <c r="BS55" s="61" t="e">
        <f>(Links!U55^2+'Off-Ramp'!N55^2)/(Links!U55+'Off-Ramp'!N55)</f>
        <v>#DIV/0!</v>
      </c>
      <c r="BT55" s="61" t="e">
        <f>(Links!V55^2+'Off-Ramp'!O55^2)/(Links!V55+'Off-Ramp'!O55)</f>
        <v>#DIV/0!</v>
      </c>
      <c r="BU55" s="61" t="e">
        <f>(Links!W55^2+'Off-Ramp'!P55^2)/(Links!W55+'Off-Ramp'!P55)</f>
        <v>#DIV/0!</v>
      </c>
      <c r="BV55" s="61" t="e">
        <f>(Links!Y55^2+'Off-Ramp'!Q55^2)/(Links!Y55+'Off-Ramp'!Q55)</f>
        <v>#DIV/0!</v>
      </c>
      <c r="BW55" s="61" t="e">
        <f>(Links!Z55^2+'Off-Ramp'!R55^2)/(Links!Z55+'Off-Ramp'!R55)</f>
        <v>#DIV/0!</v>
      </c>
      <c r="BX55" s="61" t="e">
        <f>(Links!AA55+'Off-Ramp'!S55)/(Links!AA55^2+'Off-Ramp'!S55^2)</f>
        <v>#DIV/0!</v>
      </c>
      <c r="BY55" s="61" t="e">
        <f>(Links!AB55^2+'Off-Ramp'!T55^2)/(Links!AB55+'Off-Ramp'!T55)</f>
        <v>#DIV/0!</v>
      </c>
      <c r="BZ55" s="61" t="e">
        <f>Links!AC55</f>
        <v>#DIV/0!</v>
      </c>
      <c r="CA55" s="61" t="e">
        <f>(Links!AD55^2+'Off-Ramp'!U55^2)/(Links!AD55+'Off-Ramp'!U55)</f>
        <v>#DIV/0!</v>
      </c>
    </row>
    <row r="56" spans="1:79" x14ac:dyDescent="0.15">
      <c r="A56" s="59">
        <v>54</v>
      </c>
      <c r="B56" s="60" t="e">
        <f t="shared" si="2"/>
        <v>#DIV/0!</v>
      </c>
      <c r="C56" s="60" t="e">
        <f t="shared" si="3"/>
        <v>#DIV/0!</v>
      </c>
      <c r="D56" s="60" t="e">
        <f t="shared" si="4"/>
        <v>#DIV/0!</v>
      </c>
      <c r="E56" s="60" t="e">
        <f t="shared" si="5"/>
        <v>#DIV/0!</v>
      </c>
      <c r="F56" s="60" t="e">
        <f t="shared" si="6"/>
        <v>#DIV/0!</v>
      </c>
      <c r="G56" s="60" t="e">
        <f t="shared" si="7"/>
        <v>#DIV/0!</v>
      </c>
      <c r="H56" s="60" t="e">
        <f t="shared" si="8"/>
        <v>#DIV/0!</v>
      </c>
      <c r="I56" s="60" t="e">
        <f t="shared" si="9"/>
        <v>#DIV/0!</v>
      </c>
      <c r="J56" s="60" t="e">
        <f t="shared" si="10"/>
        <v>#DIV/0!</v>
      </c>
      <c r="K56" s="60" t="e">
        <f t="shared" si="11"/>
        <v>#DIV/0!</v>
      </c>
      <c r="L56" s="60" t="e">
        <f t="shared" si="12"/>
        <v>#DIV/0!</v>
      </c>
      <c r="M56" s="60" t="e">
        <f t="shared" si="13"/>
        <v>#DIV/0!</v>
      </c>
      <c r="N56" s="60" t="e">
        <f t="shared" si="14"/>
        <v>#DIV/0!</v>
      </c>
      <c r="O56" s="61" t="e">
        <f>Links!B56</f>
        <v>#DIV/0!</v>
      </c>
      <c r="P56" s="61" t="e">
        <f>Links!C56+'On-Ramps'!AC56</f>
        <v>#DIV/0!</v>
      </c>
      <c r="Q56" s="61" t="e">
        <f>Links!D56</f>
        <v>#DIV/0!</v>
      </c>
      <c r="R56" s="61" t="e">
        <f>Links!E56+'On-Ramps'!AD56</f>
        <v>#DIV/0!</v>
      </c>
      <c r="S56" s="61" t="e">
        <f>Links!F56+'On-Ramps'!AE56</f>
        <v>#DIV/0!</v>
      </c>
      <c r="T56" s="61" t="e">
        <f>Links!G56+'On-Ramps'!AF56</f>
        <v>#DIV/0!</v>
      </c>
      <c r="U56" s="61" t="e">
        <f>Links!H56+'On-Ramps'!AG56</f>
        <v>#DIV/0!</v>
      </c>
      <c r="V56" s="61" t="e">
        <f>Links!J56+'On-Ramps'!AH56</f>
        <v>#DIV/0!</v>
      </c>
      <c r="W56" s="61" t="e">
        <f>Links!K56+'On-Ramps'!AI56</f>
        <v>#DIV/0!</v>
      </c>
      <c r="X56" s="61" t="e">
        <f>Links!L56+'On-Ramps'!AJ56</f>
        <v>#DIV/0!</v>
      </c>
      <c r="Y56" s="61" t="e">
        <f>Links!M56</f>
        <v>#DIV/0!</v>
      </c>
      <c r="Z56" s="61" t="e">
        <f>Links!N56+'On-Ramps'!AK56</f>
        <v>#DIV/0!</v>
      </c>
      <c r="AA56" s="61" t="e">
        <f>Links!O56</f>
        <v>#DIV/0!</v>
      </c>
      <c r="AB56" s="60" t="e">
        <f t="shared" si="17"/>
        <v>#DIV/0!</v>
      </c>
      <c r="AC56" s="60" t="e">
        <f t="shared" si="18"/>
        <v>#DIV/0!</v>
      </c>
      <c r="AD56" s="60" t="e">
        <f t="shared" si="19"/>
        <v>#DIV/0!</v>
      </c>
      <c r="AE56" s="60" t="e">
        <f t="shared" si="20"/>
        <v>#DIV/0!</v>
      </c>
      <c r="AF56" s="60" t="e">
        <f t="shared" si="21"/>
        <v>#DIV/0!</v>
      </c>
      <c r="AG56" s="60" t="e">
        <f t="shared" si="22"/>
        <v>#DIV/0!</v>
      </c>
      <c r="AH56" s="60" t="e">
        <f t="shared" si="23"/>
        <v>#DIV/0!</v>
      </c>
      <c r="AI56" s="60" t="e">
        <f t="shared" si="24"/>
        <v>#DIV/0!</v>
      </c>
      <c r="AJ56" s="60" t="e">
        <f t="shared" si="25"/>
        <v>#DIV/0!</v>
      </c>
      <c r="AK56" s="60" t="e">
        <f t="shared" si="26"/>
        <v>#DIV/0!</v>
      </c>
      <c r="AL56" s="60" t="e">
        <f t="shared" si="27"/>
        <v>#DIV/0!</v>
      </c>
      <c r="AM56" s="60" t="e">
        <f t="shared" si="28"/>
        <v>#DIV/0!</v>
      </c>
      <c r="AN56" s="60" t="e">
        <f t="shared" si="30"/>
        <v>#DIV/0!</v>
      </c>
      <c r="AO56" s="61" t="e">
        <f t="shared" si="31"/>
        <v>#DIV/0!</v>
      </c>
      <c r="AP56" s="61" t="e">
        <f t="shared" si="31"/>
        <v>#DIV/0!</v>
      </c>
      <c r="AQ56" s="61" t="e">
        <f t="shared" si="31"/>
        <v>#DIV/0!</v>
      </c>
      <c r="AR56" s="61" t="e">
        <f t="shared" si="31"/>
        <v>#DIV/0!</v>
      </c>
      <c r="AS56" s="61" t="e">
        <f t="shared" si="31"/>
        <v>#DIV/0!</v>
      </c>
      <c r="AT56" s="61" t="e">
        <f t="shared" si="31"/>
        <v>#DIV/0!</v>
      </c>
      <c r="AU56" s="61" t="e">
        <f t="shared" si="31"/>
        <v>#DIV/0!</v>
      </c>
      <c r="AV56" s="61" t="e">
        <f t="shared" si="31"/>
        <v>#DIV/0!</v>
      </c>
      <c r="AW56" s="61" t="e">
        <f t="shared" ref="AP56:BA77" si="32">AW$3</f>
        <v>#DIV/0!</v>
      </c>
      <c r="AX56" s="61" t="e">
        <f t="shared" si="32"/>
        <v>#DIV/0!</v>
      </c>
      <c r="AY56" s="61" t="e">
        <f t="shared" si="32"/>
        <v>#DIV/0!</v>
      </c>
      <c r="AZ56" s="61" t="e">
        <f t="shared" si="32"/>
        <v>#DIV/0!</v>
      </c>
      <c r="BA56" s="61" t="e">
        <f t="shared" si="32"/>
        <v>#DIV/0!</v>
      </c>
      <c r="BB56" s="60" t="e">
        <f>Links!AF56</f>
        <v>#DIV/0!</v>
      </c>
      <c r="BC56" s="60" t="e">
        <f>(Links!AG56*Links!C56+'On-Ramps'!AC56*'On-Ramps'!CE56)/('On-Ramps'!AC56+Links!C56)</f>
        <v>#DIV/0!</v>
      </c>
      <c r="BD56" s="60" t="e">
        <f>Links!AH56</f>
        <v>#DIV/0!</v>
      </c>
      <c r="BE56" s="60" t="e">
        <f>(Links!AI56*Links!E56+'On-Ramps'!AD56*'On-Ramps'!CF55)/('On-Ramps'!AD56+Links!E56)</f>
        <v>#DIV/0!</v>
      </c>
      <c r="BF56" s="60" t="e">
        <f>(Links!F56*Links!AJ56+'On-Ramps'!AE56*'On-Ramps'!CG56)/('On-Ramps'!AE56+Links!F56)</f>
        <v>#DIV/0!</v>
      </c>
      <c r="BG56" s="60" t="e">
        <f>(Links!G56*Links!AK56+'On-Ramps'!AF56*'On-Ramps'!CH56)/('On-Ramps'!AF56+Links!G56)</f>
        <v>#DIV/0!</v>
      </c>
      <c r="BH56" s="60" t="e">
        <f>(Links!H56*Links!AL56+'On-Ramps'!AG56*'On-Ramps'!CI56)/('On-Ramps'!AG56+Links!H56)</f>
        <v>#DIV/0!</v>
      </c>
      <c r="BI56" s="60" t="e">
        <f>(Links!J56*Links!AN56+'On-Ramps'!AH56*'On-Ramps'!CJ56)/('On-Ramps'!AH56+Links!J56)</f>
        <v>#DIV/0!</v>
      </c>
      <c r="BJ56" s="60" t="e">
        <f>(Links!K56*Links!AO56+'On-Ramps'!AI56*'On-Ramps'!CK56)/('On-Ramps'!AI56+Links!K56)</f>
        <v>#DIV/0!</v>
      </c>
      <c r="BK56" s="60" t="e">
        <f>(Links!L56*Links!AP56+'On-Ramps'!AJ56*'On-Ramps'!CL56)/(Links!L56+'On-Ramps'!AJ56)</f>
        <v>#DIV/0!</v>
      </c>
      <c r="BL56" s="60" t="e">
        <f>Links!AQ56</f>
        <v>#DIV/0!</v>
      </c>
      <c r="BM56" s="60" t="e">
        <f>(Links!N56*Links!AR56+'On-Ramps'!AL56*'On-Ramps'!CM56)/(Links!N56+'On-Ramps'!AL56)</f>
        <v>#DIV/0!</v>
      </c>
      <c r="BN56" s="60" t="e">
        <f>Links!AS56</f>
        <v>#DIV/0!</v>
      </c>
      <c r="BO56" s="61" t="e">
        <f>(Links!R56^2+'Off-Ramp'!L56^2)/(Links!R56+'Off-Ramp'!L56)</f>
        <v>#DIV/0!</v>
      </c>
      <c r="BP56" s="61" t="e">
        <f>Links!S56</f>
        <v>#DIV/0!</v>
      </c>
      <c r="BQ56" s="61" t="e">
        <f>(Links!S56^2+'Off-Ramp'!C56^2)/(Links!S56+'Off-Ramp'!C56)</f>
        <v>#DIV/0!</v>
      </c>
      <c r="BR56" s="61" t="e">
        <f>Links!T56</f>
        <v>#DIV/0!</v>
      </c>
      <c r="BS56" s="61" t="e">
        <f>(Links!U56^2+'Off-Ramp'!N56^2)/(Links!U56+'Off-Ramp'!N56)</f>
        <v>#DIV/0!</v>
      </c>
      <c r="BT56" s="61" t="e">
        <f>(Links!V56^2+'Off-Ramp'!O56^2)/(Links!V56+'Off-Ramp'!O56)</f>
        <v>#DIV/0!</v>
      </c>
      <c r="BU56" s="61" t="e">
        <f>(Links!W56^2+'Off-Ramp'!P56^2)/(Links!W56+'Off-Ramp'!P56)</f>
        <v>#DIV/0!</v>
      </c>
      <c r="BV56" s="61" t="e">
        <f>(Links!Y56^2+'Off-Ramp'!Q56^2)/(Links!Y56+'Off-Ramp'!Q56)</f>
        <v>#DIV/0!</v>
      </c>
      <c r="BW56" s="61" t="e">
        <f>(Links!Z56^2+'Off-Ramp'!R56^2)/(Links!Z56+'Off-Ramp'!R56)</f>
        <v>#DIV/0!</v>
      </c>
      <c r="BX56" s="61" t="e">
        <f>(Links!AA56+'Off-Ramp'!S56)/(Links!AA56^2+'Off-Ramp'!S56^2)</f>
        <v>#DIV/0!</v>
      </c>
      <c r="BY56" s="61" t="e">
        <f>(Links!AB56^2+'Off-Ramp'!T56^2)/(Links!AB56+'Off-Ramp'!T56)</f>
        <v>#DIV/0!</v>
      </c>
      <c r="BZ56" s="61" t="e">
        <f>Links!AC56</f>
        <v>#DIV/0!</v>
      </c>
      <c r="CA56" s="61" t="e">
        <f>(Links!AD56^2+'Off-Ramp'!U56^2)/(Links!AD56+'Off-Ramp'!U56)</f>
        <v>#DIV/0!</v>
      </c>
    </row>
    <row r="57" spans="1:79" x14ac:dyDescent="0.15">
      <c r="A57" s="59">
        <v>55</v>
      </c>
      <c r="B57" s="60" t="e">
        <f t="shared" si="2"/>
        <v>#DIV/0!</v>
      </c>
      <c r="C57" s="60" t="e">
        <f t="shared" si="3"/>
        <v>#DIV/0!</v>
      </c>
      <c r="D57" s="60" t="e">
        <f t="shared" si="4"/>
        <v>#DIV/0!</v>
      </c>
      <c r="E57" s="60" t="e">
        <f t="shared" si="5"/>
        <v>#DIV/0!</v>
      </c>
      <c r="F57" s="60" t="e">
        <f t="shared" si="6"/>
        <v>#DIV/0!</v>
      </c>
      <c r="G57" s="60" t="e">
        <f t="shared" si="7"/>
        <v>#DIV/0!</v>
      </c>
      <c r="H57" s="60" t="e">
        <f t="shared" si="8"/>
        <v>#DIV/0!</v>
      </c>
      <c r="I57" s="60" t="e">
        <f t="shared" si="9"/>
        <v>#DIV/0!</v>
      </c>
      <c r="J57" s="60" t="e">
        <f t="shared" si="10"/>
        <v>#DIV/0!</v>
      </c>
      <c r="K57" s="60" t="e">
        <f t="shared" si="11"/>
        <v>#DIV/0!</v>
      </c>
      <c r="L57" s="60" t="e">
        <f t="shared" si="12"/>
        <v>#DIV/0!</v>
      </c>
      <c r="M57" s="60" t="e">
        <f t="shared" si="13"/>
        <v>#DIV/0!</v>
      </c>
      <c r="N57" s="60" t="e">
        <f t="shared" si="14"/>
        <v>#DIV/0!</v>
      </c>
      <c r="O57" s="61" t="e">
        <f>Links!B57</f>
        <v>#DIV/0!</v>
      </c>
      <c r="P57" s="61" t="e">
        <f>Links!C57+'On-Ramps'!AC57</f>
        <v>#DIV/0!</v>
      </c>
      <c r="Q57" s="61" t="e">
        <f>Links!D57</f>
        <v>#DIV/0!</v>
      </c>
      <c r="R57" s="61" t="e">
        <f>Links!E57+'On-Ramps'!AD57</f>
        <v>#DIV/0!</v>
      </c>
      <c r="S57" s="61" t="e">
        <f>Links!F57+'On-Ramps'!AE57</f>
        <v>#DIV/0!</v>
      </c>
      <c r="T57" s="61" t="e">
        <f>Links!G57+'On-Ramps'!AF57</f>
        <v>#DIV/0!</v>
      </c>
      <c r="U57" s="61" t="e">
        <f>Links!H57+'On-Ramps'!AG57</f>
        <v>#DIV/0!</v>
      </c>
      <c r="V57" s="61" t="e">
        <f>Links!J57+'On-Ramps'!AH57</f>
        <v>#DIV/0!</v>
      </c>
      <c r="W57" s="61" t="e">
        <f>Links!K57+'On-Ramps'!AI57</f>
        <v>#DIV/0!</v>
      </c>
      <c r="X57" s="61" t="e">
        <f>Links!L57+'On-Ramps'!AJ57</f>
        <v>#DIV/0!</v>
      </c>
      <c r="Y57" s="61" t="e">
        <f>Links!M57</f>
        <v>#DIV/0!</v>
      </c>
      <c r="Z57" s="61" t="e">
        <f>Links!N57+'On-Ramps'!AK57</f>
        <v>#DIV/0!</v>
      </c>
      <c r="AA57" s="61" t="e">
        <f>Links!O57</f>
        <v>#DIV/0!</v>
      </c>
      <c r="AB57" s="60" t="e">
        <f t="shared" si="17"/>
        <v>#DIV/0!</v>
      </c>
      <c r="AC57" s="60" t="e">
        <f t="shared" si="18"/>
        <v>#DIV/0!</v>
      </c>
      <c r="AD57" s="60" t="e">
        <f t="shared" si="19"/>
        <v>#DIV/0!</v>
      </c>
      <c r="AE57" s="60" t="e">
        <f t="shared" si="20"/>
        <v>#DIV/0!</v>
      </c>
      <c r="AF57" s="60" t="e">
        <f t="shared" si="21"/>
        <v>#DIV/0!</v>
      </c>
      <c r="AG57" s="60" t="e">
        <f t="shared" si="22"/>
        <v>#DIV/0!</v>
      </c>
      <c r="AH57" s="60" t="e">
        <f t="shared" si="23"/>
        <v>#DIV/0!</v>
      </c>
      <c r="AI57" s="60" t="e">
        <f t="shared" si="24"/>
        <v>#DIV/0!</v>
      </c>
      <c r="AJ57" s="60" t="e">
        <f t="shared" si="25"/>
        <v>#DIV/0!</v>
      </c>
      <c r="AK57" s="60" t="e">
        <f t="shared" si="26"/>
        <v>#DIV/0!</v>
      </c>
      <c r="AL57" s="60" t="e">
        <f t="shared" si="27"/>
        <v>#DIV/0!</v>
      </c>
      <c r="AM57" s="60" t="e">
        <f t="shared" si="28"/>
        <v>#DIV/0!</v>
      </c>
      <c r="AN57" s="60" t="e">
        <f t="shared" si="30"/>
        <v>#DIV/0!</v>
      </c>
      <c r="AO57" s="61" t="e">
        <f t="shared" ref="AO57:AO120" si="33">AO$3</f>
        <v>#DIV/0!</v>
      </c>
      <c r="AP57" s="61" t="e">
        <f t="shared" si="32"/>
        <v>#DIV/0!</v>
      </c>
      <c r="AQ57" s="61" t="e">
        <f t="shared" si="32"/>
        <v>#DIV/0!</v>
      </c>
      <c r="AR57" s="61" t="e">
        <f t="shared" si="32"/>
        <v>#DIV/0!</v>
      </c>
      <c r="AS57" s="61" t="e">
        <f t="shared" si="32"/>
        <v>#DIV/0!</v>
      </c>
      <c r="AT57" s="61" t="e">
        <f t="shared" si="32"/>
        <v>#DIV/0!</v>
      </c>
      <c r="AU57" s="61" t="e">
        <f t="shared" si="32"/>
        <v>#DIV/0!</v>
      </c>
      <c r="AV57" s="61" t="e">
        <f t="shared" si="32"/>
        <v>#DIV/0!</v>
      </c>
      <c r="AW57" s="61" t="e">
        <f t="shared" si="32"/>
        <v>#DIV/0!</v>
      </c>
      <c r="AX57" s="61" t="e">
        <f t="shared" si="32"/>
        <v>#DIV/0!</v>
      </c>
      <c r="AY57" s="61" t="e">
        <f t="shared" si="32"/>
        <v>#DIV/0!</v>
      </c>
      <c r="AZ57" s="61" t="e">
        <f t="shared" si="32"/>
        <v>#DIV/0!</v>
      </c>
      <c r="BA57" s="61" t="e">
        <f t="shared" si="32"/>
        <v>#DIV/0!</v>
      </c>
      <c r="BB57" s="60" t="e">
        <f>Links!AF57</f>
        <v>#DIV/0!</v>
      </c>
      <c r="BC57" s="60" t="e">
        <f>(Links!AG57*Links!C57+'On-Ramps'!AC57*'On-Ramps'!CE57)/('On-Ramps'!AC57+Links!C57)</f>
        <v>#DIV/0!</v>
      </c>
      <c r="BD57" s="60" t="e">
        <f>Links!AH57</f>
        <v>#DIV/0!</v>
      </c>
      <c r="BE57" s="60" t="e">
        <f>(Links!AI57*Links!E57+'On-Ramps'!AD57*'On-Ramps'!CF56)/('On-Ramps'!AD57+Links!E57)</f>
        <v>#DIV/0!</v>
      </c>
      <c r="BF57" s="60" t="e">
        <f>(Links!F57*Links!AJ57+'On-Ramps'!AE57*'On-Ramps'!CG57)/('On-Ramps'!AE57+Links!F57)</f>
        <v>#DIV/0!</v>
      </c>
      <c r="BG57" s="60" t="e">
        <f>(Links!G57*Links!AK57+'On-Ramps'!AF57*'On-Ramps'!CH57)/('On-Ramps'!AF57+Links!G57)</f>
        <v>#DIV/0!</v>
      </c>
      <c r="BH57" s="60" t="e">
        <f>(Links!H57*Links!AL57+'On-Ramps'!AG57*'On-Ramps'!CI57)/('On-Ramps'!AG57+Links!H57)</f>
        <v>#DIV/0!</v>
      </c>
      <c r="BI57" s="60" t="e">
        <f>(Links!J57*Links!AN57+'On-Ramps'!AH57*'On-Ramps'!CJ57)/('On-Ramps'!AH57+Links!J57)</f>
        <v>#DIV/0!</v>
      </c>
      <c r="BJ57" s="60" t="e">
        <f>(Links!K57*Links!AO57+'On-Ramps'!AI57*'On-Ramps'!CK57)/('On-Ramps'!AI57+Links!K57)</f>
        <v>#DIV/0!</v>
      </c>
      <c r="BK57" s="60" t="e">
        <f>(Links!L57*Links!AP57+'On-Ramps'!AJ57*'On-Ramps'!CL57)/(Links!L57+'On-Ramps'!AJ57)</f>
        <v>#DIV/0!</v>
      </c>
      <c r="BL57" s="60" t="e">
        <f>Links!AQ57</f>
        <v>#DIV/0!</v>
      </c>
      <c r="BM57" s="60" t="e">
        <f>(Links!N57*Links!AR57+'On-Ramps'!AL57*'On-Ramps'!CM57)/(Links!N57+'On-Ramps'!AL57)</f>
        <v>#DIV/0!</v>
      </c>
      <c r="BN57" s="60" t="e">
        <f>Links!AS57</f>
        <v>#DIV/0!</v>
      </c>
      <c r="BO57" s="61" t="e">
        <f>(Links!R57^2+'Off-Ramp'!L57^2)/(Links!R57+'Off-Ramp'!L57)</f>
        <v>#DIV/0!</v>
      </c>
      <c r="BP57" s="61" t="e">
        <f>Links!S57</f>
        <v>#DIV/0!</v>
      </c>
      <c r="BQ57" s="61" t="e">
        <f>(Links!S57^2+'Off-Ramp'!C57^2)/(Links!S57+'Off-Ramp'!C57)</f>
        <v>#DIV/0!</v>
      </c>
      <c r="BR57" s="61" t="e">
        <f>Links!T57</f>
        <v>#DIV/0!</v>
      </c>
      <c r="BS57" s="61" t="e">
        <f>(Links!U57^2+'Off-Ramp'!N57^2)/(Links!U57+'Off-Ramp'!N57)</f>
        <v>#DIV/0!</v>
      </c>
      <c r="BT57" s="61" t="e">
        <f>(Links!V57^2+'Off-Ramp'!O57^2)/(Links!V57+'Off-Ramp'!O57)</f>
        <v>#DIV/0!</v>
      </c>
      <c r="BU57" s="61" t="e">
        <f>(Links!W57^2+'Off-Ramp'!P57^2)/(Links!W57+'Off-Ramp'!P57)</f>
        <v>#DIV/0!</v>
      </c>
      <c r="BV57" s="61" t="e">
        <f>(Links!Y57^2+'Off-Ramp'!Q57^2)/(Links!Y57+'Off-Ramp'!Q57)</f>
        <v>#DIV/0!</v>
      </c>
      <c r="BW57" s="61" t="e">
        <f>(Links!Z57^2+'Off-Ramp'!R57^2)/(Links!Z57+'Off-Ramp'!R57)</f>
        <v>#DIV/0!</v>
      </c>
      <c r="BX57" s="61" t="e">
        <f>(Links!AA57+'Off-Ramp'!S57)/(Links!AA57^2+'Off-Ramp'!S57^2)</f>
        <v>#DIV/0!</v>
      </c>
      <c r="BY57" s="61" t="e">
        <f>(Links!AB57^2+'Off-Ramp'!T57^2)/(Links!AB57+'Off-Ramp'!T57)</f>
        <v>#DIV/0!</v>
      </c>
      <c r="BZ57" s="61" t="e">
        <f>Links!AC57</f>
        <v>#DIV/0!</v>
      </c>
      <c r="CA57" s="61" t="e">
        <f>(Links!AD57^2+'Off-Ramp'!U57^2)/(Links!AD57+'Off-Ramp'!U57)</f>
        <v>#DIV/0!</v>
      </c>
    </row>
    <row r="58" spans="1:79" x14ac:dyDescent="0.15">
      <c r="A58" s="59">
        <v>56</v>
      </c>
      <c r="B58" s="60" t="e">
        <f t="shared" si="2"/>
        <v>#DIV/0!</v>
      </c>
      <c r="C58" s="60" t="e">
        <f t="shared" si="3"/>
        <v>#DIV/0!</v>
      </c>
      <c r="D58" s="60" t="e">
        <f t="shared" si="4"/>
        <v>#DIV/0!</v>
      </c>
      <c r="E58" s="60" t="e">
        <f t="shared" si="5"/>
        <v>#DIV/0!</v>
      </c>
      <c r="F58" s="60" t="e">
        <f t="shared" si="6"/>
        <v>#DIV/0!</v>
      </c>
      <c r="G58" s="60" t="e">
        <f t="shared" si="7"/>
        <v>#DIV/0!</v>
      </c>
      <c r="H58" s="60" t="e">
        <f t="shared" si="8"/>
        <v>#DIV/0!</v>
      </c>
      <c r="I58" s="60" t="e">
        <f t="shared" si="9"/>
        <v>#DIV/0!</v>
      </c>
      <c r="J58" s="60" t="e">
        <f t="shared" si="10"/>
        <v>#DIV/0!</v>
      </c>
      <c r="K58" s="60" t="e">
        <f t="shared" si="11"/>
        <v>#DIV/0!</v>
      </c>
      <c r="L58" s="60" t="e">
        <f t="shared" si="12"/>
        <v>#DIV/0!</v>
      </c>
      <c r="M58" s="60" t="e">
        <f t="shared" si="13"/>
        <v>#DIV/0!</v>
      </c>
      <c r="N58" s="60" t="e">
        <f t="shared" si="14"/>
        <v>#DIV/0!</v>
      </c>
      <c r="O58" s="61" t="e">
        <f>Links!B58</f>
        <v>#DIV/0!</v>
      </c>
      <c r="P58" s="61" t="e">
        <f>Links!C58+'On-Ramps'!AC58</f>
        <v>#DIV/0!</v>
      </c>
      <c r="Q58" s="61" t="e">
        <f>Links!D58</f>
        <v>#DIV/0!</v>
      </c>
      <c r="R58" s="61" t="e">
        <f>Links!E58+'On-Ramps'!AD58</f>
        <v>#DIV/0!</v>
      </c>
      <c r="S58" s="61" t="e">
        <f>Links!F58+'On-Ramps'!AE58</f>
        <v>#DIV/0!</v>
      </c>
      <c r="T58" s="61" t="e">
        <f>Links!G58+'On-Ramps'!AF58</f>
        <v>#DIV/0!</v>
      </c>
      <c r="U58" s="61" t="e">
        <f>Links!H58+'On-Ramps'!AG58</f>
        <v>#DIV/0!</v>
      </c>
      <c r="V58" s="61" t="e">
        <f>Links!J58+'On-Ramps'!AH58</f>
        <v>#DIV/0!</v>
      </c>
      <c r="W58" s="61" t="e">
        <f>Links!K58+'On-Ramps'!AI58</f>
        <v>#DIV/0!</v>
      </c>
      <c r="X58" s="61" t="e">
        <f>Links!L58+'On-Ramps'!AJ58</f>
        <v>#DIV/0!</v>
      </c>
      <c r="Y58" s="61" t="e">
        <f>Links!M58</f>
        <v>#DIV/0!</v>
      </c>
      <c r="Z58" s="61" t="e">
        <f>Links!N58+'On-Ramps'!AK58</f>
        <v>#DIV/0!</v>
      </c>
      <c r="AA58" s="61" t="e">
        <f>Links!O58</f>
        <v>#DIV/0!</v>
      </c>
      <c r="AB58" s="60" t="e">
        <f t="shared" si="17"/>
        <v>#DIV/0!</v>
      </c>
      <c r="AC58" s="60" t="e">
        <f t="shared" si="18"/>
        <v>#DIV/0!</v>
      </c>
      <c r="AD58" s="60" t="e">
        <f t="shared" si="19"/>
        <v>#DIV/0!</v>
      </c>
      <c r="AE58" s="60" t="e">
        <f t="shared" si="20"/>
        <v>#DIV/0!</v>
      </c>
      <c r="AF58" s="60" t="e">
        <f t="shared" si="21"/>
        <v>#DIV/0!</v>
      </c>
      <c r="AG58" s="60" t="e">
        <f t="shared" si="22"/>
        <v>#DIV/0!</v>
      </c>
      <c r="AH58" s="60" t="e">
        <f t="shared" si="23"/>
        <v>#DIV/0!</v>
      </c>
      <c r="AI58" s="60" t="e">
        <f t="shared" si="24"/>
        <v>#DIV/0!</v>
      </c>
      <c r="AJ58" s="60" t="e">
        <f t="shared" si="25"/>
        <v>#DIV/0!</v>
      </c>
      <c r="AK58" s="60" t="e">
        <f t="shared" si="26"/>
        <v>#DIV/0!</v>
      </c>
      <c r="AL58" s="60" t="e">
        <f t="shared" si="27"/>
        <v>#DIV/0!</v>
      </c>
      <c r="AM58" s="60" t="e">
        <f t="shared" si="28"/>
        <v>#DIV/0!</v>
      </c>
      <c r="AN58" s="60" t="e">
        <f t="shared" si="30"/>
        <v>#DIV/0!</v>
      </c>
      <c r="AO58" s="61" t="e">
        <f t="shared" si="33"/>
        <v>#DIV/0!</v>
      </c>
      <c r="AP58" s="61" t="e">
        <f t="shared" si="32"/>
        <v>#DIV/0!</v>
      </c>
      <c r="AQ58" s="61" t="e">
        <f t="shared" si="32"/>
        <v>#DIV/0!</v>
      </c>
      <c r="AR58" s="61" t="e">
        <f t="shared" si="32"/>
        <v>#DIV/0!</v>
      </c>
      <c r="AS58" s="61" t="e">
        <f t="shared" si="32"/>
        <v>#DIV/0!</v>
      </c>
      <c r="AT58" s="61" t="e">
        <f t="shared" si="32"/>
        <v>#DIV/0!</v>
      </c>
      <c r="AU58" s="61" t="e">
        <f t="shared" si="32"/>
        <v>#DIV/0!</v>
      </c>
      <c r="AV58" s="61" t="e">
        <f t="shared" si="32"/>
        <v>#DIV/0!</v>
      </c>
      <c r="AW58" s="61" t="e">
        <f t="shared" si="32"/>
        <v>#DIV/0!</v>
      </c>
      <c r="AX58" s="61" t="e">
        <f t="shared" si="32"/>
        <v>#DIV/0!</v>
      </c>
      <c r="AY58" s="61" t="e">
        <f t="shared" si="32"/>
        <v>#DIV/0!</v>
      </c>
      <c r="AZ58" s="61" t="e">
        <f t="shared" si="32"/>
        <v>#DIV/0!</v>
      </c>
      <c r="BA58" s="61" t="e">
        <f t="shared" si="32"/>
        <v>#DIV/0!</v>
      </c>
      <c r="BB58" s="60" t="e">
        <f>Links!AF58</f>
        <v>#DIV/0!</v>
      </c>
      <c r="BC58" s="60" t="e">
        <f>(Links!AG58*Links!C58+'On-Ramps'!AC58*'On-Ramps'!CE58)/('On-Ramps'!AC58+Links!C58)</f>
        <v>#DIV/0!</v>
      </c>
      <c r="BD58" s="60" t="e">
        <f>Links!AH58</f>
        <v>#DIV/0!</v>
      </c>
      <c r="BE58" s="60" t="e">
        <f>(Links!AI58*Links!E58+'On-Ramps'!AD58*'On-Ramps'!CF57)/('On-Ramps'!AD58+Links!E58)</f>
        <v>#DIV/0!</v>
      </c>
      <c r="BF58" s="60" t="e">
        <f>(Links!F58*Links!AJ58+'On-Ramps'!AE58*'On-Ramps'!CG58)/('On-Ramps'!AE58+Links!F58)</f>
        <v>#DIV/0!</v>
      </c>
      <c r="BG58" s="60" t="e">
        <f>(Links!G58*Links!AK58+'On-Ramps'!AF58*'On-Ramps'!CH58)/('On-Ramps'!AF58+Links!G58)</f>
        <v>#DIV/0!</v>
      </c>
      <c r="BH58" s="60" t="e">
        <f>(Links!H58*Links!AL58+'On-Ramps'!AG58*'On-Ramps'!CI58)/('On-Ramps'!AG58+Links!H58)</f>
        <v>#DIV/0!</v>
      </c>
      <c r="BI58" s="60" t="e">
        <f>(Links!J58*Links!AN58+'On-Ramps'!AH58*'On-Ramps'!CJ58)/('On-Ramps'!AH58+Links!J58)</f>
        <v>#DIV/0!</v>
      </c>
      <c r="BJ58" s="60" t="e">
        <f>(Links!K58*Links!AO58+'On-Ramps'!AI58*'On-Ramps'!CK58)/('On-Ramps'!AI58+Links!K58)</f>
        <v>#DIV/0!</v>
      </c>
      <c r="BK58" s="60" t="e">
        <f>(Links!L58*Links!AP58+'On-Ramps'!AJ58*'On-Ramps'!CL58)/(Links!L58+'On-Ramps'!AJ58)</f>
        <v>#DIV/0!</v>
      </c>
      <c r="BL58" s="60" t="e">
        <f>Links!AQ58</f>
        <v>#DIV/0!</v>
      </c>
      <c r="BM58" s="60" t="e">
        <f>(Links!N58*Links!AR58+'On-Ramps'!AL58*'On-Ramps'!CM58)/(Links!N58+'On-Ramps'!AL58)</f>
        <v>#DIV/0!</v>
      </c>
      <c r="BN58" s="60" t="e">
        <f>Links!AS58</f>
        <v>#DIV/0!</v>
      </c>
      <c r="BO58" s="61" t="e">
        <f>(Links!R58^2+'Off-Ramp'!L58^2)/(Links!R58+'Off-Ramp'!L58)</f>
        <v>#DIV/0!</v>
      </c>
      <c r="BP58" s="61" t="e">
        <f>Links!S58</f>
        <v>#DIV/0!</v>
      </c>
      <c r="BQ58" s="61" t="e">
        <f>(Links!S58^2+'Off-Ramp'!C58^2)/(Links!S58+'Off-Ramp'!C58)</f>
        <v>#DIV/0!</v>
      </c>
      <c r="BR58" s="61" t="e">
        <f>Links!T58</f>
        <v>#DIV/0!</v>
      </c>
      <c r="BS58" s="61" t="e">
        <f>(Links!U58^2+'Off-Ramp'!N58^2)/(Links!U58+'Off-Ramp'!N58)</f>
        <v>#DIV/0!</v>
      </c>
      <c r="BT58" s="61" t="e">
        <f>(Links!V58^2+'Off-Ramp'!O58^2)/(Links!V58+'Off-Ramp'!O58)</f>
        <v>#DIV/0!</v>
      </c>
      <c r="BU58" s="61" t="e">
        <f>(Links!W58^2+'Off-Ramp'!P58^2)/(Links!W58+'Off-Ramp'!P58)</f>
        <v>#DIV/0!</v>
      </c>
      <c r="BV58" s="61" t="e">
        <f>(Links!Y58^2+'Off-Ramp'!Q58^2)/(Links!Y58+'Off-Ramp'!Q58)</f>
        <v>#DIV/0!</v>
      </c>
      <c r="BW58" s="61" t="e">
        <f>(Links!Z58^2+'Off-Ramp'!R58^2)/(Links!Z58+'Off-Ramp'!R58)</f>
        <v>#DIV/0!</v>
      </c>
      <c r="BX58" s="61" t="e">
        <f>(Links!AA58+'Off-Ramp'!S58)/(Links!AA58^2+'Off-Ramp'!S58^2)</f>
        <v>#DIV/0!</v>
      </c>
      <c r="BY58" s="61" t="e">
        <f>(Links!AB58^2+'Off-Ramp'!T58^2)/(Links!AB58+'Off-Ramp'!T58)</f>
        <v>#DIV/0!</v>
      </c>
      <c r="BZ58" s="61" t="e">
        <f>Links!AC58</f>
        <v>#DIV/0!</v>
      </c>
      <c r="CA58" s="61" t="e">
        <f>(Links!AD58^2+'Off-Ramp'!U58^2)/(Links!AD58+'Off-Ramp'!U58)</f>
        <v>#DIV/0!</v>
      </c>
    </row>
    <row r="59" spans="1:79" x14ac:dyDescent="0.15">
      <c r="A59" s="59">
        <v>57</v>
      </c>
      <c r="B59" s="60" t="e">
        <f t="shared" si="2"/>
        <v>#DIV/0!</v>
      </c>
      <c r="C59" s="60" t="e">
        <f t="shared" si="3"/>
        <v>#DIV/0!</v>
      </c>
      <c r="D59" s="60" t="e">
        <f t="shared" si="4"/>
        <v>#DIV/0!</v>
      </c>
      <c r="E59" s="60" t="e">
        <f t="shared" si="5"/>
        <v>#DIV/0!</v>
      </c>
      <c r="F59" s="60" t="e">
        <f t="shared" si="6"/>
        <v>#DIV/0!</v>
      </c>
      <c r="G59" s="60" t="e">
        <f t="shared" si="7"/>
        <v>#DIV/0!</v>
      </c>
      <c r="H59" s="60" t="e">
        <f t="shared" si="8"/>
        <v>#DIV/0!</v>
      </c>
      <c r="I59" s="60" t="e">
        <f t="shared" si="9"/>
        <v>#DIV/0!</v>
      </c>
      <c r="J59" s="60" t="e">
        <f t="shared" si="10"/>
        <v>#DIV/0!</v>
      </c>
      <c r="K59" s="60" t="e">
        <f t="shared" si="11"/>
        <v>#DIV/0!</v>
      </c>
      <c r="L59" s="60" t="e">
        <f t="shared" si="12"/>
        <v>#DIV/0!</v>
      </c>
      <c r="M59" s="60" t="e">
        <f t="shared" si="13"/>
        <v>#DIV/0!</v>
      </c>
      <c r="N59" s="60" t="e">
        <f t="shared" si="14"/>
        <v>#DIV/0!</v>
      </c>
      <c r="O59" s="61" t="e">
        <f>Links!B59</f>
        <v>#DIV/0!</v>
      </c>
      <c r="P59" s="61" t="e">
        <f>Links!C59+'On-Ramps'!AC59</f>
        <v>#DIV/0!</v>
      </c>
      <c r="Q59" s="61" t="e">
        <f>Links!D59</f>
        <v>#DIV/0!</v>
      </c>
      <c r="R59" s="61" t="e">
        <f>Links!E59+'On-Ramps'!AD59</f>
        <v>#DIV/0!</v>
      </c>
      <c r="S59" s="61" t="e">
        <f>Links!F59+'On-Ramps'!AE59</f>
        <v>#DIV/0!</v>
      </c>
      <c r="T59" s="61" t="e">
        <f>Links!G59+'On-Ramps'!AF59</f>
        <v>#DIV/0!</v>
      </c>
      <c r="U59" s="61" t="e">
        <f>Links!H59+'On-Ramps'!AG59</f>
        <v>#DIV/0!</v>
      </c>
      <c r="V59" s="61" t="e">
        <f>Links!J59+'On-Ramps'!AH59</f>
        <v>#DIV/0!</v>
      </c>
      <c r="W59" s="61" t="e">
        <f>Links!K59+'On-Ramps'!AI59</f>
        <v>#DIV/0!</v>
      </c>
      <c r="X59" s="61" t="e">
        <f>Links!L59+'On-Ramps'!AJ59</f>
        <v>#DIV/0!</v>
      </c>
      <c r="Y59" s="61" t="e">
        <f>Links!M59</f>
        <v>#DIV/0!</v>
      </c>
      <c r="Z59" s="61" t="e">
        <f>Links!N59+'On-Ramps'!AK59</f>
        <v>#DIV/0!</v>
      </c>
      <c r="AA59" s="61" t="e">
        <f>Links!O59</f>
        <v>#DIV/0!</v>
      </c>
      <c r="AB59" s="60" t="e">
        <f t="shared" si="17"/>
        <v>#DIV/0!</v>
      </c>
      <c r="AC59" s="60" t="e">
        <f t="shared" si="18"/>
        <v>#DIV/0!</v>
      </c>
      <c r="AD59" s="60" t="e">
        <f t="shared" si="19"/>
        <v>#DIV/0!</v>
      </c>
      <c r="AE59" s="60" t="e">
        <f t="shared" si="20"/>
        <v>#DIV/0!</v>
      </c>
      <c r="AF59" s="60" t="e">
        <f t="shared" si="21"/>
        <v>#DIV/0!</v>
      </c>
      <c r="AG59" s="60" t="e">
        <f t="shared" si="22"/>
        <v>#DIV/0!</v>
      </c>
      <c r="AH59" s="60" t="e">
        <f t="shared" si="23"/>
        <v>#DIV/0!</v>
      </c>
      <c r="AI59" s="60" t="e">
        <f t="shared" si="24"/>
        <v>#DIV/0!</v>
      </c>
      <c r="AJ59" s="60" t="e">
        <f t="shared" si="25"/>
        <v>#DIV/0!</v>
      </c>
      <c r="AK59" s="60" t="e">
        <f t="shared" si="26"/>
        <v>#DIV/0!</v>
      </c>
      <c r="AL59" s="60" t="e">
        <f t="shared" si="27"/>
        <v>#DIV/0!</v>
      </c>
      <c r="AM59" s="60" t="e">
        <f t="shared" si="28"/>
        <v>#DIV/0!</v>
      </c>
      <c r="AN59" s="60" t="e">
        <f t="shared" si="30"/>
        <v>#DIV/0!</v>
      </c>
      <c r="AO59" s="61" t="e">
        <f t="shared" si="33"/>
        <v>#DIV/0!</v>
      </c>
      <c r="AP59" s="61" t="e">
        <f t="shared" si="32"/>
        <v>#DIV/0!</v>
      </c>
      <c r="AQ59" s="61" t="e">
        <f t="shared" si="32"/>
        <v>#DIV/0!</v>
      </c>
      <c r="AR59" s="61" t="e">
        <f t="shared" si="32"/>
        <v>#DIV/0!</v>
      </c>
      <c r="AS59" s="61" t="e">
        <f t="shared" si="32"/>
        <v>#DIV/0!</v>
      </c>
      <c r="AT59" s="61" t="e">
        <f t="shared" si="32"/>
        <v>#DIV/0!</v>
      </c>
      <c r="AU59" s="61" t="e">
        <f t="shared" si="32"/>
        <v>#DIV/0!</v>
      </c>
      <c r="AV59" s="61" t="e">
        <f t="shared" si="32"/>
        <v>#DIV/0!</v>
      </c>
      <c r="AW59" s="61" t="e">
        <f t="shared" si="32"/>
        <v>#DIV/0!</v>
      </c>
      <c r="AX59" s="61" t="e">
        <f t="shared" si="32"/>
        <v>#DIV/0!</v>
      </c>
      <c r="AY59" s="61" t="e">
        <f t="shared" si="32"/>
        <v>#DIV/0!</v>
      </c>
      <c r="AZ59" s="61" t="e">
        <f t="shared" si="32"/>
        <v>#DIV/0!</v>
      </c>
      <c r="BA59" s="61" t="e">
        <f t="shared" si="32"/>
        <v>#DIV/0!</v>
      </c>
      <c r="BB59" s="60" t="e">
        <f>Links!AF59</f>
        <v>#DIV/0!</v>
      </c>
      <c r="BC59" s="60" t="e">
        <f>(Links!AG59*Links!C59+'On-Ramps'!AC59*'On-Ramps'!CE59)/('On-Ramps'!AC59+Links!C59)</f>
        <v>#DIV/0!</v>
      </c>
      <c r="BD59" s="60" t="e">
        <f>Links!AH59</f>
        <v>#DIV/0!</v>
      </c>
      <c r="BE59" s="60" t="e">
        <f>(Links!AI59*Links!E59+'On-Ramps'!AD59*'On-Ramps'!CF58)/('On-Ramps'!AD59+Links!E59)</f>
        <v>#DIV/0!</v>
      </c>
      <c r="BF59" s="60" t="e">
        <f>(Links!F59*Links!AJ59+'On-Ramps'!AE59*'On-Ramps'!CG59)/('On-Ramps'!AE59+Links!F59)</f>
        <v>#DIV/0!</v>
      </c>
      <c r="BG59" s="60" t="e">
        <f>(Links!G59*Links!AK59+'On-Ramps'!AF59*'On-Ramps'!CH59)/('On-Ramps'!AF59+Links!G59)</f>
        <v>#DIV/0!</v>
      </c>
      <c r="BH59" s="60" t="e">
        <f>(Links!H59*Links!AL59+'On-Ramps'!AG59*'On-Ramps'!CI59)/('On-Ramps'!AG59+Links!H59)</f>
        <v>#DIV/0!</v>
      </c>
      <c r="BI59" s="60" t="e">
        <f>(Links!J59*Links!AN59+'On-Ramps'!AH59*'On-Ramps'!CJ59)/('On-Ramps'!AH59+Links!J59)</f>
        <v>#DIV/0!</v>
      </c>
      <c r="BJ59" s="60" t="e">
        <f>(Links!K59*Links!AO59+'On-Ramps'!AI59*'On-Ramps'!CK59)/('On-Ramps'!AI59+Links!K59)</f>
        <v>#DIV/0!</v>
      </c>
      <c r="BK59" s="60" t="e">
        <f>(Links!L59*Links!AP59+'On-Ramps'!AJ59*'On-Ramps'!CL59)/(Links!L59+'On-Ramps'!AJ59)</f>
        <v>#DIV/0!</v>
      </c>
      <c r="BL59" s="60" t="e">
        <f>Links!AQ59</f>
        <v>#DIV/0!</v>
      </c>
      <c r="BM59" s="60" t="e">
        <f>(Links!N59*Links!AR59+'On-Ramps'!AL59*'On-Ramps'!CM59)/(Links!N59+'On-Ramps'!AL59)</f>
        <v>#DIV/0!</v>
      </c>
      <c r="BN59" s="60" t="e">
        <f>Links!AS59</f>
        <v>#DIV/0!</v>
      </c>
      <c r="BO59" s="61" t="e">
        <f>(Links!R59^2+'Off-Ramp'!L59^2)/(Links!R59+'Off-Ramp'!L59)</f>
        <v>#DIV/0!</v>
      </c>
      <c r="BP59" s="61" t="e">
        <f>Links!S59</f>
        <v>#DIV/0!</v>
      </c>
      <c r="BQ59" s="61" t="e">
        <f>(Links!S59^2+'Off-Ramp'!C59^2)/(Links!S59+'Off-Ramp'!C59)</f>
        <v>#DIV/0!</v>
      </c>
      <c r="BR59" s="61" t="e">
        <f>Links!T59</f>
        <v>#DIV/0!</v>
      </c>
      <c r="BS59" s="61" t="e">
        <f>(Links!U59^2+'Off-Ramp'!N59^2)/(Links!U59+'Off-Ramp'!N59)</f>
        <v>#DIV/0!</v>
      </c>
      <c r="BT59" s="61" t="e">
        <f>(Links!V59^2+'Off-Ramp'!O59^2)/(Links!V59+'Off-Ramp'!O59)</f>
        <v>#DIV/0!</v>
      </c>
      <c r="BU59" s="61" t="e">
        <f>(Links!W59^2+'Off-Ramp'!P59^2)/(Links!W59+'Off-Ramp'!P59)</f>
        <v>#DIV/0!</v>
      </c>
      <c r="BV59" s="61" t="e">
        <f>(Links!Y59^2+'Off-Ramp'!Q59^2)/(Links!Y59+'Off-Ramp'!Q59)</f>
        <v>#DIV/0!</v>
      </c>
      <c r="BW59" s="61" t="e">
        <f>(Links!Z59^2+'Off-Ramp'!R59^2)/(Links!Z59+'Off-Ramp'!R59)</f>
        <v>#DIV/0!</v>
      </c>
      <c r="BX59" s="61" t="e">
        <f>(Links!AA59+'Off-Ramp'!S59)/(Links!AA59^2+'Off-Ramp'!S59^2)</f>
        <v>#DIV/0!</v>
      </c>
      <c r="BY59" s="61" t="e">
        <f>(Links!AB59^2+'Off-Ramp'!T59^2)/(Links!AB59+'Off-Ramp'!T59)</f>
        <v>#DIV/0!</v>
      </c>
      <c r="BZ59" s="61" t="e">
        <f>Links!AC59</f>
        <v>#DIV/0!</v>
      </c>
      <c r="CA59" s="61" t="e">
        <f>(Links!AD59^2+'Off-Ramp'!U59^2)/(Links!AD59+'Off-Ramp'!U59)</f>
        <v>#DIV/0!</v>
      </c>
    </row>
    <row r="60" spans="1:79" x14ac:dyDescent="0.15">
      <c r="A60" s="59">
        <v>58</v>
      </c>
      <c r="B60" s="60" t="e">
        <f t="shared" si="2"/>
        <v>#DIV/0!</v>
      </c>
      <c r="C60" s="60" t="e">
        <f t="shared" si="3"/>
        <v>#DIV/0!</v>
      </c>
      <c r="D60" s="60" t="e">
        <f t="shared" si="4"/>
        <v>#DIV/0!</v>
      </c>
      <c r="E60" s="60" t="e">
        <f t="shared" si="5"/>
        <v>#DIV/0!</v>
      </c>
      <c r="F60" s="60" t="e">
        <f t="shared" si="6"/>
        <v>#DIV/0!</v>
      </c>
      <c r="G60" s="60" t="e">
        <f t="shared" si="7"/>
        <v>#DIV/0!</v>
      </c>
      <c r="H60" s="60" t="e">
        <f t="shared" si="8"/>
        <v>#DIV/0!</v>
      </c>
      <c r="I60" s="60" t="e">
        <f t="shared" si="9"/>
        <v>#DIV/0!</v>
      </c>
      <c r="J60" s="60" t="e">
        <f t="shared" si="10"/>
        <v>#DIV/0!</v>
      </c>
      <c r="K60" s="60" t="e">
        <f t="shared" si="11"/>
        <v>#DIV/0!</v>
      </c>
      <c r="L60" s="60" t="e">
        <f t="shared" si="12"/>
        <v>#DIV/0!</v>
      </c>
      <c r="M60" s="60" t="e">
        <f t="shared" si="13"/>
        <v>#DIV/0!</v>
      </c>
      <c r="N60" s="60" t="e">
        <f t="shared" si="14"/>
        <v>#DIV/0!</v>
      </c>
      <c r="O60" s="61" t="e">
        <f>Links!B60</f>
        <v>#DIV/0!</v>
      </c>
      <c r="P60" s="61" t="e">
        <f>Links!C60+'On-Ramps'!AC60</f>
        <v>#DIV/0!</v>
      </c>
      <c r="Q60" s="61" t="e">
        <f>Links!D60</f>
        <v>#DIV/0!</v>
      </c>
      <c r="R60" s="61" t="e">
        <f>Links!E60+'On-Ramps'!AD60</f>
        <v>#DIV/0!</v>
      </c>
      <c r="S60" s="61" t="e">
        <f>Links!F60+'On-Ramps'!AE60</f>
        <v>#DIV/0!</v>
      </c>
      <c r="T60" s="61" t="e">
        <f>Links!G60+'On-Ramps'!AF60</f>
        <v>#DIV/0!</v>
      </c>
      <c r="U60" s="61" t="e">
        <f>Links!H60+'On-Ramps'!AG60</f>
        <v>#DIV/0!</v>
      </c>
      <c r="V60" s="61" t="e">
        <f>Links!J60+'On-Ramps'!AH60</f>
        <v>#DIV/0!</v>
      </c>
      <c r="W60" s="61" t="e">
        <f>Links!K60+'On-Ramps'!AI60</f>
        <v>#DIV/0!</v>
      </c>
      <c r="X60" s="61" t="e">
        <f>Links!L60+'On-Ramps'!AJ60</f>
        <v>#DIV/0!</v>
      </c>
      <c r="Y60" s="61" t="e">
        <f>Links!M60</f>
        <v>#DIV/0!</v>
      </c>
      <c r="Z60" s="61" t="e">
        <f>Links!N60+'On-Ramps'!AK60</f>
        <v>#DIV/0!</v>
      </c>
      <c r="AA60" s="61" t="e">
        <f>Links!O60</f>
        <v>#DIV/0!</v>
      </c>
      <c r="AB60" s="60" t="e">
        <f t="shared" si="17"/>
        <v>#DIV/0!</v>
      </c>
      <c r="AC60" s="60" t="e">
        <f t="shared" si="18"/>
        <v>#DIV/0!</v>
      </c>
      <c r="AD60" s="60" t="e">
        <f t="shared" si="19"/>
        <v>#DIV/0!</v>
      </c>
      <c r="AE60" s="60" t="e">
        <f t="shared" si="20"/>
        <v>#DIV/0!</v>
      </c>
      <c r="AF60" s="60" t="e">
        <f t="shared" si="21"/>
        <v>#DIV/0!</v>
      </c>
      <c r="AG60" s="60" t="e">
        <f t="shared" si="22"/>
        <v>#DIV/0!</v>
      </c>
      <c r="AH60" s="60" t="e">
        <f t="shared" si="23"/>
        <v>#DIV/0!</v>
      </c>
      <c r="AI60" s="60" t="e">
        <f t="shared" si="24"/>
        <v>#DIV/0!</v>
      </c>
      <c r="AJ60" s="60" t="e">
        <f t="shared" si="25"/>
        <v>#DIV/0!</v>
      </c>
      <c r="AK60" s="60" t="e">
        <f t="shared" si="26"/>
        <v>#DIV/0!</v>
      </c>
      <c r="AL60" s="60" t="e">
        <f t="shared" si="27"/>
        <v>#DIV/0!</v>
      </c>
      <c r="AM60" s="60" t="e">
        <f t="shared" si="28"/>
        <v>#DIV/0!</v>
      </c>
      <c r="AN60" s="60" t="e">
        <f t="shared" si="30"/>
        <v>#DIV/0!</v>
      </c>
      <c r="AO60" s="61" t="e">
        <f t="shared" si="33"/>
        <v>#DIV/0!</v>
      </c>
      <c r="AP60" s="61" t="e">
        <f t="shared" si="32"/>
        <v>#DIV/0!</v>
      </c>
      <c r="AQ60" s="61" t="e">
        <f t="shared" si="32"/>
        <v>#DIV/0!</v>
      </c>
      <c r="AR60" s="61" t="e">
        <f t="shared" si="32"/>
        <v>#DIV/0!</v>
      </c>
      <c r="AS60" s="61" t="e">
        <f t="shared" si="32"/>
        <v>#DIV/0!</v>
      </c>
      <c r="AT60" s="61" t="e">
        <f t="shared" si="32"/>
        <v>#DIV/0!</v>
      </c>
      <c r="AU60" s="61" t="e">
        <f t="shared" si="32"/>
        <v>#DIV/0!</v>
      </c>
      <c r="AV60" s="61" t="e">
        <f t="shared" si="32"/>
        <v>#DIV/0!</v>
      </c>
      <c r="AW60" s="61" t="e">
        <f t="shared" si="32"/>
        <v>#DIV/0!</v>
      </c>
      <c r="AX60" s="61" t="e">
        <f t="shared" si="32"/>
        <v>#DIV/0!</v>
      </c>
      <c r="AY60" s="61" t="e">
        <f t="shared" si="32"/>
        <v>#DIV/0!</v>
      </c>
      <c r="AZ60" s="61" t="e">
        <f t="shared" si="32"/>
        <v>#DIV/0!</v>
      </c>
      <c r="BA60" s="61" t="e">
        <f t="shared" si="32"/>
        <v>#DIV/0!</v>
      </c>
      <c r="BB60" s="60" t="e">
        <f>Links!AF60</f>
        <v>#DIV/0!</v>
      </c>
      <c r="BC60" s="60" t="e">
        <f>(Links!AG60*Links!C60+'On-Ramps'!AC60*'On-Ramps'!CE60)/('On-Ramps'!AC60+Links!C60)</f>
        <v>#DIV/0!</v>
      </c>
      <c r="BD60" s="60" t="e">
        <f>Links!AH60</f>
        <v>#DIV/0!</v>
      </c>
      <c r="BE60" s="60" t="e">
        <f>(Links!AI60*Links!E60+'On-Ramps'!AD60*'On-Ramps'!CF59)/('On-Ramps'!AD60+Links!E60)</f>
        <v>#DIV/0!</v>
      </c>
      <c r="BF60" s="60" t="e">
        <f>(Links!F60*Links!AJ60+'On-Ramps'!AE60*'On-Ramps'!CG60)/('On-Ramps'!AE60+Links!F60)</f>
        <v>#DIV/0!</v>
      </c>
      <c r="BG60" s="60" t="e">
        <f>(Links!G60*Links!AK60+'On-Ramps'!AF60*'On-Ramps'!CH60)/('On-Ramps'!AF60+Links!G60)</f>
        <v>#DIV/0!</v>
      </c>
      <c r="BH60" s="60" t="e">
        <f>(Links!H60*Links!AL60+'On-Ramps'!AG60*'On-Ramps'!CI60)/('On-Ramps'!AG60+Links!H60)</f>
        <v>#DIV/0!</v>
      </c>
      <c r="BI60" s="60" t="e">
        <f>(Links!J60*Links!AN60+'On-Ramps'!AH60*'On-Ramps'!CJ60)/('On-Ramps'!AH60+Links!J60)</f>
        <v>#DIV/0!</v>
      </c>
      <c r="BJ60" s="60" t="e">
        <f>(Links!K60*Links!AO60+'On-Ramps'!AI60*'On-Ramps'!CK60)/('On-Ramps'!AI60+Links!K60)</f>
        <v>#DIV/0!</v>
      </c>
      <c r="BK60" s="60" t="e">
        <f>(Links!L60*Links!AP60+'On-Ramps'!AJ60*'On-Ramps'!CL60)/(Links!L60+'On-Ramps'!AJ60)</f>
        <v>#DIV/0!</v>
      </c>
      <c r="BL60" s="60" t="e">
        <f>Links!AQ60</f>
        <v>#DIV/0!</v>
      </c>
      <c r="BM60" s="60" t="e">
        <f>(Links!N60*Links!AR60+'On-Ramps'!AL60*'On-Ramps'!CM60)/(Links!N60+'On-Ramps'!AL60)</f>
        <v>#DIV/0!</v>
      </c>
      <c r="BN60" s="60" t="e">
        <f>Links!AS60</f>
        <v>#DIV/0!</v>
      </c>
      <c r="BO60" s="61" t="e">
        <f>(Links!R60^2+'Off-Ramp'!L60^2)/(Links!R60+'Off-Ramp'!L60)</f>
        <v>#DIV/0!</v>
      </c>
      <c r="BP60" s="61" t="e">
        <f>Links!S60</f>
        <v>#DIV/0!</v>
      </c>
      <c r="BQ60" s="61" t="e">
        <f>(Links!S60^2+'Off-Ramp'!C60^2)/(Links!S60+'Off-Ramp'!C60)</f>
        <v>#DIV/0!</v>
      </c>
      <c r="BR60" s="61" t="e">
        <f>Links!T60</f>
        <v>#DIV/0!</v>
      </c>
      <c r="BS60" s="61" t="e">
        <f>(Links!U60^2+'Off-Ramp'!N60^2)/(Links!U60+'Off-Ramp'!N60)</f>
        <v>#DIV/0!</v>
      </c>
      <c r="BT60" s="61" t="e">
        <f>(Links!V60^2+'Off-Ramp'!O60^2)/(Links!V60+'Off-Ramp'!O60)</f>
        <v>#DIV/0!</v>
      </c>
      <c r="BU60" s="61" t="e">
        <f>(Links!W60^2+'Off-Ramp'!P60^2)/(Links!W60+'Off-Ramp'!P60)</f>
        <v>#DIV/0!</v>
      </c>
      <c r="BV60" s="61" t="e">
        <f>(Links!Y60^2+'Off-Ramp'!Q60^2)/(Links!Y60+'Off-Ramp'!Q60)</f>
        <v>#DIV/0!</v>
      </c>
      <c r="BW60" s="61" t="e">
        <f>(Links!Z60^2+'Off-Ramp'!R60^2)/(Links!Z60+'Off-Ramp'!R60)</f>
        <v>#DIV/0!</v>
      </c>
      <c r="BX60" s="61" t="e">
        <f>(Links!AA60+'Off-Ramp'!S60)/(Links!AA60^2+'Off-Ramp'!S60^2)</f>
        <v>#DIV/0!</v>
      </c>
      <c r="BY60" s="61" t="e">
        <f>(Links!AB60^2+'Off-Ramp'!T60^2)/(Links!AB60+'Off-Ramp'!T60)</f>
        <v>#DIV/0!</v>
      </c>
      <c r="BZ60" s="61" t="e">
        <f>Links!AC60</f>
        <v>#DIV/0!</v>
      </c>
      <c r="CA60" s="61" t="e">
        <f>(Links!AD60^2+'Off-Ramp'!U60^2)/(Links!AD60+'Off-Ramp'!U60)</f>
        <v>#DIV/0!</v>
      </c>
    </row>
    <row r="61" spans="1:79" x14ac:dyDescent="0.15">
      <c r="A61" s="59">
        <v>59</v>
      </c>
      <c r="B61" s="60" t="e">
        <f t="shared" si="2"/>
        <v>#DIV/0!</v>
      </c>
      <c r="C61" s="60" t="e">
        <f t="shared" si="3"/>
        <v>#DIV/0!</v>
      </c>
      <c r="D61" s="60" t="e">
        <f t="shared" si="4"/>
        <v>#DIV/0!</v>
      </c>
      <c r="E61" s="60" t="e">
        <f t="shared" si="5"/>
        <v>#DIV/0!</v>
      </c>
      <c r="F61" s="60" t="e">
        <f t="shared" si="6"/>
        <v>#DIV/0!</v>
      </c>
      <c r="G61" s="60" t="e">
        <f t="shared" si="7"/>
        <v>#DIV/0!</v>
      </c>
      <c r="H61" s="60" t="e">
        <f t="shared" si="8"/>
        <v>#DIV/0!</v>
      </c>
      <c r="I61" s="60" t="e">
        <f t="shared" si="9"/>
        <v>#DIV/0!</v>
      </c>
      <c r="J61" s="60" t="e">
        <f t="shared" si="10"/>
        <v>#DIV/0!</v>
      </c>
      <c r="K61" s="60" t="e">
        <f t="shared" si="11"/>
        <v>#DIV/0!</v>
      </c>
      <c r="L61" s="60" t="e">
        <f t="shared" si="12"/>
        <v>#DIV/0!</v>
      </c>
      <c r="M61" s="60" t="e">
        <f t="shared" si="13"/>
        <v>#DIV/0!</v>
      </c>
      <c r="N61" s="60" t="e">
        <f t="shared" si="14"/>
        <v>#DIV/0!</v>
      </c>
      <c r="O61" s="61" t="e">
        <f>Links!B61</f>
        <v>#DIV/0!</v>
      </c>
      <c r="P61" s="61" t="e">
        <f>Links!C61+'On-Ramps'!AC61</f>
        <v>#DIV/0!</v>
      </c>
      <c r="Q61" s="61" t="e">
        <f>Links!D61</f>
        <v>#DIV/0!</v>
      </c>
      <c r="R61" s="61" t="e">
        <f>Links!E61+'On-Ramps'!AD61</f>
        <v>#DIV/0!</v>
      </c>
      <c r="S61" s="61" t="e">
        <f>Links!F61+'On-Ramps'!AE61</f>
        <v>#DIV/0!</v>
      </c>
      <c r="T61" s="61" t="e">
        <f>Links!G61+'On-Ramps'!AF61</f>
        <v>#DIV/0!</v>
      </c>
      <c r="U61" s="61" t="e">
        <f>Links!H61+'On-Ramps'!AG61</f>
        <v>#DIV/0!</v>
      </c>
      <c r="V61" s="61" t="e">
        <f>Links!J61+'On-Ramps'!AH61</f>
        <v>#DIV/0!</v>
      </c>
      <c r="W61" s="61" t="e">
        <f>Links!K61+'On-Ramps'!AI61</f>
        <v>#DIV/0!</v>
      </c>
      <c r="X61" s="61" t="e">
        <f>Links!L61+'On-Ramps'!AJ61</f>
        <v>#DIV/0!</v>
      </c>
      <c r="Y61" s="61" t="e">
        <f>Links!M61</f>
        <v>#DIV/0!</v>
      </c>
      <c r="Z61" s="61" t="e">
        <f>Links!N61+'On-Ramps'!AK61</f>
        <v>#DIV/0!</v>
      </c>
      <c r="AA61" s="61" t="e">
        <f>Links!O61</f>
        <v>#DIV/0!</v>
      </c>
      <c r="AB61" s="60" t="e">
        <f t="shared" si="17"/>
        <v>#DIV/0!</v>
      </c>
      <c r="AC61" s="60" t="e">
        <f t="shared" si="18"/>
        <v>#DIV/0!</v>
      </c>
      <c r="AD61" s="60" t="e">
        <f t="shared" si="19"/>
        <v>#DIV/0!</v>
      </c>
      <c r="AE61" s="60" t="e">
        <f t="shared" si="20"/>
        <v>#DIV/0!</v>
      </c>
      <c r="AF61" s="60" t="e">
        <f t="shared" si="21"/>
        <v>#DIV/0!</v>
      </c>
      <c r="AG61" s="60" t="e">
        <f t="shared" si="22"/>
        <v>#DIV/0!</v>
      </c>
      <c r="AH61" s="60" t="e">
        <f t="shared" si="23"/>
        <v>#DIV/0!</v>
      </c>
      <c r="AI61" s="60" t="e">
        <f t="shared" si="24"/>
        <v>#DIV/0!</v>
      </c>
      <c r="AJ61" s="60" t="e">
        <f t="shared" si="25"/>
        <v>#DIV/0!</v>
      </c>
      <c r="AK61" s="60" t="e">
        <f t="shared" si="26"/>
        <v>#DIV/0!</v>
      </c>
      <c r="AL61" s="60" t="e">
        <f t="shared" si="27"/>
        <v>#DIV/0!</v>
      </c>
      <c r="AM61" s="60" t="e">
        <f t="shared" si="28"/>
        <v>#DIV/0!</v>
      </c>
      <c r="AN61" s="60" t="e">
        <f t="shared" si="30"/>
        <v>#DIV/0!</v>
      </c>
      <c r="AO61" s="61" t="e">
        <f t="shared" si="33"/>
        <v>#DIV/0!</v>
      </c>
      <c r="AP61" s="61" t="e">
        <f t="shared" si="32"/>
        <v>#DIV/0!</v>
      </c>
      <c r="AQ61" s="61" t="e">
        <f t="shared" si="32"/>
        <v>#DIV/0!</v>
      </c>
      <c r="AR61" s="61" t="e">
        <f t="shared" si="32"/>
        <v>#DIV/0!</v>
      </c>
      <c r="AS61" s="61" t="e">
        <f t="shared" si="32"/>
        <v>#DIV/0!</v>
      </c>
      <c r="AT61" s="61" t="e">
        <f t="shared" si="32"/>
        <v>#DIV/0!</v>
      </c>
      <c r="AU61" s="61" t="e">
        <f t="shared" si="32"/>
        <v>#DIV/0!</v>
      </c>
      <c r="AV61" s="61" t="e">
        <f t="shared" si="32"/>
        <v>#DIV/0!</v>
      </c>
      <c r="AW61" s="61" t="e">
        <f t="shared" si="32"/>
        <v>#DIV/0!</v>
      </c>
      <c r="AX61" s="61" t="e">
        <f t="shared" si="32"/>
        <v>#DIV/0!</v>
      </c>
      <c r="AY61" s="61" t="e">
        <f t="shared" si="32"/>
        <v>#DIV/0!</v>
      </c>
      <c r="AZ61" s="61" t="e">
        <f t="shared" si="32"/>
        <v>#DIV/0!</v>
      </c>
      <c r="BA61" s="61" t="e">
        <f t="shared" si="32"/>
        <v>#DIV/0!</v>
      </c>
      <c r="BB61" s="60" t="e">
        <f>Links!AF61</f>
        <v>#DIV/0!</v>
      </c>
      <c r="BC61" s="60" t="e">
        <f>(Links!AG61*Links!C61+'On-Ramps'!AC61*'On-Ramps'!CE61)/('On-Ramps'!AC61+Links!C61)</f>
        <v>#DIV/0!</v>
      </c>
      <c r="BD61" s="60" t="e">
        <f>Links!AH61</f>
        <v>#DIV/0!</v>
      </c>
      <c r="BE61" s="60" t="e">
        <f>(Links!AI61*Links!E61+'On-Ramps'!AD61*'On-Ramps'!CF60)/('On-Ramps'!AD61+Links!E61)</f>
        <v>#DIV/0!</v>
      </c>
      <c r="BF61" s="60" t="e">
        <f>(Links!F61*Links!AJ61+'On-Ramps'!AE61*'On-Ramps'!CG61)/('On-Ramps'!AE61+Links!F61)</f>
        <v>#DIV/0!</v>
      </c>
      <c r="BG61" s="60" t="e">
        <f>(Links!G61*Links!AK61+'On-Ramps'!AF61*'On-Ramps'!CH61)/('On-Ramps'!AF61+Links!G61)</f>
        <v>#DIV/0!</v>
      </c>
      <c r="BH61" s="60" t="e">
        <f>(Links!H61*Links!AL61+'On-Ramps'!AG61*'On-Ramps'!CI61)/('On-Ramps'!AG61+Links!H61)</f>
        <v>#DIV/0!</v>
      </c>
      <c r="BI61" s="60" t="e">
        <f>(Links!J61*Links!AN61+'On-Ramps'!AH61*'On-Ramps'!CJ61)/('On-Ramps'!AH61+Links!J61)</f>
        <v>#DIV/0!</v>
      </c>
      <c r="BJ61" s="60" t="e">
        <f>(Links!K61*Links!AO61+'On-Ramps'!AI61*'On-Ramps'!CK61)/('On-Ramps'!AI61+Links!K61)</f>
        <v>#DIV/0!</v>
      </c>
      <c r="BK61" s="60" t="e">
        <f>(Links!L61*Links!AP61+'On-Ramps'!AJ61*'On-Ramps'!CL61)/(Links!L61+'On-Ramps'!AJ61)</f>
        <v>#DIV/0!</v>
      </c>
      <c r="BL61" s="60" t="e">
        <f>Links!AQ61</f>
        <v>#DIV/0!</v>
      </c>
      <c r="BM61" s="60" t="e">
        <f>(Links!N61*Links!AR61+'On-Ramps'!AL61*'On-Ramps'!CM61)/(Links!N61+'On-Ramps'!AL61)</f>
        <v>#DIV/0!</v>
      </c>
      <c r="BN61" s="60" t="e">
        <f>Links!AS61</f>
        <v>#DIV/0!</v>
      </c>
      <c r="BO61" s="61" t="e">
        <f>(Links!R61^2+'Off-Ramp'!L61^2)/(Links!R61+'Off-Ramp'!L61)</f>
        <v>#DIV/0!</v>
      </c>
      <c r="BP61" s="61" t="e">
        <f>Links!S61</f>
        <v>#DIV/0!</v>
      </c>
      <c r="BQ61" s="61" t="e">
        <f>(Links!S61^2+'Off-Ramp'!C61^2)/(Links!S61+'Off-Ramp'!C61)</f>
        <v>#DIV/0!</v>
      </c>
      <c r="BR61" s="61" t="e">
        <f>Links!T61</f>
        <v>#DIV/0!</v>
      </c>
      <c r="BS61" s="61" t="e">
        <f>(Links!U61^2+'Off-Ramp'!N61^2)/(Links!U61+'Off-Ramp'!N61)</f>
        <v>#DIV/0!</v>
      </c>
      <c r="BT61" s="61" t="e">
        <f>(Links!V61^2+'Off-Ramp'!O61^2)/(Links!V61+'Off-Ramp'!O61)</f>
        <v>#DIV/0!</v>
      </c>
      <c r="BU61" s="61" t="e">
        <f>(Links!W61^2+'Off-Ramp'!P61^2)/(Links!W61+'Off-Ramp'!P61)</f>
        <v>#DIV/0!</v>
      </c>
      <c r="BV61" s="61" t="e">
        <f>(Links!Y61^2+'Off-Ramp'!Q61^2)/(Links!Y61+'Off-Ramp'!Q61)</f>
        <v>#DIV/0!</v>
      </c>
      <c r="BW61" s="61" t="e">
        <f>(Links!Z61^2+'Off-Ramp'!R61^2)/(Links!Z61+'Off-Ramp'!R61)</f>
        <v>#DIV/0!</v>
      </c>
      <c r="BX61" s="61" t="e">
        <f>(Links!AA61+'Off-Ramp'!S61)/(Links!AA61^2+'Off-Ramp'!S61^2)</f>
        <v>#DIV/0!</v>
      </c>
      <c r="BY61" s="61" t="e">
        <f>(Links!AB61^2+'Off-Ramp'!T61^2)/(Links!AB61+'Off-Ramp'!T61)</f>
        <v>#DIV/0!</v>
      </c>
      <c r="BZ61" s="61" t="e">
        <f>Links!AC61</f>
        <v>#DIV/0!</v>
      </c>
      <c r="CA61" s="61" t="e">
        <f>(Links!AD61^2+'Off-Ramp'!U61^2)/(Links!AD61+'Off-Ramp'!U61)</f>
        <v>#DIV/0!</v>
      </c>
    </row>
    <row r="62" spans="1:79" x14ac:dyDescent="0.15">
      <c r="A62" s="59">
        <v>60</v>
      </c>
      <c r="B62" s="60" t="e">
        <f t="shared" si="2"/>
        <v>#DIV/0!</v>
      </c>
      <c r="C62" s="60" t="e">
        <f t="shared" si="3"/>
        <v>#DIV/0!</v>
      </c>
      <c r="D62" s="60" t="e">
        <f t="shared" si="4"/>
        <v>#DIV/0!</v>
      </c>
      <c r="E62" s="60" t="e">
        <f t="shared" si="5"/>
        <v>#DIV/0!</v>
      </c>
      <c r="F62" s="60" t="e">
        <f t="shared" si="6"/>
        <v>#DIV/0!</v>
      </c>
      <c r="G62" s="60" t="e">
        <f t="shared" si="7"/>
        <v>#DIV/0!</v>
      </c>
      <c r="H62" s="60" t="e">
        <f t="shared" si="8"/>
        <v>#DIV/0!</v>
      </c>
      <c r="I62" s="60" t="e">
        <f t="shared" si="9"/>
        <v>#DIV/0!</v>
      </c>
      <c r="J62" s="60" t="e">
        <f t="shared" si="10"/>
        <v>#DIV/0!</v>
      </c>
      <c r="K62" s="60" t="e">
        <f t="shared" si="11"/>
        <v>#DIV/0!</v>
      </c>
      <c r="L62" s="60" t="e">
        <f t="shared" si="12"/>
        <v>#DIV/0!</v>
      </c>
      <c r="M62" s="60" t="e">
        <f t="shared" si="13"/>
        <v>#DIV/0!</v>
      </c>
      <c r="N62" s="60" t="e">
        <f t="shared" si="14"/>
        <v>#DIV/0!</v>
      </c>
      <c r="O62" s="61" t="e">
        <f>Links!B62</f>
        <v>#DIV/0!</v>
      </c>
      <c r="P62" s="61" t="e">
        <f>Links!C62+'On-Ramps'!AC62</f>
        <v>#DIV/0!</v>
      </c>
      <c r="Q62" s="61" t="e">
        <f>Links!D62</f>
        <v>#DIV/0!</v>
      </c>
      <c r="R62" s="61" t="e">
        <f>Links!E62+'On-Ramps'!AD62</f>
        <v>#DIV/0!</v>
      </c>
      <c r="S62" s="61" t="e">
        <f>Links!F62+'On-Ramps'!AE62</f>
        <v>#DIV/0!</v>
      </c>
      <c r="T62" s="61" t="e">
        <f>Links!G62+'On-Ramps'!AF62</f>
        <v>#DIV/0!</v>
      </c>
      <c r="U62" s="61" t="e">
        <f>Links!H62+'On-Ramps'!AG62</f>
        <v>#DIV/0!</v>
      </c>
      <c r="V62" s="61" t="e">
        <f>Links!J62+'On-Ramps'!AH62</f>
        <v>#DIV/0!</v>
      </c>
      <c r="W62" s="61" t="e">
        <f>Links!K62+'On-Ramps'!AI62</f>
        <v>#DIV/0!</v>
      </c>
      <c r="X62" s="61" t="e">
        <f>Links!L62+'On-Ramps'!AJ62</f>
        <v>#DIV/0!</v>
      </c>
      <c r="Y62" s="61" t="e">
        <f>Links!M62</f>
        <v>#DIV/0!</v>
      </c>
      <c r="Z62" s="61" t="e">
        <f>Links!N62+'On-Ramps'!AK62</f>
        <v>#DIV/0!</v>
      </c>
      <c r="AA62" s="61" t="e">
        <f>Links!O62</f>
        <v>#DIV/0!</v>
      </c>
      <c r="AB62" s="60" t="e">
        <f t="shared" si="17"/>
        <v>#DIV/0!</v>
      </c>
      <c r="AC62" s="60" t="e">
        <f t="shared" si="18"/>
        <v>#DIV/0!</v>
      </c>
      <c r="AD62" s="60" t="e">
        <f t="shared" si="19"/>
        <v>#DIV/0!</v>
      </c>
      <c r="AE62" s="60" t="e">
        <f t="shared" si="20"/>
        <v>#DIV/0!</v>
      </c>
      <c r="AF62" s="60" t="e">
        <f t="shared" si="21"/>
        <v>#DIV/0!</v>
      </c>
      <c r="AG62" s="60" t="e">
        <f t="shared" si="22"/>
        <v>#DIV/0!</v>
      </c>
      <c r="AH62" s="60" t="e">
        <f t="shared" si="23"/>
        <v>#DIV/0!</v>
      </c>
      <c r="AI62" s="60" t="e">
        <f t="shared" si="24"/>
        <v>#DIV/0!</v>
      </c>
      <c r="AJ62" s="60" t="e">
        <f t="shared" si="25"/>
        <v>#DIV/0!</v>
      </c>
      <c r="AK62" s="60" t="e">
        <f t="shared" si="26"/>
        <v>#DIV/0!</v>
      </c>
      <c r="AL62" s="60" t="e">
        <f t="shared" si="27"/>
        <v>#DIV/0!</v>
      </c>
      <c r="AM62" s="60" t="e">
        <f t="shared" si="28"/>
        <v>#DIV/0!</v>
      </c>
      <c r="AN62" s="60" t="e">
        <f t="shared" si="30"/>
        <v>#DIV/0!</v>
      </c>
      <c r="AO62" s="61" t="e">
        <f t="shared" si="33"/>
        <v>#DIV/0!</v>
      </c>
      <c r="AP62" s="61" t="e">
        <f t="shared" si="32"/>
        <v>#DIV/0!</v>
      </c>
      <c r="AQ62" s="61" t="e">
        <f t="shared" si="32"/>
        <v>#DIV/0!</v>
      </c>
      <c r="AR62" s="61" t="e">
        <f t="shared" si="32"/>
        <v>#DIV/0!</v>
      </c>
      <c r="AS62" s="61" t="e">
        <f t="shared" si="32"/>
        <v>#DIV/0!</v>
      </c>
      <c r="AT62" s="61" t="e">
        <f t="shared" si="32"/>
        <v>#DIV/0!</v>
      </c>
      <c r="AU62" s="61" t="e">
        <f t="shared" si="32"/>
        <v>#DIV/0!</v>
      </c>
      <c r="AV62" s="61" t="e">
        <f t="shared" si="32"/>
        <v>#DIV/0!</v>
      </c>
      <c r="AW62" s="61" t="e">
        <f t="shared" si="32"/>
        <v>#DIV/0!</v>
      </c>
      <c r="AX62" s="61" t="e">
        <f t="shared" si="32"/>
        <v>#DIV/0!</v>
      </c>
      <c r="AY62" s="61" t="e">
        <f t="shared" si="32"/>
        <v>#DIV/0!</v>
      </c>
      <c r="AZ62" s="61" t="e">
        <f t="shared" si="32"/>
        <v>#DIV/0!</v>
      </c>
      <c r="BA62" s="61" t="e">
        <f t="shared" si="32"/>
        <v>#DIV/0!</v>
      </c>
      <c r="BB62" s="60" t="e">
        <f>Links!AF62</f>
        <v>#DIV/0!</v>
      </c>
      <c r="BC62" s="60" t="e">
        <f>(Links!AG62*Links!C62+'On-Ramps'!AC62*'On-Ramps'!CE62)/('On-Ramps'!AC62+Links!C62)</f>
        <v>#DIV/0!</v>
      </c>
      <c r="BD62" s="60" t="e">
        <f>Links!AH62</f>
        <v>#DIV/0!</v>
      </c>
      <c r="BE62" s="60" t="e">
        <f>(Links!AI62*Links!E62+'On-Ramps'!AD62*'On-Ramps'!CF61)/('On-Ramps'!AD62+Links!E62)</f>
        <v>#DIV/0!</v>
      </c>
      <c r="BF62" s="60" t="e">
        <f>(Links!F62*Links!AJ62+'On-Ramps'!AE62*'On-Ramps'!CG62)/('On-Ramps'!AE62+Links!F62)</f>
        <v>#DIV/0!</v>
      </c>
      <c r="BG62" s="60" t="e">
        <f>(Links!G62*Links!AK62+'On-Ramps'!AF62*'On-Ramps'!CH62)/('On-Ramps'!AF62+Links!G62)</f>
        <v>#DIV/0!</v>
      </c>
      <c r="BH62" s="60" t="e">
        <f>(Links!H62*Links!AL62+'On-Ramps'!AG62*'On-Ramps'!CI62)/('On-Ramps'!AG62+Links!H62)</f>
        <v>#DIV/0!</v>
      </c>
      <c r="BI62" s="60" t="e">
        <f>(Links!J62*Links!AN62+'On-Ramps'!AH62*'On-Ramps'!CJ62)/('On-Ramps'!AH62+Links!J62)</f>
        <v>#DIV/0!</v>
      </c>
      <c r="BJ62" s="60" t="e">
        <f>(Links!K62*Links!AO62+'On-Ramps'!AI62*'On-Ramps'!CK62)/('On-Ramps'!AI62+Links!K62)</f>
        <v>#DIV/0!</v>
      </c>
      <c r="BK62" s="60" t="e">
        <f>(Links!L62*Links!AP62+'On-Ramps'!AJ62*'On-Ramps'!CL62)/(Links!L62+'On-Ramps'!AJ62)</f>
        <v>#DIV/0!</v>
      </c>
      <c r="BL62" s="60" t="e">
        <f>Links!AQ62</f>
        <v>#DIV/0!</v>
      </c>
      <c r="BM62" s="60" t="e">
        <f>(Links!N62*Links!AR62+'On-Ramps'!AL62*'On-Ramps'!CM62)/(Links!N62+'On-Ramps'!AL62)</f>
        <v>#DIV/0!</v>
      </c>
      <c r="BN62" s="60" t="e">
        <f>Links!AS62</f>
        <v>#DIV/0!</v>
      </c>
      <c r="BO62" s="61" t="e">
        <f>(Links!R62^2+'Off-Ramp'!L62^2)/(Links!R62+'Off-Ramp'!L62)</f>
        <v>#DIV/0!</v>
      </c>
      <c r="BP62" s="61" t="e">
        <f>Links!S62</f>
        <v>#DIV/0!</v>
      </c>
      <c r="BQ62" s="61" t="e">
        <f>(Links!S62^2+'Off-Ramp'!C62^2)/(Links!S62+'Off-Ramp'!C62)</f>
        <v>#DIV/0!</v>
      </c>
      <c r="BR62" s="61" t="e">
        <f>Links!T62</f>
        <v>#DIV/0!</v>
      </c>
      <c r="BS62" s="61" t="e">
        <f>(Links!U62^2+'Off-Ramp'!N62^2)/(Links!U62+'Off-Ramp'!N62)</f>
        <v>#DIV/0!</v>
      </c>
      <c r="BT62" s="61" t="e">
        <f>(Links!V62^2+'Off-Ramp'!O62^2)/(Links!V62+'Off-Ramp'!O62)</f>
        <v>#DIV/0!</v>
      </c>
      <c r="BU62" s="61" t="e">
        <f>(Links!W62^2+'Off-Ramp'!P62^2)/(Links!W62+'Off-Ramp'!P62)</f>
        <v>#DIV/0!</v>
      </c>
      <c r="BV62" s="61" t="e">
        <f>(Links!Y62^2+'Off-Ramp'!Q62^2)/(Links!Y62+'Off-Ramp'!Q62)</f>
        <v>#DIV/0!</v>
      </c>
      <c r="BW62" s="61" t="e">
        <f>(Links!Z62^2+'Off-Ramp'!R62^2)/(Links!Z62+'Off-Ramp'!R62)</f>
        <v>#DIV/0!</v>
      </c>
      <c r="BX62" s="61" t="e">
        <f>(Links!AA62+'Off-Ramp'!S62)/(Links!AA62^2+'Off-Ramp'!S62^2)</f>
        <v>#DIV/0!</v>
      </c>
      <c r="BY62" s="61" t="e">
        <f>(Links!AB62^2+'Off-Ramp'!T62^2)/(Links!AB62+'Off-Ramp'!T62)</f>
        <v>#DIV/0!</v>
      </c>
      <c r="BZ62" s="61" t="e">
        <f>Links!AC62</f>
        <v>#DIV/0!</v>
      </c>
      <c r="CA62" s="61" t="e">
        <f>(Links!AD62^2+'Off-Ramp'!U62^2)/(Links!AD62+'Off-Ramp'!U62)</f>
        <v>#DIV/0!</v>
      </c>
    </row>
    <row r="63" spans="1:79" x14ac:dyDescent="0.15">
      <c r="A63" s="59">
        <v>61</v>
      </c>
      <c r="B63" s="60" t="e">
        <f t="shared" si="2"/>
        <v>#DIV/0!</v>
      </c>
      <c r="C63" s="60" t="e">
        <f t="shared" si="3"/>
        <v>#DIV/0!</v>
      </c>
      <c r="D63" s="60" t="e">
        <f t="shared" si="4"/>
        <v>#DIV/0!</v>
      </c>
      <c r="E63" s="60" t="e">
        <f t="shared" si="5"/>
        <v>#DIV/0!</v>
      </c>
      <c r="F63" s="60" t="e">
        <f t="shared" si="6"/>
        <v>#DIV/0!</v>
      </c>
      <c r="G63" s="60" t="e">
        <f t="shared" si="7"/>
        <v>#DIV/0!</v>
      </c>
      <c r="H63" s="60" t="e">
        <f t="shared" si="8"/>
        <v>#DIV/0!</v>
      </c>
      <c r="I63" s="60" t="e">
        <f t="shared" si="9"/>
        <v>#DIV/0!</v>
      </c>
      <c r="J63" s="60" t="e">
        <f t="shared" si="10"/>
        <v>#DIV/0!</v>
      </c>
      <c r="K63" s="60" t="e">
        <f t="shared" si="11"/>
        <v>#DIV/0!</v>
      </c>
      <c r="L63" s="60" t="e">
        <f t="shared" si="12"/>
        <v>#DIV/0!</v>
      </c>
      <c r="M63" s="60" t="e">
        <f t="shared" si="13"/>
        <v>#DIV/0!</v>
      </c>
      <c r="N63" s="60" t="e">
        <f t="shared" si="14"/>
        <v>#DIV/0!</v>
      </c>
      <c r="O63" s="61" t="e">
        <f>Links!B63</f>
        <v>#DIV/0!</v>
      </c>
      <c r="P63" s="61" t="e">
        <f>Links!C63+'On-Ramps'!AC63</f>
        <v>#DIV/0!</v>
      </c>
      <c r="Q63" s="61" t="e">
        <f>Links!D63</f>
        <v>#DIV/0!</v>
      </c>
      <c r="R63" s="61" t="e">
        <f>Links!E63+'On-Ramps'!AD63</f>
        <v>#DIV/0!</v>
      </c>
      <c r="S63" s="61" t="e">
        <f>Links!F63+'On-Ramps'!AE63</f>
        <v>#DIV/0!</v>
      </c>
      <c r="T63" s="61" t="e">
        <f>Links!G63+'On-Ramps'!AF63</f>
        <v>#DIV/0!</v>
      </c>
      <c r="U63" s="61" t="e">
        <f>Links!H63+'On-Ramps'!AG63</f>
        <v>#DIV/0!</v>
      </c>
      <c r="V63" s="61" t="e">
        <f>Links!J63+'On-Ramps'!AH63</f>
        <v>#DIV/0!</v>
      </c>
      <c r="W63" s="61" t="e">
        <f>Links!K63+'On-Ramps'!AI63</f>
        <v>#DIV/0!</v>
      </c>
      <c r="X63" s="61" t="e">
        <f>Links!L63+'On-Ramps'!AJ63</f>
        <v>#DIV/0!</v>
      </c>
      <c r="Y63" s="61" t="e">
        <f>Links!M63</f>
        <v>#DIV/0!</v>
      </c>
      <c r="Z63" s="61" t="e">
        <f>Links!N63+'On-Ramps'!AK63</f>
        <v>#DIV/0!</v>
      </c>
      <c r="AA63" s="61" t="e">
        <f>Links!O63</f>
        <v>#DIV/0!</v>
      </c>
      <c r="AB63" s="60" t="e">
        <f t="shared" si="17"/>
        <v>#DIV/0!</v>
      </c>
      <c r="AC63" s="60" t="e">
        <f t="shared" si="18"/>
        <v>#DIV/0!</v>
      </c>
      <c r="AD63" s="60" t="e">
        <f t="shared" si="19"/>
        <v>#DIV/0!</v>
      </c>
      <c r="AE63" s="60" t="e">
        <f t="shared" si="20"/>
        <v>#DIV/0!</v>
      </c>
      <c r="AF63" s="60" t="e">
        <f t="shared" si="21"/>
        <v>#DIV/0!</v>
      </c>
      <c r="AG63" s="60" t="e">
        <f t="shared" si="22"/>
        <v>#DIV/0!</v>
      </c>
      <c r="AH63" s="60" t="e">
        <f t="shared" si="23"/>
        <v>#DIV/0!</v>
      </c>
      <c r="AI63" s="60" t="e">
        <f t="shared" si="24"/>
        <v>#DIV/0!</v>
      </c>
      <c r="AJ63" s="60" t="e">
        <f t="shared" si="25"/>
        <v>#DIV/0!</v>
      </c>
      <c r="AK63" s="60" t="e">
        <f t="shared" si="26"/>
        <v>#DIV/0!</v>
      </c>
      <c r="AL63" s="60" t="e">
        <f t="shared" si="27"/>
        <v>#DIV/0!</v>
      </c>
      <c r="AM63" s="60" t="e">
        <f t="shared" si="28"/>
        <v>#DIV/0!</v>
      </c>
      <c r="AN63" s="60" t="e">
        <f t="shared" si="30"/>
        <v>#DIV/0!</v>
      </c>
      <c r="AO63" s="61" t="e">
        <f t="shared" si="33"/>
        <v>#DIV/0!</v>
      </c>
      <c r="AP63" s="61" t="e">
        <f t="shared" si="32"/>
        <v>#DIV/0!</v>
      </c>
      <c r="AQ63" s="61" t="e">
        <f t="shared" si="32"/>
        <v>#DIV/0!</v>
      </c>
      <c r="AR63" s="61" t="e">
        <f t="shared" si="32"/>
        <v>#DIV/0!</v>
      </c>
      <c r="AS63" s="61" t="e">
        <f t="shared" si="32"/>
        <v>#DIV/0!</v>
      </c>
      <c r="AT63" s="61" t="e">
        <f t="shared" si="32"/>
        <v>#DIV/0!</v>
      </c>
      <c r="AU63" s="61" t="e">
        <f t="shared" si="32"/>
        <v>#DIV/0!</v>
      </c>
      <c r="AV63" s="61" t="e">
        <f t="shared" si="32"/>
        <v>#DIV/0!</v>
      </c>
      <c r="AW63" s="61" t="e">
        <f t="shared" si="32"/>
        <v>#DIV/0!</v>
      </c>
      <c r="AX63" s="61" t="e">
        <f t="shared" si="32"/>
        <v>#DIV/0!</v>
      </c>
      <c r="AY63" s="61" t="e">
        <f t="shared" si="32"/>
        <v>#DIV/0!</v>
      </c>
      <c r="AZ63" s="61" t="e">
        <f t="shared" si="32"/>
        <v>#DIV/0!</v>
      </c>
      <c r="BA63" s="61" t="e">
        <f t="shared" si="32"/>
        <v>#DIV/0!</v>
      </c>
      <c r="BB63" s="60" t="e">
        <f>Links!AF63</f>
        <v>#DIV/0!</v>
      </c>
      <c r="BC63" s="60" t="e">
        <f>(Links!AG63*Links!C63+'On-Ramps'!AC63*'On-Ramps'!CE63)/('On-Ramps'!AC63+Links!C63)</f>
        <v>#DIV/0!</v>
      </c>
      <c r="BD63" s="60" t="e">
        <f>Links!AH63</f>
        <v>#DIV/0!</v>
      </c>
      <c r="BE63" s="60" t="e">
        <f>(Links!AI63*Links!E63+'On-Ramps'!AD63*'On-Ramps'!CF62)/('On-Ramps'!AD63+Links!E63)</f>
        <v>#DIV/0!</v>
      </c>
      <c r="BF63" s="60" t="e">
        <f>(Links!F63*Links!AJ63+'On-Ramps'!AE63*'On-Ramps'!CG63)/('On-Ramps'!AE63+Links!F63)</f>
        <v>#DIV/0!</v>
      </c>
      <c r="BG63" s="60" t="e">
        <f>(Links!G63*Links!AK63+'On-Ramps'!AF63*'On-Ramps'!CH63)/('On-Ramps'!AF63+Links!G63)</f>
        <v>#DIV/0!</v>
      </c>
      <c r="BH63" s="60" t="e">
        <f>(Links!H63*Links!AL63+'On-Ramps'!AG63*'On-Ramps'!CI63)/('On-Ramps'!AG63+Links!H63)</f>
        <v>#DIV/0!</v>
      </c>
      <c r="BI63" s="60" t="e">
        <f>(Links!J63*Links!AN63+'On-Ramps'!AH63*'On-Ramps'!CJ63)/('On-Ramps'!AH63+Links!J63)</f>
        <v>#DIV/0!</v>
      </c>
      <c r="BJ63" s="60" t="e">
        <f>(Links!K63*Links!AO63+'On-Ramps'!AI63*'On-Ramps'!CK63)/('On-Ramps'!AI63+Links!K63)</f>
        <v>#DIV/0!</v>
      </c>
      <c r="BK63" s="60" t="e">
        <f>(Links!L63*Links!AP63+'On-Ramps'!AJ63*'On-Ramps'!CL63)/(Links!L63+'On-Ramps'!AJ63)</f>
        <v>#DIV/0!</v>
      </c>
      <c r="BL63" s="60" t="e">
        <f>Links!AQ63</f>
        <v>#DIV/0!</v>
      </c>
      <c r="BM63" s="60" t="e">
        <f>(Links!N63*Links!AR63+'On-Ramps'!AL63*'On-Ramps'!CM63)/(Links!N63+'On-Ramps'!AL63)</f>
        <v>#DIV/0!</v>
      </c>
      <c r="BN63" s="60" t="e">
        <f>Links!AS63</f>
        <v>#DIV/0!</v>
      </c>
      <c r="BO63" s="61" t="e">
        <f>(Links!R63^2+'Off-Ramp'!L63^2)/(Links!R63+'Off-Ramp'!L63)</f>
        <v>#DIV/0!</v>
      </c>
      <c r="BP63" s="61" t="e">
        <f>Links!S63</f>
        <v>#DIV/0!</v>
      </c>
      <c r="BQ63" s="61" t="e">
        <f>(Links!S63^2+'Off-Ramp'!C63^2)/(Links!S63+'Off-Ramp'!C63)</f>
        <v>#DIV/0!</v>
      </c>
      <c r="BR63" s="61" t="e">
        <f>Links!T63</f>
        <v>#DIV/0!</v>
      </c>
      <c r="BS63" s="61" t="e">
        <f>(Links!U63^2+'Off-Ramp'!N63^2)/(Links!U63+'Off-Ramp'!N63)</f>
        <v>#DIV/0!</v>
      </c>
      <c r="BT63" s="61" t="e">
        <f>(Links!V63^2+'Off-Ramp'!O63^2)/(Links!V63+'Off-Ramp'!O63)</f>
        <v>#DIV/0!</v>
      </c>
      <c r="BU63" s="61" t="e">
        <f>(Links!W63^2+'Off-Ramp'!P63^2)/(Links!W63+'Off-Ramp'!P63)</f>
        <v>#DIV/0!</v>
      </c>
      <c r="BV63" s="61" t="e">
        <f>(Links!Y63^2+'Off-Ramp'!Q63^2)/(Links!Y63+'Off-Ramp'!Q63)</f>
        <v>#DIV/0!</v>
      </c>
      <c r="BW63" s="61" t="e">
        <f>(Links!Z63^2+'Off-Ramp'!R63^2)/(Links!Z63+'Off-Ramp'!R63)</f>
        <v>#DIV/0!</v>
      </c>
      <c r="BX63" s="61" t="e">
        <f>(Links!AA63+'Off-Ramp'!S63)/(Links!AA63^2+'Off-Ramp'!S63^2)</f>
        <v>#DIV/0!</v>
      </c>
      <c r="BY63" s="61" t="e">
        <f>(Links!AB63^2+'Off-Ramp'!T63^2)/(Links!AB63+'Off-Ramp'!T63)</f>
        <v>#DIV/0!</v>
      </c>
      <c r="BZ63" s="61" t="e">
        <f>Links!AC63</f>
        <v>#DIV/0!</v>
      </c>
      <c r="CA63" s="61" t="e">
        <f>(Links!AD63^2+'Off-Ramp'!U63^2)/(Links!AD63+'Off-Ramp'!U63)</f>
        <v>#DIV/0!</v>
      </c>
    </row>
    <row r="64" spans="1:79" x14ac:dyDescent="0.15">
      <c r="A64" s="59">
        <v>62</v>
      </c>
      <c r="B64" s="60" t="e">
        <f t="shared" si="2"/>
        <v>#DIV/0!</v>
      </c>
      <c r="C64" s="60" t="e">
        <f t="shared" si="3"/>
        <v>#DIV/0!</v>
      </c>
      <c r="D64" s="60" t="e">
        <f t="shared" si="4"/>
        <v>#DIV/0!</v>
      </c>
      <c r="E64" s="60" t="e">
        <f t="shared" si="5"/>
        <v>#DIV/0!</v>
      </c>
      <c r="F64" s="60" t="e">
        <f t="shared" si="6"/>
        <v>#DIV/0!</v>
      </c>
      <c r="G64" s="60" t="e">
        <f t="shared" si="7"/>
        <v>#DIV/0!</v>
      </c>
      <c r="H64" s="60" t="e">
        <f t="shared" si="8"/>
        <v>#DIV/0!</v>
      </c>
      <c r="I64" s="60" t="e">
        <f t="shared" si="9"/>
        <v>#DIV/0!</v>
      </c>
      <c r="J64" s="60" t="e">
        <f t="shared" si="10"/>
        <v>#DIV/0!</v>
      </c>
      <c r="K64" s="60" t="e">
        <f t="shared" si="11"/>
        <v>#DIV/0!</v>
      </c>
      <c r="L64" s="60" t="e">
        <f t="shared" si="12"/>
        <v>#DIV/0!</v>
      </c>
      <c r="M64" s="60" t="e">
        <f t="shared" si="13"/>
        <v>#DIV/0!</v>
      </c>
      <c r="N64" s="60" t="e">
        <f t="shared" si="14"/>
        <v>#DIV/0!</v>
      </c>
      <c r="O64" s="61" t="e">
        <f>Links!B64</f>
        <v>#DIV/0!</v>
      </c>
      <c r="P64" s="61" t="e">
        <f>Links!C64+'On-Ramps'!AC64</f>
        <v>#DIV/0!</v>
      </c>
      <c r="Q64" s="61" t="e">
        <f>Links!D64</f>
        <v>#DIV/0!</v>
      </c>
      <c r="R64" s="61" t="e">
        <f>Links!E64+'On-Ramps'!AD64</f>
        <v>#DIV/0!</v>
      </c>
      <c r="S64" s="61" t="e">
        <f>Links!F64+'On-Ramps'!AE64</f>
        <v>#DIV/0!</v>
      </c>
      <c r="T64" s="61" t="e">
        <f>Links!G64+'On-Ramps'!AF64</f>
        <v>#DIV/0!</v>
      </c>
      <c r="U64" s="61" t="e">
        <f>Links!H64+'On-Ramps'!AG64</f>
        <v>#DIV/0!</v>
      </c>
      <c r="V64" s="61" t="e">
        <f>Links!J64+'On-Ramps'!AH64</f>
        <v>#DIV/0!</v>
      </c>
      <c r="W64" s="61" t="e">
        <f>Links!K64+'On-Ramps'!AI64</f>
        <v>#DIV/0!</v>
      </c>
      <c r="X64" s="61" t="e">
        <f>Links!L64+'On-Ramps'!AJ64</f>
        <v>#DIV/0!</v>
      </c>
      <c r="Y64" s="61" t="e">
        <f>Links!M64</f>
        <v>#DIV/0!</v>
      </c>
      <c r="Z64" s="61" t="e">
        <f>Links!N64+'On-Ramps'!AK64</f>
        <v>#DIV/0!</v>
      </c>
      <c r="AA64" s="61" t="e">
        <f>Links!O64</f>
        <v>#DIV/0!</v>
      </c>
      <c r="AB64" s="60" t="e">
        <f t="shared" si="17"/>
        <v>#DIV/0!</v>
      </c>
      <c r="AC64" s="60" t="e">
        <f t="shared" si="18"/>
        <v>#DIV/0!</v>
      </c>
      <c r="AD64" s="60" t="e">
        <f t="shared" si="19"/>
        <v>#DIV/0!</v>
      </c>
      <c r="AE64" s="60" t="e">
        <f t="shared" si="20"/>
        <v>#DIV/0!</v>
      </c>
      <c r="AF64" s="60" t="e">
        <f t="shared" si="21"/>
        <v>#DIV/0!</v>
      </c>
      <c r="AG64" s="60" t="e">
        <f t="shared" si="22"/>
        <v>#DIV/0!</v>
      </c>
      <c r="AH64" s="60" t="e">
        <f t="shared" si="23"/>
        <v>#DIV/0!</v>
      </c>
      <c r="AI64" s="60" t="e">
        <f t="shared" si="24"/>
        <v>#DIV/0!</v>
      </c>
      <c r="AJ64" s="60" t="e">
        <f t="shared" si="25"/>
        <v>#DIV/0!</v>
      </c>
      <c r="AK64" s="60" t="e">
        <f t="shared" si="26"/>
        <v>#DIV/0!</v>
      </c>
      <c r="AL64" s="60" t="e">
        <f t="shared" si="27"/>
        <v>#DIV/0!</v>
      </c>
      <c r="AM64" s="60" t="e">
        <f t="shared" si="28"/>
        <v>#DIV/0!</v>
      </c>
      <c r="AN64" s="60" t="e">
        <f t="shared" si="30"/>
        <v>#DIV/0!</v>
      </c>
      <c r="AO64" s="61" t="e">
        <f t="shared" si="33"/>
        <v>#DIV/0!</v>
      </c>
      <c r="AP64" s="61" t="e">
        <f t="shared" si="32"/>
        <v>#DIV/0!</v>
      </c>
      <c r="AQ64" s="61" t="e">
        <f t="shared" si="32"/>
        <v>#DIV/0!</v>
      </c>
      <c r="AR64" s="61" t="e">
        <f t="shared" si="32"/>
        <v>#DIV/0!</v>
      </c>
      <c r="AS64" s="61" t="e">
        <f t="shared" si="32"/>
        <v>#DIV/0!</v>
      </c>
      <c r="AT64" s="61" t="e">
        <f t="shared" si="32"/>
        <v>#DIV/0!</v>
      </c>
      <c r="AU64" s="61" t="e">
        <f t="shared" si="32"/>
        <v>#DIV/0!</v>
      </c>
      <c r="AV64" s="61" t="e">
        <f t="shared" si="32"/>
        <v>#DIV/0!</v>
      </c>
      <c r="AW64" s="61" t="e">
        <f t="shared" si="32"/>
        <v>#DIV/0!</v>
      </c>
      <c r="AX64" s="61" t="e">
        <f t="shared" si="32"/>
        <v>#DIV/0!</v>
      </c>
      <c r="AY64" s="61" t="e">
        <f t="shared" si="32"/>
        <v>#DIV/0!</v>
      </c>
      <c r="AZ64" s="61" t="e">
        <f t="shared" si="32"/>
        <v>#DIV/0!</v>
      </c>
      <c r="BA64" s="61" t="e">
        <f t="shared" si="32"/>
        <v>#DIV/0!</v>
      </c>
      <c r="BB64" s="60" t="e">
        <f>Links!AF64</f>
        <v>#DIV/0!</v>
      </c>
      <c r="BC64" s="60" t="e">
        <f>(Links!AG64*Links!C64+'On-Ramps'!AC64*'On-Ramps'!CE64)/('On-Ramps'!AC64+Links!C64)</f>
        <v>#DIV/0!</v>
      </c>
      <c r="BD64" s="60" t="e">
        <f>Links!AH64</f>
        <v>#DIV/0!</v>
      </c>
      <c r="BE64" s="60" t="e">
        <f>(Links!AI64*Links!E64+'On-Ramps'!AD64*'On-Ramps'!CF63)/('On-Ramps'!AD64+Links!E64)</f>
        <v>#DIV/0!</v>
      </c>
      <c r="BF64" s="60" t="e">
        <f>(Links!F64*Links!AJ64+'On-Ramps'!AE64*'On-Ramps'!CG64)/('On-Ramps'!AE64+Links!F64)</f>
        <v>#DIV/0!</v>
      </c>
      <c r="BG64" s="60" t="e">
        <f>(Links!G64*Links!AK64+'On-Ramps'!AF64*'On-Ramps'!CH64)/('On-Ramps'!AF64+Links!G64)</f>
        <v>#DIV/0!</v>
      </c>
      <c r="BH64" s="60" t="e">
        <f>(Links!H64*Links!AL64+'On-Ramps'!AG64*'On-Ramps'!CI64)/('On-Ramps'!AG64+Links!H64)</f>
        <v>#DIV/0!</v>
      </c>
      <c r="BI64" s="60" t="e">
        <f>(Links!J64*Links!AN64+'On-Ramps'!AH64*'On-Ramps'!CJ64)/('On-Ramps'!AH64+Links!J64)</f>
        <v>#DIV/0!</v>
      </c>
      <c r="BJ64" s="60" t="e">
        <f>(Links!K64*Links!AO64+'On-Ramps'!AI64*'On-Ramps'!CK64)/('On-Ramps'!AI64+Links!K64)</f>
        <v>#DIV/0!</v>
      </c>
      <c r="BK64" s="60" t="e">
        <f>(Links!L64*Links!AP64+'On-Ramps'!AJ64*'On-Ramps'!CL64)/(Links!L64+'On-Ramps'!AJ64)</f>
        <v>#DIV/0!</v>
      </c>
      <c r="BL64" s="60" t="e">
        <f>Links!AQ64</f>
        <v>#DIV/0!</v>
      </c>
      <c r="BM64" s="60" t="e">
        <f>(Links!N64*Links!AR64+'On-Ramps'!AL64*'On-Ramps'!CM64)/(Links!N64+'On-Ramps'!AL64)</f>
        <v>#DIV/0!</v>
      </c>
      <c r="BN64" s="60" t="e">
        <f>Links!AS64</f>
        <v>#DIV/0!</v>
      </c>
      <c r="BO64" s="61" t="e">
        <f>(Links!R64^2+'Off-Ramp'!L64^2)/(Links!R64+'Off-Ramp'!L64)</f>
        <v>#DIV/0!</v>
      </c>
      <c r="BP64" s="61" t="e">
        <f>Links!S64</f>
        <v>#DIV/0!</v>
      </c>
      <c r="BQ64" s="61" t="e">
        <f>(Links!S64^2+'Off-Ramp'!C64^2)/(Links!S64+'Off-Ramp'!C64)</f>
        <v>#DIV/0!</v>
      </c>
      <c r="BR64" s="61" t="e">
        <f>Links!T64</f>
        <v>#DIV/0!</v>
      </c>
      <c r="BS64" s="61" t="e">
        <f>(Links!U64^2+'Off-Ramp'!N64^2)/(Links!U64+'Off-Ramp'!N64)</f>
        <v>#DIV/0!</v>
      </c>
      <c r="BT64" s="61" t="e">
        <f>(Links!V64^2+'Off-Ramp'!O64^2)/(Links!V64+'Off-Ramp'!O64)</f>
        <v>#DIV/0!</v>
      </c>
      <c r="BU64" s="61" t="e">
        <f>(Links!W64^2+'Off-Ramp'!P64^2)/(Links!W64+'Off-Ramp'!P64)</f>
        <v>#DIV/0!</v>
      </c>
      <c r="BV64" s="61" t="e">
        <f>(Links!Y64^2+'Off-Ramp'!Q64^2)/(Links!Y64+'Off-Ramp'!Q64)</f>
        <v>#DIV/0!</v>
      </c>
      <c r="BW64" s="61" t="e">
        <f>(Links!Z64^2+'Off-Ramp'!R64^2)/(Links!Z64+'Off-Ramp'!R64)</f>
        <v>#DIV/0!</v>
      </c>
      <c r="BX64" s="61" t="e">
        <f>(Links!AA64+'Off-Ramp'!S64)/(Links!AA64^2+'Off-Ramp'!S64^2)</f>
        <v>#DIV/0!</v>
      </c>
      <c r="BY64" s="61" t="e">
        <f>(Links!AB64^2+'Off-Ramp'!T64^2)/(Links!AB64+'Off-Ramp'!T64)</f>
        <v>#DIV/0!</v>
      </c>
      <c r="BZ64" s="61" t="e">
        <f>Links!AC64</f>
        <v>#DIV/0!</v>
      </c>
      <c r="CA64" s="61" t="e">
        <f>(Links!AD64^2+'Off-Ramp'!U64^2)/(Links!AD64+'Off-Ramp'!U64)</f>
        <v>#DIV/0!</v>
      </c>
    </row>
    <row r="65" spans="1:79" x14ac:dyDescent="0.15">
      <c r="A65" s="59">
        <v>63</v>
      </c>
      <c r="B65" s="60" t="e">
        <f t="shared" si="2"/>
        <v>#DIV/0!</v>
      </c>
      <c r="C65" s="60" t="e">
        <f t="shared" si="3"/>
        <v>#DIV/0!</v>
      </c>
      <c r="D65" s="60" t="e">
        <f t="shared" si="4"/>
        <v>#DIV/0!</v>
      </c>
      <c r="E65" s="60" t="e">
        <f t="shared" si="5"/>
        <v>#DIV/0!</v>
      </c>
      <c r="F65" s="60" t="e">
        <f t="shared" si="6"/>
        <v>#DIV/0!</v>
      </c>
      <c r="G65" s="60" t="e">
        <f t="shared" si="7"/>
        <v>#DIV/0!</v>
      </c>
      <c r="H65" s="60" t="e">
        <f t="shared" si="8"/>
        <v>#DIV/0!</v>
      </c>
      <c r="I65" s="60" t="e">
        <f t="shared" si="9"/>
        <v>#DIV/0!</v>
      </c>
      <c r="J65" s="60" t="e">
        <f t="shared" si="10"/>
        <v>#DIV/0!</v>
      </c>
      <c r="K65" s="60" t="e">
        <f t="shared" si="11"/>
        <v>#DIV/0!</v>
      </c>
      <c r="L65" s="60" t="e">
        <f t="shared" si="12"/>
        <v>#DIV/0!</v>
      </c>
      <c r="M65" s="60" t="e">
        <f t="shared" si="13"/>
        <v>#DIV/0!</v>
      </c>
      <c r="N65" s="60" t="e">
        <f t="shared" si="14"/>
        <v>#DIV/0!</v>
      </c>
      <c r="O65" s="61" t="e">
        <f>Links!B65</f>
        <v>#DIV/0!</v>
      </c>
      <c r="P65" s="61" t="e">
        <f>Links!C65+'On-Ramps'!AC65</f>
        <v>#DIV/0!</v>
      </c>
      <c r="Q65" s="61" t="e">
        <f>Links!D65</f>
        <v>#DIV/0!</v>
      </c>
      <c r="R65" s="61" t="e">
        <f>Links!E65+'On-Ramps'!AD65</f>
        <v>#DIV/0!</v>
      </c>
      <c r="S65" s="61" t="e">
        <f>Links!F65+'On-Ramps'!AE65</f>
        <v>#DIV/0!</v>
      </c>
      <c r="T65" s="61" t="e">
        <f>Links!G65+'On-Ramps'!AF65</f>
        <v>#DIV/0!</v>
      </c>
      <c r="U65" s="61" t="e">
        <f>Links!H65+'On-Ramps'!AG65</f>
        <v>#DIV/0!</v>
      </c>
      <c r="V65" s="61" t="e">
        <f>Links!J65+'On-Ramps'!AH65</f>
        <v>#DIV/0!</v>
      </c>
      <c r="W65" s="61" t="e">
        <f>Links!K65+'On-Ramps'!AI65</f>
        <v>#DIV/0!</v>
      </c>
      <c r="X65" s="61" t="e">
        <f>Links!L65+'On-Ramps'!AJ65</f>
        <v>#DIV/0!</v>
      </c>
      <c r="Y65" s="61" t="e">
        <f>Links!M65</f>
        <v>#DIV/0!</v>
      </c>
      <c r="Z65" s="61" t="e">
        <f>Links!N65+'On-Ramps'!AK65</f>
        <v>#DIV/0!</v>
      </c>
      <c r="AA65" s="61" t="e">
        <f>Links!O65</f>
        <v>#DIV/0!</v>
      </c>
      <c r="AB65" s="60" t="e">
        <f t="shared" si="17"/>
        <v>#DIV/0!</v>
      </c>
      <c r="AC65" s="60" t="e">
        <f t="shared" si="18"/>
        <v>#DIV/0!</v>
      </c>
      <c r="AD65" s="60" t="e">
        <f t="shared" si="19"/>
        <v>#DIV/0!</v>
      </c>
      <c r="AE65" s="60" t="e">
        <f t="shared" si="20"/>
        <v>#DIV/0!</v>
      </c>
      <c r="AF65" s="60" t="e">
        <f t="shared" si="21"/>
        <v>#DIV/0!</v>
      </c>
      <c r="AG65" s="60" t="e">
        <f t="shared" si="22"/>
        <v>#DIV/0!</v>
      </c>
      <c r="AH65" s="60" t="e">
        <f t="shared" si="23"/>
        <v>#DIV/0!</v>
      </c>
      <c r="AI65" s="60" t="e">
        <f t="shared" si="24"/>
        <v>#DIV/0!</v>
      </c>
      <c r="AJ65" s="60" t="e">
        <f t="shared" si="25"/>
        <v>#DIV/0!</v>
      </c>
      <c r="AK65" s="60" t="e">
        <f t="shared" si="26"/>
        <v>#DIV/0!</v>
      </c>
      <c r="AL65" s="60" t="e">
        <f t="shared" si="27"/>
        <v>#DIV/0!</v>
      </c>
      <c r="AM65" s="60" t="e">
        <f t="shared" si="28"/>
        <v>#DIV/0!</v>
      </c>
      <c r="AN65" s="60" t="e">
        <f t="shared" si="30"/>
        <v>#DIV/0!</v>
      </c>
      <c r="AO65" s="61" t="e">
        <f t="shared" si="33"/>
        <v>#DIV/0!</v>
      </c>
      <c r="AP65" s="61" t="e">
        <f t="shared" si="32"/>
        <v>#DIV/0!</v>
      </c>
      <c r="AQ65" s="61" t="e">
        <f t="shared" si="32"/>
        <v>#DIV/0!</v>
      </c>
      <c r="AR65" s="61" t="e">
        <f t="shared" si="32"/>
        <v>#DIV/0!</v>
      </c>
      <c r="AS65" s="61" t="e">
        <f t="shared" si="32"/>
        <v>#DIV/0!</v>
      </c>
      <c r="AT65" s="61" t="e">
        <f t="shared" si="32"/>
        <v>#DIV/0!</v>
      </c>
      <c r="AU65" s="61" t="e">
        <f t="shared" si="32"/>
        <v>#DIV/0!</v>
      </c>
      <c r="AV65" s="61" t="e">
        <f t="shared" si="32"/>
        <v>#DIV/0!</v>
      </c>
      <c r="AW65" s="61" t="e">
        <f t="shared" si="32"/>
        <v>#DIV/0!</v>
      </c>
      <c r="AX65" s="61" t="e">
        <f t="shared" si="32"/>
        <v>#DIV/0!</v>
      </c>
      <c r="AY65" s="61" t="e">
        <f t="shared" si="32"/>
        <v>#DIV/0!</v>
      </c>
      <c r="AZ65" s="61" t="e">
        <f t="shared" si="32"/>
        <v>#DIV/0!</v>
      </c>
      <c r="BA65" s="61" t="e">
        <f t="shared" si="32"/>
        <v>#DIV/0!</v>
      </c>
      <c r="BB65" s="60" t="e">
        <f>Links!AF65</f>
        <v>#DIV/0!</v>
      </c>
      <c r="BC65" s="60" t="e">
        <f>(Links!AG65*Links!C65+'On-Ramps'!AC65*'On-Ramps'!CE65)/('On-Ramps'!AC65+Links!C65)</f>
        <v>#DIV/0!</v>
      </c>
      <c r="BD65" s="60" t="e">
        <f>Links!AH65</f>
        <v>#DIV/0!</v>
      </c>
      <c r="BE65" s="60" t="e">
        <f>(Links!AI65*Links!E65+'On-Ramps'!AD65*'On-Ramps'!CF64)/('On-Ramps'!AD65+Links!E65)</f>
        <v>#DIV/0!</v>
      </c>
      <c r="BF65" s="60" t="e">
        <f>(Links!F65*Links!AJ65+'On-Ramps'!AE65*'On-Ramps'!CG65)/('On-Ramps'!AE65+Links!F65)</f>
        <v>#DIV/0!</v>
      </c>
      <c r="BG65" s="60" t="e">
        <f>(Links!G65*Links!AK65+'On-Ramps'!AF65*'On-Ramps'!CH65)/('On-Ramps'!AF65+Links!G65)</f>
        <v>#DIV/0!</v>
      </c>
      <c r="BH65" s="60" t="e">
        <f>(Links!H65*Links!AL65+'On-Ramps'!AG65*'On-Ramps'!CI65)/('On-Ramps'!AG65+Links!H65)</f>
        <v>#DIV/0!</v>
      </c>
      <c r="BI65" s="60" t="e">
        <f>(Links!J65*Links!AN65+'On-Ramps'!AH65*'On-Ramps'!CJ65)/('On-Ramps'!AH65+Links!J65)</f>
        <v>#DIV/0!</v>
      </c>
      <c r="BJ65" s="60" t="e">
        <f>(Links!K65*Links!AO65+'On-Ramps'!AI65*'On-Ramps'!CK65)/('On-Ramps'!AI65+Links!K65)</f>
        <v>#DIV/0!</v>
      </c>
      <c r="BK65" s="60" t="e">
        <f>(Links!L65*Links!AP65+'On-Ramps'!AJ65*'On-Ramps'!CL65)/(Links!L65+'On-Ramps'!AJ65)</f>
        <v>#DIV/0!</v>
      </c>
      <c r="BL65" s="60" t="e">
        <f>Links!AQ65</f>
        <v>#DIV/0!</v>
      </c>
      <c r="BM65" s="60" t="e">
        <f>(Links!N65*Links!AR65+'On-Ramps'!AL65*'On-Ramps'!CM65)/(Links!N65+'On-Ramps'!AL65)</f>
        <v>#DIV/0!</v>
      </c>
      <c r="BN65" s="60" t="e">
        <f>Links!AS65</f>
        <v>#DIV/0!</v>
      </c>
      <c r="BO65" s="61" t="e">
        <f>(Links!R65^2+'Off-Ramp'!L65^2)/(Links!R65+'Off-Ramp'!L65)</f>
        <v>#DIV/0!</v>
      </c>
      <c r="BP65" s="61" t="e">
        <f>Links!S65</f>
        <v>#DIV/0!</v>
      </c>
      <c r="BQ65" s="61" t="e">
        <f>(Links!S65^2+'Off-Ramp'!C65^2)/(Links!S65+'Off-Ramp'!C65)</f>
        <v>#DIV/0!</v>
      </c>
      <c r="BR65" s="61" t="e">
        <f>Links!T65</f>
        <v>#DIV/0!</v>
      </c>
      <c r="BS65" s="61" t="e">
        <f>(Links!U65^2+'Off-Ramp'!N65^2)/(Links!U65+'Off-Ramp'!N65)</f>
        <v>#DIV/0!</v>
      </c>
      <c r="BT65" s="61" t="e">
        <f>(Links!V65^2+'Off-Ramp'!O65^2)/(Links!V65+'Off-Ramp'!O65)</f>
        <v>#DIV/0!</v>
      </c>
      <c r="BU65" s="61" t="e">
        <f>(Links!W65^2+'Off-Ramp'!P65^2)/(Links!W65+'Off-Ramp'!P65)</f>
        <v>#DIV/0!</v>
      </c>
      <c r="BV65" s="61" t="e">
        <f>(Links!Y65^2+'Off-Ramp'!Q65^2)/(Links!Y65+'Off-Ramp'!Q65)</f>
        <v>#DIV/0!</v>
      </c>
      <c r="BW65" s="61" t="e">
        <f>(Links!Z65^2+'Off-Ramp'!R65^2)/(Links!Z65+'Off-Ramp'!R65)</f>
        <v>#DIV/0!</v>
      </c>
      <c r="BX65" s="61" t="e">
        <f>(Links!AA65+'Off-Ramp'!S65)/(Links!AA65^2+'Off-Ramp'!S65^2)</f>
        <v>#DIV/0!</v>
      </c>
      <c r="BY65" s="61" t="e">
        <f>(Links!AB65^2+'Off-Ramp'!T65^2)/(Links!AB65+'Off-Ramp'!T65)</f>
        <v>#DIV/0!</v>
      </c>
      <c r="BZ65" s="61" t="e">
        <f>Links!AC65</f>
        <v>#DIV/0!</v>
      </c>
      <c r="CA65" s="61" t="e">
        <f>(Links!AD65^2+'Off-Ramp'!U65^2)/(Links!AD65+'Off-Ramp'!U65)</f>
        <v>#DIV/0!</v>
      </c>
    </row>
    <row r="66" spans="1:79" x14ac:dyDescent="0.15">
      <c r="A66" s="59">
        <v>64</v>
      </c>
      <c r="B66" s="60" t="e">
        <f t="shared" si="2"/>
        <v>#DIV/0!</v>
      </c>
      <c r="C66" s="60" t="e">
        <f t="shared" si="3"/>
        <v>#DIV/0!</v>
      </c>
      <c r="D66" s="60" t="e">
        <f t="shared" si="4"/>
        <v>#DIV/0!</v>
      </c>
      <c r="E66" s="60" t="e">
        <f t="shared" si="5"/>
        <v>#DIV/0!</v>
      </c>
      <c r="F66" s="60" t="e">
        <f t="shared" si="6"/>
        <v>#DIV/0!</v>
      </c>
      <c r="G66" s="60" t="e">
        <f t="shared" si="7"/>
        <v>#DIV/0!</v>
      </c>
      <c r="H66" s="60" t="e">
        <f t="shared" si="8"/>
        <v>#DIV/0!</v>
      </c>
      <c r="I66" s="60" t="e">
        <f t="shared" si="9"/>
        <v>#DIV/0!</v>
      </c>
      <c r="J66" s="60" t="e">
        <f t="shared" si="10"/>
        <v>#DIV/0!</v>
      </c>
      <c r="K66" s="60" t="e">
        <f t="shared" si="11"/>
        <v>#DIV/0!</v>
      </c>
      <c r="L66" s="60" t="e">
        <f t="shared" si="12"/>
        <v>#DIV/0!</v>
      </c>
      <c r="M66" s="60" t="e">
        <f t="shared" si="13"/>
        <v>#DIV/0!</v>
      </c>
      <c r="N66" s="60" t="e">
        <f t="shared" si="14"/>
        <v>#DIV/0!</v>
      </c>
      <c r="O66" s="61" t="e">
        <f>Links!B66</f>
        <v>#DIV/0!</v>
      </c>
      <c r="P66" s="61" t="e">
        <f>Links!C66+'On-Ramps'!AC66</f>
        <v>#DIV/0!</v>
      </c>
      <c r="Q66" s="61" t="e">
        <f>Links!D66</f>
        <v>#DIV/0!</v>
      </c>
      <c r="R66" s="61" t="e">
        <f>Links!E66+'On-Ramps'!AD66</f>
        <v>#DIV/0!</v>
      </c>
      <c r="S66" s="61" t="e">
        <f>Links!F66+'On-Ramps'!AE66</f>
        <v>#DIV/0!</v>
      </c>
      <c r="T66" s="61" t="e">
        <f>Links!G66+'On-Ramps'!AF66</f>
        <v>#DIV/0!</v>
      </c>
      <c r="U66" s="61" t="e">
        <f>Links!H66+'On-Ramps'!AG66</f>
        <v>#DIV/0!</v>
      </c>
      <c r="V66" s="61" t="e">
        <f>Links!J66+'On-Ramps'!AH66</f>
        <v>#DIV/0!</v>
      </c>
      <c r="W66" s="61" t="e">
        <f>Links!K66+'On-Ramps'!AI66</f>
        <v>#DIV/0!</v>
      </c>
      <c r="X66" s="61" t="e">
        <f>Links!L66+'On-Ramps'!AJ66</f>
        <v>#DIV/0!</v>
      </c>
      <c r="Y66" s="61" t="e">
        <f>Links!M66</f>
        <v>#DIV/0!</v>
      </c>
      <c r="Z66" s="61" t="e">
        <f>Links!N66+'On-Ramps'!AK66</f>
        <v>#DIV/0!</v>
      </c>
      <c r="AA66" s="61" t="e">
        <f>Links!O66</f>
        <v>#DIV/0!</v>
      </c>
      <c r="AB66" s="60" t="e">
        <f t="shared" si="17"/>
        <v>#DIV/0!</v>
      </c>
      <c r="AC66" s="60" t="e">
        <f t="shared" si="18"/>
        <v>#DIV/0!</v>
      </c>
      <c r="AD66" s="60" t="e">
        <f t="shared" si="19"/>
        <v>#DIV/0!</v>
      </c>
      <c r="AE66" s="60" t="e">
        <f t="shared" si="20"/>
        <v>#DIV/0!</v>
      </c>
      <c r="AF66" s="60" t="e">
        <f t="shared" si="21"/>
        <v>#DIV/0!</v>
      </c>
      <c r="AG66" s="60" t="e">
        <f t="shared" si="22"/>
        <v>#DIV/0!</v>
      </c>
      <c r="AH66" s="60" t="e">
        <f t="shared" si="23"/>
        <v>#DIV/0!</v>
      </c>
      <c r="AI66" s="60" t="e">
        <f t="shared" si="24"/>
        <v>#DIV/0!</v>
      </c>
      <c r="AJ66" s="60" t="e">
        <f t="shared" si="25"/>
        <v>#DIV/0!</v>
      </c>
      <c r="AK66" s="60" t="e">
        <f t="shared" si="26"/>
        <v>#DIV/0!</v>
      </c>
      <c r="AL66" s="60" t="e">
        <f t="shared" si="27"/>
        <v>#DIV/0!</v>
      </c>
      <c r="AM66" s="60" t="e">
        <f t="shared" si="28"/>
        <v>#DIV/0!</v>
      </c>
      <c r="AN66" s="60" t="e">
        <f t="shared" si="30"/>
        <v>#DIV/0!</v>
      </c>
      <c r="AO66" s="61" t="e">
        <f t="shared" si="33"/>
        <v>#DIV/0!</v>
      </c>
      <c r="AP66" s="61" t="e">
        <f t="shared" si="32"/>
        <v>#DIV/0!</v>
      </c>
      <c r="AQ66" s="61" t="e">
        <f t="shared" si="32"/>
        <v>#DIV/0!</v>
      </c>
      <c r="AR66" s="61" t="e">
        <f t="shared" si="32"/>
        <v>#DIV/0!</v>
      </c>
      <c r="AS66" s="61" t="e">
        <f t="shared" si="32"/>
        <v>#DIV/0!</v>
      </c>
      <c r="AT66" s="61" t="e">
        <f t="shared" si="32"/>
        <v>#DIV/0!</v>
      </c>
      <c r="AU66" s="61" t="e">
        <f t="shared" si="32"/>
        <v>#DIV/0!</v>
      </c>
      <c r="AV66" s="61" t="e">
        <f t="shared" si="32"/>
        <v>#DIV/0!</v>
      </c>
      <c r="AW66" s="61" t="e">
        <f t="shared" si="32"/>
        <v>#DIV/0!</v>
      </c>
      <c r="AX66" s="61" t="e">
        <f t="shared" si="32"/>
        <v>#DIV/0!</v>
      </c>
      <c r="AY66" s="61" t="e">
        <f t="shared" si="32"/>
        <v>#DIV/0!</v>
      </c>
      <c r="AZ66" s="61" t="e">
        <f t="shared" si="32"/>
        <v>#DIV/0!</v>
      </c>
      <c r="BA66" s="61" t="e">
        <f t="shared" si="32"/>
        <v>#DIV/0!</v>
      </c>
      <c r="BB66" s="60" t="e">
        <f>Links!AF66</f>
        <v>#DIV/0!</v>
      </c>
      <c r="BC66" s="60" t="e">
        <f>(Links!AG66*Links!C66+'On-Ramps'!AC66*'On-Ramps'!CE66)/('On-Ramps'!AC66+Links!C66)</f>
        <v>#DIV/0!</v>
      </c>
      <c r="BD66" s="60" t="e">
        <f>Links!AH66</f>
        <v>#DIV/0!</v>
      </c>
      <c r="BE66" s="60" t="e">
        <f>(Links!AI66*Links!E66+'On-Ramps'!AD66*'On-Ramps'!CF65)/('On-Ramps'!AD66+Links!E66)</f>
        <v>#DIV/0!</v>
      </c>
      <c r="BF66" s="60" t="e">
        <f>(Links!F66*Links!AJ66+'On-Ramps'!AE66*'On-Ramps'!CG66)/('On-Ramps'!AE66+Links!F66)</f>
        <v>#DIV/0!</v>
      </c>
      <c r="BG66" s="60" t="e">
        <f>(Links!G66*Links!AK66+'On-Ramps'!AF66*'On-Ramps'!CH66)/('On-Ramps'!AF66+Links!G66)</f>
        <v>#DIV/0!</v>
      </c>
      <c r="BH66" s="60" t="e">
        <f>(Links!H66*Links!AL66+'On-Ramps'!AG66*'On-Ramps'!CI66)/('On-Ramps'!AG66+Links!H66)</f>
        <v>#DIV/0!</v>
      </c>
      <c r="BI66" s="60" t="e">
        <f>(Links!J66*Links!AN66+'On-Ramps'!AH66*'On-Ramps'!CJ66)/('On-Ramps'!AH66+Links!J66)</f>
        <v>#DIV/0!</v>
      </c>
      <c r="BJ66" s="60" t="e">
        <f>(Links!K66*Links!AO66+'On-Ramps'!AI66*'On-Ramps'!CK66)/('On-Ramps'!AI66+Links!K66)</f>
        <v>#DIV/0!</v>
      </c>
      <c r="BK66" s="60" t="e">
        <f>(Links!L66*Links!AP66+'On-Ramps'!AJ66*'On-Ramps'!CL66)/(Links!L66+'On-Ramps'!AJ66)</f>
        <v>#DIV/0!</v>
      </c>
      <c r="BL66" s="60" t="e">
        <f>Links!AQ66</f>
        <v>#DIV/0!</v>
      </c>
      <c r="BM66" s="60" t="e">
        <f>(Links!N66*Links!AR66+'On-Ramps'!AL66*'On-Ramps'!CM66)/(Links!N66+'On-Ramps'!AL66)</f>
        <v>#DIV/0!</v>
      </c>
      <c r="BN66" s="60" t="e">
        <f>Links!AS66</f>
        <v>#DIV/0!</v>
      </c>
      <c r="BO66" s="61" t="e">
        <f>(Links!R66^2+'Off-Ramp'!L66^2)/(Links!R66+'Off-Ramp'!L66)</f>
        <v>#DIV/0!</v>
      </c>
      <c r="BP66" s="61" t="e">
        <f>Links!S66</f>
        <v>#DIV/0!</v>
      </c>
      <c r="BQ66" s="61" t="e">
        <f>(Links!S66^2+'Off-Ramp'!C66^2)/(Links!S66+'Off-Ramp'!C66)</f>
        <v>#DIV/0!</v>
      </c>
      <c r="BR66" s="61" t="e">
        <f>Links!T66</f>
        <v>#DIV/0!</v>
      </c>
      <c r="BS66" s="61" t="e">
        <f>(Links!U66^2+'Off-Ramp'!N66^2)/(Links!U66+'Off-Ramp'!N66)</f>
        <v>#DIV/0!</v>
      </c>
      <c r="BT66" s="61" t="e">
        <f>(Links!V66^2+'Off-Ramp'!O66^2)/(Links!V66+'Off-Ramp'!O66)</f>
        <v>#DIV/0!</v>
      </c>
      <c r="BU66" s="61" t="e">
        <f>(Links!W66^2+'Off-Ramp'!P66^2)/(Links!W66+'Off-Ramp'!P66)</f>
        <v>#DIV/0!</v>
      </c>
      <c r="BV66" s="61" t="e">
        <f>(Links!Y66^2+'Off-Ramp'!Q66^2)/(Links!Y66+'Off-Ramp'!Q66)</f>
        <v>#DIV/0!</v>
      </c>
      <c r="BW66" s="61" t="e">
        <f>(Links!Z66^2+'Off-Ramp'!R66^2)/(Links!Z66+'Off-Ramp'!R66)</f>
        <v>#DIV/0!</v>
      </c>
      <c r="BX66" s="61" t="e">
        <f>(Links!AA66+'Off-Ramp'!S66)/(Links!AA66^2+'Off-Ramp'!S66^2)</f>
        <v>#DIV/0!</v>
      </c>
      <c r="BY66" s="61" t="e">
        <f>(Links!AB66^2+'Off-Ramp'!T66^2)/(Links!AB66+'Off-Ramp'!T66)</f>
        <v>#DIV/0!</v>
      </c>
      <c r="BZ66" s="61" t="e">
        <f>Links!AC66</f>
        <v>#DIV/0!</v>
      </c>
      <c r="CA66" s="61" t="e">
        <f>(Links!AD66^2+'Off-Ramp'!U66^2)/(Links!AD66+'Off-Ramp'!U66)</f>
        <v>#DIV/0!</v>
      </c>
    </row>
    <row r="67" spans="1:79" x14ac:dyDescent="0.15">
      <c r="A67" s="59">
        <v>65</v>
      </c>
      <c r="B67" s="60" t="e">
        <f t="shared" si="2"/>
        <v>#DIV/0!</v>
      </c>
      <c r="C67" s="60" t="e">
        <f t="shared" si="3"/>
        <v>#DIV/0!</v>
      </c>
      <c r="D67" s="60" t="e">
        <f t="shared" si="4"/>
        <v>#DIV/0!</v>
      </c>
      <c r="E67" s="60" t="e">
        <f t="shared" si="5"/>
        <v>#DIV/0!</v>
      </c>
      <c r="F67" s="60" t="e">
        <f t="shared" si="6"/>
        <v>#DIV/0!</v>
      </c>
      <c r="G67" s="60" t="e">
        <f t="shared" si="7"/>
        <v>#DIV/0!</v>
      </c>
      <c r="H67" s="60" t="e">
        <f t="shared" si="8"/>
        <v>#DIV/0!</v>
      </c>
      <c r="I67" s="60" t="e">
        <f t="shared" si="9"/>
        <v>#DIV/0!</v>
      </c>
      <c r="J67" s="60" t="e">
        <f t="shared" si="10"/>
        <v>#DIV/0!</v>
      </c>
      <c r="K67" s="60" t="e">
        <f t="shared" si="11"/>
        <v>#DIV/0!</v>
      </c>
      <c r="L67" s="60" t="e">
        <f t="shared" si="12"/>
        <v>#DIV/0!</v>
      </c>
      <c r="M67" s="60" t="e">
        <f t="shared" si="13"/>
        <v>#DIV/0!</v>
      </c>
      <c r="N67" s="60" t="e">
        <f t="shared" si="14"/>
        <v>#DIV/0!</v>
      </c>
      <c r="O67" s="61" t="e">
        <f>Links!B67</f>
        <v>#DIV/0!</v>
      </c>
      <c r="P67" s="61" t="e">
        <f>Links!C67+'On-Ramps'!AC67</f>
        <v>#DIV/0!</v>
      </c>
      <c r="Q67" s="61" t="e">
        <f>Links!D67</f>
        <v>#DIV/0!</v>
      </c>
      <c r="R67" s="61" t="e">
        <f>Links!E67+'On-Ramps'!AD67</f>
        <v>#DIV/0!</v>
      </c>
      <c r="S67" s="61" t="e">
        <f>Links!F67+'On-Ramps'!AE67</f>
        <v>#DIV/0!</v>
      </c>
      <c r="T67" s="61" t="e">
        <f>Links!G67+'On-Ramps'!AF67</f>
        <v>#DIV/0!</v>
      </c>
      <c r="U67" s="61" t="e">
        <f>Links!H67+'On-Ramps'!AG67</f>
        <v>#DIV/0!</v>
      </c>
      <c r="V67" s="61" t="e">
        <f>Links!J67+'On-Ramps'!AH67</f>
        <v>#DIV/0!</v>
      </c>
      <c r="W67" s="61" t="e">
        <f>Links!K67+'On-Ramps'!AI67</f>
        <v>#DIV/0!</v>
      </c>
      <c r="X67" s="61" t="e">
        <f>Links!L67+'On-Ramps'!AJ67</f>
        <v>#DIV/0!</v>
      </c>
      <c r="Y67" s="61" t="e">
        <f>Links!M67</f>
        <v>#DIV/0!</v>
      </c>
      <c r="Z67" s="61" t="e">
        <f>Links!N67+'On-Ramps'!AK67</f>
        <v>#DIV/0!</v>
      </c>
      <c r="AA67" s="61" t="e">
        <f>Links!O67</f>
        <v>#DIV/0!</v>
      </c>
      <c r="AB67" s="60" t="e">
        <f t="shared" si="17"/>
        <v>#DIV/0!</v>
      </c>
      <c r="AC67" s="60" t="e">
        <f t="shared" si="18"/>
        <v>#DIV/0!</v>
      </c>
      <c r="AD67" s="60" t="e">
        <f t="shared" si="19"/>
        <v>#DIV/0!</v>
      </c>
      <c r="AE67" s="60" t="e">
        <f t="shared" si="20"/>
        <v>#DIV/0!</v>
      </c>
      <c r="AF67" s="60" t="e">
        <f t="shared" si="21"/>
        <v>#DIV/0!</v>
      </c>
      <c r="AG67" s="60" t="e">
        <f t="shared" si="22"/>
        <v>#DIV/0!</v>
      </c>
      <c r="AH67" s="60" t="e">
        <f t="shared" si="23"/>
        <v>#DIV/0!</v>
      </c>
      <c r="AI67" s="60" t="e">
        <f t="shared" si="24"/>
        <v>#DIV/0!</v>
      </c>
      <c r="AJ67" s="60" t="e">
        <f t="shared" si="25"/>
        <v>#DIV/0!</v>
      </c>
      <c r="AK67" s="60" t="e">
        <f t="shared" si="26"/>
        <v>#DIV/0!</v>
      </c>
      <c r="AL67" s="60" t="e">
        <f t="shared" si="27"/>
        <v>#DIV/0!</v>
      </c>
      <c r="AM67" s="60" t="e">
        <f t="shared" si="28"/>
        <v>#DIV/0!</v>
      </c>
      <c r="AN67" s="60" t="e">
        <f t="shared" si="30"/>
        <v>#DIV/0!</v>
      </c>
      <c r="AO67" s="61" t="e">
        <f t="shared" si="33"/>
        <v>#DIV/0!</v>
      </c>
      <c r="AP67" s="61" t="e">
        <f t="shared" si="32"/>
        <v>#DIV/0!</v>
      </c>
      <c r="AQ67" s="61" t="e">
        <f t="shared" si="32"/>
        <v>#DIV/0!</v>
      </c>
      <c r="AR67" s="61" t="e">
        <f t="shared" si="32"/>
        <v>#DIV/0!</v>
      </c>
      <c r="AS67" s="61" t="e">
        <f t="shared" si="32"/>
        <v>#DIV/0!</v>
      </c>
      <c r="AT67" s="61" t="e">
        <f t="shared" si="32"/>
        <v>#DIV/0!</v>
      </c>
      <c r="AU67" s="61" t="e">
        <f t="shared" si="32"/>
        <v>#DIV/0!</v>
      </c>
      <c r="AV67" s="61" t="e">
        <f t="shared" si="32"/>
        <v>#DIV/0!</v>
      </c>
      <c r="AW67" s="61" t="e">
        <f t="shared" si="32"/>
        <v>#DIV/0!</v>
      </c>
      <c r="AX67" s="61" t="e">
        <f t="shared" si="32"/>
        <v>#DIV/0!</v>
      </c>
      <c r="AY67" s="61" t="e">
        <f t="shared" si="32"/>
        <v>#DIV/0!</v>
      </c>
      <c r="AZ67" s="61" t="e">
        <f t="shared" si="32"/>
        <v>#DIV/0!</v>
      </c>
      <c r="BA67" s="61" t="e">
        <f t="shared" si="32"/>
        <v>#DIV/0!</v>
      </c>
      <c r="BB67" s="60" t="e">
        <f>Links!AF67</f>
        <v>#DIV/0!</v>
      </c>
      <c r="BC67" s="60" t="e">
        <f>(Links!AG67*Links!C67+'On-Ramps'!AC67*'On-Ramps'!CE67)/('On-Ramps'!AC67+Links!C67)</f>
        <v>#DIV/0!</v>
      </c>
      <c r="BD67" s="60" t="e">
        <f>Links!AH67</f>
        <v>#DIV/0!</v>
      </c>
      <c r="BE67" s="60" t="e">
        <f>(Links!AI67*Links!E67+'On-Ramps'!AD67*'On-Ramps'!CF66)/('On-Ramps'!AD67+Links!E67)</f>
        <v>#DIV/0!</v>
      </c>
      <c r="BF67" s="60" t="e">
        <f>(Links!F67*Links!AJ67+'On-Ramps'!AE67*'On-Ramps'!CG67)/('On-Ramps'!AE67+Links!F67)</f>
        <v>#DIV/0!</v>
      </c>
      <c r="BG67" s="60" t="e">
        <f>(Links!G67*Links!AK67+'On-Ramps'!AF67*'On-Ramps'!CH67)/('On-Ramps'!AF67+Links!G67)</f>
        <v>#DIV/0!</v>
      </c>
      <c r="BH67" s="60" t="e">
        <f>(Links!H67*Links!AL67+'On-Ramps'!AG67*'On-Ramps'!CI67)/('On-Ramps'!AG67+Links!H67)</f>
        <v>#DIV/0!</v>
      </c>
      <c r="BI67" s="60" t="e">
        <f>(Links!J67*Links!AN67+'On-Ramps'!AH67*'On-Ramps'!CJ67)/('On-Ramps'!AH67+Links!J67)</f>
        <v>#DIV/0!</v>
      </c>
      <c r="BJ67" s="60" t="e">
        <f>(Links!K67*Links!AO67+'On-Ramps'!AI67*'On-Ramps'!CK67)/('On-Ramps'!AI67+Links!K67)</f>
        <v>#DIV/0!</v>
      </c>
      <c r="BK67" s="60" t="e">
        <f>(Links!L67*Links!AP67+'On-Ramps'!AJ67*'On-Ramps'!CL67)/(Links!L67+'On-Ramps'!AJ67)</f>
        <v>#DIV/0!</v>
      </c>
      <c r="BL67" s="60" t="e">
        <f>Links!AQ67</f>
        <v>#DIV/0!</v>
      </c>
      <c r="BM67" s="60" t="e">
        <f>(Links!N67*Links!AR67+'On-Ramps'!AL67*'On-Ramps'!CM67)/(Links!N67+'On-Ramps'!AL67)</f>
        <v>#DIV/0!</v>
      </c>
      <c r="BN67" s="60" t="e">
        <f>Links!AS67</f>
        <v>#DIV/0!</v>
      </c>
      <c r="BO67" s="61" t="e">
        <f>(Links!R67^2+'Off-Ramp'!L67^2)/(Links!R67+'Off-Ramp'!L67)</f>
        <v>#DIV/0!</v>
      </c>
      <c r="BP67" s="61" t="e">
        <f>Links!S67</f>
        <v>#DIV/0!</v>
      </c>
      <c r="BQ67" s="61" t="e">
        <f>(Links!S67^2+'Off-Ramp'!C67^2)/(Links!S67+'Off-Ramp'!C67)</f>
        <v>#DIV/0!</v>
      </c>
      <c r="BR67" s="61" t="e">
        <f>Links!T67</f>
        <v>#DIV/0!</v>
      </c>
      <c r="BS67" s="61" t="e">
        <f>(Links!U67^2+'Off-Ramp'!N67^2)/(Links!U67+'Off-Ramp'!N67)</f>
        <v>#DIV/0!</v>
      </c>
      <c r="BT67" s="61" t="e">
        <f>(Links!V67^2+'Off-Ramp'!O67^2)/(Links!V67+'Off-Ramp'!O67)</f>
        <v>#DIV/0!</v>
      </c>
      <c r="BU67" s="61" t="e">
        <f>(Links!W67^2+'Off-Ramp'!P67^2)/(Links!W67+'Off-Ramp'!P67)</f>
        <v>#DIV/0!</v>
      </c>
      <c r="BV67" s="61" t="e">
        <f>(Links!Y67^2+'Off-Ramp'!Q67^2)/(Links!Y67+'Off-Ramp'!Q67)</f>
        <v>#DIV/0!</v>
      </c>
      <c r="BW67" s="61" t="e">
        <f>(Links!Z67^2+'Off-Ramp'!R67^2)/(Links!Z67+'Off-Ramp'!R67)</f>
        <v>#DIV/0!</v>
      </c>
      <c r="BX67" s="61" t="e">
        <f>(Links!AA67+'Off-Ramp'!S67)/(Links!AA67^2+'Off-Ramp'!S67^2)</f>
        <v>#DIV/0!</v>
      </c>
      <c r="BY67" s="61" t="e">
        <f>(Links!AB67^2+'Off-Ramp'!T67^2)/(Links!AB67+'Off-Ramp'!T67)</f>
        <v>#DIV/0!</v>
      </c>
      <c r="BZ67" s="61" t="e">
        <f>Links!AC67</f>
        <v>#DIV/0!</v>
      </c>
      <c r="CA67" s="61" t="e">
        <f>(Links!AD67^2+'Off-Ramp'!U67^2)/(Links!AD67+'Off-Ramp'!U67)</f>
        <v>#DIV/0!</v>
      </c>
    </row>
    <row r="68" spans="1:79" x14ac:dyDescent="0.15">
      <c r="A68" s="59">
        <v>66</v>
      </c>
      <c r="B68" s="60" t="e">
        <f t="shared" ref="B68:B131" si="34">O68+AB68</f>
        <v>#DIV/0!</v>
      </c>
      <c r="C68" s="60" t="e">
        <f t="shared" ref="C68:C131" si="35">P68+AC68</f>
        <v>#DIV/0!</v>
      </c>
      <c r="D68" s="60" t="e">
        <f t="shared" ref="D68:D131" si="36">Q68+AD68</f>
        <v>#DIV/0!</v>
      </c>
      <c r="E68" s="60" t="e">
        <f t="shared" ref="E68:E131" si="37">R68+AE68</f>
        <v>#DIV/0!</v>
      </c>
      <c r="F68" s="60" t="e">
        <f t="shared" ref="F68:F131" si="38">S68+AF68</f>
        <v>#DIV/0!</v>
      </c>
      <c r="G68" s="60" t="e">
        <f t="shared" ref="G68:G131" si="39">T68+AG68</f>
        <v>#DIV/0!</v>
      </c>
      <c r="H68" s="60" t="e">
        <f t="shared" ref="H68:H131" si="40">U68+AH68</f>
        <v>#DIV/0!</v>
      </c>
      <c r="I68" s="60" t="e">
        <f t="shared" ref="I68:I131" si="41">V68+AI68</f>
        <v>#DIV/0!</v>
      </c>
      <c r="J68" s="60" t="e">
        <f t="shared" ref="J68:J131" si="42">W68+AJ68</f>
        <v>#DIV/0!</v>
      </c>
      <c r="K68" s="60" t="e">
        <f t="shared" ref="K68:K131" si="43">X68+AK68</f>
        <v>#DIV/0!</v>
      </c>
      <c r="L68" s="60" t="e">
        <f t="shared" ref="L68:L131" si="44">Y68+AL68</f>
        <v>#DIV/0!</v>
      </c>
      <c r="M68" s="60" t="e">
        <f t="shared" ref="M68:M131" si="45">Z68+AM68</f>
        <v>#DIV/0!</v>
      </c>
      <c r="N68" s="60" t="e">
        <f t="shared" ref="N68:N131" si="46">AA68+AN68</f>
        <v>#DIV/0!</v>
      </c>
      <c r="O68" s="61" t="e">
        <f>Links!B68</f>
        <v>#DIV/0!</v>
      </c>
      <c r="P68" s="61" t="e">
        <f>Links!C68+'On-Ramps'!AC68</f>
        <v>#DIV/0!</v>
      </c>
      <c r="Q68" s="61" t="e">
        <f>Links!D68</f>
        <v>#DIV/0!</v>
      </c>
      <c r="R68" s="61" t="e">
        <f>Links!E68+'On-Ramps'!AD68</f>
        <v>#DIV/0!</v>
      </c>
      <c r="S68" s="61" t="e">
        <f>Links!F68+'On-Ramps'!AE68</f>
        <v>#DIV/0!</v>
      </c>
      <c r="T68" s="61" t="e">
        <f>Links!G68+'On-Ramps'!AF68</f>
        <v>#DIV/0!</v>
      </c>
      <c r="U68" s="61" t="e">
        <f>Links!H68+'On-Ramps'!AG68</f>
        <v>#DIV/0!</v>
      </c>
      <c r="V68" s="61" t="e">
        <f>Links!J68+'On-Ramps'!AH68</f>
        <v>#DIV/0!</v>
      </c>
      <c r="W68" s="61" t="e">
        <f>Links!K68+'On-Ramps'!AI68</f>
        <v>#DIV/0!</v>
      </c>
      <c r="X68" s="61" t="e">
        <f>Links!L68+'On-Ramps'!AJ68</f>
        <v>#DIV/0!</v>
      </c>
      <c r="Y68" s="61" t="e">
        <f>Links!M68</f>
        <v>#DIV/0!</v>
      </c>
      <c r="Z68" s="61" t="e">
        <f>Links!N68+'On-Ramps'!AK68</f>
        <v>#DIV/0!</v>
      </c>
      <c r="AA68" s="61" t="e">
        <f>Links!O68</f>
        <v>#DIV/0!</v>
      </c>
      <c r="AB68" s="60" t="e">
        <f t="shared" si="17"/>
        <v>#DIV/0!</v>
      </c>
      <c r="AC68" s="60" t="e">
        <f t="shared" si="18"/>
        <v>#DIV/0!</v>
      </c>
      <c r="AD68" s="60" t="e">
        <f t="shared" si="19"/>
        <v>#DIV/0!</v>
      </c>
      <c r="AE68" s="60" t="e">
        <f t="shared" si="20"/>
        <v>#DIV/0!</v>
      </c>
      <c r="AF68" s="60" t="e">
        <f t="shared" si="21"/>
        <v>#DIV/0!</v>
      </c>
      <c r="AG68" s="60" t="e">
        <f t="shared" si="22"/>
        <v>#DIV/0!</v>
      </c>
      <c r="AH68" s="60" t="e">
        <f t="shared" si="23"/>
        <v>#DIV/0!</v>
      </c>
      <c r="AI68" s="60" t="e">
        <f t="shared" si="24"/>
        <v>#DIV/0!</v>
      </c>
      <c r="AJ68" s="60" t="e">
        <f t="shared" si="25"/>
        <v>#DIV/0!</v>
      </c>
      <c r="AK68" s="60" t="e">
        <f t="shared" si="26"/>
        <v>#DIV/0!</v>
      </c>
      <c r="AL68" s="60" t="e">
        <f t="shared" si="27"/>
        <v>#DIV/0!</v>
      </c>
      <c r="AM68" s="60" t="e">
        <f t="shared" si="28"/>
        <v>#DIV/0!</v>
      </c>
      <c r="AN68" s="60" t="e">
        <f t="shared" si="30"/>
        <v>#DIV/0!</v>
      </c>
      <c r="AO68" s="61" t="e">
        <f t="shared" si="33"/>
        <v>#DIV/0!</v>
      </c>
      <c r="AP68" s="61" t="e">
        <f t="shared" si="32"/>
        <v>#DIV/0!</v>
      </c>
      <c r="AQ68" s="61" t="e">
        <f t="shared" si="32"/>
        <v>#DIV/0!</v>
      </c>
      <c r="AR68" s="61" t="e">
        <f t="shared" si="32"/>
        <v>#DIV/0!</v>
      </c>
      <c r="AS68" s="61" t="e">
        <f t="shared" si="32"/>
        <v>#DIV/0!</v>
      </c>
      <c r="AT68" s="61" t="e">
        <f t="shared" si="32"/>
        <v>#DIV/0!</v>
      </c>
      <c r="AU68" s="61" t="e">
        <f t="shared" si="32"/>
        <v>#DIV/0!</v>
      </c>
      <c r="AV68" s="61" t="e">
        <f t="shared" si="32"/>
        <v>#DIV/0!</v>
      </c>
      <c r="AW68" s="61" t="e">
        <f t="shared" si="32"/>
        <v>#DIV/0!</v>
      </c>
      <c r="AX68" s="61" t="e">
        <f t="shared" si="32"/>
        <v>#DIV/0!</v>
      </c>
      <c r="AY68" s="61" t="e">
        <f t="shared" si="32"/>
        <v>#DIV/0!</v>
      </c>
      <c r="AZ68" s="61" t="e">
        <f t="shared" si="32"/>
        <v>#DIV/0!</v>
      </c>
      <c r="BA68" s="61" t="e">
        <f t="shared" si="32"/>
        <v>#DIV/0!</v>
      </c>
      <c r="BB68" s="60" t="e">
        <f>Links!AF68</f>
        <v>#DIV/0!</v>
      </c>
      <c r="BC68" s="60" t="e">
        <f>(Links!AG68*Links!C68+'On-Ramps'!AC68*'On-Ramps'!CE68)/('On-Ramps'!AC68+Links!C68)</f>
        <v>#DIV/0!</v>
      </c>
      <c r="BD68" s="60" t="e">
        <f>Links!AH68</f>
        <v>#DIV/0!</v>
      </c>
      <c r="BE68" s="60" t="e">
        <f>(Links!AI68*Links!E68+'On-Ramps'!AD68*'On-Ramps'!CF67)/('On-Ramps'!AD68+Links!E68)</f>
        <v>#DIV/0!</v>
      </c>
      <c r="BF68" s="60" t="e">
        <f>(Links!F68*Links!AJ68+'On-Ramps'!AE68*'On-Ramps'!CG68)/('On-Ramps'!AE68+Links!F68)</f>
        <v>#DIV/0!</v>
      </c>
      <c r="BG68" s="60" t="e">
        <f>(Links!G68*Links!AK68+'On-Ramps'!AF68*'On-Ramps'!CH68)/('On-Ramps'!AF68+Links!G68)</f>
        <v>#DIV/0!</v>
      </c>
      <c r="BH68" s="60" t="e">
        <f>(Links!H68*Links!AL68+'On-Ramps'!AG68*'On-Ramps'!CI68)/('On-Ramps'!AG68+Links!H68)</f>
        <v>#DIV/0!</v>
      </c>
      <c r="BI68" s="60" t="e">
        <f>(Links!J68*Links!AN68+'On-Ramps'!AH68*'On-Ramps'!CJ68)/('On-Ramps'!AH68+Links!J68)</f>
        <v>#DIV/0!</v>
      </c>
      <c r="BJ68" s="60" t="e">
        <f>(Links!K68*Links!AO68+'On-Ramps'!AI68*'On-Ramps'!CK68)/('On-Ramps'!AI68+Links!K68)</f>
        <v>#DIV/0!</v>
      </c>
      <c r="BK68" s="60" t="e">
        <f>(Links!L68*Links!AP68+'On-Ramps'!AJ68*'On-Ramps'!CL68)/(Links!L68+'On-Ramps'!AJ68)</f>
        <v>#DIV/0!</v>
      </c>
      <c r="BL68" s="60" t="e">
        <f>Links!AQ68</f>
        <v>#DIV/0!</v>
      </c>
      <c r="BM68" s="60" t="e">
        <f>(Links!N68*Links!AR68+'On-Ramps'!AL68*'On-Ramps'!CM68)/(Links!N68+'On-Ramps'!AL68)</f>
        <v>#DIV/0!</v>
      </c>
      <c r="BN68" s="60" t="e">
        <f>Links!AS68</f>
        <v>#DIV/0!</v>
      </c>
      <c r="BO68" s="61" t="e">
        <f>(Links!R68^2+'Off-Ramp'!L68^2)/(Links!R68+'Off-Ramp'!L68)</f>
        <v>#DIV/0!</v>
      </c>
      <c r="BP68" s="61" t="e">
        <f>Links!S68</f>
        <v>#DIV/0!</v>
      </c>
      <c r="BQ68" s="61" t="e">
        <f>(Links!S68^2+'Off-Ramp'!C68^2)/(Links!S68+'Off-Ramp'!C68)</f>
        <v>#DIV/0!</v>
      </c>
      <c r="BR68" s="61" t="e">
        <f>Links!T68</f>
        <v>#DIV/0!</v>
      </c>
      <c r="BS68" s="61" t="e">
        <f>(Links!U68^2+'Off-Ramp'!N68^2)/(Links!U68+'Off-Ramp'!N68)</f>
        <v>#DIV/0!</v>
      </c>
      <c r="BT68" s="61" t="e">
        <f>(Links!V68^2+'Off-Ramp'!O68^2)/(Links!V68+'Off-Ramp'!O68)</f>
        <v>#DIV/0!</v>
      </c>
      <c r="BU68" s="61" t="e">
        <f>(Links!W68^2+'Off-Ramp'!P68^2)/(Links!W68+'Off-Ramp'!P68)</f>
        <v>#DIV/0!</v>
      </c>
      <c r="BV68" s="61" t="e">
        <f>(Links!Y68^2+'Off-Ramp'!Q68^2)/(Links!Y68+'Off-Ramp'!Q68)</f>
        <v>#DIV/0!</v>
      </c>
      <c r="BW68" s="61" t="e">
        <f>(Links!Z68^2+'Off-Ramp'!R68^2)/(Links!Z68+'Off-Ramp'!R68)</f>
        <v>#DIV/0!</v>
      </c>
      <c r="BX68" s="61" t="e">
        <f>(Links!AA68+'Off-Ramp'!S68)/(Links!AA68^2+'Off-Ramp'!S68^2)</f>
        <v>#DIV/0!</v>
      </c>
      <c r="BY68" s="61" t="e">
        <f>(Links!AB68^2+'Off-Ramp'!T68^2)/(Links!AB68+'Off-Ramp'!T68)</f>
        <v>#DIV/0!</v>
      </c>
      <c r="BZ68" s="61" t="e">
        <f>Links!AC68</f>
        <v>#DIV/0!</v>
      </c>
      <c r="CA68" s="61" t="e">
        <f>(Links!AD68^2+'Off-Ramp'!U68^2)/(Links!AD68+'Off-Ramp'!U68)</f>
        <v>#DIV/0!</v>
      </c>
    </row>
    <row r="69" spans="1:79" x14ac:dyDescent="0.15">
      <c r="A69" s="59">
        <v>67</v>
      </c>
      <c r="B69" s="60" t="e">
        <f t="shared" si="34"/>
        <v>#DIV/0!</v>
      </c>
      <c r="C69" s="60" t="e">
        <f t="shared" si="35"/>
        <v>#DIV/0!</v>
      </c>
      <c r="D69" s="60" t="e">
        <f t="shared" si="36"/>
        <v>#DIV/0!</v>
      </c>
      <c r="E69" s="60" t="e">
        <f t="shared" si="37"/>
        <v>#DIV/0!</v>
      </c>
      <c r="F69" s="60" t="e">
        <f t="shared" si="38"/>
        <v>#DIV/0!</v>
      </c>
      <c r="G69" s="60" t="e">
        <f t="shared" si="39"/>
        <v>#DIV/0!</v>
      </c>
      <c r="H69" s="60" t="e">
        <f t="shared" si="40"/>
        <v>#DIV/0!</v>
      </c>
      <c r="I69" s="60" t="e">
        <f t="shared" si="41"/>
        <v>#DIV/0!</v>
      </c>
      <c r="J69" s="60" t="e">
        <f t="shared" si="42"/>
        <v>#DIV/0!</v>
      </c>
      <c r="K69" s="60" t="e">
        <f t="shared" si="43"/>
        <v>#DIV/0!</v>
      </c>
      <c r="L69" s="60" t="e">
        <f t="shared" si="44"/>
        <v>#DIV/0!</v>
      </c>
      <c r="M69" s="60" t="e">
        <f t="shared" si="45"/>
        <v>#DIV/0!</v>
      </c>
      <c r="N69" s="60" t="e">
        <f t="shared" si="46"/>
        <v>#DIV/0!</v>
      </c>
      <c r="O69" s="61" t="e">
        <f>Links!B69</f>
        <v>#DIV/0!</v>
      </c>
      <c r="P69" s="61" t="e">
        <f>Links!C69+'On-Ramps'!AC69</f>
        <v>#DIV/0!</v>
      </c>
      <c r="Q69" s="61" t="e">
        <f>Links!D69</f>
        <v>#DIV/0!</v>
      </c>
      <c r="R69" s="61" t="e">
        <f>Links!E69+'On-Ramps'!AD69</f>
        <v>#DIV/0!</v>
      </c>
      <c r="S69" s="61" t="e">
        <f>Links!F69+'On-Ramps'!AE69</f>
        <v>#DIV/0!</v>
      </c>
      <c r="T69" s="61" t="e">
        <f>Links!G69+'On-Ramps'!AF69</f>
        <v>#DIV/0!</v>
      </c>
      <c r="U69" s="61" t="e">
        <f>Links!H69+'On-Ramps'!AG69</f>
        <v>#DIV/0!</v>
      </c>
      <c r="V69" s="61" t="e">
        <f>Links!J69+'On-Ramps'!AH69</f>
        <v>#DIV/0!</v>
      </c>
      <c r="W69" s="61" t="e">
        <f>Links!K69+'On-Ramps'!AI69</f>
        <v>#DIV/0!</v>
      </c>
      <c r="X69" s="61" t="e">
        <f>Links!L69+'On-Ramps'!AJ69</f>
        <v>#DIV/0!</v>
      </c>
      <c r="Y69" s="61" t="e">
        <f>Links!M69</f>
        <v>#DIV/0!</v>
      </c>
      <c r="Z69" s="61" t="e">
        <f>Links!N69+'On-Ramps'!AK69</f>
        <v>#DIV/0!</v>
      </c>
      <c r="AA69" s="61" t="e">
        <f>Links!O69</f>
        <v>#DIV/0!</v>
      </c>
      <c r="AB69" s="60" t="e">
        <f t="shared" ref="AB69:AB132" si="47">AO69*(1-AO69)*O69</f>
        <v>#DIV/0!</v>
      </c>
      <c r="AC69" s="60" t="e">
        <f t="shared" ref="AC69:AC132" si="48">AP69*(1-AP69)*P69</f>
        <v>#DIV/0!</v>
      </c>
      <c r="AD69" s="60" t="e">
        <f t="shared" ref="AD69:AD132" si="49">AQ69*(1-AQ69)*Q69</f>
        <v>#DIV/0!</v>
      </c>
      <c r="AE69" s="60" t="e">
        <f t="shared" ref="AE69:AE132" si="50">AR69*(1-AR69)*R69</f>
        <v>#DIV/0!</v>
      </c>
      <c r="AF69" s="60" t="e">
        <f t="shared" ref="AF69:AF132" si="51">AS69*(1-AS69)*S69</f>
        <v>#DIV/0!</v>
      </c>
      <c r="AG69" s="60" t="e">
        <f t="shared" ref="AG69:AG132" si="52">AT69*(1-AT69)*T69</f>
        <v>#DIV/0!</v>
      </c>
      <c r="AH69" s="60" t="e">
        <f t="shared" ref="AH69:AH132" si="53">AU69*(1-AU69)*U69</f>
        <v>#DIV/0!</v>
      </c>
      <c r="AI69" s="60" t="e">
        <f t="shared" ref="AI69:AI132" si="54">AV69*(1-AV69)*V69</f>
        <v>#DIV/0!</v>
      </c>
      <c r="AJ69" s="60" t="e">
        <f t="shared" ref="AJ69:AJ132" si="55">AW69*(1-AW69)*W69</f>
        <v>#DIV/0!</v>
      </c>
      <c r="AK69" s="60" t="e">
        <f t="shared" ref="AK69:AK132" si="56">AX69*(1-AX69)*X69</f>
        <v>#DIV/0!</v>
      </c>
      <c r="AL69" s="60" t="e">
        <f t="shared" ref="AL69:AL132" si="57">AY69*(1-AY69)*Y69</f>
        <v>#DIV/0!</v>
      </c>
      <c r="AM69" s="60" t="e">
        <f t="shared" ref="AM69:AM132" si="58">AZ69*(1-AZ69)*Z69</f>
        <v>#DIV/0!</v>
      </c>
      <c r="AN69" s="60" t="e">
        <f t="shared" si="30"/>
        <v>#DIV/0!</v>
      </c>
      <c r="AO69" s="61" t="e">
        <f t="shared" si="33"/>
        <v>#DIV/0!</v>
      </c>
      <c r="AP69" s="61" t="e">
        <f t="shared" si="32"/>
        <v>#DIV/0!</v>
      </c>
      <c r="AQ69" s="61" t="e">
        <f t="shared" si="32"/>
        <v>#DIV/0!</v>
      </c>
      <c r="AR69" s="61" t="e">
        <f t="shared" si="32"/>
        <v>#DIV/0!</v>
      </c>
      <c r="AS69" s="61" t="e">
        <f t="shared" si="32"/>
        <v>#DIV/0!</v>
      </c>
      <c r="AT69" s="61" t="e">
        <f t="shared" si="32"/>
        <v>#DIV/0!</v>
      </c>
      <c r="AU69" s="61" t="e">
        <f t="shared" si="32"/>
        <v>#DIV/0!</v>
      </c>
      <c r="AV69" s="61" t="e">
        <f t="shared" si="32"/>
        <v>#DIV/0!</v>
      </c>
      <c r="AW69" s="61" t="e">
        <f t="shared" si="32"/>
        <v>#DIV/0!</v>
      </c>
      <c r="AX69" s="61" t="e">
        <f t="shared" si="32"/>
        <v>#DIV/0!</v>
      </c>
      <c r="AY69" s="61" t="e">
        <f t="shared" si="32"/>
        <v>#DIV/0!</v>
      </c>
      <c r="AZ69" s="61" t="e">
        <f t="shared" si="32"/>
        <v>#DIV/0!</v>
      </c>
      <c r="BA69" s="61" t="e">
        <f t="shared" si="32"/>
        <v>#DIV/0!</v>
      </c>
      <c r="BB69" s="60" t="e">
        <f>Links!AF69</f>
        <v>#DIV/0!</v>
      </c>
      <c r="BC69" s="60" t="e">
        <f>(Links!AG69*Links!C69+'On-Ramps'!AC69*'On-Ramps'!CE69)/('On-Ramps'!AC69+Links!C69)</f>
        <v>#DIV/0!</v>
      </c>
      <c r="BD69" s="60" t="e">
        <f>Links!AH69</f>
        <v>#DIV/0!</v>
      </c>
      <c r="BE69" s="60" t="e">
        <f>(Links!AI69*Links!E69+'On-Ramps'!AD69*'On-Ramps'!CF68)/('On-Ramps'!AD69+Links!E69)</f>
        <v>#DIV/0!</v>
      </c>
      <c r="BF69" s="60" t="e">
        <f>(Links!F69*Links!AJ69+'On-Ramps'!AE69*'On-Ramps'!CG69)/('On-Ramps'!AE69+Links!F69)</f>
        <v>#DIV/0!</v>
      </c>
      <c r="BG69" s="60" t="e">
        <f>(Links!G69*Links!AK69+'On-Ramps'!AF69*'On-Ramps'!CH69)/('On-Ramps'!AF69+Links!G69)</f>
        <v>#DIV/0!</v>
      </c>
      <c r="BH69" s="60" t="e">
        <f>(Links!H69*Links!AL69+'On-Ramps'!AG69*'On-Ramps'!CI69)/('On-Ramps'!AG69+Links!H69)</f>
        <v>#DIV/0!</v>
      </c>
      <c r="BI69" s="60" t="e">
        <f>(Links!J69*Links!AN69+'On-Ramps'!AH69*'On-Ramps'!CJ69)/('On-Ramps'!AH69+Links!J69)</f>
        <v>#DIV/0!</v>
      </c>
      <c r="BJ69" s="60" t="e">
        <f>(Links!K69*Links!AO69+'On-Ramps'!AI69*'On-Ramps'!CK69)/('On-Ramps'!AI69+Links!K69)</f>
        <v>#DIV/0!</v>
      </c>
      <c r="BK69" s="60" t="e">
        <f>(Links!L69*Links!AP69+'On-Ramps'!AJ69*'On-Ramps'!CL69)/(Links!L69+'On-Ramps'!AJ69)</f>
        <v>#DIV/0!</v>
      </c>
      <c r="BL69" s="60" t="e">
        <f>Links!AQ69</f>
        <v>#DIV/0!</v>
      </c>
      <c r="BM69" s="60" t="e">
        <f>(Links!N69*Links!AR69+'On-Ramps'!AL69*'On-Ramps'!CM69)/(Links!N69+'On-Ramps'!AL69)</f>
        <v>#DIV/0!</v>
      </c>
      <c r="BN69" s="60" t="e">
        <f>Links!AS69</f>
        <v>#DIV/0!</v>
      </c>
      <c r="BO69" s="61" t="e">
        <f>(Links!R69^2+'Off-Ramp'!L69^2)/(Links!R69+'Off-Ramp'!L69)</f>
        <v>#DIV/0!</v>
      </c>
      <c r="BP69" s="61" t="e">
        <f>Links!S69</f>
        <v>#DIV/0!</v>
      </c>
      <c r="BQ69" s="61" t="e">
        <f>(Links!S69^2+'Off-Ramp'!C69^2)/(Links!S69+'Off-Ramp'!C69)</f>
        <v>#DIV/0!</v>
      </c>
      <c r="BR69" s="61" t="e">
        <f>Links!T69</f>
        <v>#DIV/0!</v>
      </c>
      <c r="BS69" s="61" t="e">
        <f>(Links!U69^2+'Off-Ramp'!N69^2)/(Links!U69+'Off-Ramp'!N69)</f>
        <v>#DIV/0!</v>
      </c>
      <c r="BT69" s="61" t="e">
        <f>(Links!V69^2+'Off-Ramp'!O69^2)/(Links!V69+'Off-Ramp'!O69)</f>
        <v>#DIV/0!</v>
      </c>
      <c r="BU69" s="61" t="e">
        <f>(Links!W69^2+'Off-Ramp'!P69^2)/(Links!W69+'Off-Ramp'!P69)</f>
        <v>#DIV/0!</v>
      </c>
      <c r="BV69" s="61" t="e">
        <f>(Links!Y69^2+'Off-Ramp'!Q69^2)/(Links!Y69+'Off-Ramp'!Q69)</f>
        <v>#DIV/0!</v>
      </c>
      <c r="BW69" s="61" t="e">
        <f>(Links!Z69^2+'Off-Ramp'!R69^2)/(Links!Z69+'Off-Ramp'!R69)</f>
        <v>#DIV/0!</v>
      </c>
      <c r="BX69" s="61" t="e">
        <f>(Links!AA69+'Off-Ramp'!S69)/(Links!AA69^2+'Off-Ramp'!S69^2)</f>
        <v>#DIV/0!</v>
      </c>
      <c r="BY69" s="61" t="e">
        <f>(Links!AB69^2+'Off-Ramp'!T69^2)/(Links!AB69+'Off-Ramp'!T69)</f>
        <v>#DIV/0!</v>
      </c>
      <c r="BZ69" s="61" t="e">
        <f>Links!AC69</f>
        <v>#DIV/0!</v>
      </c>
      <c r="CA69" s="61" t="e">
        <f>(Links!AD69^2+'Off-Ramp'!U69^2)/(Links!AD69+'Off-Ramp'!U69)</f>
        <v>#DIV/0!</v>
      </c>
    </row>
    <row r="70" spans="1:79" x14ac:dyDescent="0.15">
      <c r="A70" s="59">
        <v>68</v>
      </c>
      <c r="B70" s="60" t="e">
        <f t="shared" si="34"/>
        <v>#DIV/0!</v>
      </c>
      <c r="C70" s="60" t="e">
        <f t="shared" si="35"/>
        <v>#DIV/0!</v>
      </c>
      <c r="D70" s="60" t="e">
        <f t="shared" si="36"/>
        <v>#DIV/0!</v>
      </c>
      <c r="E70" s="60" t="e">
        <f t="shared" si="37"/>
        <v>#DIV/0!</v>
      </c>
      <c r="F70" s="60" t="e">
        <f t="shared" si="38"/>
        <v>#DIV/0!</v>
      </c>
      <c r="G70" s="60" t="e">
        <f t="shared" si="39"/>
        <v>#DIV/0!</v>
      </c>
      <c r="H70" s="60" t="e">
        <f t="shared" si="40"/>
        <v>#DIV/0!</v>
      </c>
      <c r="I70" s="60" t="e">
        <f t="shared" si="41"/>
        <v>#DIV/0!</v>
      </c>
      <c r="J70" s="60" t="e">
        <f t="shared" si="42"/>
        <v>#DIV/0!</v>
      </c>
      <c r="K70" s="60" t="e">
        <f t="shared" si="43"/>
        <v>#DIV/0!</v>
      </c>
      <c r="L70" s="60" t="e">
        <f t="shared" si="44"/>
        <v>#DIV/0!</v>
      </c>
      <c r="M70" s="60" t="e">
        <f t="shared" si="45"/>
        <v>#DIV/0!</v>
      </c>
      <c r="N70" s="60" t="e">
        <f t="shared" si="46"/>
        <v>#DIV/0!</v>
      </c>
      <c r="O70" s="61" t="e">
        <f>Links!B70</f>
        <v>#DIV/0!</v>
      </c>
      <c r="P70" s="61" t="e">
        <f>Links!C70+'On-Ramps'!AC70</f>
        <v>#DIV/0!</v>
      </c>
      <c r="Q70" s="61" t="e">
        <f>Links!D70</f>
        <v>#DIV/0!</v>
      </c>
      <c r="R70" s="61" t="e">
        <f>Links!E70+'On-Ramps'!AD70</f>
        <v>#DIV/0!</v>
      </c>
      <c r="S70" s="61" t="e">
        <f>Links!F70+'On-Ramps'!AE70</f>
        <v>#DIV/0!</v>
      </c>
      <c r="T70" s="61" t="e">
        <f>Links!G70+'On-Ramps'!AF70</f>
        <v>#DIV/0!</v>
      </c>
      <c r="U70" s="61" t="e">
        <f>Links!H70+'On-Ramps'!AG70</f>
        <v>#DIV/0!</v>
      </c>
      <c r="V70" s="61" t="e">
        <f>Links!J70+'On-Ramps'!AH70</f>
        <v>#DIV/0!</v>
      </c>
      <c r="W70" s="61" t="e">
        <f>Links!K70+'On-Ramps'!AI70</f>
        <v>#DIV/0!</v>
      </c>
      <c r="X70" s="61" t="e">
        <f>Links!L70+'On-Ramps'!AJ70</f>
        <v>#DIV/0!</v>
      </c>
      <c r="Y70" s="61" t="e">
        <f>Links!M70</f>
        <v>#DIV/0!</v>
      </c>
      <c r="Z70" s="61" t="e">
        <f>Links!N70+'On-Ramps'!AK70</f>
        <v>#DIV/0!</v>
      </c>
      <c r="AA70" s="61" t="e">
        <f>Links!O70</f>
        <v>#DIV/0!</v>
      </c>
      <c r="AB70" s="60" t="e">
        <f t="shared" si="47"/>
        <v>#DIV/0!</v>
      </c>
      <c r="AC70" s="60" t="e">
        <f t="shared" si="48"/>
        <v>#DIV/0!</v>
      </c>
      <c r="AD70" s="60" t="e">
        <f t="shared" si="49"/>
        <v>#DIV/0!</v>
      </c>
      <c r="AE70" s="60" t="e">
        <f t="shared" si="50"/>
        <v>#DIV/0!</v>
      </c>
      <c r="AF70" s="60" t="e">
        <f t="shared" si="51"/>
        <v>#DIV/0!</v>
      </c>
      <c r="AG70" s="60" t="e">
        <f t="shared" si="52"/>
        <v>#DIV/0!</v>
      </c>
      <c r="AH70" s="60" t="e">
        <f t="shared" si="53"/>
        <v>#DIV/0!</v>
      </c>
      <c r="AI70" s="60" t="e">
        <f t="shared" si="54"/>
        <v>#DIV/0!</v>
      </c>
      <c r="AJ70" s="60" t="e">
        <f t="shared" si="55"/>
        <v>#DIV/0!</v>
      </c>
      <c r="AK70" s="60" t="e">
        <f t="shared" si="56"/>
        <v>#DIV/0!</v>
      </c>
      <c r="AL70" s="60" t="e">
        <f t="shared" si="57"/>
        <v>#DIV/0!</v>
      </c>
      <c r="AM70" s="60" t="e">
        <f t="shared" si="58"/>
        <v>#DIV/0!</v>
      </c>
      <c r="AN70" s="60" t="e">
        <f t="shared" si="30"/>
        <v>#DIV/0!</v>
      </c>
      <c r="AO70" s="61" t="e">
        <f t="shared" si="33"/>
        <v>#DIV/0!</v>
      </c>
      <c r="AP70" s="61" t="e">
        <f t="shared" si="32"/>
        <v>#DIV/0!</v>
      </c>
      <c r="AQ70" s="61" t="e">
        <f t="shared" si="32"/>
        <v>#DIV/0!</v>
      </c>
      <c r="AR70" s="61" t="e">
        <f t="shared" si="32"/>
        <v>#DIV/0!</v>
      </c>
      <c r="AS70" s="61" t="e">
        <f t="shared" si="32"/>
        <v>#DIV/0!</v>
      </c>
      <c r="AT70" s="61" t="e">
        <f t="shared" si="32"/>
        <v>#DIV/0!</v>
      </c>
      <c r="AU70" s="61" t="e">
        <f t="shared" si="32"/>
        <v>#DIV/0!</v>
      </c>
      <c r="AV70" s="61" t="e">
        <f t="shared" si="32"/>
        <v>#DIV/0!</v>
      </c>
      <c r="AW70" s="61" t="e">
        <f t="shared" si="32"/>
        <v>#DIV/0!</v>
      </c>
      <c r="AX70" s="61" t="e">
        <f t="shared" si="32"/>
        <v>#DIV/0!</v>
      </c>
      <c r="AY70" s="61" t="e">
        <f t="shared" si="32"/>
        <v>#DIV/0!</v>
      </c>
      <c r="AZ70" s="61" t="e">
        <f t="shared" si="32"/>
        <v>#DIV/0!</v>
      </c>
      <c r="BA70" s="61" t="e">
        <f t="shared" si="32"/>
        <v>#DIV/0!</v>
      </c>
      <c r="BB70" s="60" t="e">
        <f>Links!AF70</f>
        <v>#DIV/0!</v>
      </c>
      <c r="BC70" s="60" t="e">
        <f>(Links!AG70*Links!C70+'On-Ramps'!AC70*'On-Ramps'!CE70)/('On-Ramps'!AC70+Links!C70)</f>
        <v>#DIV/0!</v>
      </c>
      <c r="BD70" s="60" t="e">
        <f>Links!AH70</f>
        <v>#DIV/0!</v>
      </c>
      <c r="BE70" s="60" t="e">
        <f>(Links!AI70*Links!E70+'On-Ramps'!AD70*'On-Ramps'!CF69)/('On-Ramps'!AD70+Links!E70)</f>
        <v>#DIV/0!</v>
      </c>
      <c r="BF70" s="60" t="e">
        <f>(Links!F70*Links!AJ70+'On-Ramps'!AE70*'On-Ramps'!CG70)/('On-Ramps'!AE70+Links!F70)</f>
        <v>#DIV/0!</v>
      </c>
      <c r="BG70" s="60" t="e">
        <f>(Links!G70*Links!AK70+'On-Ramps'!AF70*'On-Ramps'!CH70)/('On-Ramps'!AF70+Links!G70)</f>
        <v>#DIV/0!</v>
      </c>
      <c r="BH70" s="60" t="e">
        <f>(Links!H70*Links!AL70+'On-Ramps'!AG70*'On-Ramps'!CI70)/('On-Ramps'!AG70+Links!H70)</f>
        <v>#DIV/0!</v>
      </c>
      <c r="BI70" s="60" t="e">
        <f>(Links!J70*Links!AN70+'On-Ramps'!AH70*'On-Ramps'!CJ70)/('On-Ramps'!AH70+Links!J70)</f>
        <v>#DIV/0!</v>
      </c>
      <c r="BJ70" s="60" t="e">
        <f>(Links!K70*Links!AO70+'On-Ramps'!AI70*'On-Ramps'!CK70)/('On-Ramps'!AI70+Links!K70)</f>
        <v>#DIV/0!</v>
      </c>
      <c r="BK70" s="60" t="e">
        <f>(Links!L70*Links!AP70+'On-Ramps'!AJ70*'On-Ramps'!CL70)/(Links!L70+'On-Ramps'!AJ70)</f>
        <v>#DIV/0!</v>
      </c>
      <c r="BL70" s="60" t="e">
        <f>Links!AQ70</f>
        <v>#DIV/0!</v>
      </c>
      <c r="BM70" s="60" t="e">
        <f>(Links!N70*Links!AR70+'On-Ramps'!AL70*'On-Ramps'!CM70)/(Links!N70+'On-Ramps'!AL70)</f>
        <v>#DIV/0!</v>
      </c>
      <c r="BN70" s="60" t="e">
        <f>Links!AS70</f>
        <v>#DIV/0!</v>
      </c>
      <c r="BO70" s="61" t="e">
        <f>(Links!R70^2+'Off-Ramp'!L70^2)/(Links!R70+'Off-Ramp'!L70)</f>
        <v>#DIV/0!</v>
      </c>
      <c r="BP70" s="61" t="e">
        <f>Links!S70</f>
        <v>#DIV/0!</v>
      </c>
      <c r="BQ70" s="61" t="e">
        <f>(Links!S70^2+'Off-Ramp'!C70^2)/(Links!S70+'Off-Ramp'!C70)</f>
        <v>#DIV/0!</v>
      </c>
      <c r="BR70" s="61" t="e">
        <f>Links!T70</f>
        <v>#DIV/0!</v>
      </c>
      <c r="BS70" s="61" t="e">
        <f>(Links!U70^2+'Off-Ramp'!N70^2)/(Links!U70+'Off-Ramp'!N70)</f>
        <v>#DIV/0!</v>
      </c>
      <c r="BT70" s="61" t="e">
        <f>(Links!V70^2+'Off-Ramp'!O70^2)/(Links!V70+'Off-Ramp'!O70)</f>
        <v>#DIV/0!</v>
      </c>
      <c r="BU70" s="61" t="e">
        <f>(Links!W70^2+'Off-Ramp'!P70^2)/(Links!W70+'Off-Ramp'!P70)</f>
        <v>#DIV/0!</v>
      </c>
      <c r="BV70" s="61" t="e">
        <f>(Links!Y70^2+'Off-Ramp'!Q70^2)/(Links!Y70+'Off-Ramp'!Q70)</f>
        <v>#DIV/0!</v>
      </c>
      <c r="BW70" s="61" t="e">
        <f>(Links!Z70^2+'Off-Ramp'!R70^2)/(Links!Z70+'Off-Ramp'!R70)</f>
        <v>#DIV/0!</v>
      </c>
      <c r="BX70" s="61" t="e">
        <f>(Links!AA70+'Off-Ramp'!S70)/(Links!AA70^2+'Off-Ramp'!S70^2)</f>
        <v>#DIV/0!</v>
      </c>
      <c r="BY70" s="61" t="e">
        <f>(Links!AB70^2+'Off-Ramp'!T70^2)/(Links!AB70+'Off-Ramp'!T70)</f>
        <v>#DIV/0!</v>
      </c>
      <c r="BZ70" s="61" t="e">
        <f>Links!AC70</f>
        <v>#DIV/0!</v>
      </c>
      <c r="CA70" s="61" t="e">
        <f>(Links!AD70^2+'Off-Ramp'!U70^2)/(Links!AD70+'Off-Ramp'!U70)</f>
        <v>#DIV/0!</v>
      </c>
    </row>
    <row r="71" spans="1:79" x14ac:dyDescent="0.15">
      <c r="A71" s="59">
        <v>69</v>
      </c>
      <c r="B71" s="60" t="e">
        <f t="shared" si="34"/>
        <v>#DIV/0!</v>
      </c>
      <c r="C71" s="60" t="e">
        <f t="shared" si="35"/>
        <v>#DIV/0!</v>
      </c>
      <c r="D71" s="60" t="e">
        <f t="shared" si="36"/>
        <v>#DIV/0!</v>
      </c>
      <c r="E71" s="60" t="e">
        <f t="shared" si="37"/>
        <v>#DIV/0!</v>
      </c>
      <c r="F71" s="60" t="e">
        <f t="shared" si="38"/>
        <v>#DIV/0!</v>
      </c>
      <c r="G71" s="60" t="e">
        <f t="shared" si="39"/>
        <v>#DIV/0!</v>
      </c>
      <c r="H71" s="60" t="e">
        <f t="shared" si="40"/>
        <v>#DIV/0!</v>
      </c>
      <c r="I71" s="60" t="e">
        <f t="shared" si="41"/>
        <v>#DIV/0!</v>
      </c>
      <c r="J71" s="60" t="e">
        <f t="shared" si="42"/>
        <v>#DIV/0!</v>
      </c>
      <c r="K71" s="60" t="e">
        <f t="shared" si="43"/>
        <v>#DIV/0!</v>
      </c>
      <c r="L71" s="60" t="e">
        <f t="shared" si="44"/>
        <v>#DIV/0!</v>
      </c>
      <c r="M71" s="60" t="e">
        <f t="shared" si="45"/>
        <v>#DIV/0!</v>
      </c>
      <c r="N71" s="60" t="e">
        <f t="shared" si="46"/>
        <v>#DIV/0!</v>
      </c>
      <c r="O71" s="61" t="e">
        <f>Links!B71</f>
        <v>#DIV/0!</v>
      </c>
      <c r="P71" s="61" t="e">
        <f>Links!C71+'On-Ramps'!AC71</f>
        <v>#DIV/0!</v>
      </c>
      <c r="Q71" s="61" t="e">
        <f>Links!D71</f>
        <v>#DIV/0!</v>
      </c>
      <c r="R71" s="61" t="e">
        <f>Links!E71+'On-Ramps'!AD71</f>
        <v>#DIV/0!</v>
      </c>
      <c r="S71" s="61" t="e">
        <f>Links!F71+'On-Ramps'!AE71</f>
        <v>#DIV/0!</v>
      </c>
      <c r="T71" s="61" t="e">
        <f>Links!G71+'On-Ramps'!AF71</f>
        <v>#DIV/0!</v>
      </c>
      <c r="U71" s="61" t="e">
        <f>Links!H71+'On-Ramps'!AG71</f>
        <v>#DIV/0!</v>
      </c>
      <c r="V71" s="61" t="e">
        <f>Links!J71+'On-Ramps'!AH71</f>
        <v>#DIV/0!</v>
      </c>
      <c r="W71" s="61" t="e">
        <f>Links!K71+'On-Ramps'!AI71</f>
        <v>#DIV/0!</v>
      </c>
      <c r="X71" s="61" t="e">
        <f>Links!L71+'On-Ramps'!AJ71</f>
        <v>#DIV/0!</v>
      </c>
      <c r="Y71" s="61" t="e">
        <f>Links!M71</f>
        <v>#DIV/0!</v>
      </c>
      <c r="Z71" s="61" t="e">
        <f>Links!N71+'On-Ramps'!AK71</f>
        <v>#DIV/0!</v>
      </c>
      <c r="AA71" s="61" t="e">
        <f>Links!O71</f>
        <v>#DIV/0!</v>
      </c>
      <c r="AB71" s="60" t="e">
        <f t="shared" si="47"/>
        <v>#DIV/0!</v>
      </c>
      <c r="AC71" s="60" t="e">
        <f t="shared" si="48"/>
        <v>#DIV/0!</v>
      </c>
      <c r="AD71" s="60" t="e">
        <f t="shared" si="49"/>
        <v>#DIV/0!</v>
      </c>
      <c r="AE71" s="60" t="e">
        <f t="shared" si="50"/>
        <v>#DIV/0!</v>
      </c>
      <c r="AF71" s="60" t="e">
        <f t="shared" si="51"/>
        <v>#DIV/0!</v>
      </c>
      <c r="AG71" s="60" t="e">
        <f t="shared" si="52"/>
        <v>#DIV/0!</v>
      </c>
      <c r="AH71" s="60" t="e">
        <f t="shared" si="53"/>
        <v>#DIV/0!</v>
      </c>
      <c r="AI71" s="60" t="e">
        <f t="shared" si="54"/>
        <v>#DIV/0!</v>
      </c>
      <c r="AJ71" s="60" t="e">
        <f t="shared" si="55"/>
        <v>#DIV/0!</v>
      </c>
      <c r="AK71" s="60" t="e">
        <f t="shared" si="56"/>
        <v>#DIV/0!</v>
      </c>
      <c r="AL71" s="60" t="e">
        <f t="shared" si="57"/>
        <v>#DIV/0!</v>
      </c>
      <c r="AM71" s="60" t="e">
        <f t="shared" si="58"/>
        <v>#DIV/0!</v>
      </c>
      <c r="AN71" s="60" t="e">
        <f t="shared" si="30"/>
        <v>#DIV/0!</v>
      </c>
      <c r="AO71" s="61" t="e">
        <f t="shared" si="33"/>
        <v>#DIV/0!</v>
      </c>
      <c r="AP71" s="61" t="e">
        <f t="shared" si="32"/>
        <v>#DIV/0!</v>
      </c>
      <c r="AQ71" s="61" t="e">
        <f t="shared" si="32"/>
        <v>#DIV/0!</v>
      </c>
      <c r="AR71" s="61" t="e">
        <f t="shared" si="32"/>
        <v>#DIV/0!</v>
      </c>
      <c r="AS71" s="61" t="e">
        <f t="shared" si="32"/>
        <v>#DIV/0!</v>
      </c>
      <c r="AT71" s="61" t="e">
        <f t="shared" si="32"/>
        <v>#DIV/0!</v>
      </c>
      <c r="AU71" s="61" t="e">
        <f t="shared" si="32"/>
        <v>#DIV/0!</v>
      </c>
      <c r="AV71" s="61" t="e">
        <f t="shared" si="32"/>
        <v>#DIV/0!</v>
      </c>
      <c r="AW71" s="61" t="e">
        <f t="shared" si="32"/>
        <v>#DIV/0!</v>
      </c>
      <c r="AX71" s="61" t="e">
        <f t="shared" si="32"/>
        <v>#DIV/0!</v>
      </c>
      <c r="AY71" s="61" t="e">
        <f t="shared" si="32"/>
        <v>#DIV/0!</v>
      </c>
      <c r="AZ71" s="61" t="e">
        <f t="shared" si="32"/>
        <v>#DIV/0!</v>
      </c>
      <c r="BA71" s="61" t="e">
        <f t="shared" si="32"/>
        <v>#DIV/0!</v>
      </c>
      <c r="BB71" s="60" t="e">
        <f>Links!AF71</f>
        <v>#DIV/0!</v>
      </c>
      <c r="BC71" s="60" t="e">
        <f>(Links!AG71*Links!C71+'On-Ramps'!AC71*'On-Ramps'!CE71)/('On-Ramps'!AC71+Links!C71)</f>
        <v>#DIV/0!</v>
      </c>
      <c r="BD71" s="60" t="e">
        <f>Links!AH71</f>
        <v>#DIV/0!</v>
      </c>
      <c r="BE71" s="60" t="e">
        <f>(Links!AI71*Links!E71+'On-Ramps'!AD71*'On-Ramps'!CF70)/('On-Ramps'!AD71+Links!E71)</f>
        <v>#DIV/0!</v>
      </c>
      <c r="BF71" s="60" t="e">
        <f>(Links!F71*Links!AJ71+'On-Ramps'!AE71*'On-Ramps'!CG71)/('On-Ramps'!AE71+Links!F71)</f>
        <v>#DIV/0!</v>
      </c>
      <c r="BG71" s="60" t="e">
        <f>(Links!G71*Links!AK71+'On-Ramps'!AF71*'On-Ramps'!CH71)/('On-Ramps'!AF71+Links!G71)</f>
        <v>#DIV/0!</v>
      </c>
      <c r="BH71" s="60" t="e">
        <f>(Links!H71*Links!AL71+'On-Ramps'!AG71*'On-Ramps'!CI71)/('On-Ramps'!AG71+Links!H71)</f>
        <v>#DIV/0!</v>
      </c>
      <c r="BI71" s="60" t="e">
        <f>(Links!J71*Links!AN71+'On-Ramps'!AH71*'On-Ramps'!CJ71)/('On-Ramps'!AH71+Links!J71)</f>
        <v>#DIV/0!</v>
      </c>
      <c r="BJ71" s="60" t="e">
        <f>(Links!K71*Links!AO71+'On-Ramps'!AI71*'On-Ramps'!CK71)/('On-Ramps'!AI71+Links!K71)</f>
        <v>#DIV/0!</v>
      </c>
      <c r="BK71" s="60" t="e">
        <f>(Links!L71*Links!AP71+'On-Ramps'!AJ71*'On-Ramps'!CL71)/(Links!L71+'On-Ramps'!AJ71)</f>
        <v>#DIV/0!</v>
      </c>
      <c r="BL71" s="60" t="e">
        <f>Links!AQ71</f>
        <v>#DIV/0!</v>
      </c>
      <c r="BM71" s="60" t="e">
        <f>(Links!N71*Links!AR71+'On-Ramps'!AL71*'On-Ramps'!CM71)/(Links!N71+'On-Ramps'!AL71)</f>
        <v>#DIV/0!</v>
      </c>
      <c r="BN71" s="60" t="e">
        <f>Links!AS71</f>
        <v>#DIV/0!</v>
      </c>
      <c r="BO71" s="61" t="e">
        <f>(Links!R71^2+'Off-Ramp'!L71^2)/(Links!R71+'Off-Ramp'!L71)</f>
        <v>#DIV/0!</v>
      </c>
      <c r="BP71" s="61" t="e">
        <f>Links!S71</f>
        <v>#DIV/0!</v>
      </c>
      <c r="BQ71" s="61" t="e">
        <f>(Links!S71^2+'Off-Ramp'!C71^2)/(Links!S71+'Off-Ramp'!C71)</f>
        <v>#DIV/0!</v>
      </c>
      <c r="BR71" s="61" t="e">
        <f>Links!T71</f>
        <v>#DIV/0!</v>
      </c>
      <c r="BS71" s="61" t="e">
        <f>(Links!U71^2+'Off-Ramp'!N71^2)/(Links!U71+'Off-Ramp'!N71)</f>
        <v>#DIV/0!</v>
      </c>
      <c r="BT71" s="61" t="e">
        <f>(Links!V71^2+'Off-Ramp'!O71^2)/(Links!V71+'Off-Ramp'!O71)</f>
        <v>#DIV/0!</v>
      </c>
      <c r="BU71" s="61" t="e">
        <f>(Links!W71^2+'Off-Ramp'!P71^2)/(Links!W71+'Off-Ramp'!P71)</f>
        <v>#DIV/0!</v>
      </c>
      <c r="BV71" s="61" t="e">
        <f>(Links!Y71^2+'Off-Ramp'!Q71^2)/(Links!Y71+'Off-Ramp'!Q71)</f>
        <v>#DIV/0!</v>
      </c>
      <c r="BW71" s="61" t="e">
        <f>(Links!Z71^2+'Off-Ramp'!R71^2)/(Links!Z71+'Off-Ramp'!R71)</f>
        <v>#DIV/0!</v>
      </c>
      <c r="BX71" s="61" t="e">
        <f>(Links!AA71+'Off-Ramp'!S71)/(Links!AA71^2+'Off-Ramp'!S71^2)</f>
        <v>#DIV/0!</v>
      </c>
      <c r="BY71" s="61" t="e">
        <f>(Links!AB71^2+'Off-Ramp'!T71^2)/(Links!AB71+'Off-Ramp'!T71)</f>
        <v>#DIV/0!</v>
      </c>
      <c r="BZ71" s="61" t="e">
        <f>Links!AC71</f>
        <v>#DIV/0!</v>
      </c>
      <c r="CA71" s="61" t="e">
        <f>(Links!AD71^2+'Off-Ramp'!U71^2)/(Links!AD71+'Off-Ramp'!U71)</f>
        <v>#DIV/0!</v>
      </c>
    </row>
    <row r="72" spans="1:79" x14ac:dyDescent="0.15">
      <c r="A72" s="59">
        <v>70</v>
      </c>
      <c r="B72" s="60" t="e">
        <f t="shared" si="34"/>
        <v>#DIV/0!</v>
      </c>
      <c r="C72" s="60" t="e">
        <f t="shared" si="35"/>
        <v>#DIV/0!</v>
      </c>
      <c r="D72" s="60" t="e">
        <f t="shared" si="36"/>
        <v>#DIV/0!</v>
      </c>
      <c r="E72" s="60" t="e">
        <f t="shared" si="37"/>
        <v>#DIV/0!</v>
      </c>
      <c r="F72" s="60" t="e">
        <f t="shared" si="38"/>
        <v>#DIV/0!</v>
      </c>
      <c r="G72" s="60" t="e">
        <f t="shared" si="39"/>
        <v>#DIV/0!</v>
      </c>
      <c r="H72" s="60" t="e">
        <f t="shared" si="40"/>
        <v>#DIV/0!</v>
      </c>
      <c r="I72" s="60" t="e">
        <f t="shared" si="41"/>
        <v>#DIV/0!</v>
      </c>
      <c r="J72" s="60" t="e">
        <f t="shared" si="42"/>
        <v>#DIV/0!</v>
      </c>
      <c r="K72" s="60" t="e">
        <f t="shared" si="43"/>
        <v>#DIV/0!</v>
      </c>
      <c r="L72" s="60" t="e">
        <f t="shared" si="44"/>
        <v>#DIV/0!</v>
      </c>
      <c r="M72" s="60" t="e">
        <f t="shared" si="45"/>
        <v>#DIV/0!</v>
      </c>
      <c r="N72" s="60" t="e">
        <f t="shared" si="46"/>
        <v>#DIV/0!</v>
      </c>
      <c r="O72" s="61" t="e">
        <f>Links!B72</f>
        <v>#DIV/0!</v>
      </c>
      <c r="P72" s="61" t="e">
        <f>Links!C72+'On-Ramps'!AC72</f>
        <v>#DIV/0!</v>
      </c>
      <c r="Q72" s="61" t="e">
        <f>Links!D72</f>
        <v>#DIV/0!</v>
      </c>
      <c r="R72" s="61" t="e">
        <f>Links!E72+'On-Ramps'!AD72</f>
        <v>#DIV/0!</v>
      </c>
      <c r="S72" s="61" t="e">
        <f>Links!F72+'On-Ramps'!AE72</f>
        <v>#DIV/0!</v>
      </c>
      <c r="T72" s="61" t="e">
        <f>Links!G72+'On-Ramps'!AF72</f>
        <v>#DIV/0!</v>
      </c>
      <c r="U72" s="61" t="e">
        <f>Links!H72+'On-Ramps'!AG72</f>
        <v>#DIV/0!</v>
      </c>
      <c r="V72" s="61" t="e">
        <f>Links!J72+'On-Ramps'!AH72</f>
        <v>#DIV/0!</v>
      </c>
      <c r="W72" s="61" t="e">
        <f>Links!K72+'On-Ramps'!AI72</f>
        <v>#DIV/0!</v>
      </c>
      <c r="X72" s="61" t="e">
        <f>Links!L72+'On-Ramps'!AJ72</f>
        <v>#DIV/0!</v>
      </c>
      <c r="Y72" s="61" t="e">
        <f>Links!M72</f>
        <v>#DIV/0!</v>
      </c>
      <c r="Z72" s="61" t="e">
        <f>Links!N72+'On-Ramps'!AK72</f>
        <v>#DIV/0!</v>
      </c>
      <c r="AA72" s="61" t="e">
        <f>Links!O72</f>
        <v>#DIV/0!</v>
      </c>
      <c r="AB72" s="60" t="e">
        <f t="shared" si="47"/>
        <v>#DIV/0!</v>
      </c>
      <c r="AC72" s="60" t="e">
        <f t="shared" si="48"/>
        <v>#DIV/0!</v>
      </c>
      <c r="AD72" s="60" t="e">
        <f t="shared" si="49"/>
        <v>#DIV/0!</v>
      </c>
      <c r="AE72" s="60" t="e">
        <f t="shared" si="50"/>
        <v>#DIV/0!</v>
      </c>
      <c r="AF72" s="60" t="e">
        <f t="shared" si="51"/>
        <v>#DIV/0!</v>
      </c>
      <c r="AG72" s="60" t="e">
        <f t="shared" si="52"/>
        <v>#DIV/0!</v>
      </c>
      <c r="AH72" s="60" t="e">
        <f t="shared" si="53"/>
        <v>#DIV/0!</v>
      </c>
      <c r="AI72" s="60" t="e">
        <f t="shared" si="54"/>
        <v>#DIV/0!</v>
      </c>
      <c r="AJ72" s="60" t="e">
        <f t="shared" si="55"/>
        <v>#DIV/0!</v>
      </c>
      <c r="AK72" s="60" t="e">
        <f t="shared" si="56"/>
        <v>#DIV/0!</v>
      </c>
      <c r="AL72" s="60" t="e">
        <f t="shared" si="57"/>
        <v>#DIV/0!</v>
      </c>
      <c r="AM72" s="60" t="e">
        <f t="shared" si="58"/>
        <v>#DIV/0!</v>
      </c>
      <c r="AN72" s="60" t="e">
        <f t="shared" si="30"/>
        <v>#DIV/0!</v>
      </c>
      <c r="AO72" s="61" t="e">
        <f t="shared" si="33"/>
        <v>#DIV/0!</v>
      </c>
      <c r="AP72" s="61" t="e">
        <f t="shared" si="32"/>
        <v>#DIV/0!</v>
      </c>
      <c r="AQ72" s="61" t="e">
        <f t="shared" si="32"/>
        <v>#DIV/0!</v>
      </c>
      <c r="AR72" s="61" t="e">
        <f t="shared" si="32"/>
        <v>#DIV/0!</v>
      </c>
      <c r="AS72" s="61" t="e">
        <f t="shared" si="32"/>
        <v>#DIV/0!</v>
      </c>
      <c r="AT72" s="61" t="e">
        <f t="shared" si="32"/>
        <v>#DIV/0!</v>
      </c>
      <c r="AU72" s="61" t="e">
        <f t="shared" si="32"/>
        <v>#DIV/0!</v>
      </c>
      <c r="AV72" s="61" t="e">
        <f t="shared" si="32"/>
        <v>#DIV/0!</v>
      </c>
      <c r="AW72" s="61" t="e">
        <f t="shared" si="32"/>
        <v>#DIV/0!</v>
      </c>
      <c r="AX72" s="61" t="e">
        <f t="shared" si="32"/>
        <v>#DIV/0!</v>
      </c>
      <c r="AY72" s="61" t="e">
        <f t="shared" si="32"/>
        <v>#DIV/0!</v>
      </c>
      <c r="AZ72" s="61" t="e">
        <f t="shared" si="32"/>
        <v>#DIV/0!</v>
      </c>
      <c r="BA72" s="61" t="e">
        <f t="shared" si="32"/>
        <v>#DIV/0!</v>
      </c>
      <c r="BB72" s="60" t="e">
        <f>Links!AF72</f>
        <v>#DIV/0!</v>
      </c>
      <c r="BC72" s="60" t="e">
        <f>(Links!AG72*Links!C72+'On-Ramps'!AC72*'On-Ramps'!CE72)/('On-Ramps'!AC72+Links!C72)</f>
        <v>#DIV/0!</v>
      </c>
      <c r="BD72" s="60" t="e">
        <f>Links!AH72</f>
        <v>#DIV/0!</v>
      </c>
      <c r="BE72" s="60" t="e">
        <f>(Links!AI72*Links!E72+'On-Ramps'!AD72*'On-Ramps'!CF71)/('On-Ramps'!AD72+Links!E72)</f>
        <v>#DIV/0!</v>
      </c>
      <c r="BF72" s="60" t="e">
        <f>(Links!F72*Links!AJ72+'On-Ramps'!AE72*'On-Ramps'!CG72)/('On-Ramps'!AE72+Links!F72)</f>
        <v>#DIV/0!</v>
      </c>
      <c r="BG72" s="60" t="e">
        <f>(Links!G72*Links!AK72+'On-Ramps'!AF72*'On-Ramps'!CH72)/('On-Ramps'!AF72+Links!G72)</f>
        <v>#DIV/0!</v>
      </c>
      <c r="BH72" s="60" t="e">
        <f>(Links!H72*Links!AL72+'On-Ramps'!AG72*'On-Ramps'!CI72)/('On-Ramps'!AG72+Links!H72)</f>
        <v>#DIV/0!</v>
      </c>
      <c r="BI72" s="60" t="e">
        <f>(Links!J72*Links!AN72+'On-Ramps'!AH72*'On-Ramps'!CJ72)/('On-Ramps'!AH72+Links!J72)</f>
        <v>#DIV/0!</v>
      </c>
      <c r="BJ72" s="60" t="e">
        <f>(Links!K72*Links!AO72+'On-Ramps'!AI72*'On-Ramps'!CK72)/('On-Ramps'!AI72+Links!K72)</f>
        <v>#DIV/0!</v>
      </c>
      <c r="BK72" s="60" t="e">
        <f>(Links!L72*Links!AP72+'On-Ramps'!AJ72*'On-Ramps'!CL72)/(Links!L72+'On-Ramps'!AJ72)</f>
        <v>#DIV/0!</v>
      </c>
      <c r="BL72" s="60" t="e">
        <f>Links!AQ72</f>
        <v>#DIV/0!</v>
      </c>
      <c r="BM72" s="60" t="e">
        <f>(Links!N72*Links!AR72+'On-Ramps'!AL72*'On-Ramps'!CM72)/(Links!N72+'On-Ramps'!AL72)</f>
        <v>#DIV/0!</v>
      </c>
      <c r="BN72" s="60" t="e">
        <f>Links!AS72</f>
        <v>#DIV/0!</v>
      </c>
      <c r="BO72" s="61" t="e">
        <f>(Links!R72^2+'Off-Ramp'!L72^2)/(Links!R72+'Off-Ramp'!L72)</f>
        <v>#DIV/0!</v>
      </c>
      <c r="BP72" s="61" t="e">
        <f>Links!S72</f>
        <v>#DIV/0!</v>
      </c>
      <c r="BQ72" s="61" t="e">
        <f>(Links!S72^2+'Off-Ramp'!C72^2)/(Links!S72+'Off-Ramp'!C72)</f>
        <v>#DIV/0!</v>
      </c>
      <c r="BR72" s="61" t="e">
        <f>Links!T72</f>
        <v>#DIV/0!</v>
      </c>
      <c r="BS72" s="61" t="e">
        <f>(Links!U72^2+'Off-Ramp'!N72^2)/(Links!U72+'Off-Ramp'!N72)</f>
        <v>#DIV/0!</v>
      </c>
      <c r="BT72" s="61" t="e">
        <f>(Links!V72^2+'Off-Ramp'!O72^2)/(Links!V72+'Off-Ramp'!O72)</f>
        <v>#DIV/0!</v>
      </c>
      <c r="BU72" s="61" t="e">
        <f>(Links!W72^2+'Off-Ramp'!P72^2)/(Links!W72+'Off-Ramp'!P72)</f>
        <v>#DIV/0!</v>
      </c>
      <c r="BV72" s="61" t="e">
        <f>(Links!Y72^2+'Off-Ramp'!Q72^2)/(Links!Y72+'Off-Ramp'!Q72)</f>
        <v>#DIV/0!</v>
      </c>
      <c r="BW72" s="61" t="e">
        <f>(Links!Z72^2+'Off-Ramp'!R72^2)/(Links!Z72+'Off-Ramp'!R72)</f>
        <v>#DIV/0!</v>
      </c>
      <c r="BX72" s="61" t="e">
        <f>(Links!AA72+'Off-Ramp'!S72)/(Links!AA72^2+'Off-Ramp'!S72^2)</f>
        <v>#DIV/0!</v>
      </c>
      <c r="BY72" s="61" t="e">
        <f>(Links!AB72^2+'Off-Ramp'!T72^2)/(Links!AB72+'Off-Ramp'!T72)</f>
        <v>#DIV/0!</v>
      </c>
      <c r="BZ72" s="61" t="e">
        <f>Links!AC72</f>
        <v>#DIV/0!</v>
      </c>
      <c r="CA72" s="61" t="e">
        <f>(Links!AD72^2+'Off-Ramp'!U72^2)/(Links!AD72+'Off-Ramp'!U72)</f>
        <v>#DIV/0!</v>
      </c>
    </row>
    <row r="73" spans="1:79" x14ac:dyDescent="0.15">
      <c r="A73" s="59">
        <v>71</v>
      </c>
      <c r="B73" s="60" t="e">
        <f t="shared" si="34"/>
        <v>#DIV/0!</v>
      </c>
      <c r="C73" s="60" t="e">
        <f t="shared" si="35"/>
        <v>#DIV/0!</v>
      </c>
      <c r="D73" s="60" t="e">
        <f t="shared" si="36"/>
        <v>#DIV/0!</v>
      </c>
      <c r="E73" s="60" t="e">
        <f t="shared" si="37"/>
        <v>#DIV/0!</v>
      </c>
      <c r="F73" s="60" t="e">
        <f t="shared" si="38"/>
        <v>#DIV/0!</v>
      </c>
      <c r="G73" s="60" t="e">
        <f t="shared" si="39"/>
        <v>#DIV/0!</v>
      </c>
      <c r="H73" s="60" t="e">
        <f t="shared" si="40"/>
        <v>#DIV/0!</v>
      </c>
      <c r="I73" s="60" t="e">
        <f t="shared" si="41"/>
        <v>#DIV/0!</v>
      </c>
      <c r="J73" s="60" t="e">
        <f t="shared" si="42"/>
        <v>#DIV/0!</v>
      </c>
      <c r="K73" s="60" t="e">
        <f t="shared" si="43"/>
        <v>#DIV/0!</v>
      </c>
      <c r="L73" s="60" t="e">
        <f t="shared" si="44"/>
        <v>#DIV/0!</v>
      </c>
      <c r="M73" s="60" t="e">
        <f t="shared" si="45"/>
        <v>#DIV/0!</v>
      </c>
      <c r="N73" s="60" t="e">
        <f t="shared" si="46"/>
        <v>#DIV/0!</v>
      </c>
      <c r="O73" s="61" t="e">
        <f>Links!B73</f>
        <v>#DIV/0!</v>
      </c>
      <c r="P73" s="61" t="e">
        <f>Links!C73+'On-Ramps'!AC73</f>
        <v>#DIV/0!</v>
      </c>
      <c r="Q73" s="61" t="e">
        <f>Links!D73</f>
        <v>#DIV/0!</v>
      </c>
      <c r="R73" s="61" t="e">
        <f>Links!E73+'On-Ramps'!AD73</f>
        <v>#DIV/0!</v>
      </c>
      <c r="S73" s="61" t="e">
        <f>Links!F73+'On-Ramps'!AE73</f>
        <v>#DIV/0!</v>
      </c>
      <c r="T73" s="61" t="e">
        <f>Links!G73+'On-Ramps'!AF73</f>
        <v>#DIV/0!</v>
      </c>
      <c r="U73" s="61" t="e">
        <f>Links!H73+'On-Ramps'!AG73</f>
        <v>#DIV/0!</v>
      </c>
      <c r="V73" s="61" t="e">
        <f>Links!J73+'On-Ramps'!AH73</f>
        <v>#DIV/0!</v>
      </c>
      <c r="W73" s="61" t="e">
        <f>Links!K73+'On-Ramps'!AI73</f>
        <v>#DIV/0!</v>
      </c>
      <c r="X73" s="61" t="e">
        <f>Links!L73+'On-Ramps'!AJ73</f>
        <v>#DIV/0!</v>
      </c>
      <c r="Y73" s="61" t="e">
        <f>Links!M73</f>
        <v>#DIV/0!</v>
      </c>
      <c r="Z73" s="61" t="e">
        <f>Links!N73+'On-Ramps'!AK73</f>
        <v>#DIV/0!</v>
      </c>
      <c r="AA73" s="61" t="e">
        <f>Links!O73</f>
        <v>#DIV/0!</v>
      </c>
      <c r="AB73" s="60" t="e">
        <f t="shared" si="47"/>
        <v>#DIV/0!</v>
      </c>
      <c r="AC73" s="60" t="e">
        <f t="shared" si="48"/>
        <v>#DIV/0!</v>
      </c>
      <c r="AD73" s="60" t="e">
        <f t="shared" si="49"/>
        <v>#DIV/0!</v>
      </c>
      <c r="AE73" s="60" t="e">
        <f t="shared" si="50"/>
        <v>#DIV/0!</v>
      </c>
      <c r="AF73" s="60" t="e">
        <f t="shared" si="51"/>
        <v>#DIV/0!</v>
      </c>
      <c r="AG73" s="60" t="e">
        <f t="shared" si="52"/>
        <v>#DIV/0!</v>
      </c>
      <c r="AH73" s="60" t="e">
        <f t="shared" si="53"/>
        <v>#DIV/0!</v>
      </c>
      <c r="AI73" s="60" t="e">
        <f t="shared" si="54"/>
        <v>#DIV/0!</v>
      </c>
      <c r="AJ73" s="60" t="e">
        <f t="shared" si="55"/>
        <v>#DIV/0!</v>
      </c>
      <c r="AK73" s="60" t="e">
        <f t="shared" si="56"/>
        <v>#DIV/0!</v>
      </c>
      <c r="AL73" s="60" t="e">
        <f t="shared" si="57"/>
        <v>#DIV/0!</v>
      </c>
      <c r="AM73" s="60" t="e">
        <f t="shared" si="58"/>
        <v>#DIV/0!</v>
      </c>
      <c r="AN73" s="60" t="e">
        <f t="shared" si="30"/>
        <v>#DIV/0!</v>
      </c>
      <c r="AO73" s="61" t="e">
        <f t="shared" si="33"/>
        <v>#DIV/0!</v>
      </c>
      <c r="AP73" s="61" t="e">
        <f t="shared" si="32"/>
        <v>#DIV/0!</v>
      </c>
      <c r="AQ73" s="61" t="e">
        <f t="shared" si="32"/>
        <v>#DIV/0!</v>
      </c>
      <c r="AR73" s="61" t="e">
        <f t="shared" si="32"/>
        <v>#DIV/0!</v>
      </c>
      <c r="AS73" s="61" t="e">
        <f t="shared" si="32"/>
        <v>#DIV/0!</v>
      </c>
      <c r="AT73" s="61" t="e">
        <f t="shared" si="32"/>
        <v>#DIV/0!</v>
      </c>
      <c r="AU73" s="61" t="e">
        <f t="shared" si="32"/>
        <v>#DIV/0!</v>
      </c>
      <c r="AV73" s="61" t="e">
        <f t="shared" si="32"/>
        <v>#DIV/0!</v>
      </c>
      <c r="AW73" s="61" t="e">
        <f t="shared" si="32"/>
        <v>#DIV/0!</v>
      </c>
      <c r="AX73" s="61" t="e">
        <f t="shared" si="32"/>
        <v>#DIV/0!</v>
      </c>
      <c r="AY73" s="61" t="e">
        <f t="shared" si="32"/>
        <v>#DIV/0!</v>
      </c>
      <c r="AZ73" s="61" t="e">
        <f t="shared" si="32"/>
        <v>#DIV/0!</v>
      </c>
      <c r="BA73" s="61" t="e">
        <f t="shared" si="32"/>
        <v>#DIV/0!</v>
      </c>
      <c r="BB73" s="60" t="e">
        <f>Links!AF73</f>
        <v>#DIV/0!</v>
      </c>
      <c r="BC73" s="60" t="e">
        <f>(Links!AG73*Links!C73+'On-Ramps'!AC73*'On-Ramps'!CE73)/('On-Ramps'!AC73+Links!C73)</f>
        <v>#DIV/0!</v>
      </c>
      <c r="BD73" s="60" t="e">
        <f>Links!AH73</f>
        <v>#DIV/0!</v>
      </c>
      <c r="BE73" s="60" t="e">
        <f>(Links!AI73*Links!E73+'On-Ramps'!AD73*'On-Ramps'!CF72)/('On-Ramps'!AD73+Links!E73)</f>
        <v>#DIV/0!</v>
      </c>
      <c r="BF73" s="60" t="e">
        <f>(Links!F73*Links!AJ73+'On-Ramps'!AE73*'On-Ramps'!CG73)/('On-Ramps'!AE73+Links!F73)</f>
        <v>#DIV/0!</v>
      </c>
      <c r="BG73" s="60" t="e">
        <f>(Links!G73*Links!AK73+'On-Ramps'!AF73*'On-Ramps'!CH73)/('On-Ramps'!AF73+Links!G73)</f>
        <v>#DIV/0!</v>
      </c>
      <c r="BH73" s="60" t="e">
        <f>(Links!H73*Links!AL73+'On-Ramps'!AG73*'On-Ramps'!CI73)/('On-Ramps'!AG73+Links!H73)</f>
        <v>#DIV/0!</v>
      </c>
      <c r="BI73" s="60" t="e">
        <f>(Links!J73*Links!AN73+'On-Ramps'!AH73*'On-Ramps'!CJ73)/('On-Ramps'!AH73+Links!J73)</f>
        <v>#DIV/0!</v>
      </c>
      <c r="BJ73" s="60" t="e">
        <f>(Links!K73*Links!AO73+'On-Ramps'!AI73*'On-Ramps'!CK73)/('On-Ramps'!AI73+Links!K73)</f>
        <v>#DIV/0!</v>
      </c>
      <c r="BK73" s="60" t="e">
        <f>(Links!L73*Links!AP73+'On-Ramps'!AJ73*'On-Ramps'!CL73)/(Links!L73+'On-Ramps'!AJ73)</f>
        <v>#DIV/0!</v>
      </c>
      <c r="BL73" s="60" t="e">
        <f>Links!AQ73</f>
        <v>#DIV/0!</v>
      </c>
      <c r="BM73" s="60" t="e">
        <f>(Links!N73*Links!AR73+'On-Ramps'!AL73*'On-Ramps'!CM73)/(Links!N73+'On-Ramps'!AL73)</f>
        <v>#DIV/0!</v>
      </c>
      <c r="BN73" s="60" t="e">
        <f>Links!AS73</f>
        <v>#DIV/0!</v>
      </c>
      <c r="BO73" s="61" t="e">
        <f>(Links!R73^2+'Off-Ramp'!L73^2)/(Links!R73+'Off-Ramp'!L73)</f>
        <v>#DIV/0!</v>
      </c>
      <c r="BP73" s="61" t="e">
        <f>Links!S73</f>
        <v>#DIV/0!</v>
      </c>
      <c r="BQ73" s="61" t="e">
        <f>(Links!S73^2+'Off-Ramp'!C73^2)/(Links!S73+'Off-Ramp'!C73)</f>
        <v>#DIV/0!</v>
      </c>
      <c r="BR73" s="61" t="e">
        <f>Links!T73</f>
        <v>#DIV/0!</v>
      </c>
      <c r="BS73" s="61" t="e">
        <f>(Links!U73^2+'Off-Ramp'!N73^2)/(Links!U73+'Off-Ramp'!N73)</f>
        <v>#DIV/0!</v>
      </c>
      <c r="BT73" s="61" t="e">
        <f>(Links!V73^2+'Off-Ramp'!O73^2)/(Links!V73+'Off-Ramp'!O73)</f>
        <v>#DIV/0!</v>
      </c>
      <c r="BU73" s="61" t="e">
        <f>(Links!W73^2+'Off-Ramp'!P73^2)/(Links!W73+'Off-Ramp'!P73)</f>
        <v>#DIV/0!</v>
      </c>
      <c r="BV73" s="61" t="e">
        <f>(Links!Y73^2+'Off-Ramp'!Q73^2)/(Links!Y73+'Off-Ramp'!Q73)</f>
        <v>#DIV/0!</v>
      </c>
      <c r="BW73" s="61" t="e">
        <f>(Links!Z73^2+'Off-Ramp'!R73^2)/(Links!Z73+'Off-Ramp'!R73)</f>
        <v>#DIV/0!</v>
      </c>
      <c r="BX73" s="61" t="e">
        <f>(Links!AA73+'Off-Ramp'!S73)/(Links!AA73^2+'Off-Ramp'!S73^2)</f>
        <v>#DIV/0!</v>
      </c>
      <c r="BY73" s="61" t="e">
        <f>(Links!AB73^2+'Off-Ramp'!T73^2)/(Links!AB73+'Off-Ramp'!T73)</f>
        <v>#DIV/0!</v>
      </c>
      <c r="BZ73" s="61" t="e">
        <f>Links!AC73</f>
        <v>#DIV/0!</v>
      </c>
      <c r="CA73" s="61" t="e">
        <f>(Links!AD73^2+'Off-Ramp'!U73^2)/(Links!AD73+'Off-Ramp'!U73)</f>
        <v>#DIV/0!</v>
      </c>
    </row>
    <row r="74" spans="1:79" x14ac:dyDescent="0.15">
      <c r="A74" s="59">
        <v>72</v>
      </c>
      <c r="B74" s="60" t="e">
        <f t="shared" si="34"/>
        <v>#DIV/0!</v>
      </c>
      <c r="C74" s="60" t="e">
        <f t="shared" si="35"/>
        <v>#DIV/0!</v>
      </c>
      <c r="D74" s="60" t="e">
        <f t="shared" si="36"/>
        <v>#DIV/0!</v>
      </c>
      <c r="E74" s="60" t="e">
        <f t="shared" si="37"/>
        <v>#DIV/0!</v>
      </c>
      <c r="F74" s="60" t="e">
        <f t="shared" si="38"/>
        <v>#DIV/0!</v>
      </c>
      <c r="G74" s="60" t="e">
        <f t="shared" si="39"/>
        <v>#DIV/0!</v>
      </c>
      <c r="H74" s="60" t="e">
        <f t="shared" si="40"/>
        <v>#DIV/0!</v>
      </c>
      <c r="I74" s="60" t="e">
        <f t="shared" si="41"/>
        <v>#DIV/0!</v>
      </c>
      <c r="J74" s="60" t="e">
        <f t="shared" si="42"/>
        <v>#DIV/0!</v>
      </c>
      <c r="K74" s="60" t="e">
        <f t="shared" si="43"/>
        <v>#DIV/0!</v>
      </c>
      <c r="L74" s="60" t="e">
        <f t="shared" si="44"/>
        <v>#DIV/0!</v>
      </c>
      <c r="M74" s="60" t="e">
        <f t="shared" si="45"/>
        <v>#DIV/0!</v>
      </c>
      <c r="N74" s="60" t="e">
        <f t="shared" si="46"/>
        <v>#DIV/0!</v>
      </c>
      <c r="O74" s="61" t="e">
        <f>Links!B74</f>
        <v>#DIV/0!</v>
      </c>
      <c r="P74" s="61" t="e">
        <f>Links!C74+'On-Ramps'!AC74</f>
        <v>#DIV/0!</v>
      </c>
      <c r="Q74" s="61" t="e">
        <f>Links!D74</f>
        <v>#DIV/0!</v>
      </c>
      <c r="R74" s="61" t="e">
        <f>Links!E74+'On-Ramps'!AD74</f>
        <v>#DIV/0!</v>
      </c>
      <c r="S74" s="61" t="e">
        <f>Links!F74+'On-Ramps'!AE74</f>
        <v>#DIV/0!</v>
      </c>
      <c r="T74" s="61" t="e">
        <f>Links!G74+'On-Ramps'!AF74</f>
        <v>#DIV/0!</v>
      </c>
      <c r="U74" s="61" t="e">
        <f>Links!H74+'On-Ramps'!AG74</f>
        <v>#DIV/0!</v>
      </c>
      <c r="V74" s="61" t="e">
        <f>Links!J74+'On-Ramps'!AH74</f>
        <v>#DIV/0!</v>
      </c>
      <c r="W74" s="61" t="e">
        <f>Links!K74+'On-Ramps'!AI74</f>
        <v>#DIV/0!</v>
      </c>
      <c r="X74" s="61" t="e">
        <f>Links!L74+'On-Ramps'!AJ74</f>
        <v>#DIV/0!</v>
      </c>
      <c r="Y74" s="61" t="e">
        <f>Links!M74</f>
        <v>#DIV/0!</v>
      </c>
      <c r="Z74" s="61" t="e">
        <f>Links!N74+'On-Ramps'!AK74</f>
        <v>#DIV/0!</v>
      </c>
      <c r="AA74" s="61" t="e">
        <f>Links!O74</f>
        <v>#DIV/0!</v>
      </c>
      <c r="AB74" s="60" t="e">
        <f t="shared" si="47"/>
        <v>#DIV/0!</v>
      </c>
      <c r="AC74" s="60" t="e">
        <f t="shared" si="48"/>
        <v>#DIV/0!</v>
      </c>
      <c r="AD74" s="60" t="e">
        <f t="shared" si="49"/>
        <v>#DIV/0!</v>
      </c>
      <c r="AE74" s="60" t="e">
        <f t="shared" si="50"/>
        <v>#DIV/0!</v>
      </c>
      <c r="AF74" s="60" t="e">
        <f t="shared" si="51"/>
        <v>#DIV/0!</v>
      </c>
      <c r="AG74" s="60" t="e">
        <f t="shared" si="52"/>
        <v>#DIV/0!</v>
      </c>
      <c r="AH74" s="60" t="e">
        <f t="shared" si="53"/>
        <v>#DIV/0!</v>
      </c>
      <c r="AI74" s="60" t="e">
        <f t="shared" si="54"/>
        <v>#DIV/0!</v>
      </c>
      <c r="AJ74" s="60" t="e">
        <f t="shared" si="55"/>
        <v>#DIV/0!</v>
      </c>
      <c r="AK74" s="60" t="e">
        <f t="shared" si="56"/>
        <v>#DIV/0!</v>
      </c>
      <c r="AL74" s="60" t="e">
        <f t="shared" si="57"/>
        <v>#DIV/0!</v>
      </c>
      <c r="AM74" s="60" t="e">
        <f t="shared" si="58"/>
        <v>#DIV/0!</v>
      </c>
      <c r="AN74" s="60" t="e">
        <f t="shared" si="30"/>
        <v>#DIV/0!</v>
      </c>
      <c r="AO74" s="61" t="e">
        <f t="shared" si="33"/>
        <v>#DIV/0!</v>
      </c>
      <c r="AP74" s="61" t="e">
        <f t="shared" si="32"/>
        <v>#DIV/0!</v>
      </c>
      <c r="AQ74" s="61" t="e">
        <f t="shared" si="32"/>
        <v>#DIV/0!</v>
      </c>
      <c r="AR74" s="61" t="e">
        <f t="shared" si="32"/>
        <v>#DIV/0!</v>
      </c>
      <c r="AS74" s="61" t="e">
        <f t="shared" si="32"/>
        <v>#DIV/0!</v>
      </c>
      <c r="AT74" s="61" t="e">
        <f t="shared" si="32"/>
        <v>#DIV/0!</v>
      </c>
      <c r="AU74" s="61" t="e">
        <f t="shared" si="32"/>
        <v>#DIV/0!</v>
      </c>
      <c r="AV74" s="61" t="e">
        <f t="shared" si="32"/>
        <v>#DIV/0!</v>
      </c>
      <c r="AW74" s="61" t="e">
        <f t="shared" si="32"/>
        <v>#DIV/0!</v>
      </c>
      <c r="AX74" s="61" t="e">
        <f t="shared" si="32"/>
        <v>#DIV/0!</v>
      </c>
      <c r="AY74" s="61" t="e">
        <f t="shared" si="32"/>
        <v>#DIV/0!</v>
      </c>
      <c r="AZ74" s="61" t="e">
        <f t="shared" si="32"/>
        <v>#DIV/0!</v>
      </c>
      <c r="BA74" s="61" t="e">
        <f t="shared" si="32"/>
        <v>#DIV/0!</v>
      </c>
      <c r="BB74" s="60" t="e">
        <f>Links!AF74</f>
        <v>#DIV/0!</v>
      </c>
      <c r="BC74" s="60" t="e">
        <f>(Links!AG74*Links!C74+'On-Ramps'!AC74*'On-Ramps'!CE74)/('On-Ramps'!AC74+Links!C74)</f>
        <v>#DIV/0!</v>
      </c>
      <c r="BD74" s="60" t="e">
        <f>Links!AH74</f>
        <v>#DIV/0!</v>
      </c>
      <c r="BE74" s="60" t="e">
        <f>(Links!AI74*Links!E74+'On-Ramps'!AD74*'On-Ramps'!CF73)/('On-Ramps'!AD74+Links!E74)</f>
        <v>#DIV/0!</v>
      </c>
      <c r="BF74" s="60" t="e">
        <f>(Links!F74*Links!AJ74+'On-Ramps'!AE74*'On-Ramps'!CG74)/('On-Ramps'!AE74+Links!F74)</f>
        <v>#DIV/0!</v>
      </c>
      <c r="BG74" s="60" t="e">
        <f>(Links!G74*Links!AK74+'On-Ramps'!AF74*'On-Ramps'!CH74)/('On-Ramps'!AF74+Links!G74)</f>
        <v>#DIV/0!</v>
      </c>
      <c r="BH74" s="60" t="e">
        <f>(Links!H74*Links!AL74+'On-Ramps'!AG74*'On-Ramps'!CI74)/('On-Ramps'!AG74+Links!H74)</f>
        <v>#DIV/0!</v>
      </c>
      <c r="BI74" s="60" t="e">
        <f>(Links!J74*Links!AN74+'On-Ramps'!AH74*'On-Ramps'!CJ74)/('On-Ramps'!AH74+Links!J74)</f>
        <v>#DIV/0!</v>
      </c>
      <c r="BJ74" s="60" t="e">
        <f>(Links!K74*Links!AO74+'On-Ramps'!AI74*'On-Ramps'!CK74)/('On-Ramps'!AI74+Links!K74)</f>
        <v>#DIV/0!</v>
      </c>
      <c r="BK74" s="60" t="e">
        <f>(Links!L74*Links!AP74+'On-Ramps'!AJ74*'On-Ramps'!CL74)/(Links!L74+'On-Ramps'!AJ74)</f>
        <v>#DIV/0!</v>
      </c>
      <c r="BL74" s="60" t="e">
        <f>Links!AQ74</f>
        <v>#DIV/0!</v>
      </c>
      <c r="BM74" s="60" t="e">
        <f>(Links!N74*Links!AR74+'On-Ramps'!AL74*'On-Ramps'!CM74)/(Links!N74+'On-Ramps'!AL74)</f>
        <v>#DIV/0!</v>
      </c>
      <c r="BN74" s="60" t="e">
        <f>Links!AS74</f>
        <v>#DIV/0!</v>
      </c>
      <c r="BO74" s="61" t="e">
        <f>(Links!R74^2+'Off-Ramp'!L74^2)/(Links!R74+'Off-Ramp'!L74)</f>
        <v>#DIV/0!</v>
      </c>
      <c r="BP74" s="61" t="e">
        <f>Links!S74</f>
        <v>#DIV/0!</v>
      </c>
      <c r="BQ74" s="61" t="e">
        <f>(Links!S74^2+'Off-Ramp'!C74^2)/(Links!S74+'Off-Ramp'!C74)</f>
        <v>#DIV/0!</v>
      </c>
      <c r="BR74" s="61" t="e">
        <f>Links!T74</f>
        <v>#DIV/0!</v>
      </c>
      <c r="BS74" s="61" t="e">
        <f>(Links!U74^2+'Off-Ramp'!N74^2)/(Links!U74+'Off-Ramp'!N74)</f>
        <v>#DIV/0!</v>
      </c>
      <c r="BT74" s="61" t="e">
        <f>(Links!V74^2+'Off-Ramp'!O74^2)/(Links!V74+'Off-Ramp'!O74)</f>
        <v>#DIV/0!</v>
      </c>
      <c r="BU74" s="61" t="e">
        <f>(Links!W74^2+'Off-Ramp'!P74^2)/(Links!W74+'Off-Ramp'!P74)</f>
        <v>#DIV/0!</v>
      </c>
      <c r="BV74" s="61" t="e">
        <f>(Links!Y74^2+'Off-Ramp'!Q74^2)/(Links!Y74+'Off-Ramp'!Q74)</f>
        <v>#DIV/0!</v>
      </c>
      <c r="BW74" s="61" t="e">
        <f>(Links!Z74^2+'Off-Ramp'!R74^2)/(Links!Z74+'Off-Ramp'!R74)</f>
        <v>#DIV/0!</v>
      </c>
      <c r="BX74" s="61" t="e">
        <f>(Links!AA74+'Off-Ramp'!S74)/(Links!AA74^2+'Off-Ramp'!S74^2)</f>
        <v>#DIV/0!</v>
      </c>
      <c r="BY74" s="61" t="e">
        <f>(Links!AB74^2+'Off-Ramp'!T74^2)/(Links!AB74+'Off-Ramp'!T74)</f>
        <v>#DIV/0!</v>
      </c>
      <c r="BZ74" s="61" t="e">
        <f>Links!AC74</f>
        <v>#DIV/0!</v>
      </c>
      <c r="CA74" s="61" t="e">
        <f>(Links!AD74^2+'Off-Ramp'!U74^2)/(Links!AD74+'Off-Ramp'!U74)</f>
        <v>#DIV/0!</v>
      </c>
    </row>
    <row r="75" spans="1:79" x14ac:dyDescent="0.15">
      <c r="A75" s="59">
        <v>73</v>
      </c>
      <c r="B75" s="60" t="e">
        <f t="shared" si="34"/>
        <v>#DIV/0!</v>
      </c>
      <c r="C75" s="60" t="e">
        <f t="shared" si="35"/>
        <v>#DIV/0!</v>
      </c>
      <c r="D75" s="60" t="e">
        <f t="shared" si="36"/>
        <v>#DIV/0!</v>
      </c>
      <c r="E75" s="60" t="e">
        <f t="shared" si="37"/>
        <v>#DIV/0!</v>
      </c>
      <c r="F75" s="60" t="e">
        <f t="shared" si="38"/>
        <v>#DIV/0!</v>
      </c>
      <c r="G75" s="60" t="e">
        <f t="shared" si="39"/>
        <v>#DIV/0!</v>
      </c>
      <c r="H75" s="60" t="e">
        <f t="shared" si="40"/>
        <v>#DIV/0!</v>
      </c>
      <c r="I75" s="60" t="e">
        <f t="shared" si="41"/>
        <v>#DIV/0!</v>
      </c>
      <c r="J75" s="60" t="e">
        <f t="shared" si="42"/>
        <v>#DIV/0!</v>
      </c>
      <c r="K75" s="60" t="e">
        <f t="shared" si="43"/>
        <v>#DIV/0!</v>
      </c>
      <c r="L75" s="60" t="e">
        <f t="shared" si="44"/>
        <v>#DIV/0!</v>
      </c>
      <c r="M75" s="60" t="e">
        <f t="shared" si="45"/>
        <v>#DIV/0!</v>
      </c>
      <c r="N75" s="60" t="e">
        <f t="shared" si="46"/>
        <v>#DIV/0!</v>
      </c>
      <c r="O75" s="61" t="e">
        <f>Links!B75</f>
        <v>#DIV/0!</v>
      </c>
      <c r="P75" s="61" t="e">
        <f>Links!C75+'On-Ramps'!AC75</f>
        <v>#DIV/0!</v>
      </c>
      <c r="Q75" s="61" t="e">
        <f>Links!D75</f>
        <v>#DIV/0!</v>
      </c>
      <c r="R75" s="61" t="e">
        <f>Links!E75+'On-Ramps'!AD75</f>
        <v>#DIV/0!</v>
      </c>
      <c r="S75" s="61" t="e">
        <f>Links!F75+'On-Ramps'!AE75</f>
        <v>#DIV/0!</v>
      </c>
      <c r="T75" s="61" t="e">
        <f>Links!G75+'On-Ramps'!AF75</f>
        <v>#DIV/0!</v>
      </c>
      <c r="U75" s="61" t="e">
        <f>Links!H75+'On-Ramps'!AG75</f>
        <v>#DIV/0!</v>
      </c>
      <c r="V75" s="61" t="e">
        <f>Links!J75+'On-Ramps'!AH75</f>
        <v>#DIV/0!</v>
      </c>
      <c r="W75" s="61" t="e">
        <f>Links!K75+'On-Ramps'!AI75</f>
        <v>#DIV/0!</v>
      </c>
      <c r="X75" s="61" t="e">
        <f>Links!L75+'On-Ramps'!AJ75</f>
        <v>#DIV/0!</v>
      </c>
      <c r="Y75" s="61" t="e">
        <f>Links!M75</f>
        <v>#DIV/0!</v>
      </c>
      <c r="Z75" s="61" t="e">
        <f>Links!N75+'On-Ramps'!AK75</f>
        <v>#DIV/0!</v>
      </c>
      <c r="AA75" s="61" t="e">
        <f>Links!O75</f>
        <v>#DIV/0!</v>
      </c>
      <c r="AB75" s="60" t="e">
        <f t="shared" si="47"/>
        <v>#DIV/0!</v>
      </c>
      <c r="AC75" s="60" t="e">
        <f t="shared" si="48"/>
        <v>#DIV/0!</v>
      </c>
      <c r="AD75" s="60" t="e">
        <f t="shared" si="49"/>
        <v>#DIV/0!</v>
      </c>
      <c r="AE75" s="60" t="e">
        <f t="shared" si="50"/>
        <v>#DIV/0!</v>
      </c>
      <c r="AF75" s="60" t="e">
        <f t="shared" si="51"/>
        <v>#DIV/0!</v>
      </c>
      <c r="AG75" s="60" t="e">
        <f t="shared" si="52"/>
        <v>#DIV/0!</v>
      </c>
      <c r="AH75" s="60" t="e">
        <f t="shared" si="53"/>
        <v>#DIV/0!</v>
      </c>
      <c r="AI75" s="60" t="e">
        <f t="shared" si="54"/>
        <v>#DIV/0!</v>
      </c>
      <c r="AJ75" s="60" t="e">
        <f t="shared" si="55"/>
        <v>#DIV/0!</v>
      </c>
      <c r="AK75" s="60" t="e">
        <f t="shared" si="56"/>
        <v>#DIV/0!</v>
      </c>
      <c r="AL75" s="60" t="e">
        <f t="shared" si="57"/>
        <v>#DIV/0!</v>
      </c>
      <c r="AM75" s="60" t="e">
        <f t="shared" si="58"/>
        <v>#DIV/0!</v>
      </c>
      <c r="AN75" s="60" t="e">
        <f t="shared" si="30"/>
        <v>#DIV/0!</v>
      </c>
      <c r="AO75" s="61" t="e">
        <f t="shared" si="33"/>
        <v>#DIV/0!</v>
      </c>
      <c r="AP75" s="61" t="e">
        <f t="shared" si="32"/>
        <v>#DIV/0!</v>
      </c>
      <c r="AQ75" s="61" t="e">
        <f t="shared" si="32"/>
        <v>#DIV/0!</v>
      </c>
      <c r="AR75" s="61" t="e">
        <f t="shared" si="32"/>
        <v>#DIV/0!</v>
      </c>
      <c r="AS75" s="61" t="e">
        <f t="shared" si="32"/>
        <v>#DIV/0!</v>
      </c>
      <c r="AT75" s="61" t="e">
        <f t="shared" si="32"/>
        <v>#DIV/0!</v>
      </c>
      <c r="AU75" s="61" t="e">
        <f t="shared" si="32"/>
        <v>#DIV/0!</v>
      </c>
      <c r="AV75" s="61" t="e">
        <f t="shared" si="32"/>
        <v>#DIV/0!</v>
      </c>
      <c r="AW75" s="61" t="e">
        <f t="shared" si="32"/>
        <v>#DIV/0!</v>
      </c>
      <c r="AX75" s="61" t="e">
        <f t="shared" si="32"/>
        <v>#DIV/0!</v>
      </c>
      <c r="AY75" s="61" t="e">
        <f t="shared" si="32"/>
        <v>#DIV/0!</v>
      </c>
      <c r="AZ75" s="61" t="e">
        <f t="shared" si="32"/>
        <v>#DIV/0!</v>
      </c>
      <c r="BA75" s="61" t="e">
        <f t="shared" si="32"/>
        <v>#DIV/0!</v>
      </c>
      <c r="BB75" s="60" t="e">
        <f>Links!AF75</f>
        <v>#DIV/0!</v>
      </c>
      <c r="BC75" s="60" t="e">
        <f>(Links!AG75*Links!C75+'On-Ramps'!AC75*'On-Ramps'!CE75)/('On-Ramps'!AC75+Links!C75)</f>
        <v>#DIV/0!</v>
      </c>
      <c r="BD75" s="60" t="e">
        <f>Links!AH75</f>
        <v>#DIV/0!</v>
      </c>
      <c r="BE75" s="60" t="e">
        <f>(Links!AI75*Links!E75+'On-Ramps'!AD75*'On-Ramps'!CF74)/('On-Ramps'!AD75+Links!E75)</f>
        <v>#DIV/0!</v>
      </c>
      <c r="BF75" s="60" t="e">
        <f>(Links!F75*Links!AJ75+'On-Ramps'!AE75*'On-Ramps'!CG75)/('On-Ramps'!AE75+Links!F75)</f>
        <v>#DIV/0!</v>
      </c>
      <c r="BG75" s="60" t="e">
        <f>(Links!G75*Links!AK75+'On-Ramps'!AF75*'On-Ramps'!CH75)/('On-Ramps'!AF75+Links!G75)</f>
        <v>#DIV/0!</v>
      </c>
      <c r="BH75" s="60" t="e">
        <f>(Links!H75*Links!AL75+'On-Ramps'!AG75*'On-Ramps'!CI75)/('On-Ramps'!AG75+Links!H75)</f>
        <v>#DIV/0!</v>
      </c>
      <c r="BI75" s="60" t="e">
        <f>(Links!J75*Links!AN75+'On-Ramps'!AH75*'On-Ramps'!CJ75)/('On-Ramps'!AH75+Links!J75)</f>
        <v>#DIV/0!</v>
      </c>
      <c r="BJ75" s="60" t="e">
        <f>(Links!K75*Links!AO75+'On-Ramps'!AI75*'On-Ramps'!CK75)/('On-Ramps'!AI75+Links!K75)</f>
        <v>#DIV/0!</v>
      </c>
      <c r="BK75" s="60" t="e">
        <f>(Links!L75*Links!AP75+'On-Ramps'!AJ75*'On-Ramps'!CL75)/(Links!L75+'On-Ramps'!AJ75)</f>
        <v>#DIV/0!</v>
      </c>
      <c r="BL75" s="60" t="e">
        <f>Links!AQ75</f>
        <v>#DIV/0!</v>
      </c>
      <c r="BM75" s="60" t="e">
        <f>(Links!N75*Links!AR75+'On-Ramps'!AL75*'On-Ramps'!CM75)/(Links!N75+'On-Ramps'!AL75)</f>
        <v>#DIV/0!</v>
      </c>
      <c r="BN75" s="60" t="e">
        <f>Links!AS75</f>
        <v>#DIV/0!</v>
      </c>
      <c r="BO75" s="61" t="e">
        <f>(Links!R75^2+'Off-Ramp'!L75^2)/(Links!R75+'Off-Ramp'!L75)</f>
        <v>#DIV/0!</v>
      </c>
      <c r="BP75" s="61" t="e">
        <f>Links!S75</f>
        <v>#DIV/0!</v>
      </c>
      <c r="BQ75" s="61" t="e">
        <f>(Links!S75^2+'Off-Ramp'!C75^2)/(Links!S75+'Off-Ramp'!C75)</f>
        <v>#DIV/0!</v>
      </c>
      <c r="BR75" s="61" t="e">
        <f>Links!T75</f>
        <v>#DIV/0!</v>
      </c>
      <c r="BS75" s="61" t="e">
        <f>(Links!U75^2+'Off-Ramp'!N75^2)/(Links!U75+'Off-Ramp'!N75)</f>
        <v>#DIV/0!</v>
      </c>
      <c r="BT75" s="61" t="e">
        <f>(Links!V75^2+'Off-Ramp'!O75^2)/(Links!V75+'Off-Ramp'!O75)</f>
        <v>#DIV/0!</v>
      </c>
      <c r="BU75" s="61" t="e">
        <f>(Links!W75^2+'Off-Ramp'!P75^2)/(Links!W75+'Off-Ramp'!P75)</f>
        <v>#DIV/0!</v>
      </c>
      <c r="BV75" s="61" t="e">
        <f>(Links!Y75^2+'Off-Ramp'!Q75^2)/(Links!Y75+'Off-Ramp'!Q75)</f>
        <v>#DIV/0!</v>
      </c>
      <c r="BW75" s="61" t="e">
        <f>(Links!Z75^2+'Off-Ramp'!R75^2)/(Links!Z75+'Off-Ramp'!R75)</f>
        <v>#DIV/0!</v>
      </c>
      <c r="BX75" s="61" t="e">
        <f>(Links!AA75+'Off-Ramp'!S75)/(Links!AA75^2+'Off-Ramp'!S75^2)</f>
        <v>#DIV/0!</v>
      </c>
      <c r="BY75" s="61" t="e">
        <f>(Links!AB75^2+'Off-Ramp'!T75^2)/(Links!AB75+'Off-Ramp'!T75)</f>
        <v>#DIV/0!</v>
      </c>
      <c r="BZ75" s="61" t="e">
        <f>Links!AC75</f>
        <v>#DIV/0!</v>
      </c>
      <c r="CA75" s="61" t="e">
        <f>(Links!AD75^2+'Off-Ramp'!U75^2)/(Links!AD75+'Off-Ramp'!U75)</f>
        <v>#DIV/0!</v>
      </c>
    </row>
    <row r="76" spans="1:79" x14ac:dyDescent="0.15">
      <c r="A76" s="59">
        <v>74</v>
      </c>
      <c r="B76" s="60" t="e">
        <f t="shared" si="34"/>
        <v>#DIV/0!</v>
      </c>
      <c r="C76" s="60" t="e">
        <f t="shared" si="35"/>
        <v>#DIV/0!</v>
      </c>
      <c r="D76" s="60" t="e">
        <f t="shared" si="36"/>
        <v>#DIV/0!</v>
      </c>
      <c r="E76" s="60" t="e">
        <f t="shared" si="37"/>
        <v>#DIV/0!</v>
      </c>
      <c r="F76" s="60" t="e">
        <f t="shared" si="38"/>
        <v>#DIV/0!</v>
      </c>
      <c r="G76" s="60" t="e">
        <f t="shared" si="39"/>
        <v>#DIV/0!</v>
      </c>
      <c r="H76" s="60" t="e">
        <f t="shared" si="40"/>
        <v>#DIV/0!</v>
      </c>
      <c r="I76" s="60" t="e">
        <f t="shared" si="41"/>
        <v>#DIV/0!</v>
      </c>
      <c r="J76" s="60" t="e">
        <f t="shared" si="42"/>
        <v>#DIV/0!</v>
      </c>
      <c r="K76" s="60" t="e">
        <f t="shared" si="43"/>
        <v>#DIV/0!</v>
      </c>
      <c r="L76" s="60" t="e">
        <f t="shared" si="44"/>
        <v>#DIV/0!</v>
      </c>
      <c r="M76" s="60" t="e">
        <f t="shared" si="45"/>
        <v>#DIV/0!</v>
      </c>
      <c r="N76" s="60" t="e">
        <f t="shared" si="46"/>
        <v>#DIV/0!</v>
      </c>
      <c r="O76" s="61" t="e">
        <f>Links!B76</f>
        <v>#DIV/0!</v>
      </c>
      <c r="P76" s="61" t="e">
        <f>Links!C76+'On-Ramps'!AC76</f>
        <v>#DIV/0!</v>
      </c>
      <c r="Q76" s="61" t="e">
        <f>Links!D76</f>
        <v>#DIV/0!</v>
      </c>
      <c r="R76" s="61" t="e">
        <f>Links!E76+'On-Ramps'!AD76</f>
        <v>#DIV/0!</v>
      </c>
      <c r="S76" s="61" t="e">
        <f>Links!F76+'On-Ramps'!AE76</f>
        <v>#DIV/0!</v>
      </c>
      <c r="T76" s="61" t="e">
        <f>Links!G76+'On-Ramps'!AF76</f>
        <v>#DIV/0!</v>
      </c>
      <c r="U76" s="61" t="e">
        <f>Links!H76+'On-Ramps'!AG76</f>
        <v>#DIV/0!</v>
      </c>
      <c r="V76" s="61" t="e">
        <f>Links!J76+'On-Ramps'!AH76</f>
        <v>#DIV/0!</v>
      </c>
      <c r="W76" s="61" t="e">
        <f>Links!K76+'On-Ramps'!AI76</f>
        <v>#DIV/0!</v>
      </c>
      <c r="X76" s="61" t="e">
        <f>Links!L76+'On-Ramps'!AJ76</f>
        <v>#DIV/0!</v>
      </c>
      <c r="Y76" s="61" t="e">
        <f>Links!M76</f>
        <v>#DIV/0!</v>
      </c>
      <c r="Z76" s="61" t="e">
        <f>Links!N76+'On-Ramps'!AK76</f>
        <v>#DIV/0!</v>
      </c>
      <c r="AA76" s="61" t="e">
        <f>Links!O76</f>
        <v>#DIV/0!</v>
      </c>
      <c r="AB76" s="60" t="e">
        <f t="shared" si="47"/>
        <v>#DIV/0!</v>
      </c>
      <c r="AC76" s="60" t="e">
        <f t="shared" si="48"/>
        <v>#DIV/0!</v>
      </c>
      <c r="AD76" s="60" t="e">
        <f t="shared" si="49"/>
        <v>#DIV/0!</v>
      </c>
      <c r="AE76" s="60" t="e">
        <f t="shared" si="50"/>
        <v>#DIV/0!</v>
      </c>
      <c r="AF76" s="60" t="e">
        <f t="shared" si="51"/>
        <v>#DIV/0!</v>
      </c>
      <c r="AG76" s="60" t="e">
        <f t="shared" si="52"/>
        <v>#DIV/0!</v>
      </c>
      <c r="AH76" s="60" t="e">
        <f t="shared" si="53"/>
        <v>#DIV/0!</v>
      </c>
      <c r="AI76" s="60" t="e">
        <f t="shared" si="54"/>
        <v>#DIV/0!</v>
      </c>
      <c r="AJ76" s="60" t="e">
        <f t="shared" si="55"/>
        <v>#DIV/0!</v>
      </c>
      <c r="AK76" s="60" t="e">
        <f t="shared" si="56"/>
        <v>#DIV/0!</v>
      </c>
      <c r="AL76" s="60" t="e">
        <f t="shared" si="57"/>
        <v>#DIV/0!</v>
      </c>
      <c r="AM76" s="60" t="e">
        <f t="shared" si="58"/>
        <v>#DIV/0!</v>
      </c>
      <c r="AN76" s="60" t="e">
        <f t="shared" si="30"/>
        <v>#DIV/0!</v>
      </c>
      <c r="AO76" s="61" t="e">
        <f t="shared" si="33"/>
        <v>#DIV/0!</v>
      </c>
      <c r="AP76" s="61" t="e">
        <f t="shared" si="32"/>
        <v>#DIV/0!</v>
      </c>
      <c r="AQ76" s="61" t="e">
        <f t="shared" si="32"/>
        <v>#DIV/0!</v>
      </c>
      <c r="AR76" s="61" t="e">
        <f t="shared" si="32"/>
        <v>#DIV/0!</v>
      </c>
      <c r="AS76" s="61" t="e">
        <f t="shared" si="32"/>
        <v>#DIV/0!</v>
      </c>
      <c r="AT76" s="61" t="e">
        <f t="shared" si="32"/>
        <v>#DIV/0!</v>
      </c>
      <c r="AU76" s="61" t="e">
        <f t="shared" si="32"/>
        <v>#DIV/0!</v>
      </c>
      <c r="AV76" s="61" t="e">
        <f t="shared" si="32"/>
        <v>#DIV/0!</v>
      </c>
      <c r="AW76" s="61" t="e">
        <f t="shared" si="32"/>
        <v>#DIV/0!</v>
      </c>
      <c r="AX76" s="61" t="e">
        <f t="shared" si="32"/>
        <v>#DIV/0!</v>
      </c>
      <c r="AY76" s="61" t="e">
        <f t="shared" si="32"/>
        <v>#DIV/0!</v>
      </c>
      <c r="AZ76" s="61" t="e">
        <f t="shared" si="32"/>
        <v>#DIV/0!</v>
      </c>
      <c r="BA76" s="61" t="e">
        <f t="shared" si="32"/>
        <v>#DIV/0!</v>
      </c>
      <c r="BB76" s="60" t="e">
        <f>Links!AF76</f>
        <v>#DIV/0!</v>
      </c>
      <c r="BC76" s="60" t="e">
        <f>(Links!AG76*Links!C76+'On-Ramps'!AC76*'On-Ramps'!CE76)/('On-Ramps'!AC76+Links!C76)</f>
        <v>#DIV/0!</v>
      </c>
      <c r="BD76" s="60" t="e">
        <f>Links!AH76</f>
        <v>#DIV/0!</v>
      </c>
      <c r="BE76" s="60" t="e">
        <f>(Links!AI76*Links!E76+'On-Ramps'!AD76*'On-Ramps'!CF75)/('On-Ramps'!AD76+Links!E76)</f>
        <v>#DIV/0!</v>
      </c>
      <c r="BF76" s="60" t="e">
        <f>(Links!F76*Links!AJ76+'On-Ramps'!AE76*'On-Ramps'!CG76)/('On-Ramps'!AE76+Links!F76)</f>
        <v>#DIV/0!</v>
      </c>
      <c r="BG76" s="60" t="e">
        <f>(Links!G76*Links!AK76+'On-Ramps'!AF76*'On-Ramps'!CH76)/('On-Ramps'!AF76+Links!G76)</f>
        <v>#DIV/0!</v>
      </c>
      <c r="BH76" s="60" t="e">
        <f>(Links!H76*Links!AL76+'On-Ramps'!AG76*'On-Ramps'!CI76)/('On-Ramps'!AG76+Links!H76)</f>
        <v>#DIV/0!</v>
      </c>
      <c r="BI76" s="60" t="e">
        <f>(Links!J76*Links!AN76+'On-Ramps'!AH76*'On-Ramps'!CJ76)/('On-Ramps'!AH76+Links!J76)</f>
        <v>#DIV/0!</v>
      </c>
      <c r="BJ76" s="60" t="e">
        <f>(Links!K76*Links!AO76+'On-Ramps'!AI76*'On-Ramps'!CK76)/('On-Ramps'!AI76+Links!K76)</f>
        <v>#DIV/0!</v>
      </c>
      <c r="BK76" s="60" t="e">
        <f>(Links!L76*Links!AP76+'On-Ramps'!AJ76*'On-Ramps'!CL76)/(Links!L76+'On-Ramps'!AJ76)</f>
        <v>#DIV/0!</v>
      </c>
      <c r="BL76" s="60" t="e">
        <f>Links!AQ76</f>
        <v>#DIV/0!</v>
      </c>
      <c r="BM76" s="60" t="e">
        <f>(Links!N76*Links!AR76+'On-Ramps'!AL76*'On-Ramps'!CM76)/(Links!N76+'On-Ramps'!AL76)</f>
        <v>#DIV/0!</v>
      </c>
      <c r="BN76" s="60" t="e">
        <f>Links!AS76</f>
        <v>#DIV/0!</v>
      </c>
      <c r="BO76" s="61" t="e">
        <f>(Links!R76^2+'Off-Ramp'!L76^2)/(Links!R76+'Off-Ramp'!L76)</f>
        <v>#DIV/0!</v>
      </c>
      <c r="BP76" s="61" t="e">
        <f>Links!S76</f>
        <v>#DIV/0!</v>
      </c>
      <c r="BQ76" s="61" t="e">
        <f>(Links!S76^2+'Off-Ramp'!C76^2)/(Links!S76+'Off-Ramp'!C76)</f>
        <v>#DIV/0!</v>
      </c>
      <c r="BR76" s="61" t="e">
        <f>Links!T76</f>
        <v>#DIV/0!</v>
      </c>
      <c r="BS76" s="61" t="e">
        <f>(Links!U76^2+'Off-Ramp'!N76^2)/(Links!U76+'Off-Ramp'!N76)</f>
        <v>#DIV/0!</v>
      </c>
      <c r="BT76" s="61" t="e">
        <f>(Links!V76^2+'Off-Ramp'!O76^2)/(Links!V76+'Off-Ramp'!O76)</f>
        <v>#DIV/0!</v>
      </c>
      <c r="BU76" s="61" t="e">
        <f>(Links!W76^2+'Off-Ramp'!P76^2)/(Links!W76+'Off-Ramp'!P76)</f>
        <v>#DIV/0!</v>
      </c>
      <c r="BV76" s="61" t="e">
        <f>(Links!Y76^2+'Off-Ramp'!Q76^2)/(Links!Y76+'Off-Ramp'!Q76)</f>
        <v>#DIV/0!</v>
      </c>
      <c r="BW76" s="61" t="e">
        <f>(Links!Z76^2+'Off-Ramp'!R76^2)/(Links!Z76+'Off-Ramp'!R76)</f>
        <v>#DIV/0!</v>
      </c>
      <c r="BX76" s="61" t="e">
        <f>(Links!AA76+'Off-Ramp'!S76)/(Links!AA76^2+'Off-Ramp'!S76^2)</f>
        <v>#DIV/0!</v>
      </c>
      <c r="BY76" s="61" t="e">
        <f>(Links!AB76^2+'Off-Ramp'!T76^2)/(Links!AB76+'Off-Ramp'!T76)</f>
        <v>#DIV/0!</v>
      </c>
      <c r="BZ76" s="61" t="e">
        <f>Links!AC76</f>
        <v>#DIV/0!</v>
      </c>
      <c r="CA76" s="61" t="e">
        <f>(Links!AD76^2+'Off-Ramp'!U76^2)/(Links!AD76+'Off-Ramp'!U76)</f>
        <v>#DIV/0!</v>
      </c>
    </row>
    <row r="77" spans="1:79" x14ac:dyDescent="0.15">
      <c r="A77" s="59">
        <v>75</v>
      </c>
      <c r="B77" s="60" t="e">
        <f t="shared" si="34"/>
        <v>#DIV/0!</v>
      </c>
      <c r="C77" s="60" t="e">
        <f t="shared" si="35"/>
        <v>#DIV/0!</v>
      </c>
      <c r="D77" s="60" t="e">
        <f t="shared" si="36"/>
        <v>#DIV/0!</v>
      </c>
      <c r="E77" s="60" t="e">
        <f t="shared" si="37"/>
        <v>#DIV/0!</v>
      </c>
      <c r="F77" s="60" t="e">
        <f t="shared" si="38"/>
        <v>#DIV/0!</v>
      </c>
      <c r="G77" s="60" t="e">
        <f t="shared" si="39"/>
        <v>#DIV/0!</v>
      </c>
      <c r="H77" s="60" t="e">
        <f t="shared" si="40"/>
        <v>#DIV/0!</v>
      </c>
      <c r="I77" s="60" t="e">
        <f t="shared" si="41"/>
        <v>#DIV/0!</v>
      </c>
      <c r="J77" s="60" t="e">
        <f t="shared" si="42"/>
        <v>#DIV/0!</v>
      </c>
      <c r="K77" s="60" t="e">
        <f t="shared" si="43"/>
        <v>#DIV/0!</v>
      </c>
      <c r="L77" s="60" t="e">
        <f t="shared" si="44"/>
        <v>#DIV/0!</v>
      </c>
      <c r="M77" s="60" t="e">
        <f t="shared" si="45"/>
        <v>#DIV/0!</v>
      </c>
      <c r="N77" s="60" t="e">
        <f t="shared" si="46"/>
        <v>#DIV/0!</v>
      </c>
      <c r="O77" s="61" t="e">
        <f>Links!B77</f>
        <v>#DIV/0!</v>
      </c>
      <c r="P77" s="61" t="e">
        <f>Links!C77+'On-Ramps'!AC77</f>
        <v>#DIV/0!</v>
      </c>
      <c r="Q77" s="61" t="e">
        <f>Links!D77</f>
        <v>#DIV/0!</v>
      </c>
      <c r="R77" s="61" t="e">
        <f>Links!E77+'On-Ramps'!AD77</f>
        <v>#DIV/0!</v>
      </c>
      <c r="S77" s="61" t="e">
        <f>Links!F77+'On-Ramps'!AE77</f>
        <v>#DIV/0!</v>
      </c>
      <c r="T77" s="61" t="e">
        <f>Links!G77+'On-Ramps'!AF77</f>
        <v>#DIV/0!</v>
      </c>
      <c r="U77" s="61" t="e">
        <f>Links!H77+'On-Ramps'!AG77</f>
        <v>#DIV/0!</v>
      </c>
      <c r="V77" s="61" t="e">
        <f>Links!J77+'On-Ramps'!AH77</f>
        <v>#DIV/0!</v>
      </c>
      <c r="W77" s="61" t="e">
        <f>Links!K77+'On-Ramps'!AI77</f>
        <v>#DIV/0!</v>
      </c>
      <c r="X77" s="61" t="e">
        <f>Links!L77+'On-Ramps'!AJ77</f>
        <v>#DIV/0!</v>
      </c>
      <c r="Y77" s="61" t="e">
        <f>Links!M77</f>
        <v>#DIV/0!</v>
      </c>
      <c r="Z77" s="61" t="e">
        <f>Links!N77+'On-Ramps'!AK77</f>
        <v>#DIV/0!</v>
      </c>
      <c r="AA77" s="61" t="e">
        <f>Links!O77</f>
        <v>#DIV/0!</v>
      </c>
      <c r="AB77" s="60" t="e">
        <f t="shared" si="47"/>
        <v>#DIV/0!</v>
      </c>
      <c r="AC77" s="60" t="e">
        <f t="shared" si="48"/>
        <v>#DIV/0!</v>
      </c>
      <c r="AD77" s="60" t="e">
        <f t="shared" si="49"/>
        <v>#DIV/0!</v>
      </c>
      <c r="AE77" s="60" t="e">
        <f t="shared" si="50"/>
        <v>#DIV/0!</v>
      </c>
      <c r="AF77" s="60" t="e">
        <f t="shared" si="51"/>
        <v>#DIV/0!</v>
      </c>
      <c r="AG77" s="60" t="e">
        <f t="shared" si="52"/>
        <v>#DIV/0!</v>
      </c>
      <c r="AH77" s="60" t="e">
        <f t="shared" si="53"/>
        <v>#DIV/0!</v>
      </c>
      <c r="AI77" s="60" t="e">
        <f t="shared" si="54"/>
        <v>#DIV/0!</v>
      </c>
      <c r="AJ77" s="60" t="e">
        <f t="shared" si="55"/>
        <v>#DIV/0!</v>
      </c>
      <c r="AK77" s="60" t="e">
        <f t="shared" si="56"/>
        <v>#DIV/0!</v>
      </c>
      <c r="AL77" s="60" t="e">
        <f t="shared" si="57"/>
        <v>#DIV/0!</v>
      </c>
      <c r="AM77" s="60" t="e">
        <f t="shared" si="58"/>
        <v>#DIV/0!</v>
      </c>
      <c r="AN77" s="60" t="e">
        <f t="shared" si="30"/>
        <v>#DIV/0!</v>
      </c>
      <c r="AO77" s="61" t="e">
        <f t="shared" si="33"/>
        <v>#DIV/0!</v>
      </c>
      <c r="AP77" s="61" t="e">
        <f t="shared" si="32"/>
        <v>#DIV/0!</v>
      </c>
      <c r="AQ77" s="61" t="e">
        <f t="shared" si="32"/>
        <v>#DIV/0!</v>
      </c>
      <c r="AR77" s="61" t="e">
        <f t="shared" si="32"/>
        <v>#DIV/0!</v>
      </c>
      <c r="AS77" s="61" t="e">
        <f t="shared" si="32"/>
        <v>#DIV/0!</v>
      </c>
      <c r="AT77" s="61" t="e">
        <f t="shared" si="32"/>
        <v>#DIV/0!</v>
      </c>
      <c r="AU77" s="61" t="e">
        <f t="shared" si="32"/>
        <v>#DIV/0!</v>
      </c>
      <c r="AV77" s="61" t="e">
        <f t="shared" si="32"/>
        <v>#DIV/0!</v>
      </c>
      <c r="AW77" s="61" t="e">
        <f t="shared" si="32"/>
        <v>#DIV/0!</v>
      </c>
      <c r="AX77" s="61" t="e">
        <f t="shared" si="32"/>
        <v>#DIV/0!</v>
      </c>
      <c r="AY77" s="61" t="e">
        <f t="shared" si="32"/>
        <v>#DIV/0!</v>
      </c>
      <c r="AZ77" s="61" t="e">
        <f t="shared" ref="AP77:BA99" si="59">AZ$3</f>
        <v>#DIV/0!</v>
      </c>
      <c r="BA77" s="61" t="e">
        <f t="shared" si="59"/>
        <v>#DIV/0!</v>
      </c>
      <c r="BB77" s="60" t="e">
        <f>Links!AF77</f>
        <v>#DIV/0!</v>
      </c>
      <c r="BC77" s="60" t="e">
        <f>(Links!AG77*Links!C77+'On-Ramps'!AC77*'On-Ramps'!CE77)/('On-Ramps'!AC77+Links!C77)</f>
        <v>#DIV/0!</v>
      </c>
      <c r="BD77" s="60" t="e">
        <f>Links!AH77</f>
        <v>#DIV/0!</v>
      </c>
      <c r="BE77" s="60" t="e">
        <f>(Links!AI77*Links!E77+'On-Ramps'!AD77*'On-Ramps'!CF76)/('On-Ramps'!AD77+Links!E77)</f>
        <v>#DIV/0!</v>
      </c>
      <c r="BF77" s="60" t="e">
        <f>(Links!F77*Links!AJ77+'On-Ramps'!AE77*'On-Ramps'!CG77)/('On-Ramps'!AE77+Links!F77)</f>
        <v>#DIV/0!</v>
      </c>
      <c r="BG77" s="60" t="e">
        <f>(Links!G77*Links!AK77+'On-Ramps'!AF77*'On-Ramps'!CH77)/('On-Ramps'!AF77+Links!G77)</f>
        <v>#DIV/0!</v>
      </c>
      <c r="BH77" s="60" t="e">
        <f>(Links!H77*Links!AL77+'On-Ramps'!AG77*'On-Ramps'!CI77)/('On-Ramps'!AG77+Links!H77)</f>
        <v>#DIV/0!</v>
      </c>
      <c r="BI77" s="60" t="e">
        <f>(Links!J77*Links!AN77+'On-Ramps'!AH77*'On-Ramps'!CJ77)/('On-Ramps'!AH77+Links!J77)</f>
        <v>#DIV/0!</v>
      </c>
      <c r="BJ77" s="60" t="e">
        <f>(Links!K77*Links!AO77+'On-Ramps'!AI77*'On-Ramps'!CK77)/('On-Ramps'!AI77+Links!K77)</f>
        <v>#DIV/0!</v>
      </c>
      <c r="BK77" s="60" t="e">
        <f>(Links!L77*Links!AP77+'On-Ramps'!AJ77*'On-Ramps'!CL77)/(Links!L77+'On-Ramps'!AJ77)</f>
        <v>#DIV/0!</v>
      </c>
      <c r="BL77" s="60" t="e">
        <f>Links!AQ77</f>
        <v>#DIV/0!</v>
      </c>
      <c r="BM77" s="60" t="e">
        <f>(Links!N77*Links!AR77+'On-Ramps'!AL77*'On-Ramps'!CM77)/(Links!N77+'On-Ramps'!AL77)</f>
        <v>#DIV/0!</v>
      </c>
      <c r="BN77" s="60" t="e">
        <f>Links!AS77</f>
        <v>#DIV/0!</v>
      </c>
      <c r="BO77" s="61" t="e">
        <f>(Links!R77^2+'Off-Ramp'!L77^2)/(Links!R77+'Off-Ramp'!L77)</f>
        <v>#DIV/0!</v>
      </c>
      <c r="BP77" s="61" t="e">
        <f>Links!S77</f>
        <v>#DIV/0!</v>
      </c>
      <c r="BQ77" s="61" t="e">
        <f>(Links!S77^2+'Off-Ramp'!C77^2)/(Links!S77+'Off-Ramp'!C77)</f>
        <v>#DIV/0!</v>
      </c>
      <c r="BR77" s="61" t="e">
        <f>Links!T77</f>
        <v>#DIV/0!</v>
      </c>
      <c r="BS77" s="61" t="e">
        <f>(Links!U77^2+'Off-Ramp'!N77^2)/(Links!U77+'Off-Ramp'!N77)</f>
        <v>#DIV/0!</v>
      </c>
      <c r="BT77" s="61" t="e">
        <f>(Links!V77^2+'Off-Ramp'!O77^2)/(Links!V77+'Off-Ramp'!O77)</f>
        <v>#DIV/0!</v>
      </c>
      <c r="BU77" s="61" t="e">
        <f>(Links!W77^2+'Off-Ramp'!P77^2)/(Links!W77+'Off-Ramp'!P77)</f>
        <v>#DIV/0!</v>
      </c>
      <c r="BV77" s="61" t="e">
        <f>(Links!Y77^2+'Off-Ramp'!Q77^2)/(Links!Y77+'Off-Ramp'!Q77)</f>
        <v>#DIV/0!</v>
      </c>
      <c r="BW77" s="61" t="e">
        <f>(Links!Z77^2+'Off-Ramp'!R77^2)/(Links!Z77+'Off-Ramp'!R77)</f>
        <v>#DIV/0!</v>
      </c>
      <c r="BX77" s="61" t="e">
        <f>(Links!AA77+'Off-Ramp'!S77)/(Links!AA77^2+'Off-Ramp'!S77^2)</f>
        <v>#DIV/0!</v>
      </c>
      <c r="BY77" s="61" t="e">
        <f>(Links!AB77^2+'Off-Ramp'!T77^2)/(Links!AB77+'Off-Ramp'!T77)</f>
        <v>#DIV/0!</v>
      </c>
      <c r="BZ77" s="61" t="e">
        <f>Links!AC77</f>
        <v>#DIV/0!</v>
      </c>
      <c r="CA77" s="61" t="e">
        <f>(Links!AD77^2+'Off-Ramp'!U77^2)/(Links!AD77+'Off-Ramp'!U77)</f>
        <v>#DIV/0!</v>
      </c>
    </row>
    <row r="78" spans="1:79" x14ac:dyDescent="0.15">
      <c r="A78" s="59">
        <v>76</v>
      </c>
      <c r="B78" s="60" t="e">
        <f t="shared" si="34"/>
        <v>#DIV/0!</v>
      </c>
      <c r="C78" s="60" t="e">
        <f t="shared" si="35"/>
        <v>#DIV/0!</v>
      </c>
      <c r="D78" s="60" t="e">
        <f t="shared" si="36"/>
        <v>#DIV/0!</v>
      </c>
      <c r="E78" s="60" t="e">
        <f t="shared" si="37"/>
        <v>#DIV/0!</v>
      </c>
      <c r="F78" s="60" t="e">
        <f t="shared" si="38"/>
        <v>#DIV/0!</v>
      </c>
      <c r="G78" s="60" t="e">
        <f t="shared" si="39"/>
        <v>#DIV/0!</v>
      </c>
      <c r="H78" s="60" t="e">
        <f t="shared" si="40"/>
        <v>#DIV/0!</v>
      </c>
      <c r="I78" s="60" t="e">
        <f t="shared" si="41"/>
        <v>#DIV/0!</v>
      </c>
      <c r="J78" s="60" t="e">
        <f t="shared" si="42"/>
        <v>#DIV/0!</v>
      </c>
      <c r="K78" s="60" t="e">
        <f t="shared" si="43"/>
        <v>#DIV/0!</v>
      </c>
      <c r="L78" s="60" t="e">
        <f t="shared" si="44"/>
        <v>#DIV/0!</v>
      </c>
      <c r="M78" s="60" t="e">
        <f t="shared" si="45"/>
        <v>#DIV/0!</v>
      </c>
      <c r="N78" s="60" t="e">
        <f t="shared" si="46"/>
        <v>#DIV/0!</v>
      </c>
      <c r="O78" s="61" t="e">
        <f>Links!B78</f>
        <v>#DIV/0!</v>
      </c>
      <c r="P78" s="61" t="e">
        <f>Links!C78+'On-Ramps'!AC78</f>
        <v>#DIV/0!</v>
      </c>
      <c r="Q78" s="61" t="e">
        <f>Links!D78</f>
        <v>#DIV/0!</v>
      </c>
      <c r="R78" s="61" t="e">
        <f>Links!E78+'On-Ramps'!AD78</f>
        <v>#DIV/0!</v>
      </c>
      <c r="S78" s="61" t="e">
        <f>Links!F78+'On-Ramps'!AE78</f>
        <v>#DIV/0!</v>
      </c>
      <c r="T78" s="61" t="e">
        <f>Links!G78+'On-Ramps'!AF78</f>
        <v>#DIV/0!</v>
      </c>
      <c r="U78" s="61" t="e">
        <f>Links!H78+'On-Ramps'!AG78</f>
        <v>#DIV/0!</v>
      </c>
      <c r="V78" s="61" t="e">
        <f>Links!J78+'On-Ramps'!AH78</f>
        <v>#DIV/0!</v>
      </c>
      <c r="W78" s="61" t="e">
        <f>Links!K78+'On-Ramps'!AI78</f>
        <v>#DIV/0!</v>
      </c>
      <c r="X78" s="61" t="e">
        <f>Links!L78+'On-Ramps'!AJ78</f>
        <v>#DIV/0!</v>
      </c>
      <c r="Y78" s="61" t="e">
        <f>Links!M78</f>
        <v>#DIV/0!</v>
      </c>
      <c r="Z78" s="61" t="e">
        <f>Links!N78+'On-Ramps'!AK78</f>
        <v>#DIV/0!</v>
      </c>
      <c r="AA78" s="61" t="e">
        <f>Links!O78</f>
        <v>#DIV/0!</v>
      </c>
      <c r="AB78" s="60" t="e">
        <f t="shared" si="47"/>
        <v>#DIV/0!</v>
      </c>
      <c r="AC78" s="60" t="e">
        <f t="shared" si="48"/>
        <v>#DIV/0!</v>
      </c>
      <c r="AD78" s="60" t="e">
        <f t="shared" si="49"/>
        <v>#DIV/0!</v>
      </c>
      <c r="AE78" s="60" t="e">
        <f t="shared" si="50"/>
        <v>#DIV/0!</v>
      </c>
      <c r="AF78" s="60" t="e">
        <f t="shared" si="51"/>
        <v>#DIV/0!</v>
      </c>
      <c r="AG78" s="60" t="e">
        <f t="shared" si="52"/>
        <v>#DIV/0!</v>
      </c>
      <c r="AH78" s="60" t="e">
        <f t="shared" si="53"/>
        <v>#DIV/0!</v>
      </c>
      <c r="AI78" s="60" t="e">
        <f t="shared" si="54"/>
        <v>#DIV/0!</v>
      </c>
      <c r="AJ78" s="60" t="e">
        <f t="shared" si="55"/>
        <v>#DIV/0!</v>
      </c>
      <c r="AK78" s="60" t="e">
        <f t="shared" si="56"/>
        <v>#DIV/0!</v>
      </c>
      <c r="AL78" s="60" t="e">
        <f t="shared" si="57"/>
        <v>#DIV/0!</v>
      </c>
      <c r="AM78" s="60" t="e">
        <f t="shared" si="58"/>
        <v>#DIV/0!</v>
      </c>
      <c r="AN78" s="60" t="e">
        <f t="shared" si="30"/>
        <v>#DIV/0!</v>
      </c>
      <c r="AO78" s="61" t="e">
        <f t="shared" si="33"/>
        <v>#DIV/0!</v>
      </c>
      <c r="AP78" s="61" t="e">
        <f t="shared" si="59"/>
        <v>#DIV/0!</v>
      </c>
      <c r="AQ78" s="61" t="e">
        <f t="shared" si="59"/>
        <v>#DIV/0!</v>
      </c>
      <c r="AR78" s="61" t="e">
        <f t="shared" si="59"/>
        <v>#DIV/0!</v>
      </c>
      <c r="AS78" s="61" t="e">
        <f t="shared" si="59"/>
        <v>#DIV/0!</v>
      </c>
      <c r="AT78" s="61" t="e">
        <f t="shared" si="59"/>
        <v>#DIV/0!</v>
      </c>
      <c r="AU78" s="61" t="e">
        <f t="shared" si="59"/>
        <v>#DIV/0!</v>
      </c>
      <c r="AV78" s="61" t="e">
        <f t="shared" si="59"/>
        <v>#DIV/0!</v>
      </c>
      <c r="AW78" s="61" t="e">
        <f t="shared" si="59"/>
        <v>#DIV/0!</v>
      </c>
      <c r="AX78" s="61" t="e">
        <f t="shared" si="59"/>
        <v>#DIV/0!</v>
      </c>
      <c r="AY78" s="61" t="e">
        <f t="shared" si="59"/>
        <v>#DIV/0!</v>
      </c>
      <c r="AZ78" s="61" t="e">
        <f t="shared" si="59"/>
        <v>#DIV/0!</v>
      </c>
      <c r="BA78" s="61" t="e">
        <f t="shared" si="59"/>
        <v>#DIV/0!</v>
      </c>
      <c r="BB78" s="60" t="e">
        <f>Links!AF78</f>
        <v>#DIV/0!</v>
      </c>
      <c r="BC78" s="60" t="e">
        <f>(Links!AG78*Links!C78+'On-Ramps'!AC78*'On-Ramps'!CE78)/('On-Ramps'!AC78+Links!C78)</f>
        <v>#DIV/0!</v>
      </c>
      <c r="BD78" s="60" t="e">
        <f>Links!AH78</f>
        <v>#DIV/0!</v>
      </c>
      <c r="BE78" s="60" t="e">
        <f>(Links!AI78*Links!E78+'On-Ramps'!AD78*'On-Ramps'!CF77)/('On-Ramps'!AD78+Links!E78)</f>
        <v>#DIV/0!</v>
      </c>
      <c r="BF78" s="60" t="e">
        <f>(Links!F78*Links!AJ78+'On-Ramps'!AE78*'On-Ramps'!CG78)/('On-Ramps'!AE78+Links!F78)</f>
        <v>#DIV/0!</v>
      </c>
      <c r="BG78" s="60" t="e">
        <f>(Links!G78*Links!AK78+'On-Ramps'!AF78*'On-Ramps'!CH78)/('On-Ramps'!AF78+Links!G78)</f>
        <v>#DIV/0!</v>
      </c>
      <c r="BH78" s="60" t="e">
        <f>(Links!H78*Links!AL78+'On-Ramps'!AG78*'On-Ramps'!CI78)/('On-Ramps'!AG78+Links!H78)</f>
        <v>#DIV/0!</v>
      </c>
      <c r="BI78" s="60" t="e">
        <f>(Links!J78*Links!AN78+'On-Ramps'!AH78*'On-Ramps'!CJ78)/('On-Ramps'!AH78+Links!J78)</f>
        <v>#DIV/0!</v>
      </c>
      <c r="BJ78" s="60" t="e">
        <f>(Links!K78*Links!AO78+'On-Ramps'!AI78*'On-Ramps'!CK78)/('On-Ramps'!AI78+Links!K78)</f>
        <v>#DIV/0!</v>
      </c>
      <c r="BK78" s="60" t="e">
        <f>(Links!L78*Links!AP78+'On-Ramps'!AJ78*'On-Ramps'!CL78)/(Links!L78+'On-Ramps'!AJ78)</f>
        <v>#DIV/0!</v>
      </c>
      <c r="BL78" s="60" t="e">
        <f>Links!AQ78</f>
        <v>#DIV/0!</v>
      </c>
      <c r="BM78" s="60" t="e">
        <f>(Links!N78*Links!AR78+'On-Ramps'!AL78*'On-Ramps'!CM78)/(Links!N78+'On-Ramps'!AL78)</f>
        <v>#DIV/0!</v>
      </c>
      <c r="BN78" s="60" t="e">
        <f>Links!AS78</f>
        <v>#DIV/0!</v>
      </c>
      <c r="BO78" s="61" t="e">
        <f>(Links!R78^2+'Off-Ramp'!L78^2)/(Links!R78+'Off-Ramp'!L78)</f>
        <v>#DIV/0!</v>
      </c>
      <c r="BP78" s="61" t="e">
        <f>Links!S78</f>
        <v>#DIV/0!</v>
      </c>
      <c r="BQ78" s="61" t="e">
        <f>(Links!S78^2+'Off-Ramp'!C78^2)/(Links!S78+'Off-Ramp'!C78)</f>
        <v>#DIV/0!</v>
      </c>
      <c r="BR78" s="61" t="e">
        <f>Links!T78</f>
        <v>#DIV/0!</v>
      </c>
      <c r="BS78" s="61" t="e">
        <f>(Links!U78^2+'Off-Ramp'!N78^2)/(Links!U78+'Off-Ramp'!N78)</f>
        <v>#DIV/0!</v>
      </c>
      <c r="BT78" s="61" t="e">
        <f>(Links!V78^2+'Off-Ramp'!O78^2)/(Links!V78+'Off-Ramp'!O78)</f>
        <v>#DIV/0!</v>
      </c>
      <c r="BU78" s="61" t="e">
        <f>(Links!W78^2+'Off-Ramp'!P78^2)/(Links!W78+'Off-Ramp'!P78)</f>
        <v>#DIV/0!</v>
      </c>
      <c r="BV78" s="61" t="e">
        <f>(Links!Y78^2+'Off-Ramp'!Q78^2)/(Links!Y78+'Off-Ramp'!Q78)</f>
        <v>#DIV/0!</v>
      </c>
      <c r="BW78" s="61" t="e">
        <f>(Links!Z78^2+'Off-Ramp'!R78^2)/(Links!Z78+'Off-Ramp'!R78)</f>
        <v>#DIV/0!</v>
      </c>
      <c r="BX78" s="61" t="e">
        <f>(Links!AA78+'Off-Ramp'!S78)/(Links!AA78^2+'Off-Ramp'!S78^2)</f>
        <v>#DIV/0!</v>
      </c>
      <c r="BY78" s="61" t="e">
        <f>(Links!AB78^2+'Off-Ramp'!T78^2)/(Links!AB78+'Off-Ramp'!T78)</f>
        <v>#DIV/0!</v>
      </c>
      <c r="BZ78" s="61" t="e">
        <f>Links!AC78</f>
        <v>#DIV/0!</v>
      </c>
      <c r="CA78" s="61" t="e">
        <f>(Links!AD78^2+'Off-Ramp'!U78^2)/(Links!AD78+'Off-Ramp'!U78)</f>
        <v>#DIV/0!</v>
      </c>
    </row>
    <row r="79" spans="1:79" x14ac:dyDescent="0.15">
      <c r="A79" s="59">
        <v>77</v>
      </c>
      <c r="B79" s="60" t="e">
        <f t="shared" si="34"/>
        <v>#DIV/0!</v>
      </c>
      <c r="C79" s="60" t="e">
        <f t="shared" si="35"/>
        <v>#DIV/0!</v>
      </c>
      <c r="D79" s="60" t="e">
        <f t="shared" si="36"/>
        <v>#DIV/0!</v>
      </c>
      <c r="E79" s="60" t="e">
        <f t="shared" si="37"/>
        <v>#DIV/0!</v>
      </c>
      <c r="F79" s="60" t="e">
        <f t="shared" si="38"/>
        <v>#DIV/0!</v>
      </c>
      <c r="G79" s="60" t="e">
        <f t="shared" si="39"/>
        <v>#DIV/0!</v>
      </c>
      <c r="H79" s="60" t="e">
        <f t="shared" si="40"/>
        <v>#DIV/0!</v>
      </c>
      <c r="I79" s="60" t="e">
        <f t="shared" si="41"/>
        <v>#DIV/0!</v>
      </c>
      <c r="J79" s="60" t="e">
        <f t="shared" si="42"/>
        <v>#DIV/0!</v>
      </c>
      <c r="K79" s="60" t="e">
        <f t="shared" si="43"/>
        <v>#DIV/0!</v>
      </c>
      <c r="L79" s="60" t="e">
        <f t="shared" si="44"/>
        <v>#DIV/0!</v>
      </c>
      <c r="M79" s="60" t="e">
        <f t="shared" si="45"/>
        <v>#DIV/0!</v>
      </c>
      <c r="N79" s="60" t="e">
        <f t="shared" si="46"/>
        <v>#DIV/0!</v>
      </c>
      <c r="O79" s="61" t="e">
        <f>Links!B79</f>
        <v>#DIV/0!</v>
      </c>
      <c r="P79" s="61" t="e">
        <f>Links!C79+'On-Ramps'!AC79</f>
        <v>#DIV/0!</v>
      </c>
      <c r="Q79" s="61" t="e">
        <f>Links!D79</f>
        <v>#DIV/0!</v>
      </c>
      <c r="R79" s="61" t="e">
        <f>Links!E79+'On-Ramps'!AD79</f>
        <v>#DIV/0!</v>
      </c>
      <c r="S79" s="61" t="e">
        <f>Links!F79+'On-Ramps'!AE79</f>
        <v>#DIV/0!</v>
      </c>
      <c r="T79" s="61" t="e">
        <f>Links!G79+'On-Ramps'!AF79</f>
        <v>#DIV/0!</v>
      </c>
      <c r="U79" s="61" t="e">
        <f>Links!H79+'On-Ramps'!AG79</f>
        <v>#DIV/0!</v>
      </c>
      <c r="V79" s="61" t="e">
        <f>Links!J79+'On-Ramps'!AH79</f>
        <v>#DIV/0!</v>
      </c>
      <c r="W79" s="61" t="e">
        <f>Links!K79+'On-Ramps'!AI79</f>
        <v>#DIV/0!</v>
      </c>
      <c r="X79" s="61" t="e">
        <f>Links!L79+'On-Ramps'!AJ79</f>
        <v>#DIV/0!</v>
      </c>
      <c r="Y79" s="61" t="e">
        <f>Links!M79</f>
        <v>#DIV/0!</v>
      </c>
      <c r="Z79" s="61" t="e">
        <f>Links!N79+'On-Ramps'!AK79</f>
        <v>#DIV/0!</v>
      </c>
      <c r="AA79" s="61" t="e">
        <f>Links!O79</f>
        <v>#DIV/0!</v>
      </c>
      <c r="AB79" s="60" t="e">
        <f t="shared" si="47"/>
        <v>#DIV/0!</v>
      </c>
      <c r="AC79" s="60" t="e">
        <f t="shared" si="48"/>
        <v>#DIV/0!</v>
      </c>
      <c r="AD79" s="60" t="e">
        <f t="shared" si="49"/>
        <v>#DIV/0!</v>
      </c>
      <c r="AE79" s="60" t="e">
        <f t="shared" si="50"/>
        <v>#DIV/0!</v>
      </c>
      <c r="AF79" s="60" t="e">
        <f t="shared" si="51"/>
        <v>#DIV/0!</v>
      </c>
      <c r="AG79" s="60" t="e">
        <f t="shared" si="52"/>
        <v>#DIV/0!</v>
      </c>
      <c r="AH79" s="60" t="e">
        <f t="shared" si="53"/>
        <v>#DIV/0!</v>
      </c>
      <c r="AI79" s="60" t="e">
        <f t="shared" si="54"/>
        <v>#DIV/0!</v>
      </c>
      <c r="AJ79" s="60" t="e">
        <f t="shared" si="55"/>
        <v>#DIV/0!</v>
      </c>
      <c r="AK79" s="60" t="e">
        <f t="shared" si="56"/>
        <v>#DIV/0!</v>
      </c>
      <c r="AL79" s="60" t="e">
        <f t="shared" si="57"/>
        <v>#DIV/0!</v>
      </c>
      <c r="AM79" s="60" t="e">
        <f t="shared" si="58"/>
        <v>#DIV/0!</v>
      </c>
      <c r="AN79" s="60" t="e">
        <f t="shared" si="30"/>
        <v>#DIV/0!</v>
      </c>
      <c r="AO79" s="61" t="e">
        <f t="shared" si="33"/>
        <v>#DIV/0!</v>
      </c>
      <c r="AP79" s="61" t="e">
        <f t="shared" si="59"/>
        <v>#DIV/0!</v>
      </c>
      <c r="AQ79" s="61" t="e">
        <f t="shared" si="59"/>
        <v>#DIV/0!</v>
      </c>
      <c r="AR79" s="61" t="e">
        <f t="shared" si="59"/>
        <v>#DIV/0!</v>
      </c>
      <c r="AS79" s="61" t="e">
        <f t="shared" si="59"/>
        <v>#DIV/0!</v>
      </c>
      <c r="AT79" s="61" t="e">
        <f t="shared" si="59"/>
        <v>#DIV/0!</v>
      </c>
      <c r="AU79" s="61" t="e">
        <f t="shared" si="59"/>
        <v>#DIV/0!</v>
      </c>
      <c r="AV79" s="61" t="e">
        <f t="shared" si="59"/>
        <v>#DIV/0!</v>
      </c>
      <c r="AW79" s="61" t="e">
        <f t="shared" si="59"/>
        <v>#DIV/0!</v>
      </c>
      <c r="AX79" s="61" t="e">
        <f t="shared" si="59"/>
        <v>#DIV/0!</v>
      </c>
      <c r="AY79" s="61" t="e">
        <f t="shared" si="59"/>
        <v>#DIV/0!</v>
      </c>
      <c r="AZ79" s="61" t="e">
        <f t="shared" si="59"/>
        <v>#DIV/0!</v>
      </c>
      <c r="BA79" s="61" t="e">
        <f t="shared" si="59"/>
        <v>#DIV/0!</v>
      </c>
      <c r="BB79" s="60" t="e">
        <f>Links!AF79</f>
        <v>#DIV/0!</v>
      </c>
      <c r="BC79" s="60" t="e">
        <f>(Links!AG79*Links!C79+'On-Ramps'!AC79*'On-Ramps'!CE79)/('On-Ramps'!AC79+Links!C79)</f>
        <v>#DIV/0!</v>
      </c>
      <c r="BD79" s="60" t="e">
        <f>Links!AH79</f>
        <v>#DIV/0!</v>
      </c>
      <c r="BE79" s="60" t="e">
        <f>(Links!AI79*Links!E79+'On-Ramps'!AD79*'On-Ramps'!CF78)/('On-Ramps'!AD79+Links!E79)</f>
        <v>#DIV/0!</v>
      </c>
      <c r="BF79" s="60" t="e">
        <f>(Links!F79*Links!AJ79+'On-Ramps'!AE79*'On-Ramps'!CG79)/('On-Ramps'!AE79+Links!F79)</f>
        <v>#DIV/0!</v>
      </c>
      <c r="BG79" s="60" t="e">
        <f>(Links!G79*Links!AK79+'On-Ramps'!AF79*'On-Ramps'!CH79)/('On-Ramps'!AF79+Links!G79)</f>
        <v>#DIV/0!</v>
      </c>
      <c r="BH79" s="60" t="e">
        <f>(Links!H79*Links!AL79+'On-Ramps'!AG79*'On-Ramps'!CI79)/('On-Ramps'!AG79+Links!H79)</f>
        <v>#DIV/0!</v>
      </c>
      <c r="BI79" s="60" t="e">
        <f>(Links!J79*Links!AN79+'On-Ramps'!AH79*'On-Ramps'!CJ79)/('On-Ramps'!AH79+Links!J79)</f>
        <v>#DIV/0!</v>
      </c>
      <c r="BJ79" s="60" t="e">
        <f>(Links!K79*Links!AO79+'On-Ramps'!AI79*'On-Ramps'!CK79)/('On-Ramps'!AI79+Links!K79)</f>
        <v>#DIV/0!</v>
      </c>
      <c r="BK79" s="60" t="e">
        <f>(Links!L79*Links!AP79+'On-Ramps'!AJ79*'On-Ramps'!CL79)/(Links!L79+'On-Ramps'!AJ79)</f>
        <v>#DIV/0!</v>
      </c>
      <c r="BL79" s="60" t="e">
        <f>Links!AQ79</f>
        <v>#DIV/0!</v>
      </c>
      <c r="BM79" s="60" t="e">
        <f>(Links!N79*Links!AR79+'On-Ramps'!AL79*'On-Ramps'!CM79)/(Links!N79+'On-Ramps'!AL79)</f>
        <v>#DIV/0!</v>
      </c>
      <c r="BN79" s="60" t="e">
        <f>Links!AS79</f>
        <v>#DIV/0!</v>
      </c>
      <c r="BO79" s="61" t="e">
        <f>(Links!R79^2+'Off-Ramp'!L79^2)/(Links!R79+'Off-Ramp'!L79)</f>
        <v>#DIV/0!</v>
      </c>
      <c r="BP79" s="61" t="e">
        <f>Links!S79</f>
        <v>#DIV/0!</v>
      </c>
      <c r="BQ79" s="61" t="e">
        <f>(Links!S79^2+'Off-Ramp'!C79^2)/(Links!S79+'Off-Ramp'!C79)</f>
        <v>#DIV/0!</v>
      </c>
      <c r="BR79" s="61" t="e">
        <f>Links!T79</f>
        <v>#DIV/0!</v>
      </c>
      <c r="BS79" s="61" t="e">
        <f>(Links!U79^2+'Off-Ramp'!N79^2)/(Links!U79+'Off-Ramp'!N79)</f>
        <v>#DIV/0!</v>
      </c>
      <c r="BT79" s="61" t="e">
        <f>(Links!V79^2+'Off-Ramp'!O79^2)/(Links!V79+'Off-Ramp'!O79)</f>
        <v>#DIV/0!</v>
      </c>
      <c r="BU79" s="61" t="e">
        <f>(Links!W79^2+'Off-Ramp'!P79^2)/(Links!W79+'Off-Ramp'!P79)</f>
        <v>#DIV/0!</v>
      </c>
      <c r="BV79" s="61" t="e">
        <f>(Links!Y79^2+'Off-Ramp'!Q79^2)/(Links!Y79+'Off-Ramp'!Q79)</f>
        <v>#DIV/0!</v>
      </c>
      <c r="BW79" s="61" t="e">
        <f>(Links!Z79^2+'Off-Ramp'!R79^2)/(Links!Z79+'Off-Ramp'!R79)</f>
        <v>#DIV/0!</v>
      </c>
      <c r="BX79" s="61" t="e">
        <f>(Links!AA79+'Off-Ramp'!S79)/(Links!AA79^2+'Off-Ramp'!S79^2)</f>
        <v>#DIV/0!</v>
      </c>
      <c r="BY79" s="61" t="e">
        <f>(Links!AB79^2+'Off-Ramp'!T79^2)/(Links!AB79+'Off-Ramp'!T79)</f>
        <v>#DIV/0!</v>
      </c>
      <c r="BZ79" s="61" t="e">
        <f>Links!AC79</f>
        <v>#DIV/0!</v>
      </c>
      <c r="CA79" s="61" t="e">
        <f>(Links!AD79^2+'Off-Ramp'!U79^2)/(Links!AD79+'Off-Ramp'!U79)</f>
        <v>#DIV/0!</v>
      </c>
    </row>
    <row r="80" spans="1:79" x14ac:dyDescent="0.15">
      <c r="A80" s="59">
        <v>78</v>
      </c>
      <c r="B80" s="60" t="e">
        <f t="shared" si="34"/>
        <v>#DIV/0!</v>
      </c>
      <c r="C80" s="60" t="e">
        <f t="shared" si="35"/>
        <v>#DIV/0!</v>
      </c>
      <c r="D80" s="60" t="e">
        <f t="shared" si="36"/>
        <v>#DIV/0!</v>
      </c>
      <c r="E80" s="60" t="e">
        <f t="shared" si="37"/>
        <v>#DIV/0!</v>
      </c>
      <c r="F80" s="60" t="e">
        <f t="shared" si="38"/>
        <v>#DIV/0!</v>
      </c>
      <c r="G80" s="60" t="e">
        <f t="shared" si="39"/>
        <v>#DIV/0!</v>
      </c>
      <c r="H80" s="60" t="e">
        <f t="shared" si="40"/>
        <v>#DIV/0!</v>
      </c>
      <c r="I80" s="60" t="e">
        <f t="shared" si="41"/>
        <v>#DIV/0!</v>
      </c>
      <c r="J80" s="60" t="e">
        <f t="shared" si="42"/>
        <v>#DIV/0!</v>
      </c>
      <c r="K80" s="60" t="e">
        <f t="shared" si="43"/>
        <v>#DIV/0!</v>
      </c>
      <c r="L80" s="60" t="e">
        <f t="shared" si="44"/>
        <v>#DIV/0!</v>
      </c>
      <c r="M80" s="60" t="e">
        <f t="shared" si="45"/>
        <v>#DIV/0!</v>
      </c>
      <c r="N80" s="60" t="e">
        <f t="shared" si="46"/>
        <v>#DIV/0!</v>
      </c>
      <c r="O80" s="61" t="e">
        <f>Links!B80</f>
        <v>#DIV/0!</v>
      </c>
      <c r="P80" s="61" t="e">
        <f>Links!C80+'On-Ramps'!AC80</f>
        <v>#DIV/0!</v>
      </c>
      <c r="Q80" s="61" t="e">
        <f>Links!D80</f>
        <v>#DIV/0!</v>
      </c>
      <c r="R80" s="61" t="e">
        <f>Links!E80+'On-Ramps'!AD80</f>
        <v>#DIV/0!</v>
      </c>
      <c r="S80" s="61" t="e">
        <f>Links!F80+'On-Ramps'!AE80</f>
        <v>#DIV/0!</v>
      </c>
      <c r="T80" s="61" t="e">
        <f>Links!G80+'On-Ramps'!AF80</f>
        <v>#DIV/0!</v>
      </c>
      <c r="U80" s="61" t="e">
        <f>Links!H80+'On-Ramps'!AG80</f>
        <v>#DIV/0!</v>
      </c>
      <c r="V80" s="61" t="e">
        <f>Links!J80+'On-Ramps'!AH80</f>
        <v>#DIV/0!</v>
      </c>
      <c r="W80" s="61" t="e">
        <f>Links!K80+'On-Ramps'!AI80</f>
        <v>#DIV/0!</v>
      </c>
      <c r="X80" s="61" t="e">
        <f>Links!L80+'On-Ramps'!AJ80</f>
        <v>#DIV/0!</v>
      </c>
      <c r="Y80" s="61" t="e">
        <f>Links!M80</f>
        <v>#DIV/0!</v>
      </c>
      <c r="Z80" s="61" t="e">
        <f>Links!N80+'On-Ramps'!AK80</f>
        <v>#DIV/0!</v>
      </c>
      <c r="AA80" s="61" t="e">
        <f>Links!O80</f>
        <v>#DIV/0!</v>
      </c>
      <c r="AB80" s="60" t="e">
        <f t="shared" si="47"/>
        <v>#DIV/0!</v>
      </c>
      <c r="AC80" s="60" t="e">
        <f t="shared" si="48"/>
        <v>#DIV/0!</v>
      </c>
      <c r="AD80" s="60" t="e">
        <f t="shared" si="49"/>
        <v>#DIV/0!</v>
      </c>
      <c r="AE80" s="60" t="e">
        <f t="shared" si="50"/>
        <v>#DIV/0!</v>
      </c>
      <c r="AF80" s="60" t="e">
        <f t="shared" si="51"/>
        <v>#DIV/0!</v>
      </c>
      <c r="AG80" s="60" t="e">
        <f t="shared" si="52"/>
        <v>#DIV/0!</v>
      </c>
      <c r="AH80" s="60" t="e">
        <f t="shared" si="53"/>
        <v>#DIV/0!</v>
      </c>
      <c r="AI80" s="60" t="e">
        <f t="shared" si="54"/>
        <v>#DIV/0!</v>
      </c>
      <c r="AJ80" s="60" t="e">
        <f t="shared" si="55"/>
        <v>#DIV/0!</v>
      </c>
      <c r="AK80" s="60" t="e">
        <f t="shared" si="56"/>
        <v>#DIV/0!</v>
      </c>
      <c r="AL80" s="60" t="e">
        <f t="shared" si="57"/>
        <v>#DIV/0!</v>
      </c>
      <c r="AM80" s="60" t="e">
        <f t="shared" si="58"/>
        <v>#DIV/0!</v>
      </c>
      <c r="AN80" s="60" t="e">
        <f t="shared" si="30"/>
        <v>#DIV/0!</v>
      </c>
      <c r="AO80" s="61" t="e">
        <f t="shared" si="33"/>
        <v>#DIV/0!</v>
      </c>
      <c r="AP80" s="61" t="e">
        <f t="shared" si="59"/>
        <v>#DIV/0!</v>
      </c>
      <c r="AQ80" s="61" t="e">
        <f t="shared" si="59"/>
        <v>#DIV/0!</v>
      </c>
      <c r="AR80" s="61" t="e">
        <f t="shared" si="59"/>
        <v>#DIV/0!</v>
      </c>
      <c r="AS80" s="61" t="e">
        <f t="shared" si="59"/>
        <v>#DIV/0!</v>
      </c>
      <c r="AT80" s="61" t="e">
        <f t="shared" si="59"/>
        <v>#DIV/0!</v>
      </c>
      <c r="AU80" s="61" t="e">
        <f t="shared" si="59"/>
        <v>#DIV/0!</v>
      </c>
      <c r="AV80" s="61" t="e">
        <f t="shared" si="59"/>
        <v>#DIV/0!</v>
      </c>
      <c r="AW80" s="61" t="e">
        <f t="shared" si="59"/>
        <v>#DIV/0!</v>
      </c>
      <c r="AX80" s="61" t="e">
        <f t="shared" si="59"/>
        <v>#DIV/0!</v>
      </c>
      <c r="AY80" s="61" t="e">
        <f t="shared" si="59"/>
        <v>#DIV/0!</v>
      </c>
      <c r="AZ80" s="61" t="e">
        <f t="shared" si="59"/>
        <v>#DIV/0!</v>
      </c>
      <c r="BA80" s="61" t="e">
        <f t="shared" si="59"/>
        <v>#DIV/0!</v>
      </c>
      <c r="BB80" s="60" t="e">
        <f>Links!AF80</f>
        <v>#DIV/0!</v>
      </c>
      <c r="BC80" s="60" t="e">
        <f>(Links!AG80*Links!C80+'On-Ramps'!AC80*'On-Ramps'!CE80)/('On-Ramps'!AC80+Links!C80)</f>
        <v>#DIV/0!</v>
      </c>
      <c r="BD80" s="60" t="e">
        <f>Links!AH80</f>
        <v>#DIV/0!</v>
      </c>
      <c r="BE80" s="60" t="e">
        <f>(Links!AI80*Links!E80+'On-Ramps'!AD80*'On-Ramps'!CF79)/('On-Ramps'!AD80+Links!E80)</f>
        <v>#DIV/0!</v>
      </c>
      <c r="BF80" s="60" t="e">
        <f>(Links!F80*Links!AJ80+'On-Ramps'!AE80*'On-Ramps'!CG80)/('On-Ramps'!AE80+Links!F80)</f>
        <v>#DIV/0!</v>
      </c>
      <c r="BG80" s="60" t="e">
        <f>(Links!G80*Links!AK80+'On-Ramps'!AF80*'On-Ramps'!CH80)/('On-Ramps'!AF80+Links!G80)</f>
        <v>#DIV/0!</v>
      </c>
      <c r="BH80" s="60" t="e">
        <f>(Links!H80*Links!AL80+'On-Ramps'!AG80*'On-Ramps'!CI80)/('On-Ramps'!AG80+Links!H80)</f>
        <v>#DIV/0!</v>
      </c>
      <c r="BI80" s="60" t="e">
        <f>(Links!J80*Links!AN80+'On-Ramps'!AH80*'On-Ramps'!CJ80)/('On-Ramps'!AH80+Links!J80)</f>
        <v>#DIV/0!</v>
      </c>
      <c r="BJ80" s="60" t="e">
        <f>(Links!K80*Links!AO80+'On-Ramps'!AI80*'On-Ramps'!CK80)/('On-Ramps'!AI80+Links!K80)</f>
        <v>#DIV/0!</v>
      </c>
      <c r="BK80" s="60" t="e">
        <f>(Links!L80*Links!AP80+'On-Ramps'!AJ80*'On-Ramps'!CL80)/(Links!L80+'On-Ramps'!AJ80)</f>
        <v>#DIV/0!</v>
      </c>
      <c r="BL80" s="60" t="e">
        <f>Links!AQ80</f>
        <v>#DIV/0!</v>
      </c>
      <c r="BM80" s="60" t="e">
        <f>(Links!N80*Links!AR80+'On-Ramps'!AL80*'On-Ramps'!CM80)/(Links!N80+'On-Ramps'!AL80)</f>
        <v>#DIV/0!</v>
      </c>
      <c r="BN80" s="60" t="e">
        <f>Links!AS80</f>
        <v>#DIV/0!</v>
      </c>
      <c r="BO80" s="61" t="e">
        <f>(Links!R80^2+'Off-Ramp'!L80^2)/(Links!R80+'Off-Ramp'!L80)</f>
        <v>#DIV/0!</v>
      </c>
      <c r="BP80" s="61" t="e">
        <f>Links!S80</f>
        <v>#DIV/0!</v>
      </c>
      <c r="BQ80" s="61" t="e">
        <f>(Links!S80^2+'Off-Ramp'!C80^2)/(Links!S80+'Off-Ramp'!C80)</f>
        <v>#DIV/0!</v>
      </c>
      <c r="BR80" s="61" t="e">
        <f>Links!T80</f>
        <v>#DIV/0!</v>
      </c>
      <c r="BS80" s="61" t="e">
        <f>(Links!U80^2+'Off-Ramp'!N80^2)/(Links!U80+'Off-Ramp'!N80)</f>
        <v>#DIV/0!</v>
      </c>
      <c r="BT80" s="61" t="e">
        <f>(Links!V80^2+'Off-Ramp'!O80^2)/(Links!V80+'Off-Ramp'!O80)</f>
        <v>#DIV/0!</v>
      </c>
      <c r="BU80" s="61" t="e">
        <f>(Links!W80^2+'Off-Ramp'!P80^2)/(Links!W80+'Off-Ramp'!P80)</f>
        <v>#DIV/0!</v>
      </c>
      <c r="BV80" s="61" t="e">
        <f>(Links!Y80^2+'Off-Ramp'!Q80^2)/(Links!Y80+'Off-Ramp'!Q80)</f>
        <v>#DIV/0!</v>
      </c>
      <c r="BW80" s="61" t="e">
        <f>(Links!Z80^2+'Off-Ramp'!R80^2)/(Links!Z80+'Off-Ramp'!R80)</f>
        <v>#DIV/0!</v>
      </c>
      <c r="BX80" s="61" t="e">
        <f>(Links!AA80+'Off-Ramp'!S80)/(Links!AA80^2+'Off-Ramp'!S80^2)</f>
        <v>#DIV/0!</v>
      </c>
      <c r="BY80" s="61" t="e">
        <f>(Links!AB80^2+'Off-Ramp'!T80^2)/(Links!AB80+'Off-Ramp'!T80)</f>
        <v>#DIV/0!</v>
      </c>
      <c r="BZ80" s="61" t="e">
        <f>Links!AC80</f>
        <v>#DIV/0!</v>
      </c>
      <c r="CA80" s="61" t="e">
        <f>(Links!AD80^2+'Off-Ramp'!U80^2)/(Links!AD80+'Off-Ramp'!U80)</f>
        <v>#DIV/0!</v>
      </c>
    </row>
    <row r="81" spans="1:79" x14ac:dyDescent="0.15">
      <c r="A81" s="59">
        <v>79</v>
      </c>
      <c r="B81" s="60" t="e">
        <f t="shared" si="34"/>
        <v>#DIV/0!</v>
      </c>
      <c r="C81" s="60" t="e">
        <f t="shared" si="35"/>
        <v>#DIV/0!</v>
      </c>
      <c r="D81" s="60" t="e">
        <f t="shared" si="36"/>
        <v>#DIV/0!</v>
      </c>
      <c r="E81" s="60" t="e">
        <f t="shared" si="37"/>
        <v>#DIV/0!</v>
      </c>
      <c r="F81" s="60" t="e">
        <f t="shared" si="38"/>
        <v>#DIV/0!</v>
      </c>
      <c r="G81" s="60" t="e">
        <f t="shared" si="39"/>
        <v>#DIV/0!</v>
      </c>
      <c r="H81" s="60" t="e">
        <f t="shared" si="40"/>
        <v>#DIV/0!</v>
      </c>
      <c r="I81" s="60" t="e">
        <f t="shared" si="41"/>
        <v>#DIV/0!</v>
      </c>
      <c r="J81" s="60" t="e">
        <f t="shared" si="42"/>
        <v>#DIV/0!</v>
      </c>
      <c r="K81" s="60" t="e">
        <f t="shared" si="43"/>
        <v>#DIV/0!</v>
      </c>
      <c r="L81" s="60" t="e">
        <f t="shared" si="44"/>
        <v>#DIV/0!</v>
      </c>
      <c r="M81" s="60" t="e">
        <f t="shared" si="45"/>
        <v>#DIV/0!</v>
      </c>
      <c r="N81" s="60" t="e">
        <f t="shared" si="46"/>
        <v>#DIV/0!</v>
      </c>
      <c r="O81" s="61" t="e">
        <f>Links!B81</f>
        <v>#DIV/0!</v>
      </c>
      <c r="P81" s="61" t="e">
        <f>Links!C81+'On-Ramps'!AC81</f>
        <v>#DIV/0!</v>
      </c>
      <c r="Q81" s="61" t="e">
        <f>Links!D81</f>
        <v>#DIV/0!</v>
      </c>
      <c r="R81" s="61" t="e">
        <f>Links!E81+'On-Ramps'!AD81</f>
        <v>#DIV/0!</v>
      </c>
      <c r="S81" s="61" t="e">
        <f>Links!F81+'On-Ramps'!AE81</f>
        <v>#DIV/0!</v>
      </c>
      <c r="T81" s="61" t="e">
        <f>Links!G81+'On-Ramps'!AF81</f>
        <v>#DIV/0!</v>
      </c>
      <c r="U81" s="61" t="e">
        <f>Links!H81+'On-Ramps'!AG81</f>
        <v>#DIV/0!</v>
      </c>
      <c r="V81" s="61" t="e">
        <f>Links!J81+'On-Ramps'!AH81</f>
        <v>#DIV/0!</v>
      </c>
      <c r="W81" s="61" t="e">
        <f>Links!K81+'On-Ramps'!AI81</f>
        <v>#DIV/0!</v>
      </c>
      <c r="X81" s="61" t="e">
        <f>Links!L81+'On-Ramps'!AJ81</f>
        <v>#DIV/0!</v>
      </c>
      <c r="Y81" s="61" t="e">
        <f>Links!M81</f>
        <v>#DIV/0!</v>
      </c>
      <c r="Z81" s="61" t="e">
        <f>Links!N81+'On-Ramps'!AK81</f>
        <v>#DIV/0!</v>
      </c>
      <c r="AA81" s="61" t="e">
        <f>Links!O81</f>
        <v>#DIV/0!</v>
      </c>
      <c r="AB81" s="60" t="e">
        <f t="shared" si="47"/>
        <v>#DIV/0!</v>
      </c>
      <c r="AC81" s="60" t="e">
        <f t="shared" si="48"/>
        <v>#DIV/0!</v>
      </c>
      <c r="AD81" s="60" t="e">
        <f t="shared" si="49"/>
        <v>#DIV/0!</v>
      </c>
      <c r="AE81" s="60" t="e">
        <f t="shared" si="50"/>
        <v>#DIV/0!</v>
      </c>
      <c r="AF81" s="60" t="e">
        <f t="shared" si="51"/>
        <v>#DIV/0!</v>
      </c>
      <c r="AG81" s="60" t="e">
        <f t="shared" si="52"/>
        <v>#DIV/0!</v>
      </c>
      <c r="AH81" s="60" t="e">
        <f t="shared" si="53"/>
        <v>#DIV/0!</v>
      </c>
      <c r="AI81" s="60" t="e">
        <f t="shared" si="54"/>
        <v>#DIV/0!</v>
      </c>
      <c r="AJ81" s="60" t="e">
        <f t="shared" si="55"/>
        <v>#DIV/0!</v>
      </c>
      <c r="AK81" s="60" t="e">
        <f t="shared" si="56"/>
        <v>#DIV/0!</v>
      </c>
      <c r="AL81" s="60" t="e">
        <f t="shared" si="57"/>
        <v>#DIV/0!</v>
      </c>
      <c r="AM81" s="60" t="e">
        <f t="shared" si="58"/>
        <v>#DIV/0!</v>
      </c>
      <c r="AN81" s="60" t="e">
        <f t="shared" si="30"/>
        <v>#DIV/0!</v>
      </c>
      <c r="AO81" s="61" t="e">
        <f t="shared" si="33"/>
        <v>#DIV/0!</v>
      </c>
      <c r="AP81" s="61" t="e">
        <f t="shared" si="59"/>
        <v>#DIV/0!</v>
      </c>
      <c r="AQ81" s="61" t="e">
        <f t="shared" si="59"/>
        <v>#DIV/0!</v>
      </c>
      <c r="AR81" s="61" t="e">
        <f t="shared" si="59"/>
        <v>#DIV/0!</v>
      </c>
      <c r="AS81" s="61" t="e">
        <f t="shared" si="59"/>
        <v>#DIV/0!</v>
      </c>
      <c r="AT81" s="61" t="e">
        <f t="shared" si="59"/>
        <v>#DIV/0!</v>
      </c>
      <c r="AU81" s="61" t="e">
        <f t="shared" si="59"/>
        <v>#DIV/0!</v>
      </c>
      <c r="AV81" s="61" t="e">
        <f t="shared" si="59"/>
        <v>#DIV/0!</v>
      </c>
      <c r="AW81" s="61" t="e">
        <f t="shared" si="59"/>
        <v>#DIV/0!</v>
      </c>
      <c r="AX81" s="61" t="e">
        <f t="shared" si="59"/>
        <v>#DIV/0!</v>
      </c>
      <c r="AY81" s="61" t="e">
        <f t="shared" si="59"/>
        <v>#DIV/0!</v>
      </c>
      <c r="AZ81" s="61" t="e">
        <f t="shared" si="59"/>
        <v>#DIV/0!</v>
      </c>
      <c r="BA81" s="61" t="e">
        <f t="shared" si="59"/>
        <v>#DIV/0!</v>
      </c>
      <c r="BB81" s="60" t="e">
        <f>Links!AF81</f>
        <v>#DIV/0!</v>
      </c>
      <c r="BC81" s="60" t="e">
        <f>(Links!AG81*Links!C81+'On-Ramps'!AC81*'On-Ramps'!CE81)/('On-Ramps'!AC81+Links!C81)</f>
        <v>#DIV/0!</v>
      </c>
      <c r="BD81" s="60" t="e">
        <f>Links!AH81</f>
        <v>#DIV/0!</v>
      </c>
      <c r="BE81" s="60" t="e">
        <f>(Links!AI81*Links!E81+'On-Ramps'!AD81*'On-Ramps'!CF80)/('On-Ramps'!AD81+Links!E81)</f>
        <v>#DIV/0!</v>
      </c>
      <c r="BF81" s="60" t="e">
        <f>(Links!F81*Links!AJ81+'On-Ramps'!AE81*'On-Ramps'!CG81)/('On-Ramps'!AE81+Links!F81)</f>
        <v>#DIV/0!</v>
      </c>
      <c r="BG81" s="60" t="e">
        <f>(Links!G81*Links!AK81+'On-Ramps'!AF81*'On-Ramps'!CH81)/('On-Ramps'!AF81+Links!G81)</f>
        <v>#DIV/0!</v>
      </c>
      <c r="BH81" s="60" t="e">
        <f>(Links!H81*Links!AL81+'On-Ramps'!AG81*'On-Ramps'!CI81)/('On-Ramps'!AG81+Links!H81)</f>
        <v>#DIV/0!</v>
      </c>
      <c r="BI81" s="60" t="e">
        <f>(Links!J81*Links!AN81+'On-Ramps'!AH81*'On-Ramps'!CJ81)/('On-Ramps'!AH81+Links!J81)</f>
        <v>#DIV/0!</v>
      </c>
      <c r="BJ81" s="60" t="e">
        <f>(Links!K81*Links!AO81+'On-Ramps'!AI81*'On-Ramps'!CK81)/('On-Ramps'!AI81+Links!K81)</f>
        <v>#DIV/0!</v>
      </c>
      <c r="BK81" s="60" t="e">
        <f>(Links!L81*Links!AP81+'On-Ramps'!AJ81*'On-Ramps'!CL81)/(Links!L81+'On-Ramps'!AJ81)</f>
        <v>#DIV/0!</v>
      </c>
      <c r="BL81" s="60" t="e">
        <f>Links!AQ81</f>
        <v>#DIV/0!</v>
      </c>
      <c r="BM81" s="60" t="e">
        <f>(Links!N81*Links!AR81+'On-Ramps'!AL81*'On-Ramps'!CM81)/(Links!N81+'On-Ramps'!AL81)</f>
        <v>#DIV/0!</v>
      </c>
      <c r="BN81" s="60" t="e">
        <f>Links!AS81</f>
        <v>#DIV/0!</v>
      </c>
      <c r="BO81" s="61" t="e">
        <f>(Links!R81^2+'Off-Ramp'!L81^2)/(Links!R81+'Off-Ramp'!L81)</f>
        <v>#DIV/0!</v>
      </c>
      <c r="BP81" s="61" t="e">
        <f>Links!S81</f>
        <v>#DIV/0!</v>
      </c>
      <c r="BQ81" s="61" t="e">
        <f>(Links!S81^2+'Off-Ramp'!C81^2)/(Links!S81+'Off-Ramp'!C81)</f>
        <v>#DIV/0!</v>
      </c>
      <c r="BR81" s="61" t="e">
        <f>Links!T81</f>
        <v>#DIV/0!</v>
      </c>
      <c r="BS81" s="61" t="e">
        <f>(Links!U81^2+'Off-Ramp'!N81^2)/(Links!U81+'Off-Ramp'!N81)</f>
        <v>#DIV/0!</v>
      </c>
      <c r="BT81" s="61" t="e">
        <f>(Links!V81^2+'Off-Ramp'!O81^2)/(Links!V81+'Off-Ramp'!O81)</f>
        <v>#DIV/0!</v>
      </c>
      <c r="BU81" s="61" t="e">
        <f>(Links!W81^2+'Off-Ramp'!P81^2)/(Links!W81+'Off-Ramp'!P81)</f>
        <v>#DIV/0!</v>
      </c>
      <c r="BV81" s="61" t="e">
        <f>(Links!Y81^2+'Off-Ramp'!Q81^2)/(Links!Y81+'Off-Ramp'!Q81)</f>
        <v>#DIV/0!</v>
      </c>
      <c r="BW81" s="61" t="e">
        <f>(Links!Z81^2+'Off-Ramp'!R81^2)/(Links!Z81+'Off-Ramp'!R81)</f>
        <v>#DIV/0!</v>
      </c>
      <c r="BX81" s="61" t="e">
        <f>(Links!AA81+'Off-Ramp'!S81)/(Links!AA81^2+'Off-Ramp'!S81^2)</f>
        <v>#DIV/0!</v>
      </c>
      <c r="BY81" s="61" t="e">
        <f>(Links!AB81^2+'Off-Ramp'!T81^2)/(Links!AB81+'Off-Ramp'!T81)</f>
        <v>#DIV/0!</v>
      </c>
      <c r="BZ81" s="61" t="e">
        <f>Links!AC81</f>
        <v>#DIV/0!</v>
      </c>
      <c r="CA81" s="61" t="e">
        <f>(Links!AD81^2+'Off-Ramp'!U81^2)/(Links!AD81+'Off-Ramp'!U81)</f>
        <v>#DIV/0!</v>
      </c>
    </row>
    <row r="82" spans="1:79" x14ac:dyDescent="0.15">
      <c r="A82" s="59">
        <v>80</v>
      </c>
      <c r="B82" s="60" t="e">
        <f t="shared" si="34"/>
        <v>#DIV/0!</v>
      </c>
      <c r="C82" s="60" t="e">
        <f t="shared" si="35"/>
        <v>#DIV/0!</v>
      </c>
      <c r="D82" s="60" t="e">
        <f t="shared" si="36"/>
        <v>#DIV/0!</v>
      </c>
      <c r="E82" s="60" t="e">
        <f t="shared" si="37"/>
        <v>#DIV/0!</v>
      </c>
      <c r="F82" s="60" t="e">
        <f t="shared" si="38"/>
        <v>#DIV/0!</v>
      </c>
      <c r="G82" s="60" t="e">
        <f t="shared" si="39"/>
        <v>#DIV/0!</v>
      </c>
      <c r="H82" s="60" t="e">
        <f t="shared" si="40"/>
        <v>#DIV/0!</v>
      </c>
      <c r="I82" s="60" t="e">
        <f t="shared" si="41"/>
        <v>#DIV/0!</v>
      </c>
      <c r="J82" s="60" t="e">
        <f t="shared" si="42"/>
        <v>#DIV/0!</v>
      </c>
      <c r="K82" s="60" t="e">
        <f t="shared" si="43"/>
        <v>#DIV/0!</v>
      </c>
      <c r="L82" s="60" t="e">
        <f t="shared" si="44"/>
        <v>#DIV/0!</v>
      </c>
      <c r="M82" s="60" t="e">
        <f t="shared" si="45"/>
        <v>#DIV/0!</v>
      </c>
      <c r="N82" s="60" t="e">
        <f t="shared" si="46"/>
        <v>#DIV/0!</v>
      </c>
      <c r="O82" s="61" t="e">
        <f>Links!B82</f>
        <v>#DIV/0!</v>
      </c>
      <c r="P82" s="61" t="e">
        <f>Links!C82+'On-Ramps'!AC82</f>
        <v>#DIV/0!</v>
      </c>
      <c r="Q82" s="61" t="e">
        <f>Links!D82</f>
        <v>#DIV/0!</v>
      </c>
      <c r="R82" s="61" t="e">
        <f>Links!E82+'On-Ramps'!AD82</f>
        <v>#DIV/0!</v>
      </c>
      <c r="S82" s="61" t="e">
        <f>Links!F82+'On-Ramps'!AE82</f>
        <v>#DIV/0!</v>
      </c>
      <c r="T82" s="61" t="e">
        <f>Links!G82+'On-Ramps'!AF82</f>
        <v>#DIV/0!</v>
      </c>
      <c r="U82" s="61" t="e">
        <f>Links!H82+'On-Ramps'!AG82</f>
        <v>#DIV/0!</v>
      </c>
      <c r="V82" s="61" t="e">
        <f>Links!J82+'On-Ramps'!AH82</f>
        <v>#DIV/0!</v>
      </c>
      <c r="W82" s="61" t="e">
        <f>Links!K82+'On-Ramps'!AI82</f>
        <v>#DIV/0!</v>
      </c>
      <c r="X82" s="61" t="e">
        <f>Links!L82+'On-Ramps'!AJ82</f>
        <v>#DIV/0!</v>
      </c>
      <c r="Y82" s="61" t="e">
        <f>Links!M82</f>
        <v>#DIV/0!</v>
      </c>
      <c r="Z82" s="61" t="e">
        <f>Links!N82+'On-Ramps'!AK82</f>
        <v>#DIV/0!</v>
      </c>
      <c r="AA82" s="61" t="e">
        <f>Links!O82</f>
        <v>#DIV/0!</v>
      </c>
      <c r="AB82" s="60" t="e">
        <f t="shared" si="47"/>
        <v>#DIV/0!</v>
      </c>
      <c r="AC82" s="60" t="e">
        <f t="shared" si="48"/>
        <v>#DIV/0!</v>
      </c>
      <c r="AD82" s="60" t="e">
        <f t="shared" si="49"/>
        <v>#DIV/0!</v>
      </c>
      <c r="AE82" s="60" t="e">
        <f t="shared" si="50"/>
        <v>#DIV/0!</v>
      </c>
      <c r="AF82" s="60" t="e">
        <f t="shared" si="51"/>
        <v>#DIV/0!</v>
      </c>
      <c r="AG82" s="60" t="e">
        <f t="shared" si="52"/>
        <v>#DIV/0!</v>
      </c>
      <c r="AH82" s="60" t="e">
        <f t="shared" si="53"/>
        <v>#DIV/0!</v>
      </c>
      <c r="AI82" s="60" t="e">
        <f t="shared" si="54"/>
        <v>#DIV/0!</v>
      </c>
      <c r="AJ82" s="60" t="e">
        <f t="shared" si="55"/>
        <v>#DIV/0!</v>
      </c>
      <c r="AK82" s="60" t="e">
        <f t="shared" si="56"/>
        <v>#DIV/0!</v>
      </c>
      <c r="AL82" s="60" t="e">
        <f t="shared" si="57"/>
        <v>#DIV/0!</v>
      </c>
      <c r="AM82" s="60" t="e">
        <f t="shared" si="58"/>
        <v>#DIV/0!</v>
      </c>
      <c r="AN82" s="60" t="e">
        <f t="shared" si="30"/>
        <v>#DIV/0!</v>
      </c>
      <c r="AO82" s="61" t="e">
        <f t="shared" si="33"/>
        <v>#DIV/0!</v>
      </c>
      <c r="AP82" s="61" t="e">
        <f t="shared" si="59"/>
        <v>#DIV/0!</v>
      </c>
      <c r="AQ82" s="61" t="e">
        <f t="shared" si="59"/>
        <v>#DIV/0!</v>
      </c>
      <c r="AR82" s="61" t="e">
        <f t="shared" si="59"/>
        <v>#DIV/0!</v>
      </c>
      <c r="AS82" s="61" t="e">
        <f t="shared" si="59"/>
        <v>#DIV/0!</v>
      </c>
      <c r="AT82" s="61" t="e">
        <f t="shared" si="59"/>
        <v>#DIV/0!</v>
      </c>
      <c r="AU82" s="61" t="e">
        <f t="shared" si="59"/>
        <v>#DIV/0!</v>
      </c>
      <c r="AV82" s="61" t="e">
        <f t="shared" si="59"/>
        <v>#DIV/0!</v>
      </c>
      <c r="AW82" s="61" t="e">
        <f t="shared" si="59"/>
        <v>#DIV/0!</v>
      </c>
      <c r="AX82" s="61" t="e">
        <f t="shared" si="59"/>
        <v>#DIV/0!</v>
      </c>
      <c r="AY82" s="61" t="e">
        <f t="shared" si="59"/>
        <v>#DIV/0!</v>
      </c>
      <c r="AZ82" s="61" t="e">
        <f t="shared" si="59"/>
        <v>#DIV/0!</v>
      </c>
      <c r="BA82" s="61" t="e">
        <f t="shared" si="59"/>
        <v>#DIV/0!</v>
      </c>
      <c r="BB82" s="60" t="e">
        <f>Links!AF82</f>
        <v>#DIV/0!</v>
      </c>
      <c r="BC82" s="60" t="e">
        <f>(Links!AG82*Links!C82+'On-Ramps'!AC82*'On-Ramps'!CE82)/('On-Ramps'!AC82+Links!C82)</f>
        <v>#DIV/0!</v>
      </c>
      <c r="BD82" s="60" t="e">
        <f>Links!AH82</f>
        <v>#DIV/0!</v>
      </c>
      <c r="BE82" s="60" t="e">
        <f>(Links!AI82*Links!E82+'On-Ramps'!AD82*'On-Ramps'!CF81)/('On-Ramps'!AD82+Links!E82)</f>
        <v>#DIV/0!</v>
      </c>
      <c r="BF82" s="60" t="e">
        <f>(Links!F82*Links!AJ82+'On-Ramps'!AE82*'On-Ramps'!CG82)/('On-Ramps'!AE82+Links!F82)</f>
        <v>#DIV/0!</v>
      </c>
      <c r="BG82" s="60" t="e">
        <f>(Links!G82*Links!AK82+'On-Ramps'!AF82*'On-Ramps'!CH82)/('On-Ramps'!AF82+Links!G82)</f>
        <v>#DIV/0!</v>
      </c>
      <c r="BH82" s="60" t="e">
        <f>(Links!H82*Links!AL82+'On-Ramps'!AG82*'On-Ramps'!CI82)/('On-Ramps'!AG82+Links!H82)</f>
        <v>#DIV/0!</v>
      </c>
      <c r="BI82" s="60" t="e">
        <f>(Links!J82*Links!AN82+'On-Ramps'!AH82*'On-Ramps'!CJ82)/('On-Ramps'!AH82+Links!J82)</f>
        <v>#DIV/0!</v>
      </c>
      <c r="BJ82" s="60" t="e">
        <f>(Links!K82*Links!AO82+'On-Ramps'!AI82*'On-Ramps'!CK82)/('On-Ramps'!AI82+Links!K82)</f>
        <v>#DIV/0!</v>
      </c>
      <c r="BK82" s="60" t="e">
        <f>(Links!L82*Links!AP82+'On-Ramps'!AJ82*'On-Ramps'!CL82)/(Links!L82+'On-Ramps'!AJ82)</f>
        <v>#DIV/0!</v>
      </c>
      <c r="BL82" s="60" t="e">
        <f>Links!AQ82</f>
        <v>#DIV/0!</v>
      </c>
      <c r="BM82" s="60" t="e">
        <f>(Links!N82*Links!AR82+'On-Ramps'!AL82*'On-Ramps'!CM82)/(Links!N82+'On-Ramps'!AL82)</f>
        <v>#DIV/0!</v>
      </c>
      <c r="BN82" s="60" t="e">
        <f>Links!AS82</f>
        <v>#DIV/0!</v>
      </c>
      <c r="BO82" s="61" t="e">
        <f>(Links!R82^2+'Off-Ramp'!L82^2)/(Links!R82+'Off-Ramp'!L82)</f>
        <v>#DIV/0!</v>
      </c>
      <c r="BP82" s="61" t="e">
        <f>Links!S82</f>
        <v>#DIV/0!</v>
      </c>
      <c r="BQ82" s="61" t="e">
        <f>(Links!S82^2+'Off-Ramp'!C82^2)/(Links!S82+'Off-Ramp'!C82)</f>
        <v>#DIV/0!</v>
      </c>
      <c r="BR82" s="61" t="e">
        <f>Links!T82</f>
        <v>#DIV/0!</v>
      </c>
      <c r="BS82" s="61" t="e">
        <f>(Links!U82^2+'Off-Ramp'!N82^2)/(Links!U82+'Off-Ramp'!N82)</f>
        <v>#DIV/0!</v>
      </c>
      <c r="BT82" s="61" t="e">
        <f>(Links!V82^2+'Off-Ramp'!O82^2)/(Links!V82+'Off-Ramp'!O82)</f>
        <v>#DIV/0!</v>
      </c>
      <c r="BU82" s="61" t="e">
        <f>(Links!W82^2+'Off-Ramp'!P82^2)/(Links!W82+'Off-Ramp'!P82)</f>
        <v>#DIV/0!</v>
      </c>
      <c r="BV82" s="61" t="e">
        <f>(Links!Y82^2+'Off-Ramp'!Q82^2)/(Links!Y82+'Off-Ramp'!Q82)</f>
        <v>#DIV/0!</v>
      </c>
      <c r="BW82" s="61" t="e">
        <f>(Links!Z82^2+'Off-Ramp'!R82^2)/(Links!Z82+'Off-Ramp'!R82)</f>
        <v>#DIV/0!</v>
      </c>
      <c r="BX82" s="61" t="e">
        <f>(Links!AA82+'Off-Ramp'!S82)/(Links!AA82^2+'Off-Ramp'!S82^2)</f>
        <v>#DIV/0!</v>
      </c>
      <c r="BY82" s="61" t="e">
        <f>(Links!AB82^2+'Off-Ramp'!T82^2)/(Links!AB82+'Off-Ramp'!T82)</f>
        <v>#DIV/0!</v>
      </c>
      <c r="BZ82" s="61" t="e">
        <f>Links!AC82</f>
        <v>#DIV/0!</v>
      </c>
      <c r="CA82" s="61" t="e">
        <f>(Links!AD82^2+'Off-Ramp'!U82^2)/(Links!AD82+'Off-Ramp'!U82)</f>
        <v>#DIV/0!</v>
      </c>
    </row>
    <row r="83" spans="1:79" x14ac:dyDescent="0.15">
      <c r="A83" s="59">
        <v>81</v>
      </c>
      <c r="B83" s="60" t="e">
        <f t="shared" si="34"/>
        <v>#DIV/0!</v>
      </c>
      <c r="C83" s="60" t="e">
        <f t="shared" si="35"/>
        <v>#DIV/0!</v>
      </c>
      <c r="D83" s="60" t="e">
        <f t="shared" si="36"/>
        <v>#DIV/0!</v>
      </c>
      <c r="E83" s="60" t="e">
        <f t="shared" si="37"/>
        <v>#DIV/0!</v>
      </c>
      <c r="F83" s="60" t="e">
        <f t="shared" si="38"/>
        <v>#DIV/0!</v>
      </c>
      <c r="G83" s="60" t="e">
        <f t="shared" si="39"/>
        <v>#DIV/0!</v>
      </c>
      <c r="H83" s="60" t="e">
        <f t="shared" si="40"/>
        <v>#DIV/0!</v>
      </c>
      <c r="I83" s="60" t="e">
        <f t="shared" si="41"/>
        <v>#DIV/0!</v>
      </c>
      <c r="J83" s="60" t="e">
        <f t="shared" si="42"/>
        <v>#DIV/0!</v>
      </c>
      <c r="K83" s="60" t="e">
        <f t="shared" si="43"/>
        <v>#DIV/0!</v>
      </c>
      <c r="L83" s="60" t="e">
        <f t="shared" si="44"/>
        <v>#DIV/0!</v>
      </c>
      <c r="M83" s="60" t="e">
        <f t="shared" si="45"/>
        <v>#DIV/0!</v>
      </c>
      <c r="N83" s="60" t="e">
        <f t="shared" si="46"/>
        <v>#DIV/0!</v>
      </c>
      <c r="O83" s="61" t="e">
        <f>Links!B83</f>
        <v>#DIV/0!</v>
      </c>
      <c r="P83" s="61" t="e">
        <f>Links!C83+'On-Ramps'!AC83</f>
        <v>#DIV/0!</v>
      </c>
      <c r="Q83" s="61" t="e">
        <f>Links!D83</f>
        <v>#DIV/0!</v>
      </c>
      <c r="R83" s="61" t="e">
        <f>Links!E83+'On-Ramps'!AD83</f>
        <v>#DIV/0!</v>
      </c>
      <c r="S83" s="61" t="e">
        <f>Links!F83+'On-Ramps'!AE83</f>
        <v>#DIV/0!</v>
      </c>
      <c r="T83" s="61" t="e">
        <f>Links!G83+'On-Ramps'!AF83</f>
        <v>#DIV/0!</v>
      </c>
      <c r="U83" s="61" t="e">
        <f>Links!H83+'On-Ramps'!AG83</f>
        <v>#DIV/0!</v>
      </c>
      <c r="V83" s="61" t="e">
        <f>Links!J83+'On-Ramps'!AH83</f>
        <v>#DIV/0!</v>
      </c>
      <c r="W83" s="61" t="e">
        <f>Links!K83+'On-Ramps'!AI83</f>
        <v>#DIV/0!</v>
      </c>
      <c r="X83" s="61" t="e">
        <f>Links!L83+'On-Ramps'!AJ83</f>
        <v>#DIV/0!</v>
      </c>
      <c r="Y83" s="61" t="e">
        <f>Links!M83</f>
        <v>#DIV/0!</v>
      </c>
      <c r="Z83" s="61" t="e">
        <f>Links!N83+'On-Ramps'!AK83</f>
        <v>#DIV/0!</v>
      </c>
      <c r="AA83" s="61" t="e">
        <f>Links!O83</f>
        <v>#DIV/0!</v>
      </c>
      <c r="AB83" s="60" t="e">
        <f t="shared" si="47"/>
        <v>#DIV/0!</v>
      </c>
      <c r="AC83" s="60" t="e">
        <f t="shared" si="48"/>
        <v>#DIV/0!</v>
      </c>
      <c r="AD83" s="60" t="e">
        <f t="shared" si="49"/>
        <v>#DIV/0!</v>
      </c>
      <c r="AE83" s="60" t="e">
        <f t="shared" si="50"/>
        <v>#DIV/0!</v>
      </c>
      <c r="AF83" s="60" t="e">
        <f t="shared" si="51"/>
        <v>#DIV/0!</v>
      </c>
      <c r="AG83" s="60" t="e">
        <f t="shared" si="52"/>
        <v>#DIV/0!</v>
      </c>
      <c r="AH83" s="60" t="e">
        <f t="shared" si="53"/>
        <v>#DIV/0!</v>
      </c>
      <c r="AI83" s="60" t="e">
        <f t="shared" si="54"/>
        <v>#DIV/0!</v>
      </c>
      <c r="AJ83" s="60" t="e">
        <f t="shared" si="55"/>
        <v>#DIV/0!</v>
      </c>
      <c r="AK83" s="60" t="e">
        <f t="shared" si="56"/>
        <v>#DIV/0!</v>
      </c>
      <c r="AL83" s="60" t="e">
        <f t="shared" si="57"/>
        <v>#DIV/0!</v>
      </c>
      <c r="AM83" s="60" t="e">
        <f t="shared" si="58"/>
        <v>#DIV/0!</v>
      </c>
      <c r="AN83" s="60" t="e">
        <f t="shared" si="30"/>
        <v>#DIV/0!</v>
      </c>
      <c r="AO83" s="61" t="e">
        <f t="shared" si="33"/>
        <v>#DIV/0!</v>
      </c>
      <c r="AP83" s="61" t="e">
        <f t="shared" si="59"/>
        <v>#DIV/0!</v>
      </c>
      <c r="AQ83" s="61" t="e">
        <f t="shared" si="59"/>
        <v>#DIV/0!</v>
      </c>
      <c r="AR83" s="61" t="e">
        <f t="shared" si="59"/>
        <v>#DIV/0!</v>
      </c>
      <c r="AS83" s="61" t="e">
        <f t="shared" si="59"/>
        <v>#DIV/0!</v>
      </c>
      <c r="AT83" s="61" t="e">
        <f t="shared" si="59"/>
        <v>#DIV/0!</v>
      </c>
      <c r="AU83" s="61" t="e">
        <f t="shared" si="59"/>
        <v>#DIV/0!</v>
      </c>
      <c r="AV83" s="61" t="e">
        <f t="shared" si="59"/>
        <v>#DIV/0!</v>
      </c>
      <c r="AW83" s="61" t="e">
        <f t="shared" si="59"/>
        <v>#DIV/0!</v>
      </c>
      <c r="AX83" s="61" t="e">
        <f t="shared" si="59"/>
        <v>#DIV/0!</v>
      </c>
      <c r="AY83" s="61" t="e">
        <f t="shared" si="59"/>
        <v>#DIV/0!</v>
      </c>
      <c r="AZ83" s="61" t="e">
        <f t="shared" si="59"/>
        <v>#DIV/0!</v>
      </c>
      <c r="BA83" s="61" t="e">
        <f t="shared" si="59"/>
        <v>#DIV/0!</v>
      </c>
      <c r="BB83" s="60" t="e">
        <f>Links!AF83</f>
        <v>#DIV/0!</v>
      </c>
      <c r="BC83" s="60" t="e">
        <f>(Links!AG83*Links!C83+'On-Ramps'!AC83*'On-Ramps'!CE83)/('On-Ramps'!AC83+Links!C83)</f>
        <v>#DIV/0!</v>
      </c>
      <c r="BD83" s="60" t="e">
        <f>Links!AH83</f>
        <v>#DIV/0!</v>
      </c>
      <c r="BE83" s="60" t="e">
        <f>(Links!AI83*Links!E83+'On-Ramps'!AD83*'On-Ramps'!CF82)/('On-Ramps'!AD83+Links!E83)</f>
        <v>#DIV/0!</v>
      </c>
      <c r="BF83" s="60" t="e">
        <f>(Links!F83*Links!AJ83+'On-Ramps'!AE83*'On-Ramps'!CG83)/('On-Ramps'!AE83+Links!F83)</f>
        <v>#DIV/0!</v>
      </c>
      <c r="BG83" s="60" t="e">
        <f>(Links!G83*Links!AK83+'On-Ramps'!AF83*'On-Ramps'!CH83)/('On-Ramps'!AF83+Links!G83)</f>
        <v>#DIV/0!</v>
      </c>
      <c r="BH83" s="60" t="e">
        <f>(Links!H83*Links!AL83+'On-Ramps'!AG83*'On-Ramps'!CI83)/('On-Ramps'!AG83+Links!H83)</f>
        <v>#DIV/0!</v>
      </c>
      <c r="BI83" s="60" t="e">
        <f>(Links!J83*Links!AN83+'On-Ramps'!AH83*'On-Ramps'!CJ83)/('On-Ramps'!AH83+Links!J83)</f>
        <v>#DIV/0!</v>
      </c>
      <c r="BJ83" s="60" t="e">
        <f>(Links!K83*Links!AO83+'On-Ramps'!AI83*'On-Ramps'!CK83)/('On-Ramps'!AI83+Links!K83)</f>
        <v>#DIV/0!</v>
      </c>
      <c r="BK83" s="60" t="e">
        <f>(Links!L83*Links!AP83+'On-Ramps'!AJ83*'On-Ramps'!CL83)/(Links!L83+'On-Ramps'!AJ83)</f>
        <v>#DIV/0!</v>
      </c>
      <c r="BL83" s="60" t="e">
        <f>Links!AQ83</f>
        <v>#DIV/0!</v>
      </c>
      <c r="BM83" s="60" t="e">
        <f>(Links!N83*Links!AR83+'On-Ramps'!AL83*'On-Ramps'!CM83)/(Links!N83+'On-Ramps'!AL83)</f>
        <v>#DIV/0!</v>
      </c>
      <c r="BN83" s="60" t="e">
        <f>Links!AS83</f>
        <v>#DIV/0!</v>
      </c>
      <c r="BO83" s="61" t="e">
        <f>(Links!R83^2+'Off-Ramp'!L83^2)/(Links!R83+'Off-Ramp'!L83)</f>
        <v>#DIV/0!</v>
      </c>
      <c r="BP83" s="61" t="e">
        <f>Links!S83</f>
        <v>#DIV/0!</v>
      </c>
      <c r="BQ83" s="61" t="e">
        <f>(Links!S83^2+'Off-Ramp'!C83^2)/(Links!S83+'Off-Ramp'!C83)</f>
        <v>#DIV/0!</v>
      </c>
      <c r="BR83" s="61" t="e">
        <f>Links!T83</f>
        <v>#DIV/0!</v>
      </c>
      <c r="BS83" s="61" t="e">
        <f>(Links!U83^2+'Off-Ramp'!N83^2)/(Links!U83+'Off-Ramp'!N83)</f>
        <v>#DIV/0!</v>
      </c>
      <c r="BT83" s="61" t="e">
        <f>(Links!V83^2+'Off-Ramp'!O83^2)/(Links!V83+'Off-Ramp'!O83)</f>
        <v>#DIV/0!</v>
      </c>
      <c r="BU83" s="61" t="e">
        <f>(Links!W83^2+'Off-Ramp'!P83^2)/(Links!W83+'Off-Ramp'!P83)</f>
        <v>#DIV/0!</v>
      </c>
      <c r="BV83" s="61" t="e">
        <f>(Links!Y83^2+'Off-Ramp'!Q83^2)/(Links!Y83+'Off-Ramp'!Q83)</f>
        <v>#DIV/0!</v>
      </c>
      <c r="BW83" s="61" t="e">
        <f>(Links!Z83^2+'Off-Ramp'!R83^2)/(Links!Z83+'Off-Ramp'!R83)</f>
        <v>#DIV/0!</v>
      </c>
      <c r="BX83" s="61" t="e">
        <f>(Links!AA83+'Off-Ramp'!S83)/(Links!AA83^2+'Off-Ramp'!S83^2)</f>
        <v>#DIV/0!</v>
      </c>
      <c r="BY83" s="61" t="e">
        <f>(Links!AB83^2+'Off-Ramp'!T83^2)/(Links!AB83+'Off-Ramp'!T83)</f>
        <v>#DIV/0!</v>
      </c>
      <c r="BZ83" s="61" t="e">
        <f>Links!AC83</f>
        <v>#DIV/0!</v>
      </c>
      <c r="CA83" s="61" t="e">
        <f>(Links!AD83^2+'Off-Ramp'!U83^2)/(Links!AD83+'Off-Ramp'!U83)</f>
        <v>#DIV/0!</v>
      </c>
    </row>
    <row r="84" spans="1:79" x14ac:dyDescent="0.15">
      <c r="A84" s="59">
        <v>82</v>
      </c>
      <c r="B84" s="60" t="e">
        <f t="shared" si="34"/>
        <v>#DIV/0!</v>
      </c>
      <c r="C84" s="60" t="e">
        <f t="shared" si="35"/>
        <v>#DIV/0!</v>
      </c>
      <c r="D84" s="60" t="e">
        <f t="shared" si="36"/>
        <v>#DIV/0!</v>
      </c>
      <c r="E84" s="60" t="e">
        <f t="shared" si="37"/>
        <v>#DIV/0!</v>
      </c>
      <c r="F84" s="60" t="e">
        <f t="shared" si="38"/>
        <v>#DIV/0!</v>
      </c>
      <c r="G84" s="60" t="e">
        <f t="shared" si="39"/>
        <v>#DIV/0!</v>
      </c>
      <c r="H84" s="60" t="e">
        <f t="shared" si="40"/>
        <v>#DIV/0!</v>
      </c>
      <c r="I84" s="60" t="e">
        <f t="shared" si="41"/>
        <v>#DIV/0!</v>
      </c>
      <c r="J84" s="60" t="e">
        <f t="shared" si="42"/>
        <v>#DIV/0!</v>
      </c>
      <c r="K84" s="60" t="e">
        <f t="shared" si="43"/>
        <v>#DIV/0!</v>
      </c>
      <c r="L84" s="60" t="e">
        <f t="shared" si="44"/>
        <v>#DIV/0!</v>
      </c>
      <c r="M84" s="60" t="e">
        <f t="shared" si="45"/>
        <v>#DIV/0!</v>
      </c>
      <c r="N84" s="60" t="e">
        <f t="shared" si="46"/>
        <v>#DIV/0!</v>
      </c>
      <c r="O84" s="61" t="e">
        <f>Links!B84</f>
        <v>#DIV/0!</v>
      </c>
      <c r="P84" s="61" t="e">
        <f>Links!C84+'On-Ramps'!AC84</f>
        <v>#DIV/0!</v>
      </c>
      <c r="Q84" s="61" t="e">
        <f>Links!D84</f>
        <v>#DIV/0!</v>
      </c>
      <c r="R84" s="61" t="e">
        <f>Links!E84+'On-Ramps'!AD84</f>
        <v>#DIV/0!</v>
      </c>
      <c r="S84" s="61" t="e">
        <f>Links!F84+'On-Ramps'!AE84</f>
        <v>#DIV/0!</v>
      </c>
      <c r="T84" s="61" t="e">
        <f>Links!G84+'On-Ramps'!AF84</f>
        <v>#DIV/0!</v>
      </c>
      <c r="U84" s="61" t="e">
        <f>Links!H84+'On-Ramps'!AG84</f>
        <v>#DIV/0!</v>
      </c>
      <c r="V84" s="61" t="e">
        <f>Links!J84+'On-Ramps'!AH84</f>
        <v>#DIV/0!</v>
      </c>
      <c r="W84" s="61" t="e">
        <f>Links!K84+'On-Ramps'!AI84</f>
        <v>#DIV/0!</v>
      </c>
      <c r="X84" s="61" t="e">
        <f>Links!L84+'On-Ramps'!AJ84</f>
        <v>#DIV/0!</v>
      </c>
      <c r="Y84" s="61" t="e">
        <f>Links!M84</f>
        <v>#DIV/0!</v>
      </c>
      <c r="Z84" s="61" t="e">
        <f>Links!N84+'On-Ramps'!AK84</f>
        <v>#DIV/0!</v>
      </c>
      <c r="AA84" s="61" t="e">
        <f>Links!O84</f>
        <v>#DIV/0!</v>
      </c>
      <c r="AB84" s="60" t="e">
        <f t="shared" si="47"/>
        <v>#DIV/0!</v>
      </c>
      <c r="AC84" s="60" t="e">
        <f t="shared" si="48"/>
        <v>#DIV/0!</v>
      </c>
      <c r="AD84" s="60" t="e">
        <f t="shared" si="49"/>
        <v>#DIV/0!</v>
      </c>
      <c r="AE84" s="60" t="e">
        <f t="shared" si="50"/>
        <v>#DIV/0!</v>
      </c>
      <c r="AF84" s="60" t="e">
        <f t="shared" si="51"/>
        <v>#DIV/0!</v>
      </c>
      <c r="AG84" s="60" t="e">
        <f t="shared" si="52"/>
        <v>#DIV/0!</v>
      </c>
      <c r="AH84" s="60" t="e">
        <f t="shared" si="53"/>
        <v>#DIV/0!</v>
      </c>
      <c r="AI84" s="60" t="e">
        <f t="shared" si="54"/>
        <v>#DIV/0!</v>
      </c>
      <c r="AJ84" s="60" t="e">
        <f t="shared" si="55"/>
        <v>#DIV/0!</v>
      </c>
      <c r="AK84" s="60" t="e">
        <f t="shared" si="56"/>
        <v>#DIV/0!</v>
      </c>
      <c r="AL84" s="60" t="e">
        <f t="shared" si="57"/>
        <v>#DIV/0!</v>
      </c>
      <c r="AM84" s="60" t="e">
        <f t="shared" si="58"/>
        <v>#DIV/0!</v>
      </c>
      <c r="AN84" s="60" t="e">
        <f t="shared" ref="AN84:AN147" si="60">BA84*(1-BA84)*AA84</f>
        <v>#DIV/0!</v>
      </c>
      <c r="AO84" s="61" t="e">
        <f t="shared" si="33"/>
        <v>#DIV/0!</v>
      </c>
      <c r="AP84" s="61" t="e">
        <f t="shared" si="59"/>
        <v>#DIV/0!</v>
      </c>
      <c r="AQ84" s="61" t="e">
        <f t="shared" si="59"/>
        <v>#DIV/0!</v>
      </c>
      <c r="AR84" s="61" t="e">
        <f t="shared" si="59"/>
        <v>#DIV/0!</v>
      </c>
      <c r="AS84" s="61" t="e">
        <f t="shared" si="59"/>
        <v>#DIV/0!</v>
      </c>
      <c r="AT84" s="61" t="e">
        <f t="shared" si="59"/>
        <v>#DIV/0!</v>
      </c>
      <c r="AU84" s="61" t="e">
        <f t="shared" si="59"/>
        <v>#DIV/0!</v>
      </c>
      <c r="AV84" s="61" t="e">
        <f t="shared" si="59"/>
        <v>#DIV/0!</v>
      </c>
      <c r="AW84" s="61" t="e">
        <f t="shared" si="59"/>
        <v>#DIV/0!</v>
      </c>
      <c r="AX84" s="61" t="e">
        <f t="shared" si="59"/>
        <v>#DIV/0!</v>
      </c>
      <c r="AY84" s="61" t="e">
        <f t="shared" si="59"/>
        <v>#DIV/0!</v>
      </c>
      <c r="AZ84" s="61" t="e">
        <f t="shared" si="59"/>
        <v>#DIV/0!</v>
      </c>
      <c r="BA84" s="61" t="e">
        <f t="shared" si="59"/>
        <v>#DIV/0!</v>
      </c>
      <c r="BB84" s="60" t="e">
        <f>Links!AF84</f>
        <v>#DIV/0!</v>
      </c>
      <c r="BC84" s="60" t="e">
        <f>(Links!AG84*Links!C84+'On-Ramps'!AC84*'On-Ramps'!CE84)/('On-Ramps'!AC84+Links!C84)</f>
        <v>#DIV/0!</v>
      </c>
      <c r="BD84" s="60" t="e">
        <f>Links!AH84</f>
        <v>#DIV/0!</v>
      </c>
      <c r="BE84" s="60" t="e">
        <f>(Links!AI84*Links!E84+'On-Ramps'!AD84*'On-Ramps'!CF83)/('On-Ramps'!AD84+Links!E84)</f>
        <v>#DIV/0!</v>
      </c>
      <c r="BF84" s="60" t="e">
        <f>(Links!F84*Links!AJ84+'On-Ramps'!AE84*'On-Ramps'!CG84)/('On-Ramps'!AE84+Links!F84)</f>
        <v>#DIV/0!</v>
      </c>
      <c r="BG84" s="60" t="e">
        <f>(Links!G84*Links!AK84+'On-Ramps'!AF84*'On-Ramps'!CH84)/('On-Ramps'!AF84+Links!G84)</f>
        <v>#DIV/0!</v>
      </c>
      <c r="BH84" s="60" t="e">
        <f>(Links!H84*Links!AL84+'On-Ramps'!AG84*'On-Ramps'!CI84)/('On-Ramps'!AG84+Links!H84)</f>
        <v>#DIV/0!</v>
      </c>
      <c r="BI84" s="60" t="e">
        <f>(Links!J84*Links!AN84+'On-Ramps'!AH84*'On-Ramps'!CJ84)/('On-Ramps'!AH84+Links!J84)</f>
        <v>#DIV/0!</v>
      </c>
      <c r="BJ84" s="60" t="e">
        <f>(Links!K84*Links!AO84+'On-Ramps'!AI84*'On-Ramps'!CK84)/('On-Ramps'!AI84+Links!K84)</f>
        <v>#DIV/0!</v>
      </c>
      <c r="BK84" s="60" t="e">
        <f>(Links!L84*Links!AP84+'On-Ramps'!AJ84*'On-Ramps'!CL84)/(Links!L84+'On-Ramps'!AJ84)</f>
        <v>#DIV/0!</v>
      </c>
      <c r="BL84" s="60" t="e">
        <f>Links!AQ84</f>
        <v>#DIV/0!</v>
      </c>
      <c r="BM84" s="60" t="e">
        <f>(Links!N84*Links!AR84+'On-Ramps'!AL84*'On-Ramps'!CM84)/(Links!N84+'On-Ramps'!AL84)</f>
        <v>#DIV/0!</v>
      </c>
      <c r="BN84" s="60" t="e">
        <f>Links!AS84</f>
        <v>#DIV/0!</v>
      </c>
      <c r="BO84" s="61" t="e">
        <f>(Links!R84^2+'Off-Ramp'!L84^2)/(Links!R84+'Off-Ramp'!L84)</f>
        <v>#DIV/0!</v>
      </c>
      <c r="BP84" s="61" t="e">
        <f>Links!S84</f>
        <v>#DIV/0!</v>
      </c>
      <c r="BQ84" s="61" t="e">
        <f>(Links!S84^2+'Off-Ramp'!C84^2)/(Links!S84+'Off-Ramp'!C84)</f>
        <v>#DIV/0!</v>
      </c>
      <c r="BR84" s="61" t="e">
        <f>Links!T84</f>
        <v>#DIV/0!</v>
      </c>
      <c r="BS84" s="61" t="e">
        <f>(Links!U84^2+'Off-Ramp'!N84^2)/(Links!U84+'Off-Ramp'!N84)</f>
        <v>#DIV/0!</v>
      </c>
      <c r="BT84" s="61" t="e">
        <f>(Links!V84^2+'Off-Ramp'!O84^2)/(Links!V84+'Off-Ramp'!O84)</f>
        <v>#DIV/0!</v>
      </c>
      <c r="BU84" s="61" t="e">
        <f>(Links!W84^2+'Off-Ramp'!P84^2)/(Links!W84+'Off-Ramp'!P84)</f>
        <v>#DIV/0!</v>
      </c>
      <c r="BV84" s="61" t="e">
        <f>(Links!Y84^2+'Off-Ramp'!Q84^2)/(Links!Y84+'Off-Ramp'!Q84)</f>
        <v>#DIV/0!</v>
      </c>
      <c r="BW84" s="61" t="e">
        <f>(Links!Z84^2+'Off-Ramp'!R84^2)/(Links!Z84+'Off-Ramp'!R84)</f>
        <v>#DIV/0!</v>
      </c>
      <c r="BX84" s="61" t="e">
        <f>(Links!AA84+'Off-Ramp'!S84)/(Links!AA84^2+'Off-Ramp'!S84^2)</f>
        <v>#DIV/0!</v>
      </c>
      <c r="BY84" s="61" t="e">
        <f>(Links!AB84^2+'Off-Ramp'!T84^2)/(Links!AB84+'Off-Ramp'!T84)</f>
        <v>#DIV/0!</v>
      </c>
      <c r="BZ84" s="61" t="e">
        <f>Links!AC84</f>
        <v>#DIV/0!</v>
      </c>
      <c r="CA84" s="61" t="e">
        <f>(Links!AD84^2+'Off-Ramp'!U84^2)/(Links!AD84+'Off-Ramp'!U84)</f>
        <v>#DIV/0!</v>
      </c>
    </row>
    <row r="85" spans="1:79" x14ac:dyDescent="0.15">
      <c r="A85" s="59">
        <v>83</v>
      </c>
      <c r="B85" s="60" t="e">
        <f t="shared" si="34"/>
        <v>#DIV/0!</v>
      </c>
      <c r="C85" s="60" t="e">
        <f t="shared" si="35"/>
        <v>#DIV/0!</v>
      </c>
      <c r="D85" s="60" t="e">
        <f t="shared" si="36"/>
        <v>#DIV/0!</v>
      </c>
      <c r="E85" s="60" t="e">
        <f t="shared" si="37"/>
        <v>#DIV/0!</v>
      </c>
      <c r="F85" s="60" t="e">
        <f t="shared" si="38"/>
        <v>#DIV/0!</v>
      </c>
      <c r="G85" s="60" t="e">
        <f t="shared" si="39"/>
        <v>#DIV/0!</v>
      </c>
      <c r="H85" s="60" t="e">
        <f t="shared" si="40"/>
        <v>#DIV/0!</v>
      </c>
      <c r="I85" s="60" t="e">
        <f t="shared" si="41"/>
        <v>#DIV/0!</v>
      </c>
      <c r="J85" s="60" t="e">
        <f t="shared" si="42"/>
        <v>#DIV/0!</v>
      </c>
      <c r="K85" s="60" t="e">
        <f t="shared" si="43"/>
        <v>#DIV/0!</v>
      </c>
      <c r="L85" s="60" t="e">
        <f t="shared" si="44"/>
        <v>#DIV/0!</v>
      </c>
      <c r="M85" s="60" t="e">
        <f t="shared" si="45"/>
        <v>#DIV/0!</v>
      </c>
      <c r="N85" s="60" t="e">
        <f t="shared" si="46"/>
        <v>#DIV/0!</v>
      </c>
      <c r="O85" s="61" t="e">
        <f>Links!B85</f>
        <v>#DIV/0!</v>
      </c>
      <c r="P85" s="61" t="e">
        <f>Links!C85+'On-Ramps'!AC85</f>
        <v>#DIV/0!</v>
      </c>
      <c r="Q85" s="61" t="e">
        <f>Links!D85</f>
        <v>#DIV/0!</v>
      </c>
      <c r="R85" s="61" t="e">
        <f>Links!E85+'On-Ramps'!AD85</f>
        <v>#DIV/0!</v>
      </c>
      <c r="S85" s="61" t="e">
        <f>Links!F85+'On-Ramps'!AE85</f>
        <v>#DIV/0!</v>
      </c>
      <c r="T85" s="61" t="e">
        <f>Links!G85+'On-Ramps'!AF85</f>
        <v>#DIV/0!</v>
      </c>
      <c r="U85" s="61" t="e">
        <f>Links!H85+'On-Ramps'!AG85</f>
        <v>#DIV/0!</v>
      </c>
      <c r="V85" s="61" t="e">
        <f>Links!J85+'On-Ramps'!AH85</f>
        <v>#DIV/0!</v>
      </c>
      <c r="W85" s="61" t="e">
        <f>Links!K85+'On-Ramps'!AI85</f>
        <v>#DIV/0!</v>
      </c>
      <c r="X85" s="61" t="e">
        <f>Links!L85+'On-Ramps'!AJ85</f>
        <v>#DIV/0!</v>
      </c>
      <c r="Y85" s="61" t="e">
        <f>Links!M85</f>
        <v>#DIV/0!</v>
      </c>
      <c r="Z85" s="61" t="e">
        <f>Links!N85+'On-Ramps'!AK85</f>
        <v>#DIV/0!</v>
      </c>
      <c r="AA85" s="61" t="e">
        <f>Links!O85</f>
        <v>#DIV/0!</v>
      </c>
      <c r="AB85" s="60" t="e">
        <f t="shared" si="47"/>
        <v>#DIV/0!</v>
      </c>
      <c r="AC85" s="60" t="e">
        <f t="shared" si="48"/>
        <v>#DIV/0!</v>
      </c>
      <c r="AD85" s="60" t="e">
        <f t="shared" si="49"/>
        <v>#DIV/0!</v>
      </c>
      <c r="AE85" s="60" t="e">
        <f t="shared" si="50"/>
        <v>#DIV/0!</v>
      </c>
      <c r="AF85" s="60" t="e">
        <f t="shared" si="51"/>
        <v>#DIV/0!</v>
      </c>
      <c r="AG85" s="60" t="e">
        <f t="shared" si="52"/>
        <v>#DIV/0!</v>
      </c>
      <c r="AH85" s="60" t="e">
        <f t="shared" si="53"/>
        <v>#DIV/0!</v>
      </c>
      <c r="AI85" s="60" t="e">
        <f t="shared" si="54"/>
        <v>#DIV/0!</v>
      </c>
      <c r="AJ85" s="60" t="e">
        <f t="shared" si="55"/>
        <v>#DIV/0!</v>
      </c>
      <c r="AK85" s="60" t="e">
        <f t="shared" si="56"/>
        <v>#DIV/0!</v>
      </c>
      <c r="AL85" s="60" t="e">
        <f t="shared" si="57"/>
        <v>#DIV/0!</v>
      </c>
      <c r="AM85" s="60" t="e">
        <f t="shared" si="58"/>
        <v>#DIV/0!</v>
      </c>
      <c r="AN85" s="60" t="e">
        <f t="shared" si="60"/>
        <v>#DIV/0!</v>
      </c>
      <c r="AO85" s="61" t="e">
        <f t="shared" si="33"/>
        <v>#DIV/0!</v>
      </c>
      <c r="AP85" s="61" t="e">
        <f t="shared" si="59"/>
        <v>#DIV/0!</v>
      </c>
      <c r="AQ85" s="61" t="e">
        <f t="shared" si="59"/>
        <v>#DIV/0!</v>
      </c>
      <c r="AR85" s="61" t="e">
        <f t="shared" si="59"/>
        <v>#DIV/0!</v>
      </c>
      <c r="AS85" s="61" t="e">
        <f t="shared" si="59"/>
        <v>#DIV/0!</v>
      </c>
      <c r="AT85" s="61" t="e">
        <f t="shared" si="59"/>
        <v>#DIV/0!</v>
      </c>
      <c r="AU85" s="61" t="e">
        <f t="shared" si="59"/>
        <v>#DIV/0!</v>
      </c>
      <c r="AV85" s="61" t="e">
        <f t="shared" si="59"/>
        <v>#DIV/0!</v>
      </c>
      <c r="AW85" s="61" t="e">
        <f t="shared" si="59"/>
        <v>#DIV/0!</v>
      </c>
      <c r="AX85" s="61" t="e">
        <f t="shared" si="59"/>
        <v>#DIV/0!</v>
      </c>
      <c r="AY85" s="61" t="e">
        <f t="shared" si="59"/>
        <v>#DIV/0!</v>
      </c>
      <c r="AZ85" s="61" t="e">
        <f t="shared" si="59"/>
        <v>#DIV/0!</v>
      </c>
      <c r="BA85" s="61" t="e">
        <f t="shared" si="59"/>
        <v>#DIV/0!</v>
      </c>
      <c r="BB85" s="60" t="e">
        <f>Links!AF85</f>
        <v>#DIV/0!</v>
      </c>
      <c r="BC85" s="60" t="e">
        <f>(Links!AG85*Links!C85+'On-Ramps'!AC85*'On-Ramps'!CE85)/('On-Ramps'!AC85+Links!C85)</f>
        <v>#DIV/0!</v>
      </c>
      <c r="BD85" s="60" t="e">
        <f>Links!AH85</f>
        <v>#DIV/0!</v>
      </c>
      <c r="BE85" s="60" t="e">
        <f>(Links!AI85*Links!E85+'On-Ramps'!AD85*'On-Ramps'!CF84)/('On-Ramps'!AD85+Links!E85)</f>
        <v>#DIV/0!</v>
      </c>
      <c r="BF85" s="60" t="e">
        <f>(Links!F85*Links!AJ85+'On-Ramps'!AE85*'On-Ramps'!CG85)/('On-Ramps'!AE85+Links!F85)</f>
        <v>#DIV/0!</v>
      </c>
      <c r="BG85" s="60" t="e">
        <f>(Links!G85*Links!AK85+'On-Ramps'!AF85*'On-Ramps'!CH85)/('On-Ramps'!AF85+Links!G85)</f>
        <v>#DIV/0!</v>
      </c>
      <c r="BH85" s="60" t="e">
        <f>(Links!H85*Links!AL85+'On-Ramps'!AG85*'On-Ramps'!CI85)/('On-Ramps'!AG85+Links!H85)</f>
        <v>#DIV/0!</v>
      </c>
      <c r="BI85" s="60" t="e">
        <f>(Links!J85*Links!AN85+'On-Ramps'!AH85*'On-Ramps'!CJ85)/('On-Ramps'!AH85+Links!J85)</f>
        <v>#DIV/0!</v>
      </c>
      <c r="BJ85" s="60" t="e">
        <f>(Links!K85*Links!AO85+'On-Ramps'!AI85*'On-Ramps'!CK85)/('On-Ramps'!AI85+Links!K85)</f>
        <v>#DIV/0!</v>
      </c>
      <c r="BK85" s="60" t="e">
        <f>(Links!L85*Links!AP85+'On-Ramps'!AJ85*'On-Ramps'!CL85)/(Links!L85+'On-Ramps'!AJ85)</f>
        <v>#DIV/0!</v>
      </c>
      <c r="BL85" s="60" t="e">
        <f>Links!AQ85</f>
        <v>#DIV/0!</v>
      </c>
      <c r="BM85" s="60" t="e">
        <f>(Links!N85*Links!AR85+'On-Ramps'!AL85*'On-Ramps'!CM85)/(Links!N85+'On-Ramps'!AL85)</f>
        <v>#DIV/0!</v>
      </c>
      <c r="BN85" s="60" t="e">
        <f>Links!AS85</f>
        <v>#DIV/0!</v>
      </c>
      <c r="BO85" s="61" t="e">
        <f>(Links!R85^2+'Off-Ramp'!L85^2)/(Links!R85+'Off-Ramp'!L85)</f>
        <v>#DIV/0!</v>
      </c>
      <c r="BP85" s="61" t="e">
        <f>Links!S85</f>
        <v>#DIV/0!</v>
      </c>
      <c r="BQ85" s="61" t="e">
        <f>(Links!S85^2+'Off-Ramp'!C85^2)/(Links!S85+'Off-Ramp'!C85)</f>
        <v>#DIV/0!</v>
      </c>
      <c r="BR85" s="61" t="e">
        <f>Links!T85</f>
        <v>#DIV/0!</v>
      </c>
      <c r="BS85" s="61" t="e">
        <f>(Links!U85^2+'Off-Ramp'!N85^2)/(Links!U85+'Off-Ramp'!N85)</f>
        <v>#DIV/0!</v>
      </c>
      <c r="BT85" s="61" t="e">
        <f>(Links!V85^2+'Off-Ramp'!O85^2)/(Links!V85+'Off-Ramp'!O85)</f>
        <v>#DIV/0!</v>
      </c>
      <c r="BU85" s="61" t="e">
        <f>(Links!W85^2+'Off-Ramp'!P85^2)/(Links!W85+'Off-Ramp'!P85)</f>
        <v>#DIV/0!</v>
      </c>
      <c r="BV85" s="61" t="e">
        <f>(Links!Y85^2+'Off-Ramp'!Q85^2)/(Links!Y85+'Off-Ramp'!Q85)</f>
        <v>#DIV/0!</v>
      </c>
      <c r="BW85" s="61" t="e">
        <f>(Links!Z85^2+'Off-Ramp'!R85^2)/(Links!Z85+'Off-Ramp'!R85)</f>
        <v>#DIV/0!</v>
      </c>
      <c r="BX85" s="61" t="e">
        <f>(Links!AA85+'Off-Ramp'!S85)/(Links!AA85^2+'Off-Ramp'!S85^2)</f>
        <v>#DIV/0!</v>
      </c>
      <c r="BY85" s="61" t="e">
        <f>(Links!AB85^2+'Off-Ramp'!T85^2)/(Links!AB85+'Off-Ramp'!T85)</f>
        <v>#DIV/0!</v>
      </c>
      <c r="BZ85" s="61" t="e">
        <f>Links!AC85</f>
        <v>#DIV/0!</v>
      </c>
      <c r="CA85" s="61" t="e">
        <f>(Links!AD85^2+'Off-Ramp'!U85^2)/(Links!AD85+'Off-Ramp'!U85)</f>
        <v>#DIV/0!</v>
      </c>
    </row>
    <row r="86" spans="1:79" x14ac:dyDescent="0.15">
      <c r="A86" s="59">
        <v>84</v>
      </c>
      <c r="B86" s="60" t="e">
        <f t="shared" si="34"/>
        <v>#DIV/0!</v>
      </c>
      <c r="C86" s="60" t="e">
        <f t="shared" si="35"/>
        <v>#DIV/0!</v>
      </c>
      <c r="D86" s="60" t="e">
        <f t="shared" si="36"/>
        <v>#DIV/0!</v>
      </c>
      <c r="E86" s="60" t="e">
        <f t="shared" si="37"/>
        <v>#DIV/0!</v>
      </c>
      <c r="F86" s="60" t="e">
        <f t="shared" si="38"/>
        <v>#DIV/0!</v>
      </c>
      <c r="G86" s="60" t="e">
        <f t="shared" si="39"/>
        <v>#DIV/0!</v>
      </c>
      <c r="H86" s="60" t="e">
        <f t="shared" si="40"/>
        <v>#DIV/0!</v>
      </c>
      <c r="I86" s="60" t="e">
        <f t="shared" si="41"/>
        <v>#DIV/0!</v>
      </c>
      <c r="J86" s="60" t="e">
        <f t="shared" si="42"/>
        <v>#DIV/0!</v>
      </c>
      <c r="K86" s="60" t="e">
        <f t="shared" si="43"/>
        <v>#DIV/0!</v>
      </c>
      <c r="L86" s="60" t="e">
        <f t="shared" si="44"/>
        <v>#DIV/0!</v>
      </c>
      <c r="M86" s="60" t="e">
        <f t="shared" si="45"/>
        <v>#DIV/0!</v>
      </c>
      <c r="N86" s="60" t="e">
        <f t="shared" si="46"/>
        <v>#DIV/0!</v>
      </c>
      <c r="O86" s="61" t="e">
        <f>Links!B86</f>
        <v>#DIV/0!</v>
      </c>
      <c r="P86" s="61" t="e">
        <f>Links!C86+'On-Ramps'!AC86</f>
        <v>#DIV/0!</v>
      </c>
      <c r="Q86" s="61" t="e">
        <f>Links!D86</f>
        <v>#DIV/0!</v>
      </c>
      <c r="R86" s="61" t="e">
        <f>Links!E86+'On-Ramps'!AD86</f>
        <v>#DIV/0!</v>
      </c>
      <c r="S86" s="61" t="e">
        <f>Links!F86+'On-Ramps'!AE86</f>
        <v>#DIV/0!</v>
      </c>
      <c r="T86" s="61" t="e">
        <f>Links!G86+'On-Ramps'!AF86</f>
        <v>#DIV/0!</v>
      </c>
      <c r="U86" s="61" t="e">
        <f>Links!H86+'On-Ramps'!AG86</f>
        <v>#DIV/0!</v>
      </c>
      <c r="V86" s="61" t="e">
        <f>Links!J86+'On-Ramps'!AH86</f>
        <v>#DIV/0!</v>
      </c>
      <c r="W86" s="61" t="e">
        <f>Links!K86+'On-Ramps'!AI86</f>
        <v>#DIV/0!</v>
      </c>
      <c r="X86" s="61" t="e">
        <f>Links!L86+'On-Ramps'!AJ86</f>
        <v>#DIV/0!</v>
      </c>
      <c r="Y86" s="61" t="e">
        <f>Links!M86</f>
        <v>#DIV/0!</v>
      </c>
      <c r="Z86" s="61" t="e">
        <f>Links!N86+'On-Ramps'!AK86</f>
        <v>#DIV/0!</v>
      </c>
      <c r="AA86" s="61" t="e">
        <f>Links!O86</f>
        <v>#DIV/0!</v>
      </c>
      <c r="AB86" s="60" t="e">
        <f t="shared" si="47"/>
        <v>#DIV/0!</v>
      </c>
      <c r="AC86" s="60" t="e">
        <f t="shared" si="48"/>
        <v>#DIV/0!</v>
      </c>
      <c r="AD86" s="60" t="e">
        <f t="shared" si="49"/>
        <v>#DIV/0!</v>
      </c>
      <c r="AE86" s="60" t="e">
        <f t="shared" si="50"/>
        <v>#DIV/0!</v>
      </c>
      <c r="AF86" s="60" t="e">
        <f t="shared" si="51"/>
        <v>#DIV/0!</v>
      </c>
      <c r="AG86" s="60" t="e">
        <f t="shared" si="52"/>
        <v>#DIV/0!</v>
      </c>
      <c r="AH86" s="60" t="e">
        <f t="shared" si="53"/>
        <v>#DIV/0!</v>
      </c>
      <c r="AI86" s="60" t="e">
        <f t="shared" si="54"/>
        <v>#DIV/0!</v>
      </c>
      <c r="AJ86" s="60" t="e">
        <f t="shared" si="55"/>
        <v>#DIV/0!</v>
      </c>
      <c r="AK86" s="60" t="e">
        <f t="shared" si="56"/>
        <v>#DIV/0!</v>
      </c>
      <c r="AL86" s="60" t="e">
        <f t="shared" si="57"/>
        <v>#DIV/0!</v>
      </c>
      <c r="AM86" s="60" t="e">
        <f t="shared" si="58"/>
        <v>#DIV/0!</v>
      </c>
      <c r="AN86" s="60" t="e">
        <f t="shared" si="60"/>
        <v>#DIV/0!</v>
      </c>
      <c r="AO86" s="61" t="e">
        <f t="shared" si="33"/>
        <v>#DIV/0!</v>
      </c>
      <c r="AP86" s="61" t="e">
        <f t="shared" si="59"/>
        <v>#DIV/0!</v>
      </c>
      <c r="AQ86" s="61" t="e">
        <f t="shared" si="59"/>
        <v>#DIV/0!</v>
      </c>
      <c r="AR86" s="61" t="e">
        <f t="shared" si="59"/>
        <v>#DIV/0!</v>
      </c>
      <c r="AS86" s="61" t="e">
        <f t="shared" si="59"/>
        <v>#DIV/0!</v>
      </c>
      <c r="AT86" s="61" t="e">
        <f t="shared" si="59"/>
        <v>#DIV/0!</v>
      </c>
      <c r="AU86" s="61" t="e">
        <f t="shared" si="59"/>
        <v>#DIV/0!</v>
      </c>
      <c r="AV86" s="61" t="e">
        <f t="shared" si="59"/>
        <v>#DIV/0!</v>
      </c>
      <c r="AW86" s="61" t="e">
        <f t="shared" si="59"/>
        <v>#DIV/0!</v>
      </c>
      <c r="AX86" s="61" t="e">
        <f t="shared" si="59"/>
        <v>#DIV/0!</v>
      </c>
      <c r="AY86" s="61" t="e">
        <f t="shared" si="59"/>
        <v>#DIV/0!</v>
      </c>
      <c r="AZ86" s="61" t="e">
        <f t="shared" si="59"/>
        <v>#DIV/0!</v>
      </c>
      <c r="BA86" s="61" t="e">
        <f t="shared" si="59"/>
        <v>#DIV/0!</v>
      </c>
      <c r="BB86" s="60" t="e">
        <f>Links!AF86</f>
        <v>#DIV/0!</v>
      </c>
      <c r="BC86" s="60" t="e">
        <f>(Links!AG86*Links!C86+'On-Ramps'!AC86*'On-Ramps'!CE86)/('On-Ramps'!AC86+Links!C86)</f>
        <v>#DIV/0!</v>
      </c>
      <c r="BD86" s="60" t="e">
        <f>Links!AH86</f>
        <v>#DIV/0!</v>
      </c>
      <c r="BE86" s="60" t="e">
        <f>(Links!AI86*Links!E86+'On-Ramps'!AD86*'On-Ramps'!CF85)/('On-Ramps'!AD86+Links!E86)</f>
        <v>#DIV/0!</v>
      </c>
      <c r="BF86" s="60" t="e">
        <f>(Links!F86*Links!AJ86+'On-Ramps'!AE86*'On-Ramps'!CG86)/('On-Ramps'!AE86+Links!F86)</f>
        <v>#DIV/0!</v>
      </c>
      <c r="BG86" s="60" t="e">
        <f>(Links!G86*Links!AK86+'On-Ramps'!AF86*'On-Ramps'!CH86)/('On-Ramps'!AF86+Links!G86)</f>
        <v>#DIV/0!</v>
      </c>
      <c r="BH86" s="60" t="e">
        <f>(Links!H86*Links!AL86+'On-Ramps'!AG86*'On-Ramps'!CI86)/('On-Ramps'!AG86+Links!H86)</f>
        <v>#DIV/0!</v>
      </c>
      <c r="BI86" s="60" t="e">
        <f>(Links!J86*Links!AN86+'On-Ramps'!AH86*'On-Ramps'!CJ86)/('On-Ramps'!AH86+Links!J86)</f>
        <v>#DIV/0!</v>
      </c>
      <c r="BJ86" s="60" t="e">
        <f>(Links!K86*Links!AO86+'On-Ramps'!AI86*'On-Ramps'!CK86)/('On-Ramps'!AI86+Links!K86)</f>
        <v>#DIV/0!</v>
      </c>
      <c r="BK86" s="60" t="e">
        <f>(Links!L86*Links!AP86+'On-Ramps'!AJ86*'On-Ramps'!CL86)/(Links!L86+'On-Ramps'!AJ86)</f>
        <v>#DIV/0!</v>
      </c>
      <c r="BL86" s="60" t="e">
        <f>Links!AQ86</f>
        <v>#DIV/0!</v>
      </c>
      <c r="BM86" s="60" t="e">
        <f>(Links!N86*Links!AR86+'On-Ramps'!AL86*'On-Ramps'!CM86)/(Links!N86+'On-Ramps'!AL86)</f>
        <v>#DIV/0!</v>
      </c>
      <c r="BN86" s="60" t="e">
        <f>Links!AS86</f>
        <v>#DIV/0!</v>
      </c>
      <c r="BO86" s="61" t="e">
        <f>(Links!R86^2+'Off-Ramp'!L86^2)/(Links!R86+'Off-Ramp'!L86)</f>
        <v>#DIV/0!</v>
      </c>
      <c r="BP86" s="61" t="e">
        <f>Links!S86</f>
        <v>#DIV/0!</v>
      </c>
      <c r="BQ86" s="61" t="e">
        <f>(Links!S86^2+'Off-Ramp'!C86^2)/(Links!S86+'Off-Ramp'!C86)</f>
        <v>#DIV/0!</v>
      </c>
      <c r="BR86" s="61" t="e">
        <f>Links!T86</f>
        <v>#DIV/0!</v>
      </c>
      <c r="BS86" s="61" t="e">
        <f>(Links!U86^2+'Off-Ramp'!N86^2)/(Links!U86+'Off-Ramp'!N86)</f>
        <v>#DIV/0!</v>
      </c>
      <c r="BT86" s="61" t="e">
        <f>(Links!V86^2+'Off-Ramp'!O86^2)/(Links!V86+'Off-Ramp'!O86)</f>
        <v>#DIV/0!</v>
      </c>
      <c r="BU86" s="61" t="e">
        <f>(Links!W86^2+'Off-Ramp'!P86^2)/(Links!W86+'Off-Ramp'!P86)</f>
        <v>#DIV/0!</v>
      </c>
      <c r="BV86" s="61" t="e">
        <f>(Links!Y86^2+'Off-Ramp'!Q86^2)/(Links!Y86+'Off-Ramp'!Q86)</f>
        <v>#DIV/0!</v>
      </c>
      <c r="BW86" s="61" t="e">
        <f>(Links!Z86^2+'Off-Ramp'!R86^2)/(Links!Z86+'Off-Ramp'!R86)</f>
        <v>#DIV/0!</v>
      </c>
      <c r="BX86" s="61" t="e">
        <f>(Links!AA86+'Off-Ramp'!S86)/(Links!AA86^2+'Off-Ramp'!S86^2)</f>
        <v>#DIV/0!</v>
      </c>
      <c r="BY86" s="61" t="e">
        <f>(Links!AB86^2+'Off-Ramp'!T86^2)/(Links!AB86+'Off-Ramp'!T86)</f>
        <v>#DIV/0!</v>
      </c>
      <c r="BZ86" s="61" t="e">
        <f>Links!AC86</f>
        <v>#DIV/0!</v>
      </c>
      <c r="CA86" s="61" t="e">
        <f>(Links!AD86^2+'Off-Ramp'!U86^2)/(Links!AD86+'Off-Ramp'!U86)</f>
        <v>#DIV/0!</v>
      </c>
    </row>
    <row r="87" spans="1:79" x14ac:dyDescent="0.15">
      <c r="A87" s="59">
        <v>85</v>
      </c>
      <c r="B87" s="60" t="e">
        <f t="shared" si="34"/>
        <v>#DIV/0!</v>
      </c>
      <c r="C87" s="60" t="e">
        <f t="shared" si="35"/>
        <v>#DIV/0!</v>
      </c>
      <c r="D87" s="60" t="e">
        <f t="shared" si="36"/>
        <v>#DIV/0!</v>
      </c>
      <c r="E87" s="60" t="e">
        <f t="shared" si="37"/>
        <v>#DIV/0!</v>
      </c>
      <c r="F87" s="60" t="e">
        <f t="shared" si="38"/>
        <v>#DIV/0!</v>
      </c>
      <c r="G87" s="60" t="e">
        <f t="shared" si="39"/>
        <v>#DIV/0!</v>
      </c>
      <c r="H87" s="60" t="e">
        <f t="shared" si="40"/>
        <v>#DIV/0!</v>
      </c>
      <c r="I87" s="60" t="e">
        <f t="shared" si="41"/>
        <v>#DIV/0!</v>
      </c>
      <c r="J87" s="60" t="e">
        <f t="shared" si="42"/>
        <v>#DIV/0!</v>
      </c>
      <c r="K87" s="60" t="e">
        <f t="shared" si="43"/>
        <v>#DIV/0!</v>
      </c>
      <c r="L87" s="60" t="e">
        <f t="shared" si="44"/>
        <v>#DIV/0!</v>
      </c>
      <c r="M87" s="60" t="e">
        <f t="shared" si="45"/>
        <v>#DIV/0!</v>
      </c>
      <c r="N87" s="60" t="e">
        <f t="shared" si="46"/>
        <v>#DIV/0!</v>
      </c>
      <c r="O87" s="61" t="e">
        <f>Links!B87</f>
        <v>#DIV/0!</v>
      </c>
      <c r="P87" s="61" t="e">
        <f>Links!C87+'On-Ramps'!AC87</f>
        <v>#DIV/0!</v>
      </c>
      <c r="Q87" s="61" t="e">
        <f>Links!D87</f>
        <v>#DIV/0!</v>
      </c>
      <c r="R87" s="61" t="e">
        <f>Links!E87+'On-Ramps'!AD87</f>
        <v>#DIV/0!</v>
      </c>
      <c r="S87" s="61" t="e">
        <f>Links!F87+'On-Ramps'!AE87</f>
        <v>#DIV/0!</v>
      </c>
      <c r="T87" s="61" t="e">
        <f>Links!G87+'On-Ramps'!AF87</f>
        <v>#DIV/0!</v>
      </c>
      <c r="U87" s="61" t="e">
        <f>Links!H87+'On-Ramps'!AG87</f>
        <v>#DIV/0!</v>
      </c>
      <c r="V87" s="61" t="e">
        <f>Links!J87+'On-Ramps'!AH87</f>
        <v>#DIV/0!</v>
      </c>
      <c r="W87" s="61" t="e">
        <f>Links!K87+'On-Ramps'!AI87</f>
        <v>#DIV/0!</v>
      </c>
      <c r="X87" s="61" t="e">
        <f>Links!L87+'On-Ramps'!AJ87</f>
        <v>#DIV/0!</v>
      </c>
      <c r="Y87" s="61" t="e">
        <f>Links!M87</f>
        <v>#DIV/0!</v>
      </c>
      <c r="Z87" s="61" t="e">
        <f>Links!N87+'On-Ramps'!AK87</f>
        <v>#DIV/0!</v>
      </c>
      <c r="AA87" s="61" t="e">
        <f>Links!O87</f>
        <v>#DIV/0!</v>
      </c>
      <c r="AB87" s="60" t="e">
        <f t="shared" si="47"/>
        <v>#DIV/0!</v>
      </c>
      <c r="AC87" s="60" t="e">
        <f t="shared" si="48"/>
        <v>#DIV/0!</v>
      </c>
      <c r="AD87" s="60" t="e">
        <f t="shared" si="49"/>
        <v>#DIV/0!</v>
      </c>
      <c r="AE87" s="60" t="e">
        <f t="shared" si="50"/>
        <v>#DIV/0!</v>
      </c>
      <c r="AF87" s="60" t="e">
        <f t="shared" si="51"/>
        <v>#DIV/0!</v>
      </c>
      <c r="AG87" s="60" t="e">
        <f t="shared" si="52"/>
        <v>#DIV/0!</v>
      </c>
      <c r="AH87" s="60" t="e">
        <f t="shared" si="53"/>
        <v>#DIV/0!</v>
      </c>
      <c r="AI87" s="60" t="e">
        <f t="shared" si="54"/>
        <v>#DIV/0!</v>
      </c>
      <c r="AJ87" s="60" t="e">
        <f t="shared" si="55"/>
        <v>#DIV/0!</v>
      </c>
      <c r="AK87" s="60" t="e">
        <f t="shared" si="56"/>
        <v>#DIV/0!</v>
      </c>
      <c r="AL87" s="60" t="e">
        <f t="shared" si="57"/>
        <v>#DIV/0!</v>
      </c>
      <c r="AM87" s="60" t="e">
        <f t="shared" si="58"/>
        <v>#DIV/0!</v>
      </c>
      <c r="AN87" s="60" t="e">
        <f t="shared" si="60"/>
        <v>#DIV/0!</v>
      </c>
      <c r="AO87" s="61" t="e">
        <f t="shared" si="33"/>
        <v>#DIV/0!</v>
      </c>
      <c r="AP87" s="61" t="e">
        <f t="shared" si="59"/>
        <v>#DIV/0!</v>
      </c>
      <c r="AQ87" s="61" t="e">
        <f t="shared" si="59"/>
        <v>#DIV/0!</v>
      </c>
      <c r="AR87" s="61" t="e">
        <f t="shared" si="59"/>
        <v>#DIV/0!</v>
      </c>
      <c r="AS87" s="61" t="e">
        <f t="shared" si="59"/>
        <v>#DIV/0!</v>
      </c>
      <c r="AT87" s="61" t="e">
        <f t="shared" si="59"/>
        <v>#DIV/0!</v>
      </c>
      <c r="AU87" s="61" t="e">
        <f t="shared" si="59"/>
        <v>#DIV/0!</v>
      </c>
      <c r="AV87" s="61" t="e">
        <f t="shared" si="59"/>
        <v>#DIV/0!</v>
      </c>
      <c r="AW87" s="61" t="e">
        <f t="shared" si="59"/>
        <v>#DIV/0!</v>
      </c>
      <c r="AX87" s="61" t="e">
        <f t="shared" si="59"/>
        <v>#DIV/0!</v>
      </c>
      <c r="AY87" s="61" t="e">
        <f t="shared" si="59"/>
        <v>#DIV/0!</v>
      </c>
      <c r="AZ87" s="61" t="e">
        <f t="shared" si="59"/>
        <v>#DIV/0!</v>
      </c>
      <c r="BA87" s="61" t="e">
        <f t="shared" si="59"/>
        <v>#DIV/0!</v>
      </c>
      <c r="BB87" s="60" t="e">
        <f>Links!AF87</f>
        <v>#DIV/0!</v>
      </c>
      <c r="BC87" s="60" t="e">
        <f>(Links!AG87*Links!C87+'On-Ramps'!AC87*'On-Ramps'!CE87)/('On-Ramps'!AC87+Links!C87)</f>
        <v>#DIV/0!</v>
      </c>
      <c r="BD87" s="60" t="e">
        <f>Links!AH87</f>
        <v>#DIV/0!</v>
      </c>
      <c r="BE87" s="60" t="e">
        <f>(Links!AI87*Links!E87+'On-Ramps'!AD87*'On-Ramps'!CF86)/('On-Ramps'!AD87+Links!E87)</f>
        <v>#DIV/0!</v>
      </c>
      <c r="BF87" s="60" t="e">
        <f>(Links!F87*Links!AJ87+'On-Ramps'!AE87*'On-Ramps'!CG87)/('On-Ramps'!AE87+Links!F87)</f>
        <v>#DIV/0!</v>
      </c>
      <c r="BG87" s="60" t="e">
        <f>(Links!G87*Links!AK87+'On-Ramps'!AF87*'On-Ramps'!CH87)/('On-Ramps'!AF87+Links!G87)</f>
        <v>#DIV/0!</v>
      </c>
      <c r="BH87" s="60" t="e">
        <f>(Links!H87*Links!AL87+'On-Ramps'!AG87*'On-Ramps'!CI87)/('On-Ramps'!AG87+Links!H87)</f>
        <v>#DIV/0!</v>
      </c>
      <c r="BI87" s="60" t="e">
        <f>(Links!J87*Links!AN87+'On-Ramps'!AH87*'On-Ramps'!CJ87)/('On-Ramps'!AH87+Links!J87)</f>
        <v>#DIV/0!</v>
      </c>
      <c r="BJ87" s="60" t="e">
        <f>(Links!K87*Links!AO87+'On-Ramps'!AI87*'On-Ramps'!CK87)/('On-Ramps'!AI87+Links!K87)</f>
        <v>#DIV/0!</v>
      </c>
      <c r="BK87" s="60" t="e">
        <f>(Links!L87*Links!AP87+'On-Ramps'!AJ87*'On-Ramps'!CL87)/(Links!L87+'On-Ramps'!AJ87)</f>
        <v>#DIV/0!</v>
      </c>
      <c r="BL87" s="60" t="e">
        <f>Links!AQ87</f>
        <v>#DIV/0!</v>
      </c>
      <c r="BM87" s="60" t="e">
        <f>(Links!N87*Links!AR87+'On-Ramps'!AL87*'On-Ramps'!CM87)/(Links!N87+'On-Ramps'!AL87)</f>
        <v>#DIV/0!</v>
      </c>
      <c r="BN87" s="60" t="e">
        <f>Links!AS87</f>
        <v>#DIV/0!</v>
      </c>
      <c r="BO87" s="61" t="e">
        <f>(Links!R87^2+'Off-Ramp'!L87^2)/(Links!R87+'Off-Ramp'!L87)</f>
        <v>#DIV/0!</v>
      </c>
      <c r="BP87" s="61" t="e">
        <f>Links!S87</f>
        <v>#DIV/0!</v>
      </c>
      <c r="BQ87" s="61" t="e">
        <f>(Links!S87^2+'Off-Ramp'!C87^2)/(Links!S87+'Off-Ramp'!C87)</f>
        <v>#DIV/0!</v>
      </c>
      <c r="BR87" s="61" t="e">
        <f>Links!T87</f>
        <v>#DIV/0!</v>
      </c>
      <c r="BS87" s="61" t="e">
        <f>(Links!U87^2+'Off-Ramp'!N87^2)/(Links!U87+'Off-Ramp'!N87)</f>
        <v>#DIV/0!</v>
      </c>
      <c r="BT87" s="61" t="e">
        <f>(Links!V87^2+'Off-Ramp'!O87^2)/(Links!V87+'Off-Ramp'!O87)</f>
        <v>#DIV/0!</v>
      </c>
      <c r="BU87" s="61" t="e">
        <f>(Links!W87^2+'Off-Ramp'!P87^2)/(Links!W87+'Off-Ramp'!P87)</f>
        <v>#DIV/0!</v>
      </c>
      <c r="BV87" s="61" t="e">
        <f>(Links!Y87^2+'Off-Ramp'!Q87^2)/(Links!Y87+'Off-Ramp'!Q87)</f>
        <v>#DIV/0!</v>
      </c>
      <c r="BW87" s="61" t="e">
        <f>(Links!Z87^2+'Off-Ramp'!R87^2)/(Links!Z87+'Off-Ramp'!R87)</f>
        <v>#DIV/0!</v>
      </c>
      <c r="BX87" s="61" t="e">
        <f>(Links!AA87+'Off-Ramp'!S87)/(Links!AA87^2+'Off-Ramp'!S87^2)</f>
        <v>#DIV/0!</v>
      </c>
      <c r="BY87" s="61" t="e">
        <f>(Links!AB87^2+'Off-Ramp'!T87^2)/(Links!AB87+'Off-Ramp'!T87)</f>
        <v>#DIV/0!</v>
      </c>
      <c r="BZ87" s="61" t="e">
        <f>Links!AC87</f>
        <v>#DIV/0!</v>
      </c>
      <c r="CA87" s="61" t="e">
        <f>(Links!AD87^2+'Off-Ramp'!U87^2)/(Links!AD87+'Off-Ramp'!U87)</f>
        <v>#DIV/0!</v>
      </c>
    </row>
    <row r="88" spans="1:79" x14ac:dyDescent="0.15">
      <c r="A88" s="59">
        <v>86</v>
      </c>
      <c r="B88" s="60" t="e">
        <f t="shared" si="34"/>
        <v>#DIV/0!</v>
      </c>
      <c r="C88" s="60" t="e">
        <f t="shared" si="35"/>
        <v>#DIV/0!</v>
      </c>
      <c r="D88" s="60" t="e">
        <f t="shared" si="36"/>
        <v>#DIV/0!</v>
      </c>
      <c r="E88" s="60" t="e">
        <f t="shared" si="37"/>
        <v>#DIV/0!</v>
      </c>
      <c r="F88" s="60" t="e">
        <f t="shared" si="38"/>
        <v>#DIV/0!</v>
      </c>
      <c r="G88" s="60" t="e">
        <f t="shared" si="39"/>
        <v>#DIV/0!</v>
      </c>
      <c r="H88" s="60" t="e">
        <f t="shared" si="40"/>
        <v>#DIV/0!</v>
      </c>
      <c r="I88" s="60" t="e">
        <f t="shared" si="41"/>
        <v>#DIV/0!</v>
      </c>
      <c r="J88" s="60" t="e">
        <f t="shared" si="42"/>
        <v>#DIV/0!</v>
      </c>
      <c r="K88" s="60" t="e">
        <f t="shared" si="43"/>
        <v>#DIV/0!</v>
      </c>
      <c r="L88" s="60" t="e">
        <f t="shared" si="44"/>
        <v>#DIV/0!</v>
      </c>
      <c r="M88" s="60" t="e">
        <f t="shared" si="45"/>
        <v>#DIV/0!</v>
      </c>
      <c r="N88" s="60" t="e">
        <f t="shared" si="46"/>
        <v>#DIV/0!</v>
      </c>
      <c r="O88" s="61" t="e">
        <f>Links!B88</f>
        <v>#DIV/0!</v>
      </c>
      <c r="P88" s="61" t="e">
        <f>Links!C88+'On-Ramps'!AC88</f>
        <v>#DIV/0!</v>
      </c>
      <c r="Q88" s="61" t="e">
        <f>Links!D88</f>
        <v>#DIV/0!</v>
      </c>
      <c r="R88" s="61" t="e">
        <f>Links!E88+'On-Ramps'!AD88</f>
        <v>#DIV/0!</v>
      </c>
      <c r="S88" s="61" t="e">
        <f>Links!F88+'On-Ramps'!AE88</f>
        <v>#DIV/0!</v>
      </c>
      <c r="T88" s="61" t="e">
        <f>Links!G88+'On-Ramps'!AF88</f>
        <v>#DIV/0!</v>
      </c>
      <c r="U88" s="61" t="e">
        <f>Links!H88+'On-Ramps'!AG88</f>
        <v>#DIV/0!</v>
      </c>
      <c r="V88" s="61" t="e">
        <f>Links!J88+'On-Ramps'!AH88</f>
        <v>#DIV/0!</v>
      </c>
      <c r="W88" s="61" t="e">
        <f>Links!K88+'On-Ramps'!AI88</f>
        <v>#DIV/0!</v>
      </c>
      <c r="X88" s="61" t="e">
        <f>Links!L88+'On-Ramps'!AJ88</f>
        <v>#DIV/0!</v>
      </c>
      <c r="Y88" s="61" t="e">
        <f>Links!M88</f>
        <v>#DIV/0!</v>
      </c>
      <c r="Z88" s="61" t="e">
        <f>Links!N88+'On-Ramps'!AK88</f>
        <v>#DIV/0!</v>
      </c>
      <c r="AA88" s="61" t="e">
        <f>Links!O88</f>
        <v>#DIV/0!</v>
      </c>
      <c r="AB88" s="60" t="e">
        <f t="shared" si="47"/>
        <v>#DIV/0!</v>
      </c>
      <c r="AC88" s="60" t="e">
        <f t="shared" si="48"/>
        <v>#DIV/0!</v>
      </c>
      <c r="AD88" s="60" t="e">
        <f t="shared" si="49"/>
        <v>#DIV/0!</v>
      </c>
      <c r="AE88" s="60" t="e">
        <f t="shared" si="50"/>
        <v>#DIV/0!</v>
      </c>
      <c r="AF88" s="60" t="e">
        <f t="shared" si="51"/>
        <v>#DIV/0!</v>
      </c>
      <c r="AG88" s="60" t="e">
        <f t="shared" si="52"/>
        <v>#DIV/0!</v>
      </c>
      <c r="AH88" s="60" t="e">
        <f t="shared" si="53"/>
        <v>#DIV/0!</v>
      </c>
      <c r="AI88" s="60" t="e">
        <f t="shared" si="54"/>
        <v>#DIV/0!</v>
      </c>
      <c r="AJ88" s="60" t="e">
        <f t="shared" si="55"/>
        <v>#DIV/0!</v>
      </c>
      <c r="AK88" s="60" t="e">
        <f t="shared" si="56"/>
        <v>#DIV/0!</v>
      </c>
      <c r="AL88" s="60" t="e">
        <f t="shared" si="57"/>
        <v>#DIV/0!</v>
      </c>
      <c r="AM88" s="60" t="e">
        <f t="shared" si="58"/>
        <v>#DIV/0!</v>
      </c>
      <c r="AN88" s="60" t="e">
        <f t="shared" si="60"/>
        <v>#DIV/0!</v>
      </c>
      <c r="AO88" s="61" t="e">
        <f t="shared" si="33"/>
        <v>#DIV/0!</v>
      </c>
      <c r="AP88" s="61" t="e">
        <f t="shared" si="59"/>
        <v>#DIV/0!</v>
      </c>
      <c r="AQ88" s="61" t="e">
        <f t="shared" si="59"/>
        <v>#DIV/0!</v>
      </c>
      <c r="AR88" s="61" t="e">
        <f t="shared" si="59"/>
        <v>#DIV/0!</v>
      </c>
      <c r="AS88" s="61" t="e">
        <f t="shared" si="59"/>
        <v>#DIV/0!</v>
      </c>
      <c r="AT88" s="61" t="e">
        <f t="shared" si="59"/>
        <v>#DIV/0!</v>
      </c>
      <c r="AU88" s="61" t="e">
        <f t="shared" si="59"/>
        <v>#DIV/0!</v>
      </c>
      <c r="AV88" s="61" t="e">
        <f t="shared" si="59"/>
        <v>#DIV/0!</v>
      </c>
      <c r="AW88" s="61" t="e">
        <f t="shared" si="59"/>
        <v>#DIV/0!</v>
      </c>
      <c r="AX88" s="61" t="e">
        <f t="shared" si="59"/>
        <v>#DIV/0!</v>
      </c>
      <c r="AY88" s="61" t="e">
        <f t="shared" si="59"/>
        <v>#DIV/0!</v>
      </c>
      <c r="AZ88" s="61" t="e">
        <f t="shared" si="59"/>
        <v>#DIV/0!</v>
      </c>
      <c r="BA88" s="61" t="e">
        <f t="shared" si="59"/>
        <v>#DIV/0!</v>
      </c>
      <c r="BB88" s="60" t="e">
        <f>Links!AF88</f>
        <v>#DIV/0!</v>
      </c>
      <c r="BC88" s="60" t="e">
        <f>(Links!AG88*Links!C88+'On-Ramps'!AC88*'On-Ramps'!CE88)/('On-Ramps'!AC88+Links!C88)</f>
        <v>#DIV/0!</v>
      </c>
      <c r="BD88" s="60" t="e">
        <f>Links!AH88</f>
        <v>#DIV/0!</v>
      </c>
      <c r="BE88" s="60" t="e">
        <f>(Links!AI88*Links!E88+'On-Ramps'!AD88*'On-Ramps'!CF87)/('On-Ramps'!AD88+Links!E88)</f>
        <v>#DIV/0!</v>
      </c>
      <c r="BF88" s="60" t="e">
        <f>(Links!F88*Links!AJ88+'On-Ramps'!AE88*'On-Ramps'!CG88)/('On-Ramps'!AE88+Links!F88)</f>
        <v>#DIV/0!</v>
      </c>
      <c r="BG88" s="60" t="e">
        <f>(Links!G88*Links!AK88+'On-Ramps'!AF88*'On-Ramps'!CH88)/('On-Ramps'!AF88+Links!G88)</f>
        <v>#DIV/0!</v>
      </c>
      <c r="BH88" s="60" t="e">
        <f>(Links!H88*Links!AL88+'On-Ramps'!AG88*'On-Ramps'!CI88)/('On-Ramps'!AG88+Links!H88)</f>
        <v>#DIV/0!</v>
      </c>
      <c r="BI88" s="60" t="e">
        <f>(Links!J88*Links!AN88+'On-Ramps'!AH88*'On-Ramps'!CJ88)/('On-Ramps'!AH88+Links!J88)</f>
        <v>#DIV/0!</v>
      </c>
      <c r="BJ88" s="60" t="e">
        <f>(Links!K88*Links!AO88+'On-Ramps'!AI88*'On-Ramps'!CK88)/('On-Ramps'!AI88+Links!K88)</f>
        <v>#DIV/0!</v>
      </c>
      <c r="BK88" s="60" t="e">
        <f>(Links!L88*Links!AP88+'On-Ramps'!AJ88*'On-Ramps'!CL88)/(Links!L88+'On-Ramps'!AJ88)</f>
        <v>#DIV/0!</v>
      </c>
      <c r="BL88" s="60" t="e">
        <f>Links!AQ88</f>
        <v>#DIV/0!</v>
      </c>
      <c r="BM88" s="60" t="e">
        <f>(Links!N88*Links!AR88+'On-Ramps'!AL88*'On-Ramps'!CM88)/(Links!N88+'On-Ramps'!AL88)</f>
        <v>#DIV/0!</v>
      </c>
      <c r="BN88" s="60" t="e">
        <f>Links!AS88</f>
        <v>#DIV/0!</v>
      </c>
      <c r="BO88" s="61" t="e">
        <f>(Links!R88^2+'Off-Ramp'!L88^2)/(Links!R88+'Off-Ramp'!L88)</f>
        <v>#DIV/0!</v>
      </c>
      <c r="BP88" s="61" t="e">
        <f>Links!S88</f>
        <v>#DIV/0!</v>
      </c>
      <c r="BQ88" s="61" t="e">
        <f>(Links!S88^2+'Off-Ramp'!C88^2)/(Links!S88+'Off-Ramp'!C88)</f>
        <v>#DIV/0!</v>
      </c>
      <c r="BR88" s="61" t="e">
        <f>Links!T88</f>
        <v>#DIV/0!</v>
      </c>
      <c r="BS88" s="61" t="e">
        <f>(Links!U88^2+'Off-Ramp'!N88^2)/(Links!U88+'Off-Ramp'!N88)</f>
        <v>#DIV/0!</v>
      </c>
      <c r="BT88" s="61" t="e">
        <f>(Links!V88^2+'Off-Ramp'!O88^2)/(Links!V88+'Off-Ramp'!O88)</f>
        <v>#DIV/0!</v>
      </c>
      <c r="BU88" s="61" t="e">
        <f>(Links!W88^2+'Off-Ramp'!P88^2)/(Links!W88+'Off-Ramp'!P88)</f>
        <v>#DIV/0!</v>
      </c>
      <c r="BV88" s="61" t="e">
        <f>(Links!Y88^2+'Off-Ramp'!Q88^2)/(Links!Y88+'Off-Ramp'!Q88)</f>
        <v>#DIV/0!</v>
      </c>
      <c r="BW88" s="61" t="e">
        <f>(Links!Z88^2+'Off-Ramp'!R88^2)/(Links!Z88+'Off-Ramp'!R88)</f>
        <v>#DIV/0!</v>
      </c>
      <c r="BX88" s="61" t="e">
        <f>(Links!AA88+'Off-Ramp'!S88)/(Links!AA88^2+'Off-Ramp'!S88^2)</f>
        <v>#DIV/0!</v>
      </c>
      <c r="BY88" s="61" t="e">
        <f>(Links!AB88^2+'Off-Ramp'!T88^2)/(Links!AB88+'Off-Ramp'!T88)</f>
        <v>#DIV/0!</v>
      </c>
      <c r="BZ88" s="61" t="e">
        <f>Links!AC88</f>
        <v>#DIV/0!</v>
      </c>
      <c r="CA88" s="61" t="e">
        <f>(Links!AD88^2+'Off-Ramp'!U88^2)/(Links!AD88+'Off-Ramp'!U88)</f>
        <v>#DIV/0!</v>
      </c>
    </row>
    <row r="89" spans="1:79" x14ac:dyDescent="0.15">
      <c r="A89" s="59">
        <v>87</v>
      </c>
      <c r="B89" s="60" t="e">
        <f t="shared" si="34"/>
        <v>#DIV/0!</v>
      </c>
      <c r="C89" s="60" t="e">
        <f t="shared" si="35"/>
        <v>#DIV/0!</v>
      </c>
      <c r="D89" s="60" t="e">
        <f t="shared" si="36"/>
        <v>#DIV/0!</v>
      </c>
      <c r="E89" s="60" t="e">
        <f t="shared" si="37"/>
        <v>#DIV/0!</v>
      </c>
      <c r="F89" s="60" t="e">
        <f t="shared" si="38"/>
        <v>#DIV/0!</v>
      </c>
      <c r="G89" s="60" t="e">
        <f t="shared" si="39"/>
        <v>#DIV/0!</v>
      </c>
      <c r="H89" s="60" t="e">
        <f t="shared" si="40"/>
        <v>#DIV/0!</v>
      </c>
      <c r="I89" s="60" t="e">
        <f t="shared" si="41"/>
        <v>#DIV/0!</v>
      </c>
      <c r="J89" s="60" t="e">
        <f t="shared" si="42"/>
        <v>#DIV/0!</v>
      </c>
      <c r="K89" s="60" t="e">
        <f t="shared" si="43"/>
        <v>#DIV/0!</v>
      </c>
      <c r="L89" s="60" t="e">
        <f t="shared" si="44"/>
        <v>#DIV/0!</v>
      </c>
      <c r="M89" s="60" t="e">
        <f t="shared" si="45"/>
        <v>#DIV/0!</v>
      </c>
      <c r="N89" s="60" t="e">
        <f t="shared" si="46"/>
        <v>#DIV/0!</v>
      </c>
      <c r="O89" s="61" t="e">
        <f>Links!B89</f>
        <v>#DIV/0!</v>
      </c>
      <c r="P89" s="61" t="e">
        <f>Links!C89+'On-Ramps'!AC89</f>
        <v>#DIV/0!</v>
      </c>
      <c r="Q89" s="61" t="e">
        <f>Links!D89</f>
        <v>#DIV/0!</v>
      </c>
      <c r="R89" s="61" t="e">
        <f>Links!E89+'On-Ramps'!AD89</f>
        <v>#DIV/0!</v>
      </c>
      <c r="S89" s="61" t="e">
        <f>Links!F89+'On-Ramps'!AE89</f>
        <v>#DIV/0!</v>
      </c>
      <c r="T89" s="61" t="e">
        <f>Links!G89+'On-Ramps'!AF89</f>
        <v>#DIV/0!</v>
      </c>
      <c r="U89" s="61" t="e">
        <f>Links!H89+'On-Ramps'!AG89</f>
        <v>#DIV/0!</v>
      </c>
      <c r="V89" s="61" t="e">
        <f>Links!J89+'On-Ramps'!AH89</f>
        <v>#DIV/0!</v>
      </c>
      <c r="W89" s="61" t="e">
        <f>Links!K89+'On-Ramps'!AI89</f>
        <v>#DIV/0!</v>
      </c>
      <c r="X89" s="61" t="e">
        <f>Links!L89+'On-Ramps'!AJ89</f>
        <v>#DIV/0!</v>
      </c>
      <c r="Y89" s="61" t="e">
        <f>Links!M89</f>
        <v>#DIV/0!</v>
      </c>
      <c r="Z89" s="61" t="e">
        <f>Links!N89+'On-Ramps'!AK89</f>
        <v>#DIV/0!</v>
      </c>
      <c r="AA89" s="61" t="e">
        <f>Links!O89</f>
        <v>#DIV/0!</v>
      </c>
      <c r="AB89" s="60" t="e">
        <f t="shared" si="47"/>
        <v>#DIV/0!</v>
      </c>
      <c r="AC89" s="60" t="e">
        <f t="shared" si="48"/>
        <v>#DIV/0!</v>
      </c>
      <c r="AD89" s="60" t="e">
        <f t="shared" si="49"/>
        <v>#DIV/0!</v>
      </c>
      <c r="AE89" s="60" t="e">
        <f t="shared" si="50"/>
        <v>#DIV/0!</v>
      </c>
      <c r="AF89" s="60" t="e">
        <f t="shared" si="51"/>
        <v>#DIV/0!</v>
      </c>
      <c r="AG89" s="60" t="e">
        <f t="shared" si="52"/>
        <v>#DIV/0!</v>
      </c>
      <c r="AH89" s="60" t="e">
        <f t="shared" si="53"/>
        <v>#DIV/0!</v>
      </c>
      <c r="AI89" s="60" t="e">
        <f t="shared" si="54"/>
        <v>#DIV/0!</v>
      </c>
      <c r="AJ89" s="60" t="e">
        <f t="shared" si="55"/>
        <v>#DIV/0!</v>
      </c>
      <c r="AK89" s="60" t="e">
        <f t="shared" si="56"/>
        <v>#DIV/0!</v>
      </c>
      <c r="AL89" s="60" t="e">
        <f t="shared" si="57"/>
        <v>#DIV/0!</v>
      </c>
      <c r="AM89" s="60" t="e">
        <f t="shared" si="58"/>
        <v>#DIV/0!</v>
      </c>
      <c r="AN89" s="60" t="e">
        <f t="shared" si="60"/>
        <v>#DIV/0!</v>
      </c>
      <c r="AO89" s="61" t="e">
        <f t="shared" si="33"/>
        <v>#DIV/0!</v>
      </c>
      <c r="AP89" s="61" t="e">
        <f t="shared" si="59"/>
        <v>#DIV/0!</v>
      </c>
      <c r="AQ89" s="61" t="e">
        <f t="shared" si="59"/>
        <v>#DIV/0!</v>
      </c>
      <c r="AR89" s="61" t="e">
        <f t="shared" si="59"/>
        <v>#DIV/0!</v>
      </c>
      <c r="AS89" s="61" t="e">
        <f t="shared" si="59"/>
        <v>#DIV/0!</v>
      </c>
      <c r="AT89" s="61" t="e">
        <f t="shared" si="59"/>
        <v>#DIV/0!</v>
      </c>
      <c r="AU89" s="61" t="e">
        <f t="shared" si="59"/>
        <v>#DIV/0!</v>
      </c>
      <c r="AV89" s="61" t="e">
        <f t="shared" si="59"/>
        <v>#DIV/0!</v>
      </c>
      <c r="AW89" s="61" t="e">
        <f t="shared" si="59"/>
        <v>#DIV/0!</v>
      </c>
      <c r="AX89" s="61" t="e">
        <f t="shared" si="59"/>
        <v>#DIV/0!</v>
      </c>
      <c r="AY89" s="61" t="e">
        <f t="shared" si="59"/>
        <v>#DIV/0!</v>
      </c>
      <c r="AZ89" s="61" t="e">
        <f t="shared" si="59"/>
        <v>#DIV/0!</v>
      </c>
      <c r="BA89" s="61" t="e">
        <f t="shared" si="59"/>
        <v>#DIV/0!</v>
      </c>
      <c r="BB89" s="60" t="e">
        <f>Links!AF89</f>
        <v>#DIV/0!</v>
      </c>
      <c r="BC89" s="60" t="e">
        <f>(Links!AG89*Links!C89+'On-Ramps'!AC89*'On-Ramps'!CE89)/('On-Ramps'!AC89+Links!C89)</f>
        <v>#DIV/0!</v>
      </c>
      <c r="BD89" s="60" t="e">
        <f>Links!AH89</f>
        <v>#DIV/0!</v>
      </c>
      <c r="BE89" s="60" t="e">
        <f>(Links!AI89*Links!E89+'On-Ramps'!AD89*'On-Ramps'!CF88)/('On-Ramps'!AD89+Links!E89)</f>
        <v>#DIV/0!</v>
      </c>
      <c r="BF89" s="60" t="e">
        <f>(Links!F89*Links!AJ89+'On-Ramps'!AE89*'On-Ramps'!CG89)/('On-Ramps'!AE89+Links!F89)</f>
        <v>#DIV/0!</v>
      </c>
      <c r="BG89" s="60" t="e">
        <f>(Links!G89*Links!AK89+'On-Ramps'!AF89*'On-Ramps'!CH89)/('On-Ramps'!AF89+Links!G89)</f>
        <v>#DIV/0!</v>
      </c>
      <c r="BH89" s="60" t="e">
        <f>(Links!H89*Links!AL89+'On-Ramps'!AG89*'On-Ramps'!CI89)/('On-Ramps'!AG89+Links!H89)</f>
        <v>#DIV/0!</v>
      </c>
      <c r="BI89" s="60" t="e">
        <f>(Links!J89*Links!AN89+'On-Ramps'!AH89*'On-Ramps'!CJ89)/('On-Ramps'!AH89+Links!J89)</f>
        <v>#DIV/0!</v>
      </c>
      <c r="BJ89" s="60" t="e">
        <f>(Links!K89*Links!AO89+'On-Ramps'!AI89*'On-Ramps'!CK89)/('On-Ramps'!AI89+Links!K89)</f>
        <v>#DIV/0!</v>
      </c>
      <c r="BK89" s="60" t="e">
        <f>(Links!L89*Links!AP89+'On-Ramps'!AJ89*'On-Ramps'!CL89)/(Links!L89+'On-Ramps'!AJ89)</f>
        <v>#DIV/0!</v>
      </c>
      <c r="BL89" s="60" t="e">
        <f>Links!AQ89</f>
        <v>#DIV/0!</v>
      </c>
      <c r="BM89" s="60" t="e">
        <f>(Links!N89*Links!AR89+'On-Ramps'!AL89*'On-Ramps'!CM89)/(Links!N89+'On-Ramps'!AL89)</f>
        <v>#DIV/0!</v>
      </c>
      <c r="BN89" s="60" t="e">
        <f>Links!AS89</f>
        <v>#DIV/0!</v>
      </c>
      <c r="BO89" s="61" t="e">
        <f>(Links!R89^2+'Off-Ramp'!L89^2)/(Links!R89+'Off-Ramp'!L89)</f>
        <v>#DIV/0!</v>
      </c>
      <c r="BP89" s="61" t="e">
        <f>Links!S89</f>
        <v>#DIV/0!</v>
      </c>
      <c r="BQ89" s="61" t="e">
        <f>(Links!S89^2+'Off-Ramp'!C89^2)/(Links!S89+'Off-Ramp'!C89)</f>
        <v>#DIV/0!</v>
      </c>
      <c r="BR89" s="61" t="e">
        <f>Links!T89</f>
        <v>#DIV/0!</v>
      </c>
      <c r="BS89" s="61" t="e">
        <f>(Links!U89^2+'Off-Ramp'!N89^2)/(Links!U89+'Off-Ramp'!N89)</f>
        <v>#DIV/0!</v>
      </c>
      <c r="BT89" s="61" t="e">
        <f>(Links!V89^2+'Off-Ramp'!O89^2)/(Links!V89+'Off-Ramp'!O89)</f>
        <v>#DIV/0!</v>
      </c>
      <c r="BU89" s="61" t="e">
        <f>(Links!W89^2+'Off-Ramp'!P89^2)/(Links!W89+'Off-Ramp'!P89)</f>
        <v>#DIV/0!</v>
      </c>
      <c r="BV89" s="61" t="e">
        <f>(Links!Y89^2+'Off-Ramp'!Q89^2)/(Links!Y89+'Off-Ramp'!Q89)</f>
        <v>#DIV/0!</v>
      </c>
      <c r="BW89" s="61" t="e">
        <f>(Links!Z89^2+'Off-Ramp'!R89^2)/(Links!Z89+'Off-Ramp'!R89)</f>
        <v>#DIV/0!</v>
      </c>
      <c r="BX89" s="61" t="e">
        <f>(Links!AA89+'Off-Ramp'!S89)/(Links!AA89^2+'Off-Ramp'!S89^2)</f>
        <v>#DIV/0!</v>
      </c>
      <c r="BY89" s="61" t="e">
        <f>(Links!AB89^2+'Off-Ramp'!T89^2)/(Links!AB89+'Off-Ramp'!T89)</f>
        <v>#DIV/0!</v>
      </c>
      <c r="BZ89" s="61" t="e">
        <f>Links!AC89</f>
        <v>#DIV/0!</v>
      </c>
      <c r="CA89" s="61" t="e">
        <f>(Links!AD89^2+'Off-Ramp'!U89^2)/(Links!AD89+'Off-Ramp'!U89)</f>
        <v>#DIV/0!</v>
      </c>
    </row>
    <row r="90" spans="1:79" x14ac:dyDescent="0.15">
      <c r="A90" s="59">
        <v>88</v>
      </c>
      <c r="B90" s="60" t="e">
        <f t="shared" si="34"/>
        <v>#DIV/0!</v>
      </c>
      <c r="C90" s="60" t="e">
        <f t="shared" si="35"/>
        <v>#DIV/0!</v>
      </c>
      <c r="D90" s="60" t="e">
        <f t="shared" si="36"/>
        <v>#DIV/0!</v>
      </c>
      <c r="E90" s="60" t="e">
        <f t="shared" si="37"/>
        <v>#DIV/0!</v>
      </c>
      <c r="F90" s="60" t="e">
        <f t="shared" si="38"/>
        <v>#DIV/0!</v>
      </c>
      <c r="G90" s="60" t="e">
        <f t="shared" si="39"/>
        <v>#DIV/0!</v>
      </c>
      <c r="H90" s="60" t="e">
        <f t="shared" si="40"/>
        <v>#DIV/0!</v>
      </c>
      <c r="I90" s="60" t="e">
        <f t="shared" si="41"/>
        <v>#DIV/0!</v>
      </c>
      <c r="J90" s="60" t="e">
        <f t="shared" si="42"/>
        <v>#DIV/0!</v>
      </c>
      <c r="K90" s="60" t="e">
        <f t="shared" si="43"/>
        <v>#DIV/0!</v>
      </c>
      <c r="L90" s="60" t="e">
        <f t="shared" si="44"/>
        <v>#DIV/0!</v>
      </c>
      <c r="M90" s="60" t="e">
        <f t="shared" si="45"/>
        <v>#DIV/0!</v>
      </c>
      <c r="N90" s="60" t="e">
        <f t="shared" si="46"/>
        <v>#DIV/0!</v>
      </c>
      <c r="O90" s="61" t="e">
        <f>Links!B90</f>
        <v>#DIV/0!</v>
      </c>
      <c r="P90" s="61" t="e">
        <f>Links!C90+'On-Ramps'!AC90</f>
        <v>#DIV/0!</v>
      </c>
      <c r="Q90" s="61" t="e">
        <f>Links!D90</f>
        <v>#DIV/0!</v>
      </c>
      <c r="R90" s="61" t="e">
        <f>Links!E90+'On-Ramps'!AD90</f>
        <v>#DIV/0!</v>
      </c>
      <c r="S90" s="61" t="e">
        <f>Links!F90+'On-Ramps'!AE90</f>
        <v>#DIV/0!</v>
      </c>
      <c r="T90" s="61" t="e">
        <f>Links!G90+'On-Ramps'!AF90</f>
        <v>#DIV/0!</v>
      </c>
      <c r="U90" s="61" t="e">
        <f>Links!H90+'On-Ramps'!AG90</f>
        <v>#DIV/0!</v>
      </c>
      <c r="V90" s="61" t="e">
        <f>Links!J90+'On-Ramps'!AH90</f>
        <v>#DIV/0!</v>
      </c>
      <c r="W90" s="61" t="e">
        <f>Links!K90+'On-Ramps'!AI90</f>
        <v>#DIV/0!</v>
      </c>
      <c r="X90" s="61" t="e">
        <f>Links!L90+'On-Ramps'!AJ90</f>
        <v>#DIV/0!</v>
      </c>
      <c r="Y90" s="61" t="e">
        <f>Links!M90</f>
        <v>#DIV/0!</v>
      </c>
      <c r="Z90" s="61" t="e">
        <f>Links!N90+'On-Ramps'!AK90</f>
        <v>#DIV/0!</v>
      </c>
      <c r="AA90" s="61" t="e">
        <f>Links!O90</f>
        <v>#DIV/0!</v>
      </c>
      <c r="AB90" s="60" t="e">
        <f t="shared" si="47"/>
        <v>#DIV/0!</v>
      </c>
      <c r="AC90" s="60" t="e">
        <f t="shared" si="48"/>
        <v>#DIV/0!</v>
      </c>
      <c r="AD90" s="60" t="e">
        <f t="shared" si="49"/>
        <v>#DIV/0!</v>
      </c>
      <c r="AE90" s="60" t="e">
        <f t="shared" si="50"/>
        <v>#DIV/0!</v>
      </c>
      <c r="AF90" s="60" t="e">
        <f t="shared" si="51"/>
        <v>#DIV/0!</v>
      </c>
      <c r="AG90" s="60" t="e">
        <f t="shared" si="52"/>
        <v>#DIV/0!</v>
      </c>
      <c r="AH90" s="60" t="e">
        <f t="shared" si="53"/>
        <v>#DIV/0!</v>
      </c>
      <c r="AI90" s="60" t="e">
        <f t="shared" si="54"/>
        <v>#DIV/0!</v>
      </c>
      <c r="AJ90" s="60" t="e">
        <f t="shared" si="55"/>
        <v>#DIV/0!</v>
      </c>
      <c r="AK90" s="60" t="e">
        <f t="shared" si="56"/>
        <v>#DIV/0!</v>
      </c>
      <c r="AL90" s="60" t="e">
        <f t="shared" si="57"/>
        <v>#DIV/0!</v>
      </c>
      <c r="AM90" s="60" t="e">
        <f t="shared" si="58"/>
        <v>#DIV/0!</v>
      </c>
      <c r="AN90" s="60" t="e">
        <f t="shared" si="60"/>
        <v>#DIV/0!</v>
      </c>
      <c r="AO90" s="61" t="e">
        <f t="shared" si="33"/>
        <v>#DIV/0!</v>
      </c>
      <c r="AP90" s="61" t="e">
        <f t="shared" si="59"/>
        <v>#DIV/0!</v>
      </c>
      <c r="AQ90" s="61" t="e">
        <f t="shared" si="59"/>
        <v>#DIV/0!</v>
      </c>
      <c r="AR90" s="61" t="e">
        <f t="shared" si="59"/>
        <v>#DIV/0!</v>
      </c>
      <c r="AS90" s="61" t="e">
        <f t="shared" si="59"/>
        <v>#DIV/0!</v>
      </c>
      <c r="AT90" s="61" t="e">
        <f t="shared" si="59"/>
        <v>#DIV/0!</v>
      </c>
      <c r="AU90" s="61" t="e">
        <f t="shared" si="59"/>
        <v>#DIV/0!</v>
      </c>
      <c r="AV90" s="61" t="e">
        <f t="shared" si="59"/>
        <v>#DIV/0!</v>
      </c>
      <c r="AW90" s="61" t="e">
        <f t="shared" si="59"/>
        <v>#DIV/0!</v>
      </c>
      <c r="AX90" s="61" t="e">
        <f t="shared" si="59"/>
        <v>#DIV/0!</v>
      </c>
      <c r="AY90" s="61" t="e">
        <f t="shared" si="59"/>
        <v>#DIV/0!</v>
      </c>
      <c r="AZ90" s="61" t="e">
        <f t="shared" si="59"/>
        <v>#DIV/0!</v>
      </c>
      <c r="BA90" s="61" t="e">
        <f t="shared" si="59"/>
        <v>#DIV/0!</v>
      </c>
      <c r="BB90" s="60" t="e">
        <f>Links!AF90</f>
        <v>#DIV/0!</v>
      </c>
      <c r="BC90" s="60" t="e">
        <f>(Links!AG90*Links!C90+'On-Ramps'!AC90*'On-Ramps'!CE90)/('On-Ramps'!AC90+Links!C90)</f>
        <v>#DIV/0!</v>
      </c>
      <c r="BD90" s="60" t="e">
        <f>Links!AH90</f>
        <v>#DIV/0!</v>
      </c>
      <c r="BE90" s="60" t="e">
        <f>(Links!AI90*Links!E90+'On-Ramps'!AD90*'On-Ramps'!CF89)/('On-Ramps'!AD90+Links!E90)</f>
        <v>#DIV/0!</v>
      </c>
      <c r="BF90" s="60" t="e">
        <f>(Links!F90*Links!AJ90+'On-Ramps'!AE90*'On-Ramps'!CG90)/('On-Ramps'!AE90+Links!F90)</f>
        <v>#DIV/0!</v>
      </c>
      <c r="BG90" s="60" t="e">
        <f>(Links!G90*Links!AK90+'On-Ramps'!AF90*'On-Ramps'!CH90)/('On-Ramps'!AF90+Links!G90)</f>
        <v>#DIV/0!</v>
      </c>
      <c r="BH90" s="60" t="e">
        <f>(Links!H90*Links!AL90+'On-Ramps'!AG90*'On-Ramps'!CI90)/('On-Ramps'!AG90+Links!H90)</f>
        <v>#DIV/0!</v>
      </c>
      <c r="BI90" s="60" t="e">
        <f>(Links!J90*Links!AN90+'On-Ramps'!AH90*'On-Ramps'!CJ90)/('On-Ramps'!AH90+Links!J90)</f>
        <v>#DIV/0!</v>
      </c>
      <c r="BJ90" s="60" t="e">
        <f>(Links!K90*Links!AO90+'On-Ramps'!AI90*'On-Ramps'!CK90)/('On-Ramps'!AI90+Links!K90)</f>
        <v>#DIV/0!</v>
      </c>
      <c r="BK90" s="60" t="e">
        <f>(Links!L90*Links!AP90+'On-Ramps'!AJ90*'On-Ramps'!CL90)/(Links!L90+'On-Ramps'!AJ90)</f>
        <v>#DIV/0!</v>
      </c>
      <c r="BL90" s="60" t="e">
        <f>Links!AQ90</f>
        <v>#DIV/0!</v>
      </c>
      <c r="BM90" s="60" t="e">
        <f>(Links!N90*Links!AR90+'On-Ramps'!AL90*'On-Ramps'!CM90)/(Links!N90+'On-Ramps'!AL90)</f>
        <v>#DIV/0!</v>
      </c>
      <c r="BN90" s="60" t="e">
        <f>Links!AS90</f>
        <v>#DIV/0!</v>
      </c>
      <c r="BO90" s="61" t="e">
        <f>(Links!R90^2+'Off-Ramp'!L90^2)/(Links!R90+'Off-Ramp'!L90)</f>
        <v>#DIV/0!</v>
      </c>
      <c r="BP90" s="61" t="e">
        <f>Links!S90</f>
        <v>#DIV/0!</v>
      </c>
      <c r="BQ90" s="61" t="e">
        <f>(Links!S90^2+'Off-Ramp'!C90^2)/(Links!S90+'Off-Ramp'!C90)</f>
        <v>#DIV/0!</v>
      </c>
      <c r="BR90" s="61" t="e">
        <f>Links!T90</f>
        <v>#DIV/0!</v>
      </c>
      <c r="BS90" s="61" t="e">
        <f>(Links!U90^2+'Off-Ramp'!N90^2)/(Links!U90+'Off-Ramp'!N90)</f>
        <v>#DIV/0!</v>
      </c>
      <c r="BT90" s="61" t="e">
        <f>(Links!V90^2+'Off-Ramp'!O90^2)/(Links!V90+'Off-Ramp'!O90)</f>
        <v>#DIV/0!</v>
      </c>
      <c r="BU90" s="61" t="e">
        <f>(Links!W90^2+'Off-Ramp'!P90^2)/(Links!W90+'Off-Ramp'!P90)</f>
        <v>#DIV/0!</v>
      </c>
      <c r="BV90" s="61" t="e">
        <f>(Links!Y90^2+'Off-Ramp'!Q90^2)/(Links!Y90+'Off-Ramp'!Q90)</f>
        <v>#DIV/0!</v>
      </c>
      <c r="BW90" s="61" t="e">
        <f>(Links!Z90^2+'Off-Ramp'!R90^2)/(Links!Z90+'Off-Ramp'!R90)</f>
        <v>#DIV/0!</v>
      </c>
      <c r="BX90" s="61" t="e">
        <f>(Links!AA90+'Off-Ramp'!S90)/(Links!AA90^2+'Off-Ramp'!S90^2)</f>
        <v>#DIV/0!</v>
      </c>
      <c r="BY90" s="61" t="e">
        <f>(Links!AB90^2+'Off-Ramp'!T90^2)/(Links!AB90+'Off-Ramp'!T90)</f>
        <v>#DIV/0!</v>
      </c>
      <c r="BZ90" s="61" t="e">
        <f>Links!AC90</f>
        <v>#DIV/0!</v>
      </c>
      <c r="CA90" s="61" t="e">
        <f>(Links!AD90^2+'Off-Ramp'!U90^2)/(Links!AD90+'Off-Ramp'!U90)</f>
        <v>#DIV/0!</v>
      </c>
    </row>
    <row r="91" spans="1:79" x14ac:dyDescent="0.15">
      <c r="A91" s="59">
        <v>89</v>
      </c>
      <c r="B91" s="60" t="e">
        <f t="shared" si="34"/>
        <v>#DIV/0!</v>
      </c>
      <c r="C91" s="60" t="e">
        <f t="shared" si="35"/>
        <v>#DIV/0!</v>
      </c>
      <c r="D91" s="60" t="e">
        <f t="shared" si="36"/>
        <v>#DIV/0!</v>
      </c>
      <c r="E91" s="60" t="e">
        <f t="shared" si="37"/>
        <v>#DIV/0!</v>
      </c>
      <c r="F91" s="60" t="e">
        <f t="shared" si="38"/>
        <v>#DIV/0!</v>
      </c>
      <c r="G91" s="60" t="e">
        <f t="shared" si="39"/>
        <v>#DIV/0!</v>
      </c>
      <c r="H91" s="60" t="e">
        <f t="shared" si="40"/>
        <v>#DIV/0!</v>
      </c>
      <c r="I91" s="60" t="e">
        <f t="shared" si="41"/>
        <v>#DIV/0!</v>
      </c>
      <c r="J91" s="60" t="e">
        <f t="shared" si="42"/>
        <v>#DIV/0!</v>
      </c>
      <c r="K91" s="60" t="e">
        <f t="shared" si="43"/>
        <v>#DIV/0!</v>
      </c>
      <c r="L91" s="60" t="e">
        <f t="shared" si="44"/>
        <v>#DIV/0!</v>
      </c>
      <c r="M91" s="60" t="e">
        <f t="shared" si="45"/>
        <v>#DIV/0!</v>
      </c>
      <c r="N91" s="60" t="e">
        <f t="shared" si="46"/>
        <v>#DIV/0!</v>
      </c>
      <c r="O91" s="61" t="e">
        <f>Links!B91</f>
        <v>#DIV/0!</v>
      </c>
      <c r="P91" s="61" t="e">
        <f>Links!C91+'On-Ramps'!AC91</f>
        <v>#DIV/0!</v>
      </c>
      <c r="Q91" s="61" t="e">
        <f>Links!D91</f>
        <v>#DIV/0!</v>
      </c>
      <c r="R91" s="61" t="e">
        <f>Links!E91+'On-Ramps'!AD91</f>
        <v>#DIV/0!</v>
      </c>
      <c r="S91" s="61" t="e">
        <f>Links!F91+'On-Ramps'!AE91</f>
        <v>#DIV/0!</v>
      </c>
      <c r="T91" s="61" t="e">
        <f>Links!G91+'On-Ramps'!AF91</f>
        <v>#DIV/0!</v>
      </c>
      <c r="U91" s="61" t="e">
        <f>Links!H91+'On-Ramps'!AG91</f>
        <v>#DIV/0!</v>
      </c>
      <c r="V91" s="61" t="e">
        <f>Links!J91+'On-Ramps'!AH91</f>
        <v>#DIV/0!</v>
      </c>
      <c r="W91" s="61" t="e">
        <f>Links!K91+'On-Ramps'!AI91</f>
        <v>#DIV/0!</v>
      </c>
      <c r="X91" s="61" t="e">
        <f>Links!L91+'On-Ramps'!AJ91</f>
        <v>#DIV/0!</v>
      </c>
      <c r="Y91" s="61" t="e">
        <f>Links!M91</f>
        <v>#DIV/0!</v>
      </c>
      <c r="Z91" s="61" t="e">
        <f>Links!N91+'On-Ramps'!AK91</f>
        <v>#DIV/0!</v>
      </c>
      <c r="AA91" s="61" t="e">
        <f>Links!O91</f>
        <v>#DIV/0!</v>
      </c>
      <c r="AB91" s="60" t="e">
        <f t="shared" si="47"/>
        <v>#DIV/0!</v>
      </c>
      <c r="AC91" s="60" t="e">
        <f t="shared" si="48"/>
        <v>#DIV/0!</v>
      </c>
      <c r="AD91" s="60" t="e">
        <f t="shared" si="49"/>
        <v>#DIV/0!</v>
      </c>
      <c r="AE91" s="60" t="e">
        <f t="shared" si="50"/>
        <v>#DIV/0!</v>
      </c>
      <c r="AF91" s="60" t="e">
        <f t="shared" si="51"/>
        <v>#DIV/0!</v>
      </c>
      <c r="AG91" s="60" t="e">
        <f t="shared" si="52"/>
        <v>#DIV/0!</v>
      </c>
      <c r="AH91" s="60" t="e">
        <f t="shared" si="53"/>
        <v>#DIV/0!</v>
      </c>
      <c r="AI91" s="60" t="e">
        <f t="shared" si="54"/>
        <v>#DIV/0!</v>
      </c>
      <c r="AJ91" s="60" t="e">
        <f t="shared" si="55"/>
        <v>#DIV/0!</v>
      </c>
      <c r="AK91" s="60" t="e">
        <f t="shared" si="56"/>
        <v>#DIV/0!</v>
      </c>
      <c r="AL91" s="60" t="e">
        <f t="shared" si="57"/>
        <v>#DIV/0!</v>
      </c>
      <c r="AM91" s="60" t="e">
        <f t="shared" si="58"/>
        <v>#DIV/0!</v>
      </c>
      <c r="AN91" s="60" t="e">
        <f t="shared" si="60"/>
        <v>#DIV/0!</v>
      </c>
      <c r="AO91" s="61" t="e">
        <f t="shared" si="33"/>
        <v>#DIV/0!</v>
      </c>
      <c r="AP91" s="61" t="e">
        <f t="shared" si="59"/>
        <v>#DIV/0!</v>
      </c>
      <c r="AQ91" s="61" t="e">
        <f t="shared" si="59"/>
        <v>#DIV/0!</v>
      </c>
      <c r="AR91" s="61" t="e">
        <f t="shared" si="59"/>
        <v>#DIV/0!</v>
      </c>
      <c r="AS91" s="61" t="e">
        <f t="shared" si="59"/>
        <v>#DIV/0!</v>
      </c>
      <c r="AT91" s="61" t="e">
        <f t="shared" si="59"/>
        <v>#DIV/0!</v>
      </c>
      <c r="AU91" s="61" t="e">
        <f t="shared" si="59"/>
        <v>#DIV/0!</v>
      </c>
      <c r="AV91" s="61" t="e">
        <f t="shared" si="59"/>
        <v>#DIV/0!</v>
      </c>
      <c r="AW91" s="61" t="e">
        <f t="shared" si="59"/>
        <v>#DIV/0!</v>
      </c>
      <c r="AX91" s="61" t="e">
        <f t="shared" si="59"/>
        <v>#DIV/0!</v>
      </c>
      <c r="AY91" s="61" t="e">
        <f t="shared" si="59"/>
        <v>#DIV/0!</v>
      </c>
      <c r="AZ91" s="61" t="e">
        <f t="shared" si="59"/>
        <v>#DIV/0!</v>
      </c>
      <c r="BA91" s="61" t="e">
        <f t="shared" si="59"/>
        <v>#DIV/0!</v>
      </c>
      <c r="BB91" s="60" t="e">
        <f>Links!AF91</f>
        <v>#DIV/0!</v>
      </c>
      <c r="BC91" s="60" t="e">
        <f>(Links!AG91*Links!C91+'On-Ramps'!AC91*'On-Ramps'!CE91)/('On-Ramps'!AC91+Links!C91)</f>
        <v>#DIV/0!</v>
      </c>
      <c r="BD91" s="60" t="e">
        <f>Links!AH91</f>
        <v>#DIV/0!</v>
      </c>
      <c r="BE91" s="60" t="e">
        <f>(Links!AI91*Links!E91+'On-Ramps'!AD91*'On-Ramps'!CF90)/('On-Ramps'!AD91+Links!E91)</f>
        <v>#DIV/0!</v>
      </c>
      <c r="BF91" s="60" t="e">
        <f>(Links!F91*Links!AJ91+'On-Ramps'!AE91*'On-Ramps'!CG91)/('On-Ramps'!AE91+Links!F91)</f>
        <v>#DIV/0!</v>
      </c>
      <c r="BG91" s="60" t="e">
        <f>(Links!G91*Links!AK91+'On-Ramps'!AF91*'On-Ramps'!CH91)/('On-Ramps'!AF91+Links!G91)</f>
        <v>#DIV/0!</v>
      </c>
      <c r="BH91" s="60" t="e">
        <f>(Links!H91*Links!AL91+'On-Ramps'!AG91*'On-Ramps'!CI91)/('On-Ramps'!AG91+Links!H91)</f>
        <v>#DIV/0!</v>
      </c>
      <c r="BI91" s="60" t="e">
        <f>(Links!J91*Links!AN91+'On-Ramps'!AH91*'On-Ramps'!CJ91)/('On-Ramps'!AH91+Links!J91)</f>
        <v>#DIV/0!</v>
      </c>
      <c r="BJ91" s="60" t="e">
        <f>(Links!K91*Links!AO91+'On-Ramps'!AI91*'On-Ramps'!CK91)/('On-Ramps'!AI91+Links!K91)</f>
        <v>#DIV/0!</v>
      </c>
      <c r="BK91" s="60" t="e">
        <f>(Links!L91*Links!AP91+'On-Ramps'!AJ91*'On-Ramps'!CL91)/(Links!L91+'On-Ramps'!AJ91)</f>
        <v>#DIV/0!</v>
      </c>
      <c r="BL91" s="60" t="e">
        <f>Links!AQ91</f>
        <v>#DIV/0!</v>
      </c>
      <c r="BM91" s="60" t="e">
        <f>(Links!N91*Links!AR91+'On-Ramps'!AL91*'On-Ramps'!CM91)/(Links!N91+'On-Ramps'!AL91)</f>
        <v>#DIV/0!</v>
      </c>
      <c r="BN91" s="60" t="e">
        <f>Links!AS91</f>
        <v>#DIV/0!</v>
      </c>
      <c r="BO91" s="61" t="e">
        <f>(Links!R91^2+'Off-Ramp'!L91^2)/(Links!R91+'Off-Ramp'!L91)</f>
        <v>#DIV/0!</v>
      </c>
      <c r="BP91" s="61" t="e">
        <f>Links!S91</f>
        <v>#DIV/0!</v>
      </c>
      <c r="BQ91" s="61" t="e">
        <f>(Links!S91^2+'Off-Ramp'!C91^2)/(Links!S91+'Off-Ramp'!C91)</f>
        <v>#DIV/0!</v>
      </c>
      <c r="BR91" s="61" t="e">
        <f>Links!T91</f>
        <v>#DIV/0!</v>
      </c>
      <c r="BS91" s="61" t="e">
        <f>(Links!U91^2+'Off-Ramp'!N91^2)/(Links!U91+'Off-Ramp'!N91)</f>
        <v>#DIV/0!</v>
      </c>
      <c r="BT91" s="61" t="e">
        <f>(Links!V91^2+'Off-Ramp'!O91^2)/(Links!V91+'Off-Ramp'!O91)</f>
        <v>#DIV/0!</v>
      </c>
      <c r="BU91" s="61" t="e">
        <f>(Links!W91^2+'Off-Ramp'!P91^2)/(Links!W91+'Off-Ramp'!P91)</f>
        <v>#DIV/0!</v>
      </c>
      <c r="BV91" s="61" t="e">
        <f>(Links!Y91^2+'Off-Ramp'!Q91^2)/(Links!Y91+'Off-Ramp'!Q91)</f>
        <v>#DIV/0!</v>
      </c>
      <c r="BW91" s="61" t="e">
        <f>(Links!Z91^2+'Off-Ramp'!R91^2)/(Links!Z91+'Off-Ramp'!R91)</f>
        <v>#DIV/0!</v>
      </c>
      <c r="BX91" s="61" t="e">
        <f>(Links!AA91+'Off-Ramp'!S91)/(Links!AA91^2+'Off-Ramp'!S91^2)</f>
        <v>#DIV/0!</v>
      </c>
      <c r="BY91" s="61" t="e">
        <f>(Links!AB91^2+'Off-Ramp'!T91^2)/(Links!AB91+'Off-Ramp'!T91)</f>
        <v>#DIV/0!</v>
      </c>
      <c r="BZ91" s="61" t="e">
        <f>Links!AC91</f>
        <v>#DIV/0!</v>
      </c>
      <c r="CA91" s="61" t="e">
        <f>(Links!AD91^2+'Off-Ramp'!U91^2)/(Links!AD91+'Off-Ramp'!U91)</f>
        <v>#DIV/0!</v>
      </c>
    </row>
    <row r="92" spans="1:79" x14ac:dyDescent="0.15">
      <c r="A92" s="59">
        <v>90</v>
      </c>
      <c r="B92" s="60" t="e">
        <f t="shared" si="34"/>
        <v>#DIV/0!</v>
      </c>
      <c r="C92" s="60" t="e">
        <f t="shared" si="35"/>
        <v>#DIV/0!</v>
      </c>
      <c r="D92" s="60" t="e">
        <f t="shared" si="36"/>
        <v>#DIV/0!</v>
      </c>
      <c r="E92" s="60" t="e">
        <f t="shared" si="37"/>
        <v>#DIV/0!</v>
      </c>
      <c r="F92" s="60" t="e">
        <f t="shared" si="38"/>
        <v>#DIV/0!</v>
      </c>
      <c r="G92" s="60" t="e">
        <f t="shared" si="39"/>
        <v>#DIV/0!</v>
      </c>
      <c r="H92" s="60" t="e">
        <f t="shared" si="40"/>
        <v>#DIV/0!</v>
      </c>
      <c r="I92" s="60" t="e">
        <f t="shared" si="41"/>
        <v>#DIV/0!</v>
      </c>
      <c r="J92" s="60" t="e">
        <f t="shared" si="42"/>
        <v>#DIV/0!</v>
      </c>
      <c r="K92" s="60" t="e">
        <f t="shared" si="43"/>
        <v>#DIV/0!</v>
      </c>
      <c r="L92" s="60" t="e">
        <f t="shared" si="44"/>
        <v>#DIV/0!</v>
      </c>
      <c r="M92" s="60" t="e">
        <f t="shared" si="45"/>
        <v>#DIV/0!</v>
      </c>
      <c r="N92" s="60" t="e">
        <f t="shared" si="46"/>
        <v>#DIV/0!</v>
      </c>
      <c r="O92" s="61" t="e">
        <f>Links!B92</f>
        <v>#DIV/0!</v>
      </c>
      <c r="P92" s="61" t="e">
        <f>Links!C92+'On-Ramps'!AC92</f>
        <v>#DIV/0!</v>
      </c>
      <c r="Q92" s="61" t="e">
        <f>Links!D92</f>
        <v>#DIV/0!</v>
      </c>
      <c r="R92" s="61" t="e">
        <f>Links!E92+'On-Ramps'!AD92</f>
        <v>#DIV/0!</v>
      </c>
      <c r="S92" s="61" t="e">
        <f>Links!F92+'On-Ramps'!AE92</f>
        <v>#DIV/0!</v>
      </c>
      <c r="T92" s="61" t="e">
        <f>Links!G92+'On-Ramps'!AF92</f>
        <v>#DIV/0!</v>
      </c>
      <c r="U92" s="61" t="e">
        <f>Links!H92+'On-Ramps'!AG92</f>
        <v>#DIV/0!</v>
      </c>
      <c r="V92" s="61" t="e">
        <f>Links!J92+'On-Ramps'!AH92</f>
        <v>#DIV/0!</v>
      </c>
      <c r="W92" s="61" t="e">
        <f>Links!K92+'On-Ramps'!AI92</f>
        <v>#DIV/0!</v>
      </c>
      <c r="X92" s="61" t="e">
        <f>Links!L92+'On-Ramps'!AJ92</f>
        <v>#DIV/0!</v>
      </c>
      <c r="Y92" s="61" t="e">
        <f>Links!M92</f>
        <v>#DIV/0!</v>
      </c>
      <c r="Z92" s="61" t="e">
        <f>Links!N92+'On-Ramps'!AK92</f>
        <v>#DIV/0!</v>
      </c>
      <c r="AA92" s="61" t="e">
        <f>Links!O92</f>
        <v>#DIV/0!</v>
      </c>
      <c r="AB92" s="60" t="e">
        <f t="shared" si="47"/>
        <v>#DIV/0!</v>
      </c>
      <c r="AC92" s="60" t="e">
        <f t="shared" si="48"/>
        <v>#DIV/0!</v>
      </c>
      <c r="AD92" s="60" t="e">
        <f t="shared" si="49"/>
        <v>#DIV/0!</v>
      </c>
      <c r="AE92" s="60" t="e">
        <f t="shared" si="50"/>
        <v>#DIV/0!</v>
      </c>
      <c r="AF92" s="60" t="e">
        <f t="shared" si="51"/>
        <v>#DIV/0!</v>
      </c>
      <c r="AG92" s="60" t="e">
        <f t="shared" si="52"/>
        <v>#DIV/0!</v>
      </c>
      <c r="AH92" s="60" t="e">
        <f t="shared" si="53"/>
        <v>#DIV/0!</v>
      </c>
      <c r="AI92" s="60" t="e">
        <f t="shared" si="54"/>
        <v>#DIV/0!</v>
      </c>
      <c r="AJ92" s="60" t="e">
        <f t="shared" si="55"/>
        <v>#DIV/0!</v>
      </c>
      <c r="AK92" s="60" t="e">
        <f t="shared" si="56"/>
        <v>#DIV/0!</v>
      </c>
      <c r="AL92" s="60" t="e">
        <f t="shared" si="57"/>
        <v>#DIV/0!</v>
      </c>
      <c r="AM92" s="60" t="e">
        <f t="shared" si="58"/>
        <v>#DIV/0!</v>
      </c>
      <c r="AN92" s="60" t="e">
        <f t="shared" si="60"/>
        <v>#DIV/0!</v>
      </c>
      <c r="AO92" s="61" t="e">
        <f t="shared" si="33"/>
        <v>#DIV/0!</v>
      </c>
      <c r="AP92" s="61" t="e">
        <f t="shared" si="59"/>
        <v>#DIV/0!</v>
      </c>
      <c r="AQ92" s="61" t="e">
        <f t="shared" si="59"/>
        <v>#DIV/0!</v>
      </c>
      <c r="AR92" s="61" t="e">
        <f t="shared" si="59"/>
        <v>#DIV/0!</v>
      </c>
      <c r="AS92" s="61" t="e">
        <f t="shared" si="59"/>
        <v>#DIV/0!</v>
      </c>
      <c r="AT92" s="61" t="e">
        <f t="shared" si="59"/>
        <v>#DIV/0!</v>
      </c>
      <c r="AU92" s="61" t="e">
        <f t="shared" si="59"/>
        <v>#DIV/0!</v>
      </c>
      <c r="AV92" s="61" t="e">
        <f t="shared" si="59"/>
        <v>#DIV/0!</v>
      </c>
      <c r="AW92" s="61" t="e">
        <f t="shared" si="59"/>
        <v>#DIV/0!</v>
      </c>
      <c r="AX92" s="61" t="e">
        <f t="shared" si="59"/>
        <v>#DIV/0!</v>
      </c>
      <c r="AY92" s="61" t="e">
        <f t="shared" si="59"/>
        <v>#DIV/0!</v>
      </c>
      <c r="AZ92" s="61" t="e">
        <f t="shared" si="59"/>
        <v>#DIV/0!</v>
      </c>
      <c r="BA92" s="61" t="e">
        <f t="shared" si="59"/>
        <v>#DIV/0!</v>
      </c>
      <c r="BB92" s="60" t="e">
        <f>Links!AF92</f>
        <v>#DIV/0!</v>
      </c>
      <c r="BC92" s="60" t="e">
        <f>(Links!AG92*Links!C92+'On-Ramps'!AC92*'On-Ramps'!CE92)/('On-Ramps'!AC92+Links!C92)</f>
        <v>#DIV/0!</v>
      </c>
      <c r="BD92" s="60" t="e">
        <f>Links!AH92</f>
        <v>#DIV/0!</v>
      </c>
      <c r="BE92" s="60" t="e">
        <f>(Links!AI92*Links!E92+'On-Ramps'!AD92*'On-Ramps'!CF91)/('On-Ramps'!AD92+Links!E92)</f>
        <v>#DIV/0!</v>
      </c>
      <c r="BF92" s="60" t="e">
        <f>(Links!F92*Links!AJ92+'On-Ramps'!AE92*'On-Ramps'!CG92)/('On-Ramps'!AE92+Links!F92)</f>
        <v>#DIV/0!</v>
      </c>
      <c r="BG92" s="60" t="e">
        <f>(Links!G92*Links!AK92+'On-Ramps'!AF92*'On-Ramps'!CH92)/('On-Ramps'!AF92+Links!G92)</f>
        <v>#DIV/0!</v>
      </c>
      <c r="BH92" s="60" t="e">
        <f>(Links!H92*Links!AL92+'On-Ramps'!AG92*'On-Ramps'!CI92)/('On-Ramps'!AG92+Links!H92)</f>
        <v>#DIV/0!</v>
      </c>
      <c r="BI92" s="60" t="e">
        <f>(Links!J92*Links!AN92+'On-Ramps'!AH92*'On-Ramps'!CJ92)/('On-Ramps'!AH92+Links!J92)</f>
        <v>#DIV/0!</v>
      </c>
      <c r="BJ92" s="60" t="e">
        <f>(Links!K92*Links!AO92+'On-Ramps'!AI92*'On-Ramps'!CK92)/('On-Ramps'!AI92+Links!K92)</f>
        <v>#DIV/0!</v>
      </c>
      <c r="BK92" s="60" t="e">
        <f>(Links!L92*Links!AP92+'On-Ramps'!AJ92*'On-Ramps'!CL92)/(Links!L92+'On-Ramps'!AJ92)</f>
        <v>#DIV/0!</v>
      </c>
      <c r="BL92" s="60" t="e">
        <f>Links!AQ92</f>
        <v>#DIV/0!</v>
      </c>
      <c r="BM92" s="60" t="e">
        <f>(Links!N92*Links!AR92+'On-Ramps'!AL92*'On-Ramps'!CM92)/(Links!N92+'On-Ramps'!AL92)</f>
        <v>#DIV/0!</v>
      </c>
      <c r="BN92" s="60" t="e">
        <f>Links!AS92</f>
        <v>#DIV/0!</v>
      </c>
      <c r="BO92" s="61" t="e">
        <f>(Links!R92^2+'Off-Ramp'!L92^2)/(Links!R92+'Off-Ramp'!L92)</f>
        <v>#DIV/0!</v>
      </c>
      <c r="BP92" s="61" t="e">
        <f>Links!S92</f>
        <v>#DIV/0!</v>
      </c>
      <c r="BQ92" s="61" t="e">
        <f>(Links!S92^2+'Off-Ramp'!C92^2)/(Links!S92+'Off-Ramp'!C92)</f>
        <v>#DIV/0!</v>
      </c>
      <c r="BR92" s="61" t="e">
        <f>Links!T92</f>
        <v>#DIV/0!</v>
      </c>
      <c r="BS92" s="61" t="e">
        <f>(Links!U92^2+'Off-Ramp'!N92^2)/(Links!U92+'Off-Ramp'!N92)</f>
        <v>#DIV/0!</v>
      </c>
      <c r="BT92" s="61" t="e">
        <f>(Links!V92^2+'Off-Ramp'!O92^2)/(Links!V92+'Off-Ramp'!O92)</f>
        <v>#DIV/0!</v>
      </c>
      <c r="BU92" s="61" t="e">
        <f>(Links!W92^2+'Off-Ramp'!P92^2)/(Links!W92+'Off-Ramp'!P92)</f>
        <v>#DIV/0!</v>
      </c>
      <c r="BV92" s="61" t="e">
        <f>(Links!Y92^2+'Off-Ramp'!Q92^2)/(Links!Y92+'Off-Ramp'!Q92)</f>
        <v>#DIV/0!</v>
      </c>
      <c r="BW92" s="61" t="e">
        <f>(Links!Z92^2+'Off-Ramp'!R92^2)/(Links!Z92+'Off-Ramp'!R92)</f>
        <v>#DIV/0!</v>
      </c>
      <c r="BX92" s="61" t="e">
        <f>(Links!AA92+'Off-Ramp'!S92)/(Links!AA92^2+'Off-Ramp'!S92^2)</f>
        <v>#DIV/0!</v>
      </c>
      <c r="BY92" s="61" t="e">
        <f>(Links!AB92^2+'Off-Ramp'!T92^2)/(Links!AB92+'Off-Ramp'!T92)</f>
        <v>#DIV/0!</v>
      </c>
      <c r="BZ92" s="61" t="e">
        <f>Links!AC92</f>
        <v>#DIV/0!</v>
      </c>
      <c r="CA92" s="61" t="e">
        <f>(Links!AD92^2+'Off-Ramp'!U92^2)/(Links!AD92+'Off-Ramp'!U92)</f>
        <v>#DIV/0!</v>
      </c>
    </row>
    <row r="93" spans="1:79" x14ac:dyDescent="0.15">
      <c r="A93" s="59">
        <v>91</v>
      </c>
      <c r="B93" s="60" t="e">
        <f t="shared" si="34"/>
        <v>#DIV/0!</v>
      </c>
      <c r="C93" s="60" t="e">
        <f t="shared" si="35"/>
        <v>#DIV/0!</v>
      </c>
      <c r="D93" s="60" t="e">
        <f t="shared" si="36"/>
        <v>#DIV/0!</v>
      </c>
      <c r="E93" s="60" t="e">
        <f t="shared" si="37"/>
        <v>#DIV/0!</v>
      </c>
      <c r="F93" s="60" t="e">
        <f t="shared" si="38"/>
        <v>#DIV/0!</v>
      </c>
      <c r="G93" s="60" t="e">
        <f t="shared" si="39"/>
        <v>#DIV/0!</v>
      </c>
      <c r="H93" s="60" t="e">
        <f t="shared" si="40"/>
        <v>#DIV/0!</v>
      </c>
      <c r="I93" s="60" t="e">
        <f t="shared" si="41"/>
        <v>#DIV/0!</v>
      </c>
      <c r="J93" s="60" t="e">
        <f t="shared" si="42"/>
        <v>#DIV/0!</v>
      </c>
      <c r="K93" s="60" t="e">
        <f t="shared" si="43"/>
        <v>#DIV/0!</v>
      </c>
      <c r="L93" s="60" t="e">
        <f t="shared" si="44"/>
        <v>#DIV/0!</v>
      </c>
      <c r="M93" s="60" t="e">
        <f t="shared" si="45"/>
        <v>#DIV/0!</v>
      </c>
      <c r="N93" s="60" t="e">
        <f t="shared" si="46"/>
        <v>#DIV/0!</v>
      </c>
      <c r="O93" s="61" t="e">
        <f>Links!B93</f>
        <v>#DIV/0!</v>
      </c>
      <c r="P93" s="61" t="e">
        <f>Links!C93+'On-Ramps'!AC93</f>
        <v>#DIV/0!</v>
      </c>
      <c r="Q93" s="61" t="e">
        <f>Links!D93</f>
        <v>#DIV/0!</v>
      </c>
      <c r="R93" s="61" t="e">
        <f>Links!E93+'On-Ramps'!AD93</f>
        <v>#DIV/0!</v>
      </c>
      <c r="S93" s="61" t="e">
        <f>Links!F93+'On-Ramps'!AE93</f>
        <v>#DIV/0!</v>
      </c>
      <c r="T93" s="61" t="e">
        <f>Links!G93+'On-Ramps'!AF93</f>
        <v>#DIV/0!</v>
      </c>
      <c r="U93" s="61" t="e">
        <f>Links!H93+'On-Ramps'!AG93</f>
        <v>#DIV/0!</v>
      </c>
      <c r="V93" s="61" t="e">
        <f>Links!J93+'On-Ramps'!AH93</f>
        <v>#DIV/0!</v>
      </c>
      <c r="W93" s="61" t="e">
        <f>Links!K93+'On-Ramps'!AI93</f>
        <v>#DIV/0!</v>
      </c>
      <c r="X93" s="61" t="e">
        <f>Links!L93+'On-Ramps'!AJ93</f>
        <v>#DIV/0!</v>
      </c>
      <c r="Y93" s="61" t="e">
        <f>Links!M93</f>
        <v>#DIV/0!</v>
      </c>
      <c r="Z93" s="61" t="e">
        <f>Links!N93+'On-Ramps'!AK93</f>
        <v>#DIV/0!</v>
      </c>
      <c r="AA93" s="61" t="e">
        <f>Links!O93</f>
        <v>#DIV/0!</v>
      </c>
      <c r="AB93" s="60" t="e">
        <f t="shared" si="47"/>
        <v>#DIV/0!</v>
      </c>
      <c r="AC93" s="60" t="e">
        <f t="shared" si="48"/>
        <v>#DIV/0!</v>
      </c>
      <c r="AD93" s="60" t="e">
        <f t="shared" si="49"/>
        <v>#DIV/0!</v>
      </c>
      <c r="AE93" s="60" t="e">
        <f t="shared" si="50"/>
        <v>#DIV/0!</v>
      </c>
      <c r="AF93" s="60" t="e">
        <f t="shared" si="51"/>
        <v>#DIV/0!</v>
      </c>
      <c r="AG93" s="60" t="e">
        <f t="shared" si="52"/>
        <v>#DIV/0!</v>
      </c>
      <c r="AH93" s="60" t="e">
        <f t="shared" si="53"/>
        <v>#DIV/0!</v>
      </c>
      <c r="AI93" s="60" t="e">
        <f t="shared" si="54"/>
        <v>#DIV/0!</v>
      </c>
      <c r="AJ93" s="60" t="e">
        <f t="shared" si="55"/>
        <v>#DIV/0!</v>
      </c>
      <c r="AK93" s="60" t="e">
        <f t="shared" si="56"/>
        <v>#DIV/0!</v>
      </c>
      <c r="AL93" s="60" t="e">
        <f t="shared" si="57"/>
        <v>#DIV/0!</v>
      </c>
      <c r="AM93" s="60" t="e">
        <f t="shared" si="58"/>
        <v>#DIV/0!</v>
      </c>
      <c r="AN93" s="60" t="e">
        <f t="shared" si="60"/>
        <v>#DIV/0!</v>
      </c>
      <c r="AO93" s="61" t="e">
        <f t="shared" si="33"/>
        <v>#DIV/0!</v>
      </c>
      <c r="AP93" s="61" t="e">
        <f t="shared" si="59"/>
        <v>#DIV/0!</v>
      </c>
      <c r="AQ93" s="61" t="e">
        <f t="shared" si="59"/>
        <v>#DIV/0!</v>
      </c>
      <c r="AR93" s="61" t="e">
        <f t="shared" si="59"/>
        <v>#DIV/0!</v>
      </c>
      <c r="AS93" s="61" t="e">
        <f t="shared" si="59"/>
        <v>#DIV/0!</v>
      </c>
      <c r="AT93" s="61" t="e">
        <f t="shared" si="59"/>
        <v>#DIV/0!</v>
      </c>
      <c r="AU93" s="61" t="e">
        <f t="shared" si="59"/>
        <v>#DIV/0!</v>
      </c>
      <c r="AV93" s="61" t="e">
        <f t="shared" si="59"/>
        <v>#DIV/0!</v>
      </c>
      <c r="AW93" s="61" t="e">
        <f t="shared" si="59"/>
        <v>#DIV/0!</v>
      </c>
      <c r="AX93" s="61" t="e">
        <f t="shared" si="59"/>
        <v>#DIV/0!</v>
      </c>
      <c r="AY93" s="61" t="e">
        <f t="shared" si="59"/>
        <v>#DIV/0!</v>
      </c>
      <c r="AZ93" s="61" t="e">
        <f t="shared" si="59"/>
        <v>#DIV/0!</v>
      </c>
      <c r="BA93" s="61" t="e">
        <f t="shared" si="59"/>
        <v>#DIV/0!</v>
      </c>
      <c r="BB93" s="60" t="e">
        <f>Links!AF93</f>
        <v>#DIV/0!</v>
      </c>
      <c r="BC93" s="60" t="e">
        <f>(Links!AG93*Links!C93+'On-Ramps'!AC93*'On-Ramps'!CE93)/('On-Ramps'!AC93+Links!C93)</f>
        <v>#DIV/0!</v>
      </c>
      <c r="BD93" s="60" t="e">
        <f>Links!AH93</f>
        <v>#DIV/0!</v>
      </c>
      <c r="BE93" s="60" t="e">
        <f>(Links!AI93*Links!E93+'On-Ramps'!AD93*'On-Ramps'!CF92)/('On-Ramps'!AD93+Links!E93)</f>
        <v>#DIV/0!</v>
      </c>
      <c r="BF93" s="60" t="e">
        <f>(Links!F93*Links!AJ93+'On-Ramps'!AE93*'On-Ramps'!CG93)/('On-Ramps'!AE93+Links!F93)</f>
        <v>#DIV/0!</v>
      </c>
      <c r="BG93" s="60" t="e">
        <f>(Links!G93*Links!AK93+'On-Ramps'!AF93*'On-Ramps'!CH93)/('On-Ramps'!AF93+Links!G93)</f>
        <v>#DIV/0!</v>
      </c>
      <c r="BH93" s="60" t="e">
        <f>(Links!H93*Links!AL93+'On-Ramps'!AG93*'On-Ramps'!CI93)/('On-Ramps'!AG93+Links!H93)</f>
        <v>#DIV/0!</v>
      </c>
      <c r="BI93" s="60" t="e">
        <f>(Links!J93*Links!AN93+'On-Ramps'!AH93*'On-Ramps'!CJ93)/('On-Ramps'!AH93+Links!J93)</f>
        <v>#DIV/0!</v>
      </c>
      <c r="BJ93" s="60" t="e">
        <f>(Links!K93*Links!AO93+'On-Ramps'!AI93*'On-Ramps'!CK93)/('On-Ramps'!AI93+Links!K93)</f>
        <v>#DIV/0!</v>
      </c>
      <c r="BK93" s="60" t="e">
        <f>(Links!L93*Links!AP93+'On-Ramps'!AJ93*'On-Ramps'!CL93)/(Links!L93+'On-Ramps'!AJ93)</f>
        <v>#DIV/0!</v>
      </c>
      <c r="BL93" s="60" t="e">
        <f>Links!AQ93</f>
        <v>#DIV/0!</v>
      </c>
      <c r="BM93" s="60" t="e">
        <f>(Links!N93*Links!AR93+'On-Ramps'!AL93*'On-Ramps'!CM93)/(Links!N93+'On-Ramps'!AL93)</f>
        <v>#DIV/0!</v>
      </c>
      <c r="BN93" s="60" t="e">
        <f>Links!AS93</f>
        <v>#DIV/0!</v>
      </c>
      <c r="BO93" s="61" t="e">
        <f>(Links!R93^2+'Off-Ramp'!L93^2)/(Links!R93+'Off-Ramp'!L93)</f>
        <v>#DIV/0!</v>
      </c>
      <c r="BP93" s="61" t="e">
        <f>Links!S93</f>
        <v>#DIV/0!</v>
      </c>
      <c r="BQ93" s="61" t="e">
        <f>(Links!S93^2+'Off-Ramp'!C93^2)/(Links!S93+'Off-Ramp'!C93)</f>
        <v>#DIV/0!</v>
      </c>
      <c r="BR93" s="61" t="e">
        <f>Links!T93</f>
        <v>#DIV/0!</v>
      </c>
      <c r="BS93" s="61" t="e">
        <f>(Links!U93^2+'Off-Ramp'!N93^2)/(Links!U93+'Off-Ramp'!N93)</f>
        <v>#DIV/0!</v>
      </c>
      <c r="BT93" s="61" t="e">
        <f>(Links!V93^2+'Off-Ramp'!O93^2)/(Links!V93+'Off-Ramp'!O93)</f>
        <v>#DIV/0!</v>
      </c>
      <c r="BU93" s="61" t="e">
        <f>(Links!W93^2+'Off-Ramp'!P93^2)/(Links!W93+'Off-Ramp'!P93)</f>
        <v>#DIV/0!</v>
      </c>
      <c r="BV93" s="61" t="e">
        <f>(Links!Y93^2+'Off-Ramp'!Q93^2)/(Links!Y93+'Off-Ramp'!Q93)</f>
        <v>#DIV/0!</v>
      </c>
      <c r="BW93" s="61" t="e">
        <f>(Links!Z93^2+'Off-Ramp'!R93^2)/(Links!Z93+'Off-Ramp'!R93)</f>
        <v>#DIV/0!</v>
      </c>
      <c r="BX93" s="61" t="e">
        <f>(Links!AA93+'Off-Ramp'!S93)/(Links!AA93^2+'Off-Ramp'!S93^2)</f>
        <v>#DIV/0!</v>
      </c>
      <c r="BY93" s="61" t="e">
        <f>(Links!AB93^2+'Off-Ramp'!T93^2)/(Links!AB93+'Off-Ramp'!T93)</f>
        <v>#DIV/0!</v>
      </c>
      <c r="BZ93" s="61" t="e">
        <f>Links!AC93</f>
        <v>#DIV/0!</v>
      </c>
      <c r="CA93" s="61" t="e">
        <f>(Links!AD93^2+'Off-Ramp'!U93^2)/(Links!AD93+'Off-Ramp'!U93)</f>
        <v>#DIV/0!</v>
      </c>
    </row>
    <row r="94" spans="1:79" x14ac:dyDescent="0.15">
      <c r="A94" s="59">
        <v>92</v>
      </c>
      <c r="B94" s="60" t="e">
        <f t="shared" si="34"/>
        <v>#DIV/0!</v>
      </c>
      <c r="C94" s="60" t="e">
        <f t="shared" si="35"/>
        <v>#DIV/0!</v>
      </c>
      <c r="D94" s="60" t="e">
        <f t="shared" si="36"/>
        <v>#DIV/0!</v>
      </c>
      <c r="E94" s="60" t="e">
        <f t="shared" si="37"/>
        <v>#DIV/0!</v>
      </c>
      <c r="F94" s="60" t="e">
        <f t="shared" si="38"/>
        <v>#DIV/0!</v>
      </c>
      <c r="G94" s="60" t="e">
        <f t="shared" si="39"/>
        <v>#DIV/0!</v>
      </c>
      <c r="H94" s="60" t="e">
        <f t="shared" si="40"/>
        <v>#DIV/0!</v>
      </c>
      <c r="I94" s="60" t="e">
        <f t="shared" si="41"/>
        <v>#DIV/0!</v>
      </c>
      <c r="J94" s="60" t="e">
        <f t="shared" si="42"/>
        <v>#DIV/0!</v>
      </c>
      <c r="K94" s="60" t="e">
        <f t="shared" si="43"/>
        <v>#DIV/0!</v>
      </c>
      <c r="L94" s="60" t="e">
        <f t="shared" si="44"/>
        <v>#DIV/0!</v>
      </c>
      <c r="M94" s="60" t="e">
        <f t="shared" si="45"/>
        <v>#DIV/0!</v>
      </c>
      <c r="N94" s="60" t="e">
        <f t="shared" si="46"/>
        <v>#DIV/0!</v>
      </c>
      <c r="O94" s="61" t="e">
        <f>Links!B94</f>
        <v>#DIV/0!</v>
      </c>
      <c r="P94" s="61" t="e">
        <f>Links!C94+'On-Ramps'!AC94</f>
        <v>#DIV/0!</v>
      </c>
      <c r="Q94" s="61" t="e">
        <f>Links!D94</f>
        <v>#DIV/0!</v>
      </c>
      <c r="R94" s="61" t="e">
        <f>Links!E94+'On-Ramps'!AD94</f>
        <v>#DIV/0!</v>
      </c>
      <c r="S94" s="61" t="e">
        <f>Links!F94+'On-Ramps'!AE94</f>
        <v>#DIV/0!</v>
      </c>
      <c r="T94" s="61" t="e">
        <f>Links!G94+'On-Ramps'!AF94</f>
        <v>#DIV/0!</v>
      </c>
      <c r="U94" s="61" t="e">
        <f>Links!H94+'On-Ramps'!AG94</f>
        <v>#DIV/0!</v>
      </c>
      <c r="V94" s="61" t="e">
        <f>Links!J94+'On-Ramps'!AH94</f>
        <v>#DIV/0!</v>
      </c>
      <c r="W94" s="61" t="e">
        <f>Links!K94+'On-Ramps'!AI94</f>
        <v>#DIV/0!</v>
      </c>
      <c r="X94" s="61" t="e">
        <f>Links!L94+'On-Ramps'!AJ94</f>
        <v>#DIV/0!</v>
      </c>
      <c r="Y94" s="61" t="e">
        <f>Links!M94</f>
        <v>#DIV/0!</v>
      </c>
      <c r="Z94" s="61" t="e">
        <f>Links!N94+'On-Ramps'!AK94</f>
        <v>#DIV/0!</v>
      </c>
      <c r="AA94" s="61" t="e">
        <f>Links!O94</f>
        <v>#DIV/0!</v>
      </c>
      <c r="AB94" s="60" t="e">
        <f t="shared" si="47"/>
        <v>#DIV/0!</v>
      </c>
      <c r="AC94" s="60" t="e">
        <f t="shared" si="48"/>
        <v>#DIV/0!</v>
      </c>
      <c r="AD94" s="60" t="e">
        <f t="shared" si="49"/>
        <v>#DIV/0!</v>
      </c>
      <c r="AE94" s="60" t="e">
        <f t="shared" si="50"/>
        <v>#DIV/0!</v>
      </c>
      <c r="AF94" s="60" t="e">
        <f t="shared" si="51"/>
        <v>#DIV/0!</v>
      </c>
      <c r="AG94" s="60" t="e">
        <f t="shared" si="52"/>
        <v>#DIV/0!</v>
      </c>
      <c r="AH94" s="60" t="e">
        <f t="shared" si="53"/>
        <v>#DIV/0!</v>
      </c>
      <c r="AI94" s="60" t="e">
        <f t="shared" si="54"/>
        <v>#DIV/0!</v>
      </c>
      <c r="AJ94" s="60" t="e">
        <f t="shared" si="55"/>
        <v>#DIV/0!</v>
      </c>
      <c r="AK94" s="60" t="e">
        <f t="shared" si="56"/>
        <v>#DIV/0!</v>
      </c>
      <c r="AL94" s="60" t="e">
        <f t="shared" si="57"/>
        <v>#DIV/0!</v>
      </c>
      <c r="AM94" s="60" t="e">
        <f t="shared" si="58"/>
        <v>#DIV/0!</v>
      </c>
      <c r="AN94" s="60" t="e">
        <f t="shared" si="60"/>
        <v>#DIV/0!</v>
      </c>
      <c r="AO94" s="61" t="e">
        <f t="shared" si="33"/>
        <v>#DIV/0!</v>
      </c>
      <c r="AP94" s="61" t="e">
        <f t="shared" si="59"/>
        <v>#DIV/0!</v>
      </c>
      <c r="AQ94" s="61" t="e">
        <f t="shared" si="59"/>
        <v>#DIV/0!</v>
      </c>
      <c r="AR94" s="61" t="e">
        <f t="shared" si="59"/>
        <v>#DIV/0!</v>
      </c>
      <c r="AS94" s="61" t="e">
        <f t="shared" si="59"/>
        <v>#DIV/0!</v>
      </c>
      <c r="AT94" s="61" t="e">
        <f t="shared" si="59"/>
        <v>#DIV/0!</v>
      </c>
      <c r="AU94" s="61" t="e">
        <f t="shared" si="59"/>
        <v>#DIV/0!</v>
      </c>
      <c r="AV94" s="61" t="e">
        <f t="shared" si="59"/>
        <v>#DIV/0!</v>
      </c>
      <c r="AW94" s="61" t="e">
        <f t="shared" si="59"/>
        <v>#DIV/0!</v>
      </c>
      <c r="AX94" s="61" t="e">
        <f t="shared" si="59"/>
        <v>#DIV/0!</v>
      </c>
      <c r="AY94" s="61" t="e">
        <f t="shared" si="59"/>
        <v>#DIV/0!</v>
      </c>
      <c r="AZ94" s="61" t="e">
        <f t="shared" si="59"/>
        <v>#DIV/0!</v>
      </c>
      <c r="BA94" s="61" t="e">
        <f t="shared" si="59"/>
        <v>#DIV/0!</v>
      </c>
      <c r="BB94" s="60" t="e">
        <f>Links!AF94</f>
        <v>#DIV/0!</v>
      </c>
      <c r="BC94" s="60" t="e">
        <f>(Links!AG94*Links!C94+'On-Ramps'!AC94*'On-Ramps'!CE94)/('On-Ramps'!AC94+Links!C94)</f>
        <v>#DIV/0!</v>
      </c>
      <c r="BD94" s="60" t="e">
        <f>Links!AH94</f>
        <v>#DIV/0!</v>
      </c>
      <c r="BE94" s="60" t="e">
        <f>(Links!AI94*Links!E94+'On-Ramps'!AD94*'On-Ramps'!CF93)/('On-Ramps'!AD94+Links!E94)</f>
        <v>#DIV/0!</v>
      </c>
      <c r="BF94" s="60" t="e">
        <f>(Links!F94*Links!AJ94+'On-Ramps'!AE94*'On-Ramps'!CG94)/('On-Ramps'!AE94+Links!F94)</f>
        <v>#DIV/0!</v>
      </c>
      <c r="BG94" s="60" t="e">
        <f>(Links!G94*Links!AK94+'On-Ramps'!AF94*'On-Ramps'!CH94)/('On-Ramps'!AF94+Links!G94)</f>
        <v>#DIV/0!</v>
      </c>
      <c r="BH94" s="60" t="e">
        <f>(Links!H94*Links!AL94+'On-Ramps'!AG94*'On-Ramps'!CI94)/('On-Ramps'!AG94+Links!H94)</f>
        <v>#DIV/0!</v>
      </c>
      <c r="BI94" s="60" t="e">
        <f>(Links!J94*Links!AN94+'On-Ramps'!AH94*'On-Ramps'!CJ94)/('On-Ramps'!AH94+Links!J94)</f>
        <v>#DIV/0!</v>
      </c>
      <c r="BJ94" s="60" t="e">
        <f>(Links!K94*Links!AO94+'On-Ramps'!AI94*'On-Ramps'!CK94)/('On-Ramps'!AI94+Links!K94)</f>
        <v>#DIV/0!</v>
      </c>
      <c r="BK94" s="60" t="e">
        <f>(Links!L94*Links!AP94+'On-Ramps'!AJ94*'On-Ramps'!CL94)/(Links!L94+'On-Ramps'!AJ94)</f>
        <v>#DIV/0!</v>
      </c>
      <c r="BL94" s="60" t="e">
        <f>Links!AQ94</f>
        <v>#DIV/0!</v>
      </c>
      <c r="BM94" s="60" t="e">
        <f>(Links!N94*Links!AR94+'On-Ramps'!AL94*'On-Ramps'!CM94)/(Links!N94+'On-Ramps'!AL94)</f>
        <v>#DIV/0!</v>
      </c>
      <c r="BN94" s="60" t="e">
        <f>Links!AS94</f>
        <v>#DIV/0!</v>
      </c>
      <c r="BO94" s="61" t="e">
        <f>(Links!R94^2+'Off-Ramp'!L94^2)/(Links!R94+'Off-Ramp'!L94)</f>
        <v>#DIV/0!</v>
      </c>
      <c r="BP94" s="61" t="e">
        <f>Links!S94</f>
        <v>#DIV/0!</v>
      </c>
      <c r="BQ94" s="61" t="e">
        <f>(Links!S94^2+'Off-Ramp'!C94^2)/(Links!S94+'Off-Ramp'!C94)</f>
        <v>#DIV/0!</v>
      </c>
      <c r="BR94" s="61" t="e">
        <f>Links!T94</f>
        <v>#DIV/0!</v>
      </c>
      <c r="BS94" s="61" t="e">
        <f>(Links!U94^2+'Off-Ramp'!N94^2)/(Links!U94+'Off-Ramp'!N94)</f>
        <v>#DIV/0!</v>
      </c>
      <c r="BT94" s="61" t="e">
        <f>(Links!V94^2+'Off-Ramp'!O94^2)/(Links!V94+'Off-Ramp'!O94)</f>
        <v>#DIV/0!</v>
      </c>
      <c r="BU94" s="61" t="e">
        <f>(Links!W94^2+'Off-Ramp'!P94^2)/(Links!W94+'Off-Ramp'!P94)</f>
        <v>#DIV/0!</v>
      </c>
      <c r="BV94" s="61" t="e">
        <f>(Links!Y94^2+'Off-Ramp'!Q94^2)/(Links!Y94+'Off-Ramp'!Q94)</f>
        <v>#DIV/0!</v>
      </c>
      <c r="BW94" s="61" t="e">
        <f>(Links!Z94^2+'Off-Ramp'!R94^2)/(Links!Z94+'Off-Ramp'!R94)</f>
        <v>#DIV/0!</v>
      </c>
      <c r="BX94" s="61" t="e">
        <f>(Links!AA94+'Off-Ramp'!S94)/(Links!AA94^2+'Off-Ramp'!S94^2)</f>
        <v>#DIV/0!</v>
      </c>
      <c r="BY94" s="61" t="e">
        <f>(Links!AB94^2+'Off-Ramp'!T94^2)/(Links!AB94+'Off-Ramp'!T94)</f>
        <v>#DIV/0!</v>
      </c>
      <c r="BZ94" s="61" t="e">
        <f>Links!AC94</f>
        <v>#DIV/0!</v>
      </c>
      <c r="CA94" s="61" t="e">
        <f>(Links!AD94^2+'Off-Ramp'!U94^2)/(Links!AD94+'Off-Ramp'!U94)</f>
        <v>#DIV/0!</v>
      </c>
    </row>
    <row r="95" spans="1:79" x14ac:dyDescent="0.15">
      <c r="A95" s="59">
        <v>93</v>
      </c>
      <c r="B95" s="60" t="e">
        <f t="shared" si="34"/>
        <v>#DIV/0!</v>
      </c>
      <c r="C95" s="60" t="e">
        <f t="shared" si="35"/>
        <v>#DIV/0!</v>
      </c>
      <c r="D95" s="60" t="e">
        <f t="shared" si="36"/>
        <v>#DIV/0!</v>
      </c>
      <c r="E95" s="60" t="e">
        <f t="shared" si="37"/>
        <v>#DIV/0!</v>
      </c>
      <c r="F95" s="60" t="e">
        <f t="shared" si="38"/>
        <v>#DIV/0!</v>
      </c>
      <c r="G95" s="60" t="e">
        <f t="shared" si="39"/>
        <v>#DIV/0!</v>
      </c>
      <c r="H95" s="60" t="e">
        <f t="shared" si="40"/>
        <v>#DIV/0!</v>
      </c>
      <c r="I95" s="60" t="e">
        <f t="shared" si="41"/>
        <v>#DIV/0!</v>
      </c>
      <c r="J95" s="60" t="e">
        <f t="shared" si="42"/>
        <v>#DIV/0!</v>
      </c>
      <c r="K95" s="60" t="e">
        <f t="shared" si="43"/>
        <v>#DIV/0!</v>
      </c>
      <c r="L95" s="60" t="e">
        <f t="shared" si="44"/>
        <v>#DIV/0!</v>
      </c>
      <c r="M95" s="60" t="e">
        <f t="shared" si="45"/>
        <v>#DIV/0!</v>
      </c>
      <c r="N95" s="60" t="e">
        <f t="shared" si="46"/>
        <v>#DIV/0!</v>
      </c>
      <c r="O95" s="61" t="e">
        <f>Links!B95</f>
        <v>#DIV/0!</v>
      </c>
      <c r="P95" s="61" t="e">
        <f>Links!C95+'On-Ramps'!AC95</f>
        <v>#DIV/0!</v>
      </c>
      <c r="Q95" s="61" t="e">
        <f>Links!D95</f>
        <v>#DIV/0!</v>
      </c>
      <c r="R95" s="61" t="e">
        <f>Links!E95+'On-Ramps'!AD95</f>
        <v>#DIV/0!</v>
      </c>
      <c r="S95" s="61" t="e">
        <f>Links!F95+'On-Ramps'!AE95</f>
        <v>#DIV/0!</v>
      </c>
      <c r="T95" s="61" t="e">
        <f>Links!G95+'On-Ramps'!AF95</f>
        <v>#DIV/0!</v>
      </c>
      <c r="U95" s="61" t="e">
        <f>Links!H95+'On-Ramps'!AG95</f>
        <v>#DIV/0!</v>
      </c>
      <c r="V95" s="61" t="e">
        <f>Links!J95+'On-Ramps'!AH95</f>
        <v>#DIV/0!</v>
      </c>
      <c r="W95" s="61" t="e">
        <f>Links!K95+'On-Ramps'!AI95</f>
        <v>#DIV/0!</v>
      </c>
      <c r="X95" s="61" t="e">
        <f>Links!L95+'On-Ramps'!AJ95</f>
        <v>#DIV/0!</v>
      </c>
      <c r="Y95" s="61" t="e">
        <f>Links!M95</f>
        <v>#DIV/0!</v>
      </c>
      <c r="Z95" s="61" t="e">
        <f>Links!N95+'On-Ramps'!AK95</f>
        <v>#DIV/0!</v>
      </c>
      <c r="AA95" s="61" t="e">
        <f>Links!O95</f>
        <v>#DIV/0!</v>
      </c>
      <c r="AB95" s="60" t="e">
        <f t="shared" si="47"/>
        <v>#DIV/0!</v>
      </c>
      <c r="AC95" s="60" t="e">
        <f t="shared" si="48"/>
        <v>#DIV/0!</v>
      </c>
      <c r="AD95" s="60" t="e">
        <f t="shared" si="49"/>
        <v>#DIV/0!</v>
      </c>
      <c r="AE95" s="60" t="e">
        <f t="shared" si="50"/>
        <v>#DIV/0!</v>
      </c>
      <c r="AF95" s="60" t="e">
        <f t="shared" si="51"/>
        <v>#DIV/0!</v>
      </c>
      <c r="AG95" s="60" t="e">
        <f t="shared" si="52"/>
        <v>#DIV/0!</v>
      </c>
      <c r="AH95" s="60" t="e">
        <f t="shared" si="53"/>
        <v>#DIV/0!</v>
      </c>
      <c r="AI95" s="60" t="e">
        <f t="shared" si="54"/>
        <v>#DIV/0!</v>
      </c>
      <c r="AJ95" s="60" t="e">
        <f t="shared" si="55"/>
        <v>#DIV/0!</v>
      </c>
      <c r="AK95" s="60" t="e">
        <f t="shared" si="56"/>
        <v>#DIV/0!</v>
      </c>
      <c r="AL95" s="60" t="e">
        <f t="shared" si="57"/>
        <v>#DIV/0!</v>
      </c>
      <c r="AM95" s="60" t="e">
        <f t="shared" si="58"/>
        <v>#DIV/0!</v>
      </c>
      <c r="AN95" s="60" t="e">
        <f t="shared" si="60"/>
        <v>#DIV/0!</v>
      </c>
      <c r="AO95" s="61" t="e">
        <f t="shared" si="33"/>
        <v>#DIV/0!</v>
      </c>
      <c r="AP95" s="61" t="e">
        <f t="shared" si="59"/>
        <v>#DIV/0!</v>
      </c>
      <c r="AQ95" s="61" t="e">
        <f t="shared" si="59"/>
        <v>#DIV/0!</v>
      </c>
      <c r="AR95" s="61" t="e">
        <f t="shared" si="59"/>
        <v>#DIV/0!</v>
      </c>
      <c r="AS95" s="61" t="e">
        <f t="shared" si="59"/>
        <v>#DIV/0!</v>
      </c>
      <c r="AT95" s="61" t="e">
        <f t="shared" si="59"/>
        <v>#DIV/0!</v>
      </c>
      <c r="AU95" s="61" t="e">
        <f t="shared" si="59"/>
        <v>#DIV/0!</v>
      </c>
      <c r="AV95" s="61" t="e">
        <f t="shared" si="59"/>
        <v>#DIV/0!</v>
      </c>
      <c r="AW95" s="61" t="e">
        <f t="shared" si="59"/>
        <v>#DIV/0!</v>
      </c>
      <c r="AX95" s="61" t="e">
        <f t="shared" si="59"/>
        <v>#DIV/0!</v>
      </c>
      <c r="AY95" s="61" t="e">
        <f t="shared" si="59"/>
        <v>#DIV/0!</v>
      </c>
      <c r="AZ95" s="61" t="e">
        <f t="shared" si="59"/>
        <v>#DIV/0!</v>
      </c>
      <c r="BA95" s="61" t="e">
        <f t="shared" si="59"/>
        <v>#DIV/0!</v>
      </c>
      <c r="BB95" s="60" t="e">
        <f>Links!AF95</f>
        <v>#DIV/0!</v>
      </c>
      <c r="BC95" s="60" t="e">
        <f>(Links!AG95*Links!C95+'On-Ramps'!AC95*'On-Ramps'!CE95)/('On-Ramps'!AC95+Links!C95)</f>
        <v>#DIV/0!</v>
      </c>
      <c r="BD95" s="60" t="e">
        <f>Links!AH95</f>
        <v>#DIV/0!</v>
      </c>
      <c r="BE95" s="60" t="e">
        <f>(Links!AI95*Links!E95+'On-Ramps'!AD95*'On-Ramps'!CF94)/('On-Ramps'!AD95+Links!E95)</f>
        <v>#DIV/0!</v>
      </c>
      <c r="BF95" s="60" t="e">
        <f>(Links!F95*Links!AJ95+'On-Ramps'!AE95*'On-Ramps'!CG95)/('On-Ramps'!AE95+Links!F95)</f>
        <v>#DIV/0!</v>
      </c>
      <c r="BG95" s="60" t="e">
        <f>(Links!G95*Links!AK95+'On-Ramps'!AF95*'On-Ramps'!CH95)/('On-Ramps'!AF95+Links!G95)</f>
        <v>#DIV/0!</v>
      </c>
      <c r="BH95" s="60" t="e">
        <f>(Links!H95*Links!AL95+'On-Ramps'!AG95*'On-Ramps'!CI95)/('On-Ramps'!AG95+Links!H95)</f>
        <v>#DIV/0!</v>
      </c>
      <c r="BI95" s="60" t="e">
        <f>(Links!J95*Links!AN95+'On-Ramps'!AH95*'On-Ramps'!CJ95)/('On-Ramps'!AH95+Links!J95)</f>
        <v>#DIV/0!</v>
      </c>
      <c r="BJ95" s="60" t="e">
        <f>(Links!K95*Links!AO95+'On-Ramps'!AI95*'On-Ramps'!CK95)/('On-Ramps'!AI95+Links!K95)</f>
        <v>#DIV/0!</v>
      </c>
      <c r="BK95" s="60" t="e">
        <f>(Links!L95*Links!AP95+'On-Ramps'!AJ95*'On-Ramps'!CL95)/(Links!L95+'On-Ramps'!AJ95)</f>
        <v>#DIV/0!</v>
      </c>
      <c r="BL95" s="60" t="e">
        <f>Links!AQ95</f>
        <v>#DIV/0!</v>
      </c>
      <c r="BM95" s="60" t="e">
        <f>(Links!N95*Links!AR95+'On-Ramps'!AL95*'On-Ramps'!CM95)/(Links!N95+'On-Ramps'!AL95)</f>
        <v>#DIV/0!</v>
      </c>
      <c r="BN95" s="60" t="e">
        <f>Links!AS95</f>
        <v>#DIV/0!</v>
      </c>
      <c r="BO95" s="61" t="e">
        <f>(Links!R95^2+'Off-Ramp'!L95^2)/(Links!R95+'Off-Ramp'!L95)</f>
        <v>#DIV/0!</v>
      </c>
      <c r="BP95" s="61" t="e">
        <f>Links!S95</f>
        <v>#DIV/0!</v>
      </c>
      <c r="BQ95" s="61" t="e">
        <f>(Links!S95^2+'Off-Ramp'!C95^2)/(Links!S95+'Off-Ramp'!C95)</f>
        <v>#DIV/0!</v>
      </c>
      <c r="BR95" s="61" t="e">
        <f>Links!T95</f>
        <v>#DIV/0!</v>
      </c>
      <c r="BS95" s="61" t="e">
        <f>(Links!U95^2+'Off-Ramp'!N95^2)/(Links!U95+'Off-Ramp'!N95)</f>
        <v>#DIV/0!</v>
      </c>
      <c r="BT95" s="61" t="e">
        <f>(Links!V95^2+'Off-Ramp'!O95^2)/(Links!V95+'Off-Ramp'!O95)</f>
        <v>#DIV/0!</v>
      </c>
      <c r="BU95" s="61" t="e">
        <f>(Links!W95^2+'Off-Ramp'!P95^2)/(Links!W95+'Off-Ramp'!P95)</f>
        <v>#DIV/0!</v>
      </c>
      <c r="BV95" s="61" t="e">
        <f>(Links!Y95^2+'Off-Ramp'!Q95^2)/(Links!Y95+'Off-Ramp'!Q95)</f>
        <v>#DIV/0!</v>
      </c>
      <c r="BW95" s="61" t="e">
        <f>(Links!Z95^2+'Off-Ramp'!R95^2)/(Links!Z95+'Off-Ramp'!R95)</f>
        <v>#DIV/0!</v>
      </c>
      <c r="BX95" s="61" t="e">
        <f>(Links!AA95+'Off-Ramp'!S95)/(Links!AA95^2+'Off-Ramp'!S95^2)</f>
        <v>#DIV/0!</v>
      </c>
      <c r="BY95" s="61" t="e">
        <f>(Links!AB95^2+'Off-Ramp'!T95^2)/(Links!AB95+'Off-Ramp'!T95)</f>
        <v>#DIV/0!</v>
      </c>
      <c r="BZ95" s="61" t="e">
        <f>Links!AC95</f>
        <v>#DIV/0!</v>
      </c>
      <c r="CA95" s="61" t="e">
        <f>(Links!AD95^2+'Off-Ramp'!U95^2)/(Links!AD95+'Off-Ramp'!U95)</f>
        <v>#DIV/0!</v>
      </c>
    </row>
    <row r="96" spans="1:79" x14ac:dyDescent="0.15">
      <c r="A96" s="59">
        <v>94</v>
      </c>
      <c r="B96" s="60" t="e">
        <f t="shared" si="34"/>
        <v>#DIV/0!</v>
      </c>
      <c r="C96" s="60" t="e">
        <f t="shared" si="35"/>
        <v>#DIV/0!</v>
      </c>
      <c r="D96" s="60" t="e">
        <f t="shared" si="36"/>
        <v>#DIV/0!</v>
      </c>
      <c r="E96" s="60" t="e">
        <f t="shared" si="37"/>
        <v>#DIV/0!</v>
      </c>
      <c r="F96" s="60" t="e">
        <f t="shared" si="38"/>
        <v>#DIV/0!</v>
      </c>
      <c r="G96" s="60" t="e">
        <f t="shared" si="39"/>
        <v>#DIV/0!</v>
      </c>
      <c r="H96" s="60" t="e">
        <f t="shared" si="40"/>
        <v>#DIV/0!</v>
      </c>
      <c r="I96" s="60" t="e">
        <f t="shared" si="41"/>
        <v>#DIV/0!</v>
      </c>
      <c r="J96" s="60" t="e">
        <f t="shared" si="42"/>
        <v>#DIV/0!</v>
      </c>
      <c r="K96" s="60" t="e">
        <f t="shared" si="43"/>
        <v>#DIV/0!</v>
      </c>
      <c r="L96" s="60" t="e">
        <f t="shared" si="44"/>
        <v>#DIV/0!</v>
      </c>
      <c r="M96" s="60" t="e">
        <f t="shared" si="45"/>
        <v>#DIV/0!</v>
      </c>
      <c r="N96" s="60" t="e">
        <f t="shared" si="46"/>
        <v>#DIV/0!</v>
      </c>
      <c r="O96" s="61" t="e">
        <f>Links!B96</f>
        <v>#DIV/0!</v>
      </c>
      <c r="P96" s="61" t="e">
        <f>Links!C96+'On-Ramps'!AC96</f>
        <v>#DIV/0!</v>
      </c>
      <c r="Q96" s="61" t="e">
        <f>Links!D96</f>
        <v>#DIV/0!</v>
      </c>
      <c r="R96" s="61" t="e">
        <f>Links!E96+'On-Ramps'!AD96</f>
        <v>#DIV/0!</v>
      </c>
      <c r="S96" s="61" t="e">
        <f>Links!F96+'On-Ramps'!AE96</f>
        <v>#DIV/0!</v>
      </c>
      <c r="T96" s="61" t="e">
        <f>Links!G96+'On-Ramps'!AF96</f>
        <v>#DIV/0!</v>
      </c>
      <c r="U96" s="61" t="e">
        <f>Links!H96+'On-Ramps'!AG96</f>
        <v>#DIV/0!</v>
      </c>
      <c r="V96" s="61" t="e">
        <f>Links!J96+'On-Ramps'!AH96</f>
        <v>#DIV/0!</v>
      </c>
      <c r="W96" s="61" t="e">
        <f>Links!K96+'On-Ramps'!AI96</f>
        <v>#DIV/0!</v>
      </c>
      <c r="X96" s="61" t="e">
        <f>Links!L96+'On-Ramps'!AJ96</f>
        <v>#DIV/0!</v>
      </c>
      <c r="Y96" s="61" t="e">
        <f>Links!M96</f>
        <v>#DIV/0!</v>
      </c>
      <c r="Z96" s="61" t="e">
        <f>Links!N96+'On-Ramps'!AK96</f>
        <v>#DIV/0!</v>
      </c>
      <c r="AA96" s="61" t="e">
        <f>Links!O96</f>
        <v>#DIV/0!</v>
      </c>
      <c r="AB96" s="60" t="e">
        <f t="shared" si="47"/>
        <v>#DIV/0!</v>
      </c>
      <c r="AC96" s="60" t="e">
        <f t="shared" si="48"/>
        <v>#DIV/0!</v>
      </c>
      <c r="AD96" s="60" t="e">
        <f t="shared" si="49"/>
        <v>#DIV/0!</v>
      </c>
      <c r="AE96" s="60" t="e">
        <f t="shared" si="50"/>
        <v>#DIV/0!</v>
      </c>
      <c r="AF96" s="60" t="e">
        <f t="shared" si="51"/>
        <v>#DIV/0!</v>
      </c>
      <c r="AG96" s="60" t="e">
        <f t="shared" si="52"/>
        <v>#DIV/0!</v>
      </c>
      <c r="AH96" s="60" t="e">
        <f t="shared" si="53"/>
        <v>#DIV/0!</v>
      </c>
      <c r="AI96" s="60" t="e">
        <f t="shared" si="54"/>
        <v>#DIV/0!</v>
      </c>
      <c r="AJ96" s="60" t="e">
        <f t="shared" si="55"/>
        <v>#DIV/0!</v>
      </c>
      <c r="AK96" s="60" t="e">
        <f t="shared" si="56"/>
        <v>#DIV/0!</v>
      </c>
      <c r="AL96" s="60" t="e">
        <f t="shared" si="57"/>
        <v>#DIV/0!</v>
      </c>
      <c r="AM96" s="60" t="e">
        <f t="shared" si="58"/>
        <v>#DIV/0!</v>
      </c>
      <c r="AN96" s="60" t="e">
        <f t="shared" si="60"/>
        <v>#DIV/0!</v>
      </c>
      <c r="AO96" s="61" t="e">
        <f t="shared" si="33"/>
        <v>#DIV/0!</v>
      </c>
      <c r="AP96" s="61" t="e">
        <f t="shared" si="59"/>
        <v>#DIV/0!</v>
      </c>
      <c r="AQ96" s="61" t="e">
        <f t="shared" si="59"/>
        <v>#DIV/0!</v>
      </c>
      <c r="AR96" s="61" t="e">
        <f t="shared" si="59"/>
        <v>#DIV/0!</v>
      </c>
      <c r="AS96" s="61" t="e">
        <f t="shared" si="59"/>
        <v>#DIV/0!</v>
      </c>
      <c r="AT96" s="61" t="e">
        <f t="shared" si="59"/>
        <v>#DIV/0!</v>
      </c>
      <c r="AU96" s="61" t="e">
        <f t="shared" si="59"/>
        <v>#DIV/0!</v>
      </c>
      <c r="AV96" s="61" t="e">
        <f t="shared" si="59"/>
        <v>#DIV/0!</v>
      </c>
      <c r="AW96" s="61" t="e">
        <f t="shared" si="59"/>
        <v>#DIV/0!</v>
      </c>
      <c r="AX96" s="61" t="e">
        <f t="shared" si="59"/>
        <v>#DIV/0!</v>
      </c>
      <c r="AY96" s="61" t="e">
        <f t="shared" si="59"/>
        <v>#DIV/0!</v>
      </c>
      <c r="AZ96" s="61" t="e">
        <f t="shared" si="59"/>
        <v>#DIV/0!</v>
      </c>
      <c r="BA96" s="61" t="e">
        <f t="shared" si="59"/>
        <v>#DIV/0!</v>
      </c>
      <c r="BB96" s="60" t="e">
        <f>Links!AF96</f>
        <v>#DIV/0!</v>
      </c>
      <c r="BC96" s="60" t="e">
        <f>(Links!AG96*Links!C96+'On-Ramps'!AC96*'On-Ramps'!CE96)/('On-Ramps'!AC96+Links!C96)</f>
        <v>#DIV/0!</v>
      </c>
      <c r="BD96" s="60" t="e">
        <f>Links!AH96</f>
        <v>#DIV/0!</v>
      </c>
      <c r="BE96" s="60" t="e">
        <f>(Links!AI96*Links!E96+'On-Ramps'!AD96*'On-Ramps'!CF95)/('On-Ramps'!AD96+Links!E96)</f>
        <v>#DIV/0!</v>
      </c>
      <c r="BF96" s="60" t="e">
        <f>(Links!F96*Links!AJ96+'On-Ramps'!AE96*'On-Ramps'!CG96)/('On-Ramps'!AE96+Links!F96)</f>
        <v>#DIV/0!</v>
      </c>
      <c r="BG96" s="60" t="e">
        <f>(Links!G96*Links!AK96+'On-Ramps'!AF96*'On-Ramps'!CH96)/('On-Ramps'!AF96+Links!G96)</f>
        <v>#DIV/0!</v>
      </c>
      <c r="BH96" s="60" t="e">
        <f>(Links!H96*Links!AL96+'On-Ramps'!AG96*'On-Ramps'!CI96)/('On-Ramps'!AG96+Links!H96)</f>
        <v>#DIV/0!</v>
      </c>
      <c r="BI96" s="60" t="e">
        <f>(Links!J96*Links!AN96+'On-Ramps'!AH96*'On-Ramps'!CJ96)/('On-Ramps'!AH96+Links!J96)</f>
        <v>#DIV/0!</v>
      </c>
      <c r="BJ96" s="60" t="e">
        <f>(Links!K96*Links!AO96+'On-Ramps'!AI96*'On-Ramps'!CK96)/('On-Ramps'!AI96+Links!K96)</f>
        <v>#DIV/0!</v>
      </c>
      <c r="BK96" s="60" t="e">
        <f>(Links!L96*Links!AP96+'On-Ramps'!AJ96*'On-Ramps'!CL96)/(Links!L96+'On-Ramps'!AJ96)</f>
        <v>#DIV/0!</v>
      </c>
      <c r="BL96" s="60" t="e">
        <f>Links!AQ96</f>
        <v>#DIV/0!</v>
      </c>
      <c r="BM96" s="60" t="e">
        <f>(Links!N96*Links!AR96+'On-Ramps'!AL96*'On-Ramps'!CM96)/(Links!N96+'On-Ramps'!AL96)</f>
        <v>#DIV/0!</v>
      </c>
      <c r="BN96" s="60" t="e">
        <f>Links!AS96</f>
        <v>#DIV/0!</v>
      </c>
      <c r="BO96" s="61" t="e">
        <f>(Links!R96^2+'Off-Ramp'!L96^2)/(Links!R96+'Off-Ramp'!L96)</f>
        <v>#DIV/0!</v>
      </c>
      <c r="BP96" s="61" t="e">
        <f>Links!S96</f>
        <v>#DIV/0!</v>
      </c>
      <c r="BQ96" s="61" t="e">
        <f>(Links!S96^2+'Off-Ramp'!C96^2)/(Links!S96+'Off-Ramp'!C96)</f>
        <v>#DIV/0!</v>
      </c>
      <c r="BR96" s="61" t="e">
        <f>Links!T96</f>
        <v>#DIV/0!</v>
      </c>
      <c r="BS96" s="61" t="e">
        <f>(Links!U96^2+'Off-Ramp'!N96^2)/(Links!U96+'Off-Ramp'!N96)</f>
        <v>#DIV/0!</v>
      </c>
      <c r="BT96" s="61" t="e">
        <f>(Links!V96^2+'Off-Ramp'!O96^2)/(Links!V96+'Off-Ramp'!O96)</f>
        <v>#DIV/0!</v>
      </c>
      <c r="BU96" s="61" t="e">
        <f>(Links!W96^2+'Off-Ramp'!P96^2)/(Links!W96+'Off-Ramp'!P96)</f>
        <v>#DIV/0!</v>
      </c>
      <c r="BV96" s="61" t="e">
        <f>(Links!Y96^2+'Off-Ramp'!Q96^2)/(Links!Y96+'Off-Ramp'!Q96)</f>
        <v>#DIV/0!</v>
      </c>
      <c r="BW96" s="61" t="e">
        <f>(Links!Z96^2+'Off-Ramp'!R96^2)/(Links!Z96+'Off-Ramp'!R96)</f>
        <v>#DIV/0!</v>
      </c>
      <c r="BX96" s="61" t="e">
        <f>(Links!AA96+'Off-Ramp'!S96)/(Links!AA96^2+'Off-Ramp'!S96^2)</f>
        <v>#DIV/0!</v>
      </c>
      <c r="BY96" s="61" t="e">
        <f>(Links!AB96^2+'Off-Ramp'!T96^2)/(Links!AB96+'Off-Ramp'!T96)</f>
        <v>#DIV/0!</v>
      </c>
      <c r="BZ96" s="61" t="e">
        <f>Links!AC96</f>
        <v>#DIV/0!</v>
      </c>
      <c r="CA96" s="61" t="e">
        <f>(Links!AD96^2+'Off-Ramp'!U96^2)/(Links!AD96+'Off-Ramp'!U96)</f>
        <v>#DIV/0!</v>
      </c>
    </row>
    <row r="97" spans="1:79" x14ac:dyDescent="0.15">
      <c r="A97" s="59">
        <v>95</v>
      </c>
      <c r="B97" s="60" t="e">
        <f t="shared" si="34"/>
        <v>#DIV/0!</v>
      </c>
      <c r="C97" s="60" t="e">
        <f t="shared" si="35"/>
        <v>#DIV/0!</v>
      </c>
      <c r="D97" s="60" t="e">
        <f t="shared" si="36"/>
        <v>#DIV/0!</v>
      </c>
      <c r="E97" s="60" t="e">
        <f t="shared" si="37"/>
        <v>#DIV/0!</v>
      </c>
      <c r="F97" s="60" t="e">
        <f t="shared" si="38"/>
        <v>#DIV/0!</v>
      </c>
      <c r="G97" s="60" t="e">
        <f t="shared" si="39"/>
        <v>#DIV/0!</v>
      </c>
      <c r="H97" s="60" t="e">
        <f t="shared" si="40"/>
        <v>#DIV/0!</v>
      </c>
      <c r="I97" s="60" t="e">
        <f t="shared" si="41"/>
        <v>#DIV/0!</v>
      </c>
      <c r="J97" s="60" t="e">
        <f t="shared" si="42"/>
        <v>#DIV/0!</v>
      </c>
      <c r="K97" s="60" t="e">
        <f t="shared" si="43"/>
        <v>#DIV/0!</v>
      </c>
      <c r="L97" s="60" t="e">
        <f t="shared" si="44"/>
        <v>#DIV/0!</v>
      </c>
      <c r="M97" s="60" t="e">
        <f t="shared" si="45"/>
        <v>#DIV/0!</v>
      </c>
      <c r="N97" s="60" t="e">
        <f t="shared" si="46"/>
        <v>#DIV/0!</v>
      </c>
      <c r="O97" s="61" t="e">
        <f>Links!B97</f>
        <v>#DIV/0!</v>
      </c>
      <c r="P97" s="61" t="e">
        <f>Links!C97+'On-Ramps'!AC97</f>
        <v>#DIV/0!</v>
      </c>
      <c r="Q97" s="61" t="e">
        <f>Links!D97</f>
        <v>#DIV/0!</v>
      </c>
      <c r="R97" s="61" t="e">
        <f>Links!E97+'On-Ramps'!AD97</f>
        <v>#DIV/0!</v>
      </c>
      <c r="S97" s="61" t="e">
        <f>Links!F97+'On-Ramps'!AE97</f>
        <v>#DIV/0!</v>
      </c>
      <c r="T97" s="61" t="e">
        <f>Links!G97+'On-Ramps'!AF97</f>
        <v>#DIV/0!</v>
      </c>
      <c r="U97" s="61" t="e">
        <f>Links!H97+'On-Ramps'!AG97</f>
        <v>#DIV/0!</v>
      </c>
      <c r="V97" s="61" t="e">
        <f>Links!J97+'On-Ramps'!AH97</f>
        <v>#DIV/0!</v>
      </c>
      <c r="W97" s="61" t="e">
        <f>Links!K97+'On-Ramps'!AI97</f>
        <v>#DIV/0!</v>
      </c>
      <c r="X97" s="61" t="e">
        <f>Links!L97+'On-Ramps'!AJ97</f>
        <v>#DIV/0!</v>
      </c>
      <c r="Y97" s="61" t="e">
        <f>Links!M97</f>
        <v>#DIV/0!</v>
      </c>
      <c r="Z97" s="61" t="e">
        <f>Links!N97+'On-Ramps'!AK97</f>
        <v>#DIV/0!</v>
      </c>
      <c r="AA97" s="61" t="e">
        <f>Links!O97</f>
        <v>#DIV/0!</v>
      </c>
      <c r="AB97" s="60" t="e">
        <f t="shared" si="47"/>
        <v>#DIV/0!</v>
      </c>
      <c r="AC97" s="60" t="e">
        <f t="shared" si="48"/>
        <v>#DIV/0!</v>
      </c>
      <c r="AD97" s="60" t="e">
        <f t="shared" si="49"/>
        <v>#DIV/0!</v>
      </c>
      <c r="AE97" s="60" t="e">
        <f t="shared" si="50"/>
        <v>#DIV/0!</v>
      </c>
      <c r="AF97" s="60" t="e">
        <f t="shared" si="51"/>
        <v>#DIV/0!</v>
      </c>
      <c r="AG97" s="60" t="e">
        <f t="shared" si="52"/>
        <v>#DIV/0!</v>
      </c>
      <c r="AH97" s="60" t="e">
        <f t="shared" si="53"/>
        <v>#DIV/0!</v>
      </c>
      <c r="AI97" s="60" t="e">
        <f t="shared" si="54"/>
        <v>#DIV/0!</v>
      </c>
      <c r="AJ97" s="60" t="e">
        <f t="shared" si="55"/>
        <v>#DIV/0!</v>
      </c>
      <c r="AK97" s="60" t="e">
        <f t="shared" si="56"/>
        <v>#DIV/0!</v>
      </c>
      <c r="AL97" s="60" t="e">
        <f t="shared" si="57"/>
        <v>#DIV/0!</v>
      </c>
      <c r="AM97" s="60" t="e">
        <f t="shared" si="58"/>
        <v>#DIV/0!</v>
      </c>
      <c r="AN97" s="60" t="e">
        <f t="shared" si="60"/>
        <v>#DIV/0!</v>
      </c>
      <c r="AO97" s="61" t="e">
        <f t="shared" si="33"/>
        <v>#DIV/0!</v>
      </c>
      <c r="AP97" s="61" t="e">
        <f t="shared" si="59"/>
        <v>#DIV/0!</v>
      </c>
      <c r="AQ97" s="61" t="e">
        <f t="shared" si="59"/>
        <v>#DIV/0!</v>
      </c>
      <c r="AR97" s="61" t="e">
        <f t="shared" si="59"/>
        <v>#DIV/0!</v>
      </c>
      <c r="AS97" s="61" t="e">
        <f t="shared" si="59"/>
        <v>#DIV/0!</v>
      </c>
      <c r="AT97" s="61" t="e">
        <f t="shared" si="59"/>
        <v>#DIV/0!</v>
      </c>
      <c r="AU97" s="61" t="e">
        <f t="shared" si="59"/>
        <v>#DIV/0!</v>
      </c>
      <c r="AV97" s="61" t="e">
        <f t="shared" si="59"/>
        <v>#DIV/0!</v>
      </c>
      <c r="AW97" s="61" t="e">
        <f t="shared" si="59"/>
        <v>#DIV/0!</v>
      </c>
      <c r="AX97" s="61" t="e">
        <f t="shared" si="59"/>
        <v>#DIV/0!</v>
      </c>
      <c r="AY97" s="61" t="e">
        <f t="shared" si="59"/>
        <v>#DIV/0!</v>
      </c>
      <c r="AZ97" s="61" t="e">
        <f t="shared" si="59"/>
        <v>#DIV/0!</v>
      </c>
      <c r="BA97" s="61" t="e">
        <f t="shared" si="59"/>
        <v>#DIV/0!</v>
      </c>
      <c r="BB97" s="60" t="e">
        <f>Links!AF97</f>
        <v>#DIV/0!</v>
      </c>
      <c r="BC97" s="60" t="e">
        <f>(Links!AG97*Links!C97+'On-Ramps'!AC97*'On-Ramps'!CE97)/('On-Ramps'!AC97+Links!C97)</f>
        <v>#DIV/0!</v>
      </c>
      <c r="BD97" s="60" t="e">
        <f>Links!AH97</f>
        <v>#DIV/0!</v>
      </c>
      <c r="BE97" s="60" t="e">
        <f>(Links!AI97*Links!E97+'On-Ramps'!AD97*'On-Ramps'!CF96)/('On-Ramps'!AD97+Links!E97)</f>
        <v>#DIV/0!</v>
      </c>
      <c r="BF97" s="60" t="e">
        <f>(Links!F97*Links!AJ97+'On-Ramps'!AE97*'On-Ramps'!CG97)/('On-Ramps'!AE97+Links!F97)</f>
        <v>#DIV/0!</v>
      </c>
      <c r="BG97" s="60" t="e">
        <f>(Links!G97*Links!AK97+'On-Ramps'!AF97*'On-Ramps'!CH97)/('On-Ramps'!AF97+Links!G97)</f>
        <v>#DIV/0!</v>
      </c>
      <c r="BH97" s="60" t="e">
        <f>(Links!H97*Links!AL97+'On-Ramps'!AG97*'On-Ramps'!CI97)/('On-Ramps'!AG97+Links!H97)</f>
        <v>#DIV/0!</v>
      </c>
      <c r="BI97" s="60" t="e">
        <f>(Links!J97*Links!AN97+'On-Ramps'!AH97*'On-Ramps'!CJ97)/('On-Ramps'!AH97+Links!J97)</f>
        <v>#DIV/0!</v>
      </c>
      <c r="BJ97" s="60" t="e">
        <f>(Links!K97*Links!AO97+'On-Ramps'!AI97*'On-Ramps'!CK97)/('On-Ramps'!AI97+Links!K97)</f>
        <v>#DIV/0!</v>
      </c>
      <c r="BK97" s="60" t="e">
        <f>(Links!L97*Links!AP97+'On-Ramps'!AJ97*'On-Ramps'!CL97)/(Links!L97+'On-Ramps'!AJ97)</f>
        <v>#DIV/0!</v>
      </c>
      <c r="BL97" s="60" t="e">
        <f>Links!AQ97</f>
        <v>#DIV/0!</v>
      </c>
      <c r="BM97" s="60" t="e">
        <f>(Links!N97*Links!AR97+'On-Ramps'!AL97*'On-Ramps'!CM97)/(Links!N97+'On-Ramps'!AL97)</f>
        <v>#DIV/0!</v>
      </c>
      <c r="BN97" s="60" t="e">
        <f>Links!AS97</f>
        <v>#DIV/0!</v>
      </c>
      <c r="BO97" s="61" t="e">
        <f>(Links!R97^2+'Off-Ramp'!L97^2)/(Links!R97+'Off-Ramp'!L97)</f>
        <v>#DIV/0!</v>
      </c>
      <c r="BP97" s="61" t="e">
        <f>Links!S97</f>
        <v>#DIV/0!</v>
      </c>
      <c r="BQ97" s="61" t="e">
        <f>(Links!S97^2+'Off-Ramp'!C97^2)/(Links!S97+'Off-Ramp'!C97)</f>
        <v>#DIV/0!</v>
      </c>
      <c r="BR97" s="61" t="e">
        <f>Links!T97</f>
        <v>#DIV/0!</v>
      </c>
      <c r="BS97" s="61" t="e">
        <f>(Links!U97^2+'Off-Ramp'!N97^2)/(Links!U97+'Off-Ramp'!N97)</f>
        <v>#DIV/0!</v>
      </c>
      <c r="BT97" s="61" t="e">
        <f>(Links!V97^2+'Off-Ramp'!O97^2)/(Links!V97+'Off-Ramp'!O97)</f>
        <v>#DIV/0!</v>
      </c>
      <c r="BU97" s="61" t="e">
        <f>(Links!W97^2+'Off-Ramp'!P97^2)/(Links!W97+'Off-Ramp'!P97)</f>
        <v>#DIV/0!</v>
      </c>
      <c r="BV97" s="61" t="e">
        <f>(Links!Y97^2+'Off-Ramp'!Q97^2)/(Links!Y97+'Off-Ramp'!Q97)</f>
        <v>#DIV/0!</v>
      </c>
      <c r="BW97" s="61" t="e">
        <f>(Links!Z97^2+'Off-Ramp'!R97^2)/(Links!Z97+'Off-Ramp'!R97)</f>
        <v>#DIV/0!</v>
      </c>
      <c r="BX97" s="61" t="e">
        <f>(Links!AA97+'Off-Ramp'!S97)/(Links!AA97^2+'Off-Ramp'!S97^2)</f>
        <v>#DIV/0!</v>
      </c>
      <c r="BY97" s="61" t="e">
        <f>(Links!AB97^2+'Off-Ramp'!T97^2)/(Links!AB97+'Off-Ramp'!T97)</f>
        <v>#DIV/0!</v>
      </c>
      <c r="BZ97" s="61" t="e">
        <f>Links!AC97</f>
        <v>#DIV/0!</v>
      </c>
      <c r="CA97" s="61" t="e">
        <f>(Links!AD97^2+'Off-Ramp'!U97^2)/(Links!AD97+'Off-Ramp'!U97)</f>
        <v>#DIV/0!</v>
      </c>
    </row>
    <row r="98" spans="1:79" x14ac:dyDescent="0.15">
      <c r="A98" s="59">
        <v>96</v>
      </c>
      <c r="B98" s="60" t="e">
        <f t="shared" si="34"/>
        <v>#DIV/0!</v>
      </c>
      <c r="C98" s="60" t="e">
        <f t="shared" si="35"/>
        <v>#DIV/0!</v>
      </c>
      <c r="D98" s="60" t="e">
        <f t="shared" si="36"/>
        <v>#DIV/0!</v>
      </c>
      <c r="E98" s="60" t="e">
        <f t="shared" si="37"/>
        <v>#DIV/0!</v>
      </c>
      <c r="F98" s="60" t="e">
        <f t="shared" si="38"/>
        <v>#DIV/0!</v>
      </c>
      <c r="G98" s="60" t="e">
        <f t="shared" si="39"/>
        <v>#DIV/0!</v>
      </c>
      <c r="H98" s="60" t="e">
        <f t="shared" si="40"/>
        <v>#DIV/0!</v>
      </c>
      <c r="I98" s="60" t="e">
        <f t="shared" si="41"/>
        <v>#DIV/0!</v>
      </c>
      <c r="J98" s="60" t="e">
        <f t="shared" si="42"/>
        <v>#DIV/0!</v>
      </c>
      <c r="K98" s="60" t="e">
        <f t="shared" si="43"/>
        <v>#DIV/0!</v>
      </c>
      <c r="L98" s="60" t="e">
        <f t="shared" si="44"/>
        <v>#DIV/0!</v>
      </c>
      <c r="M98" s="60" t="e">
        <f t="shared" si="45"/>
        <v>#DIV/0!</v>
      </c>
      <c r="N98" s="60" t="e">
        <f t="shared" si="46"/>
        <v>#DIV/0!</v>
      </c>
      <c r="O98" s="61" t="e">
        <f>Links!B98</f>
        <v>#DIV/0!</v>
      </c>
      <c r="P98" s="61" t="e">
        <f>Links!C98+'On-Ramps'!AC98</f>
        <v>#DIV/0!</v>
      </c>
      <c r="Q98" s="61" t="e">
        <f>Links!D98</f>
        <v>#DIV/0!</v>
      </c>
      <c r="R98" s="61" t="e">
        <f>Links!E98+'On-Ramps'!AD98</f>
        <v>#DIV/0!</v>
      </c>
      <c r="S98" s="61" t="e">
        <f>Links!F98+'On-Ramps'!AE98</f>
        <v>#DIV/0!</v>
      </c>
      <c r="T98" s="61" t="e">
        <f>Links!G98+'On-Ramps'!AF98</f>
        <v>#DIV/0!</v>
      </c>
      <c r="U98" s="61" t="e">
        <f>Links!H98+'On-Ramps'!AG98</f>
        <v>#DIV/0!</v>
      </c>
      <c r="V98" s="61" t="e">
        <f>Links!J98+'On-Ramps'!AH98</f>
        <v>#DIV/0!</v>
      </c>
      <c r="W98" s="61" t="e">
        <f>Links!K98+'On-Ramps'!AI98</f>
        <v>#DIV/0!</v>
      </c>
      <c r="X98" s="61" t="e">
        <f>Links!L98+'On-Ramps'!AJ98</f>
        <v>#DIV/0!</v>
      </c>
      <c r="Y98" s="61" t="e">
        <f>Links!M98</f>
        <v>#DIV/0!</v>
      </c>
      <c r="Z98" s="61" t="e">
        <f>Links!N98+'On-Ramps'!AK98</f>
        <v>#DIV/0!</v>
      </c>
      <c r="AA98" s="61" t="e">
        <f>Links!O98</f>
        <v>#DIV/0!</v>
      </c>
      <c r="AB98" s="60" t="e">
        <f t="shared" si="47"/>
        <v>#DIV/0!</v>
      </c>
      <c r="AC98" s="60" t="e">
        <f t="shared" si="48"/>
        <v>#DIV/0!</v>
      </c>
      <c r="AD98" s="60" t="e">
        <f t="shared" si="49"/>
        <v>#DIV/0!</v>
      </c>
      <c r="AE98" s="60" t="e">
        <f t="shared" si="50"/>
        <v>#DIV/0!</v>
      </c>
      <c r="AF98" s="60" t="e">
        <f t="shared" si="51"/>
        <v>#DIV/0!</v>
      </c>
      <c r="AG98" s="60" t="e">
        <f t="shared" si="52"/>
        <v>#DIV/0!</v>
      </c>
      <c r="AH98" s="60" t="e">
        <f t="shared" si="53"/>
        <v>#DIV/0!</v>
      </c>
      <c r="AI98" s="60" t="e">
        <f t="shared" si="54"/>
        <v>#DIV/0!</v>
      </c>
      <c r="AJ98" s="60" t="e">
        <f t="shared" si="55"/>
        <v>#DIV/0!</v>
      </c>
      <c r="AK98" s="60" t="e">
        <f t="shared" si="56"/>
        <v>#DIV/0!</v>
      </c>
      <c r="AL98" s="60" t="e">
        <f t="shared" si="57"/>
        <v>#DIV/0!</v>
      </c>
      <c r="AM98" s="60" t="e">
        <f t="shared" si="58"/>
        <v>#DIV/0!</v>
      </c>
      <c r="AN98" s="60" t="e">
        <f t="shared" si="60"/>
        <v>#DIV/0!</v>
      </c>
      <c r="AO98" s="61" t="e">
        <f t="shared" si="33"/>
        <v>#DIV/0!</v>
      </c>
      <c r="AP98" s="61" t="e">
        <f t="shared" si="59"/>
        <v>#DIV/0!</v>
      </c>
      <c r="AQ98" s="61" t="e">
        <f t="shared" si="59"/>
        <v>#DIV/0!</v>
      </c>
      <c r="AR98" s="61" t="e">
        <f t="shared" si="59"/>
        <v>#DIV/0!</v>
      </c>
      <c r="AS98" s="61" t="e">
        <f t="shared" si="59"/>
        <v>#DIV/0!</v>
      </c>
      <c r="AT98" s="61" t="e">
        <f t="shared" si="59"/>
        <v>#DIV/0!</v>
      </c>
      <c r="AU98" s="61" t="e">
        <f t="shared" si="59"/>
        <v>#DIV/0!</v>
      </c>
      <c r="AV98" s="61" t="e">
        <f t="shared" si="59"/>
        <v>#DIV/0!</v>
      </c>
      <c r="AW98" s="61" t="e">
        <f t="shared" si="59"/>
        <v>#DIV/0!</v>
      </c>
      <c r="AX98" s="61" t="e">
        <f t="shared" si="59"/>
        <v>#DIV/0!</v>
      </c>
      <c r="AY98" s="61" t="e">
        <f t="shared" si="59"/>
        <v>#DIV/0!</v>
      </c>
      <c r="AZ98" s="61" t="e">
        <f t="shared" si="59"/>
        <v>#DIV/0!</v>
      </c>
      <c r="BA98" s="61" t="e">
        <f t="shared" si="59"/>
        <v>#DIV/0!</v>
      </c>
      <c r="BB98" s="60" t="e">
        <f>Links!AF98</f>
        <v>#DIV/0!</v>
      </c>
      <c r="BC98" s="60" t="e">
        <f>(Links!AG98*Links!C98+'On-Ramps'!AC98*'On-Ramps'!CE98)/('On-Ramps'!AC98+Links!C98)</f>
        <v>#DIV/0!</v>
      </c>
      <c r="BD98" s="60" t="e">
        <f>Links!AH98</f>
        <v>#DIV/0!</v>
      </c>
      <c r="BE98" s="60" t="e">
        <f>(Links!AI98*Links!E98+'On-Ramps'!AD98*'On-Ramps'!CF97)/('On-Ramps'!AD98+Links!E98)</f>
        <v>#DIV/0!</v>
      </c>
      <c r="BF98" s="60" t="e">
        <f>(Links!F98*Links!AJ98+'On-Ramps'!AE98*'On-Ramps'!CG98)/('On-Ramps'!AE98+Links!F98)</f>
        <v>#DIV/0!</v>
      </c>
      <c r="BG98" s="60" t="e">
        <f>(Links!G98*Links!AK98+'On-Ramps'!AF98*'On-Ramps'!CH98)/('On-Ramps'!AF98+Links!G98)</f>
        <v>#DIV/0!</v>
      </c>
      <c r="BH98" s="60" t="e">
        <f>(Links!H98*Links!AL98+'On-Ramps'!AG98*'On-Ramps'!CI98)/('On-Ramps'!AG98+Links!H98)</f>
        <v>#DIV/0!</v>
      </c>
      <c r="BI98" s="60" t="e">
        <f>(Links!J98*Links!AN98+'On-Ramps'!AH98*'On-Ramps'!CJ98)/('On-Ramps'!AH98+Links!J98)</f>
        <v>#DIV/0!</v>
      </c>
      <c r="BJ98" s="60" t="e">
        <f>(Links!K98*Links!AO98+'On-Ramps'!AI98*'On-Ramps'!CK98)/('On-Ramps'!AI98+Links!K98)</f>
        <v>#DIV/0!</v>
      </c>
      <c r="BK98" s="60" t="e">
        <f>(Links!L98*Links!AP98+'On-Ramps'!AJ98*'On-Ramps'!CL98)/(Links!L98+'On-Ramps'!AJ98)</f>
        <v>#DIV/0!</v>
      </c>
      <c r="BL98" s="60" t="e">
        <f>Links!AQ98</f>
        <v>#DIV/0!</v>
      </c>
      <c r="BM98" s="60" t="e">
        <f>(Links!N98*Links!AR98+'On-Ramps'!AL98*'On-Ramps'!CM98)/(Links!N98+'On-Ramps'!AL98)</f>
        <v>#DIV/0!</v>
      </c>
      <c r="BN98" s="60" t="e">
        <f>Links!AS98</f>
        <v>#DIV/0!</v>
      </c>
      <c r="BO98" s="61" t="e">
        <f>(Links!R98^2+'Off-Ramp'!L98^2)/(Links!R98+'Off-Ramp'!L98)</f>
        <v>#DIV/0!</v>
      </c>
      <c r="BP98" s="61" t="e">
        <f>Links!S98</f>
        <v>#DIV/0!</v>
      </c>
      <c r="BQ98" s="61" t="e">
        <f>(Links!S98^2+'Off-Ramp'!C98^2)/(Links!S98+'Off-Ramp'!C98)</f>
        <v>#DIV/0!</v>
      </c>
      <c r="BR98" s="61" t="e">
        <f>Links!T98</f>
        <v>#DIV/0!</v>
      </c>
      <c r="BS98" s="61" t="e">
        <f>(Links!U98^2+'Off-Ramp'!N98^2)/(Links!U98+'Off-Ramp'!N98)</f>
        <v>#DIV/0!</v>
      </c>
      <c r="BT98" s="61" t="e">
        <f>(Links!V98^2+'Off-Ramp'!O98^2)/(Links!V98+'Off-Ramp'!O98)</f>
        <v>#DIV/0!</v>
      </c>
      <c r="BU98" s="61" t="e">
        <f>(Links!W98^2+'Off-Ramp'!P98^2)/(Links!W98+'Off-Ramp'!P98)</f>
        <v>#DIV/0!</v>
      </c>
      <c r="BV98" s="61" t="e">
        <f>(Links!Y98^2+'Off-Ramp'!Q98^2)/(Links!Y98+'Off-Ramp'!Q98)</f>
        <v>#DIV/0!</v>
      </c>
      <c r="BW98" s="61" t="e">
        <f>(Links!Z98^2+'Off-Ramp'!R98^2)/(Links!Z98+'Off-Ramp'!R98)</f>
        <v>#DIV/0!</v>
      </c>
      <c r="BX98" s="61" t="e">
        <f>(Links!AA98+'Off-Ramp'!S98)/(Links!AA98^2+'Off-Ramp'!S98^2)</f>
        <v>#DIV/0!</v>
      </c>
      <c r="BY98" s="61" t="e">
        <f>(Links!AB98^2+'Off-Ramp'!T98^2)/(Links!AB98+'Off-Ramp'!T98)</f>
        <v>#DIV/0!</v>
      </c>
      <c r="BZ98" s="61" t="e">
        <f>Links!AC98</f>
        <v>#DIV/0!</v>
      </c>
      <c r="CA98" s="61" t="e">
        <f>(Links!AD98^2+'Off-Ramp'!U98^2)/(Links!AD98+'Off-Ramp'!U98)</f>
        <v>#DIV/0!</v>
      </c>
    </row>
    <row r="99" spans="1:79" x14ac:dyDescent="0.15">
      <c r="A99" s="59">
        <v>97</v>
      </c>
      <c r="B99" s="60" t="e">
        <f t="shared" si="34"/>
        <v>#DIV/0!</v>
      </c>
      <c r="C99" s="60" t="e">
        <f t="shared" si="35"/>
        <v>#DIV/0!</v>
      </c>
      <c r="D99" s="60" t="e">
        <f t="shared" si="36"/>
        <v>#DIV/0!</v>
      </c>
      <c r="E99" s="60" t="e">
        <f t="shared" si="37"/>
        <v>#DIV/0!</v>
      </c>
      <c r="F99" s="60" t="e">
        <f t="shared" si="38"/>
        <v>#DIV/0!</v>
      </c>
      <c r="G99" s="60" t="e">
        <f t="shared" si="39"/>
        <v>#DIV/0!</v>
      </c>
      <c r="H99" s="60" t="e">
        <f t="shared" si="40"/>
        <v>#DIV/0!</v>
      </c>
      <c r="I99" s="60" t="e">
        <f t="shared" si="41"/>
        <v>#DIV/0!</v>
      </c>
      <c r="J99" s="60" t="e">
        <f t="shared" si="42"/>
        <v>#DIV/0!</v>
      </c>
      <c r="K99" s="60" t="e">
        <f t="shared" si="43"/>
        <v>#DIV/0!</v>
      </c>
      <c r="L99" s="60" t="e">
        <f t="shared" si="44"/>
        <v>#DIV/0!</v>
      </c>
      <c r="M99" s="60" t="e">
        <f t="shared" si="45"/>
        <v>#DIV/0!</v>
      </c>
      <c r="N99" s="60" t="e">
        <f t="shared" si="46"/>
        <v>#DIV/0!</v>
      </c>
      <c r="O99" s="61" t="e">
        <f>Links!B99</f>
        <v>#DIV/0!</v>
      </c>
      <c r="P99" s="61" t="e">
        <f>Links!C99+'On-Ramps'!AC99</f>
        <v>#DIV/0!</v>
      </c>
      <c r="Q99" s="61" t="e">
        <f>Links!D99</f>
        <v>#DIV/0!</v>
      </c>
      <c r="R99" s="61" t="e">
        <f>Links!E99+'On-Ramps'!AD99</f>
        <v>#DIV/0!</v>
      </c>
      <c r="S99" s="61" t="e">
        <f>Links!F99+'On-Ramps'!AE99</f>
        <v>#DIV/0!</v>
      </c>
      <c r="T99" s="61" t="e">
        <f>Links!G99+'On-Ramps'!AF99</f>
        <v>#DIV/0!</v>
      </c>
      <c r="U99" s="61" t="e">
        <f>Links!H99+'On-Ramps'!AG99</f>
        <v>#DIV/0!</v>
      </c>
      <c r="V99" s="61" t="e">
        <f>Links!J99+'On-Ramps'!AH99</f>
        <v>#DIV/0!</v>
      </c>
      <c r="W99" s="61" t="e">
        <f>Links!K99+'On-Ramps'!AI99</f>
        <v>#DIV/0!</v>
      </c>
      <c r="X99" s="61" t="e">
        <f>Links!L99+'On-Ramps'!AJ99</f>
        <v>#DIV/0!</v>
      </c>
      <c r="Y99" s="61" t="e">
        <f>Links!M99</f>
        <v>#DIV/0!</v>
      </c>
      <c r="Z99" s="61" t="e">
        <f>Links!N99+'On-Ramps'!AK99</f>
        <v>#DIV/0!</v>
      </c>
      <c r="AA99" s="61" t="e">
        <f>Links!O99</f>
        <v>#DIV/0!</v>
      </c>
      <c r="AB99" s="60" t="e">
        <f t="shared" si="47"/>
        <v>#DIV/0!</v>
      </c>
      <c r="AC99" s="60" t="e">
        <f t="shared" si="48"/>
        <v>#DIV/0!</v>
      </c>
      <c r="AD99" s="60" t="e">
        <f t="shared" si="49"/>
        <v>#DIV/0!</v>
      </c>
      <c r="AE99" s="60" t="e">
        <f t="shared" si="50"/>
        <v>#DIV/0!</v>
      </c>
      <c r="AF99" s="60" t="e">
        <f t="shared" si="51"/>
        <v>#DIV/0!</v>
      </c>
      <c r="AG99" s="60" t="e">
        <f t="shared" si="52"/>
        <v>#DIV/0!</v>
      </c>
      <c r="AH99" s="60" t="e">
        <f t="shared" si="53"/>
        <v>#DIV/0!</v>
      </c>
      <c r="AI99" s="60" t="e">
        <f t="shared" si="54"/>
        <v>#DIV/0!</v>
      </c>
      <c r="AJ99" s="60" t="e">
        <f t="shared" si="55"/>
        <v>#DIV/0!</v>
      </c>
      <c r="AK99" s="60" t="e">
        <f t="shared" si="56"/>
        <v>#DIV/0!</v>
      </c>
      <c r="AL99" s="60" t="e">
        <f t="shared" si="57"/>
        <v>#DIV/0!</v>
      </c>
      <c r="AM99" s="60" t="e">
        <f t="shared" si="58"/>
        <v>#DIV/0!</v>
      </c>
      <c r="AN99" s="60" t="e">
        <f t="shared" si="60"/>
        <v>#DIV/0!</v>
      </c>
      <c r="AO99" s="61" t="e">
        <f t="shared" si="33"/>
        <v>#DIV/0!</v>
      </c>
      <c r="AP99" s="61" t="e">
        <f t="shared" si="59"/>
        <v>#DIV/0!</v>
      </c>
      <c r="AQ99" s="61" t="e">
        <f t="shared" ref="AP99:BA120" si="61">AQ$3</f>
        <v>#DIV/0!</v>
      </c>
      <c r="AR99" s="61" t="e">
        <f t="shared" si="61"/>
        <v>#DIV/0!</v>
      </c>
      <c r="AS99" s="61" t="e">
        <f t="shared" si="61"/>
        <v>#DIV/0!</v>
      </c>
      <c r="AT99" s="61" t="e">
        <f t="shared" si="61"/>
        <v>#DIV/0!</v>
      </c>
      <c r="AU99" s="61" t="e">
        <f t="shared" si="61"/>
        <v>#DIV/0!</v>
      </c>
      <c r="AV99" s="61" t="e">
        <f t="shared" si="61"/>
        <v>#DIV/0!</v>
      </c>
      <c r="AW99" s="61" t="e">
        <f t="shared" si="61"/>
        <v>#DIV/0!</v>
      </c>
      <c r="AX99" s="61" t="e">
        <f t="shared" si="61"/>
        <v>#DIV/0!</v>
      </c>
      <c r="AY99" s="61" t="e">
        <f t="shared" si="61"/>
        <v>#DIV/0!</v>
      </c>
      <c r="AZ99" s="61" t="e">
        <f t="shared" si="61"/>
        <v>#DIV/0!</v>
      </c>
      <c r="BA99" s="61" t="e">
        <f t="shared" si="61"/>
        <v>#DIV/0!</v>
      </c>
      <c r="BB99" s="60" t="e">
        <f>Links!AF99</f>
        <v>#DIV/0!</v>
      </c>
      <c r="BC99" s="60" t="e">
        <f>(Links!AG99*Links!C99+'On-Ramps'!AC99*'On-Ramps'!CE99)/('On-Ramps'!AC99+Links!C99)</f>
        <v>#DIV/0!</v>
      </c>
      <c r="BD99" s="60" t="e">
        <f>Links!AH99</f>
        <v>#DIV/0!</v>
      </c>
      <c r="BE99" s="60" t="e">
        <f>(Links!AI99*Links!E99+'On-Ramps'!AD99*'On-Ramps'!CF98)/('On-Ramps'!AD99+Links!E99)</f>
        <v>#DIV/0!</v>
      </c>
      <c r="BF99" s="60" t="e">
        <f>(Links!F99*Links!AJ99+'On-Ramps'!AE99*'On-Ramps'!CG99)/('On-Ramps'!AE99+Links!F99)</f>
        <v>#DIV/0!</v>
      </c>
      <c r="BG99" s="60" t="e">
        <f>(Links!G99*Links!AK99+'On-Ramps'!AF99*'On-Ramps'!CH99)/('On-Ramps'!AF99+Links!G99)</f>
        <v>#DIV/0!</v>
      </c>
      <c r="BH99" s="60" t="e">
        <f>(Links!H99*Links!AL99+'On-Ramps'!AG99*'On-Ramps'!CI99)/('On-Ramps'!AG99+Links!H99)</f>
        <v>#DIV/0!</v>
      </c>
      <c r="BI99" s="60" t="e">
        <f>(Links!J99*Links!AN99+'On-Ramps'!AH99*'On-Ramps'!CJ99)/('On-Ramps'!AH99+Links!J99)</f>
        <v>#DIV/0!</v>
      </c>
      <c r="BJ99" s="60" t="e">
        <f>(Links!K99*Links!AO99+'On-Ramps'!AI99*'On-Ramps'!CK99)/('On-Ramps'!AI99+Links!K99)</f>
        <v>#DIV/0!</v>
      </c>
      <c r="BK99" s="60" t="e">
        <f>(Links!L99*Links!AP99+'On-Ramps'!AJ99*'On-Ramps'!CL99)/(Links!L99+'On-Ramps'!AJ99)</f>
        <v>#DIV/0!</v>
      </c>
      <c r="BL99" s="60" t="e">
        <f>Links!AQ99</f>
        <v>#DIV/0!</v>
      </c>
      <c r="BM99" s="60" t="e">
        <f>(Links!N99*Links!AR99+'On-Ramps'!AL99*'On-Ramps'!CM99)/(Links!N99+'On-Ramps'!AL99)</f>
        <v>#DIV/0!</v>
      </c>
      <c r="BN99" s="60" t="e">
        <f>Links!AS99</f>
        <v>#DIV/0!</v>
      </c>
      <c r="BO99" s="61" t="e">
        <f>(Links!R99^2+'Off-Ramp'!L99^2)/(Links!R99+'Off-Ramp'!L99)</f>
        <v>#DIV/0!</v>
      </c>
      <c r="BP99" s="61" t="e">
        <f>Links!S99</f>
        <v>#DIV/0!</v>
      </c>
      <c r="BQ99" s="61" t="e">
        <f>(Links!S99^2+'Off-Ramp'!C99^2)/(Links!S99+'Off-Ramp'!C99)</f>
        <v>#DIV/0!</v>
      </c>
      <c r="BR99" s="61" t="e">
        <f>Links!T99</f>
        <v>#DIV/0!</v>
      </c>
      <c r="BS99" s="61" t="e">
        <f>(Links!U99^2+'Off-Ramp'!N99^2)/(Links!U99+'Off-Ramp'!N99)</f>
        <v>#DIV/0!</v>
      </c>
      <c r="BT99" s="61" t="e">
        <f>(Links!V99^2+'Off-Ramp'!O99^2)/(Links!V99+'Off-Ramp'!O99)</f>
        <v>#DIV/0!</v>
      </c>
      <c r="BU99" s="61" t="e">
        <f>(Links!W99^2+'Off-Ramp'!P99^2)/(Links!W99+'Off-Ramp'!P99)</f>
        <v>#DIV/0!</v>
      </c>
      <c r="BV99" s="61" t="e">
        <f>(Links!Y99^2+'Off-Ramp'!Q99^2)/(Links!Y99+'Off-Ramp'!Q99)</f>
        <v>#DIV/0!</v>
      </c>
      <c r="BW99" s="61" t="e">
        <f>(Links!Z99^2+'Off-Ramp'!R99^2)/(Links!Z99+'Off-Ramp'!R99)</f>
        <v>#DIV/0!</v>
      </c>
      <c r="BX99" s="61" t="e">
        <f>(Links!AA99+'Off-Ramp'!S99)/(Links!AA99^2+'Off-Ramp'!S99^2)</f>
        <v>#DIV/0!</v>
      </c>
      <c r="BY99" s="61" t="e">
        <f>(Links!AB99^2+'Off-Ramp'!T99^2)/(Links!AB99+'Off-Ramp'!T99)</f>
        <v>#DIV/0!</v>
      </c>
      <c r="BZ99" s="61" t="e">
        <f>Links!AC99</f>
        <v>#DIV/0!</v>
      </c>
      <c r="CA99" s="61" t="e">
        <f>(Links!AD99^2+'Off-Ramp'!U99^2)/(Links!AD99+'Off-Ramp'!U99)</f>
        <v>#DIV/0!</v>
      </c>
    </row>
    <row r="100" spans="1:79" x14ac:dyDescent="0.15">
      <c r="A100" s="59">
        <v>98</v>
      </c>
      <c r="B100" s="60" t="e">
        <f t="shared" si="34"/>
        <v>#DIV/0!</v>
      </c>
      <c r="C100" s="60" t="e">
        <f t="shared" si="35"/>
        <v>#DIV/0!</v>
      </c>
      <c r="D100" s="60" t="e">
        <f t="shared" si="36"/>
        <v>#DIV/0!</v>
      </c>
      <c r="E100" s="60" t="e">
        <f t="shared" si="37"/>
        <v>#DIV/0!</v>
      </c>
      <c r="F100" s="60" t="e">
        <f t="shared" si="38"/>
        <v>#DIV/0!</v>
      </c>
      <c r="G100" s="60" t="e">
        <f t="shared" si="39"/>
        <v>#DIV/0!</v>
      </c>
      <c r="H100" s="60" t="e">
        <f t="shared" si="40"/>
        <v>#DIV/0!</v>
      </c>
      <c r="I100" s="60" t="e">
        <f t="shared" si="41"/>
        <v>#DIV/0!</v>
      </c>
      <c r="J100" s="60" t="e">
        <f t="shared" si="42"/>
        <v>#DIV/0!</v>
      </c>
      <c r="K100" s="60" t="e">
        <f t="shared" si="43"/>
        <v>#DIV/0!</v>
      </c>
      <c r="L100" s="60" t="e">
        <f t="shared" si="44"/>
        <v>#DIV/0!</v>
      </c>
      <c r="M100" s="60" t="e">
        <f t="shared" si="45"/>
        <v>#DIV/0!</v>
      </c>
      <c r="N100" s="60" t="e">
        <f t="shared" si="46"/>
        <v>#DIV/0!</v>
      </c>
      <c r="O100" s="61" t="e">
        <f>Links!B100</f>
        <v>#DIV/0!</v>
      </c>
      <c r="P100" s="61" t="e">
        <f>Links!C100+'On-Ramps'!AC100</f>
        <v>#DIV/0!</v>
      </c>
      <c r="Q100" s="61" t="e">
        <f>Links!D100</f>
        <v>#DIV/0!</v>
      </c>
      <c r="R100" s="61" t="e">
        <f>Links!E100+'On-Ramps'!AD100</f>
        <v>#DIV/0!</v>
      </c>
      <c r="S100" s="61" t="e">
        <f>Links!F100+'On-Ramps'!AE100</f>
        <v>#DIV/0!</v>
      </c>
      <c r="T100" s="61" t="e">
        <f>Links!G100+'On-Ramps'!AF100</f>
        <v>#DIV/0!</v>
      </c>
      <c r="U100" s="61" t="e">
        <f>Links!H100+'On-Ramps'!AG100</f>
        <v>#DIV/0!</v>
      </c>
      <c r="V100" s="61" t="e">
        <f>Links!J100+'On-Ramps'!AH100</f>
        <v>#DIV/0!</v>
      </c>
      <c r="W100" s="61" t="e">
        <f>Links!K100+'On-Ramps'!AI100</f>
        <v>#DIV/0!</v>
      </c>
      <c r="X100" s="61" t="e">
        <f>Links!L100+'On-Ramps'!AJ100</f>
        <v>#DIV/0!</v>
      </c>
      <c r="Y100" s="61" t="e">
        <f>Links!M100</f>
        <v>#DIV/0!</v>
      </c>
      <c r="Z100" s="61" t="e">
        <f>Links!N100+'On-Ramps'!AK100</f>
        <v>#DIV/0!</v>
      </c>
      <c r="AA100" s="61" t="e">
        <f>Links!O100</f>
        <v>#DIV/0!</v>
      </c>
      <c r="AB100" s="60" t="e">
        <f t="shared" si="47"/>
        <v>#DIV/0!</v>
      </c>
      <c r="AC100" s="60" t="e">
        <f t="shared" si="48"/>
        <v>#DIV/0!</v>
      </c>
      <c r="AD100" s="60" t="e">
        <f t="shared" si="49"/>
        <v>#DIV/0!</v>
      </c>
      <c r="AE100" s="60" t="e">
        <f t="shared" si="50"/>
        <v>#DIV/0!</v>
      </c>
      <c r="AF100" s="60" t="e">
        <f t="shared" si="51"/>
        <v>#DIV/0!</v>
      </c>
      <c r="AG100" s="60" t="e">
        <f t="shared" si="52"/>
        <v>#DIV/0!</v>
      </c>
      <c r="AH100" s="60" t="e">
        <f t="shared" si="53"/>
        <v>#DIV/0!</v>
      </c>
      <c r="AI100" s="60" t="e">
        <f t="shared" si="54"/>
        <v>#DIV/0!</v>
      </c>
      <c r="AJ100" s="60" t="e">
        <f t="shared" si="55"/>
        <v>#DIV/0!</v>
      </c>
      <c r="AK100" s="60" t="e">
        <f t="shared" si="56"/>
        <v>#DIV/0!</v>
      </c>
      <c r="AL100" s="60" t="e">
        <f t="shared" si="57"/>
        <v>#DIV/0!</v>
      </c>
      <c r="AM100" s="60" t="e">
        <f t="shared" si="58"/>
        <v>#DIV/0!</v>
      </c>
      <c r="AN100" s="60" t="e">
        <f t="shared" si="60"/>
        <v>#DIV/0!</v>
      </c>
      <c r="AO100" s="61" t="e">
        <f t="shared" si="33"/>
        <v>#DIV/0!</v>
      </c>
      <c r="AP100" s="61" t="e">
        <f t="shared" si="61"/>
        <v>#DIV/0!</v>
      </c>
      <c r="AQ100" s="61" t="e">
        <f t="shared" si="61"/>
        <v>#DIV/0!</v>
      </c>
      <c r="AR100" s="61" t="e">
        <f t="shared" si="61"/>
        <v>#DIV/0!</v>
      </c>
      <c r="AS100" s="61" t="e">
        <f t="shared" si="61"/>
        <v>#DIV/0!</v>
      </c>
      <c r="AT100" s="61" t="e">
        <f t="shared" si="61"/>
        <v>#DIV/0!</v>
      </c>
      <c r="AU100" s="61" t="e">
        <f t="shared" si="61"/>
        <v>#DIV/0!</v>
      </c>
      <c r="AV100" s="61" t="e">
        <f t="shared" si="61"/>
        <v>#DIV/0!</v>
      </c>
      <c r="AW100" s="61" t="e">
        <f t="shared" si="61"/>
        <v>#DIV/0!</v>
      </c>
      <c r="AX100" s="61" t="e">
        <f t="shared" si="61"/>
        <v>#DIV/0!</v>
      </c>
      <c r="AY100" s="61" t="e">
        <f t="shared" si="61"/>
        <v>#DIV/0!</v>
      </c>
      <c r="AZ100" s="61" t="e">
        <f t="shared" si="61"/>
        <v>#DIV/0!</v>
      </c>
      <c r="BA100" s="61" t="e">
        <f t="shared" si="61"/>
        <v>#DIV/0!</v>
      </c>
      <c r="BB100" s="60" t="e">
        <f>Links!AF100</f>
        <v>#DIV/0!</v>
      </c>
      <c r="BC100" s="60" t="e">
        <f>(Links!AG100*Links!C100+'On-Ramps'!AC100*'On-Ramps'!CE100)/('On-Ramps'!AC100+Links!C100)</f>
        <v>#DIV/0!</v>
      </c>
      <c r="BD100" s="60" t="e">
        <f>Links!AH100</f>
        <v>#DIV/0!</v>
      </c>
      <c r="BE100" s="60" t="e">
        <f>(Links!AI100*Links!E100+'On-Ramps'!AD100*'On-Ramps'!CF99)/('On-Ramps'!AD100+Links!E100)</f>
        <v>#DIV/0!</v>
      </c>
      <c r="BF100" s="60" t="e">
        <f>(Links!F100*Links!AJ100+'On-Ramps'!AE100*'On-Ramps'!CG100)/('On-Ramps'!AE100+Links!F100)</f>
        <v>#DIV/0!</v>
      </c>
      <c r="BG100" s="60" t="e">
        <f>(Links!G100*Links!AK100+'On-Ramps'!AF100*'On-Ramps'!CH100)/('On-Ramps'!AF100+Links!G100)</f>
        <v>#DIV/0!</v>
      </c>
      <c r="BH100" s="60" t="e">
        <f>(Links!H100*Links!AL100+'On-Ramps'!AG100*'On-Ramps'!CI100)/('On-Ramps'!AG100+Links!H100)</f>
        <v>#DIV/0!</v>
      </c>
      <c r="BI100" s="60" t="e">
        <f>(Links!J100*Links!AN100+'On-Ramps'!AH100*'On-Ramps'!CJ100)/('On-Ramps'!AH100+Links!J100)</f>
        <v>#DIV/0!</v>
      </c>
      <c r="BJ100" s="60" t="e">
        <f>(Links!K100*Links!AO100+'On-Ramps'!AI100*'On-Ramps'!CK100)/('On-Ramps'!AI100+Links!K100)</f>
        <v>#DIV/0!</v>
      </c>
      <c r="BK100" s="60" t="e">
        <f>(Links!L100*Links!AP100+'On-Ramps'!AJ100*'On-Ramps'!CL100)/(Links!L100+'On-Ramps'!AJ100)</f>
        <v>#DIV/0!</v>
      </c>
      <c r="BL100" s="60" t="e">
        <f>Links!AQ100</f>
        <v>#DIV/0!</v>
      </c>
      <c r="BM100" s="60" t="e">
        <f>(Links!N100*Links!AR100+'On-Ramps'!AL100*'On-Ramps'!CM100)/(Links!N100+'On-Ramps'!AL100)</f>
        <v>#DIV/0!</v>
      </c>
      <c r="BN100" s="60" t="e">
        <f>Links!AS100</f>
        <v>#DIV/0!</v>
      </c>
      <c r="BO100" s="61" t="e">
        <f>(Links!R100^2+'Off-Ramp'!L100^2)/(Links!R100+'Off-Ramp'!L100)</f>
        <v>#DIV/0!</v>
      </c>
      <c r="BP100" s="61" t="e">
        <f>Links!S100</f>
        <v>#DIV/0!</v>
      </c>
      <c r="BQ100" s="61" t="e">
        <f>(Links!S100^2+'Off-Ramp'!C100^2)/(Links!S100+'Off-Ramp'!C100)</f>
        <v>#DIV/0!</v>
      </c>
      <c r="BR100" s="61" t="e">
        <f>Links!T100</f>
        <v>#DIV/0!</v>
      </c>
      <c r="BS100" s="61" t="e">
        <f>(Links!U100^2+'Off-Ramp'!N100^2)/(Links!U100+'Off-Ramp'!N100)</f>
        <v>#DIV/0!</v>
      </c>
      <c r="BT100" s="61" t="e">
        <f>(Links!V100^2+'Off-Ramp'!O100^2)/(Links!V100+'Off-Ramp'!O100)</f>
        <v>#DIV/0!</v>
      </c>
      <c r="BU100" s="61" t="e">
        <f>(Links!W100^2+'Off-Ramp'!P100^2)/(Links!W100+'Off-Ramp'!P100)</f>
        <v>#DIV/0!</v>
      </c>
      <c r="BV100" s="61" t="e">
        <f>(Links!Y100^2+'Off-Ramp'!Q100^2)/(Links!Y100+'Off-Ramp'!Q100)</f>
        <v>#DIV/0!</v>
      </c>
      <c r="BW100" s="61" t="e">
        <f>(Links!Z100^2+'Off-Ramp'!R100^2)/(Links!Z100+'Off-Ramp'!R100)</f>
        <v>#DIV/0!</v>
      </c>
      <c r="BX100" s="61" t="e">
        <f>(Links!AA100+'Off-Ramp'!S100)/(Links!AA100^2+'Off-Ramp'!S100^2)</f>
        <v>#DIV/0!</v>
      </c>
      <c r="BY100" s="61" t="e">
        <f>(Links!AB100^2+'Off-Ramp'!T100^2)/(Links!AB100+'Off-Ramp'!T100)</f>
        <v>#DIV/0!</v>
      </c>
      <c r="BZ100" s="61" t="e">
        <f>Links!AC100</f>
        <v>#DIV/0!</v>
      </c>
      <c r="CA100" s="61" t="e">
        <f>(Links!AD100^2+'Off-Ramp'!U100^2)/(Links!AD100+'Off-Ramp'!U100)</f>
        <v>#DIV/0!</v>
      </c>
    </row>
    <row r="101" spans="1:79" x14ac:dyDescent="0.15">
      <c r="A101" s="59">
        <v>99</v>
      </c>
      <c r="B101" s="60" t="e">
        <f t="shared" si="34"/>
        <v>#DIV/0!</v>
      </c>
      <c r="C101" s="60" t="e">
        <f t="shared" si="35"/>
        <v>#DIV/0!</v>
      </c>
      <c r="D101" s="60" t="e">
        <f t="shared" si="36"/>
        <v>#DIV/0!</v>
      </c>
      <c r="E101" s="60" t="e">
        <f t="shared" si="37"/>
        <v>#DIV/0!</v>
      </c>
      <c r="F101" s="60" t="e">
        <f t="shared" si="38"/>
        <v>#DIV/0!</v>
      </c>
      <c r="G101" s="60" t="e">
        <f t="shared" si="39"/>
        <v>#DIV/0!</v>
      </c>
      <c r="H101" s="60" t="e">
        <f t="shared" si="40"/>
        <v>#DIV/0!</v>
      </c>
      <c r="I101" s="60" t="e">
        <f t="shared" si="41"/>
        <v>#DIV/0!</v>
      </c>
      <c r="J101" s="60" t="e">
        <f t="shared" si="42"/>
        <v>#DIV/0!</v>
      </c>
      <c r="K101" s="60" t="e">
        <f t="shared" si="43"/>
        <v>#DIV/0!</v>
      </c>
      <c r="L101" s="60" t="e">
        <f t="shared" si="44"/>
        <v>#DIV/0!</v>
      </c>
      <c r="M101" s="60" t="e">
        <f t="shared" si="45"/>
        <v>#DIV/0!</v>
      </c>
      <c r="N101" s="60" t="e">
        <f t="shared" si="46"/>
        <v>#DIV/0!</v>
      </c>
      <c r="O101" s="61" t="e">
        <f>Links!B101</f>
        <v>#DIV/0!</v>
      </c>
      <c r="P101" s="61" t="e">
        <f>Links!C101+'On-Ramps'!AC101</f>
        <v>#DIV/0!</v>
      </c>
      <c r="Q101" s="61" t="e">
        <f>Links!D101</f>
        <v>#DIV/0!</v>
      </c>
      <c r="R101" s="61" t="e">
        <f>Links!E101+'On-Ramps'!AD101</f>
        <v>#DIV/0!</v>
      </c>
      <c r="S101" s="61" t="e">
        <f>Links!F101+'On-Ramps'!AE101</f>
        <v>#DIV/0!</v>
      </c>
      <c r="T101" s="61" t="e">
        <f>Links!G101+'On-Ramps'!AF101</f>
        <v>#DIV/0!</v>
      </c>
      <c r="U101" s="61" t="e">
        <f>Links!H101+'On-Ramps'!AG101</f>
        <v>#DIV/0!</v>
      </c>
      <c r="V101" s="61" t="e">
        <f>Links!J101+'On-Ramps'!AH101</f>
        <v>#DIV/0!</v>
      </c>
      <c r="W101" s="61" t="e">
        <f>Links!K101+'On-Ramps'!AI101</f>
        <v>#DIV/0!</v>
      </c>
      <c r="X101" s="61" t="e">
        <f>Links!L101+'On-Ramps'!AJ101</f>
        <v>#DIV/0!</v>
      </c>
      <c r="Y101" s="61" t="e">
        <f>Links!M101</f>
        <v>#DIV/0!</v>
      </c>
      <c r="Z101" s="61" t="e">
        <f>Links!N101+'On-Ramps'!AK101</f>
        <v>#DIV/0!</v>
      </c>
      <c r="AA101" s="61" t="e">
        <f>Links!O101</f>
        <v>#DIV/0!</v>
      </c>
      <c r="AB101" s="60" t="e">
        <f t="shared" si="47"/>
        <v>#DIV/0!</v>
      </c>
      <c r="AC101" s="60" t="e">
        <f t="shared" si="48"/>
        <v>#DIV/0!</v>
      </c>
      <c r="AD101" s="60" t="e">
        <f t="shared" si="49"/>
        <v>#DIV/0!</v>
      </c>
      <c r="AE101" s="60" t="e">
        <f t="shared" si="50"/>
        <v>#DIV/0!</v>
      </c>
      <c r="AF101" s="60" t="e">
        <f t="shared" si="51"/>
        <v>#DIV/0!</v>
      </c>
      <c r="AG101" s="60" t="e">
        <f t="shared" si="52"/>
        <v>#DIV/0!</v>
      </c>
      <c r="AH101" s="60" t="e">
        <f t="shared" si="53"/>
        <v>#DIV/0!</v>
      </c>
      <c r="AI101" s="60" t="e">
        <f t="shared" si="54"/>
        <v>#DIV/0!</v>
      </c>
      <c r="AJ101" s="60" t="e">
        <f t="shared" si="55"/>
        <v>#DIV/0!</v>
      </c>
      <c r="AK101" s="60" t="e">
        <f t="shared" si="56"/>
        <v>#DIV/0!</v>
      </c>
      <c r="AL101" s="60" t="e">
        <f t="shared" si="57"/>
        <v>#DIV/0!</v>
      </c>
      <c r="AM101" s="60" t="e">
        <f t="shared" si="58"/>
        <v>#DIV/0!</v>
      </c>
      <c r="AN101" s="60" t="e">
        <f t="shared" si="60"/>
        <v>#DIV/0!</v>
      </c>
      <c r="AO101" s="61" t="e">
        <f t="shared" si="33"/>
        <v>#DIV/0!</v>
      </c>
      <c r="AP101" s="61" t="e">
        <f t="shared" si="61"/>
        <v>#DIV/0!</v>
      </c>
      <c r="AQ101" s="61" t="e">
        <f t="shared" si="61"/>
        <v>#DIV/0!</v>
      </c>
      <c r="AR101" s="61" t="e">
        <f t="shared" si="61"/>
        <v>#DIV/0!</v>
      </c>
      <c r="AS101" s="61" t="e">
        <f t="shared" si="61"/>
        <v>#DIV/0!</v>
      </c>
      <c r="AT101" s="61" t="e">
        <f t="shared" si="61"/>
        <v>#DIV/0!</v>
      </c>
      <c r="AU101" s="61" t="e">
        <f t="shared" si="61"/>
        <v>#DIV/0!</v>
      </c>
      <c r="AV101" s="61" t="e">
        <f t="shared" si="61"/>
        <v>#DIV/0!</v>
      </c>
      <c r="AW101" s="61" t="e">
        <f t="shared" si="61"/>
        <v>#DIV/0!</v>
      </c>
      <c r="AX101" s="61" t="e">
        <f t="shared" si="61"/>
        <v>#DIV/0!</v>
      </c>
      <c r="AY101" s="61" t="e">
        <f t="shared" si="61"/>
        <v>#DIV/0!</v>
      </c>
      <c r="AZ101" s="61" t="e">
        <f t="shared" si="61"/>
        <v>#DIV/0!</v>
      </c>
      <c r="BA101" s="61" t="e">
        <f t="shared" si="61"/>
        <v>#DIV/0!</v>
      </c>
      <c r="BB101" s="60" t="e">
        <f>Links!AF101</f>
        <v>#DIV/0!</v>
      </c>
      <c r="BC101" s="60" t="e">
        <f>(Links!AG101*Links!C101+'On-Ramps'!AC101*'On-Ramps'!CE101)/('On-Ramps'!AC101+Links!C101)</f>
        <v>#DIV/0!</v>
      </c>
      <c r="BD101" s="60" t="e">
        <f>Links!AH101</f>
        <v>#DIV/0!</v>
      </c>
      <c r="BE101" s="60" t="e">
        <f>(Links!AI101*Links!E101+'On-Ramps'!AD101*'On-Ramps'!CF100)/('On-Ramps'!AD101+Links!E101)</f>
        <v>#DIV/0!</v>
      </c>
      <c r="BF101" s="60" t="e">
        <f>(Links!F101*Links!AJ101+'On-Ramps'!AE101*'On-Ramps'!CG101)/('On-Ramps'!AE101+Links!F101)</f>
        <v>#DIV/0!</v>
      </c>
      <c r="BG101" s="60" t="e">
        <f>(Links!G101*Links!AK101+'On-Ramps'!AF101*'On-Ramps'!CH101)/('On-Ramps'!AF101+Links!G101)</f>
        <v>#DIV/0!</v>
      </c>
      <c r="BH101" s="60" t="e">
        <f>(Links!H101*Links!AL101+'On-Ramps'!AG101*'On-Ramps'!CI101)/('On-Ramps'!AG101+Links!H101)</f>
        <v>#DIV/0!</v>
      </c>
      <c r="BI101" s="60" t="e">
        <f>(Links!J101*Links!AN101+'On-Ramps'!AH101*'On-Ramps'!CJ101)/('On-Ramps'!AH101+Links!J101)</f>
        <v>#DIV/0!</v>
      </c>
      <c r="BJ101" s="60" t="e">
        <f>(Links!K101*Links!AO101+'On-Ramps'!AI101*'On-Ramps'!CK101)/('On-Ramps'!AI101+Links!K101)</f>
        <v>#DIV/0!</v>
      </c>
      <c r="BK101" s="60" t="e">
        <f>(Links!L101*Links!AP101+'On-Ramps'!AJ101*'On-Ramps'!CL101)/(Links!L101+'On-Ramps'!AJ101)</f>
        <v>#DIV/0!</v>
      </c>
      <c r="BL101" s="60" t="e">
        <f>Links!AQ101</f>
        <v>#DIV/0!</v>
      </c>
      <c r="BM101" s="60" t="e">
        <f>(Links!N101*Links!AR101+'On-Ramps'!AL101*'On-Ramps'!CM101)/(Links!N101+'On-Ramps'!AL101)</f>
        <v>#DIV/0!</v>
      </c>
      <c r="BN101" s="60" t="e">
        <f>Links!AS101</f>
        <v>#DIV/0!</v>
      </c>
      <c r="BO101" s="61" t="e">
        <f>(Links!R101^2+'Off-Ramp'!L101^2)/(Links!R101+'Off-Ramp'!L101)</f>
        <v>#DIV/0!</v>
      </c>
      <c r="BP101" s="61" t="e">
        <f>Links!S101</f>
        <v>#DIV/0!</v>
      </c>
      <c r="BQ101" s="61" t="e">
        <f>(Links!S101^2+'Off-Ramp'!C101^2)/(Links!S101+'Off-Ramp'!C101)</f>
        <v>#DIV/0!</v>
      </c>
      <c r="BR101" s="61" t="e">
        <f>Links!T101</f>
        <v>#DIV/0!</v>
      </c>
      <c r="BS101" s="61" t="e">
        <f>(Links!U101^2+'Off-Ramp'!N101^2)/(Links!U101+'Off-Ramp'!N101)</f>
        <v>#DIV/0!</v>
      </c>
      <c r="BT101" s="61" t="e">
        <f>(Links!V101^2+'Off-Ramp'!O101^2)/(Links!V101+'Off-Ramp'!O101)</f>
        <v>#DIV/0!</v>
      </c>
      <c r="BU101" s="61" t="e">
        <f>(Links!W101^2+'Off-Ramp'!P101^2)/(Links!W101+'Off-Ramp'!P101)</f>
        <v>#DIV/0!</v>
      </c>
      <c r="BV101" s="61" t="e">
        <f>(Links!Y101^2+'Off-Ramp'!Q101^2)/(Links!Y101+'Off-Ramp'!Q101)</f>
        <v>#DIV/0!</v>
      </c>
      <c r="BW101" s="61" t="e">
        <f>(Links!Z101^2+'Off-Ramp'!R101^2)/(Links!Z101+'Off-Ramp'!R101)</f>
        <v>#DIV/0!</v>
      </c>
      <c r="BX101" s="61" t="e">
        <f>(Links!AA101+'Off-Ramp'!S101)/(Links!AA101^2+'Off-Ramp'!S101^2)</f>
        <v>#DIV/0!</v>
      </c>
      <c r="BY101" s="61" t="e">
        <f>(Links!AB101^2+'Off-Ramp'!T101^2)/(Links!AB101+'Off-Ramp'!T101)</f>
        <v>#DIV/0!</v>
      </c>
      <c r="BZ101" s="61" t="e">
        <f>Links!AC101</f>
        <v>#DIV/0!</v>
      </c>
      <c r="CA101" s="61" t="e">
        <f>(Links!AD101^2+'Off-Ramp'!U101^2)/(Links!AD101+'Off-Ramp'!U101)</f>
        <v>#DIV/0!</v>
      </c>
    </row>
    <row r="102" spans="1:79" x14ac:dyDescent="0.15">
      <c r="A102" s="59">
        <v>100</v>
      </c>
      <c r="B102" s="60" t="e">
        <f t="shared" si="34"/>
        <v>#DIV/0!</v>
      </c>
      <c r="C102" s="60" t="e">
        <f t="shared" si="35"/>
        <v>#DIV/0!</v>
      </c>
      <c r="D102" s="60" t="e">
        <f t="shared" si="36"/>
        <v>#DIV/0!</v>
      </c>
      <c r="E102" s="60" t="e">
        <f t="shared" si="37"/>
        <v>#DIV/0!</v>
      </c>
      <c r="F102" s="60" t="e">
        <f t="shared" si="38"/>
        <v>#DIV/0!</v>
      </c>
      <c r="G102" s="60" t="e">
        <f t="shared" si="39"/>
        <v>#DIV/0!</v>
      </c>
      <c r="H102" s="60" t="e">
        <f t="shared" si="40"/>
        <v>#DIV/0!</v>
      </c>
      <c r="I102" s="60" t="e">
        <f t="shared" si="41"/>
        <v>#DIV/0!</v>
      </c>
      <c r="J102" s="60" t="e">
        <f t="shared" si="42"/>
        <v>#DIV/0!</v>
      </c>
      <c r="K102" s="60" t="e">
        <f t="shared" si="43"/>
        <v>#DIV/0!</v>
      </c>
      <c r="L102" s="60" t="e">
        <f t="shared" si="44"/>
        <v>#DIV/0!</v>
      </c>
      <c r="M102" s="60" t="e">
        <f t="shared" si="45"/>
        <v>#DIV/0!</v>
      </c>
      <c r="N102" s="60" t="e">
        <f t="shared" si="46"/>
        <v>#DIV/0!</v>
      </c>
      <c r="O102" s="61" t="e">
        <f>Links!B102</f>
        <v>#DIV/0!</v>
      </c>
      <c r="P102" s="61" t="e">
        <f>Links!C102+'On-Ramps'!AC102</f>
        <v>#DIV/0!</v>
      </c>
      <c r="Q102" s="61" t="e">
        <f>Links!D102</f>
        <v>#DIV/0!</v>
      </c>
      <c r="R102" s="61" t="e">
        <f>Links!E102+'On-Ramps'!AD102</f>
        <v>#DIV/0!</v>
      </c>
      <c r="S102" s="61" t="e">
        <f>Links!F102+'On-Ramps'!AE102</f>
        <v>#DIV/0!</v>
      </c>
      <c r="T102" s="61" t="e">
        <f>Links!G102+'On-Ramps'!AF102</f>
        <v>#DIV/0!</v>
      </c>
      <c r="U102" s="61" t="e">
        <f>Links!H102+'On-Ramps'!AG102</f>
        <v>#DIV/0!</v>
      </c>
      <c r="V102" s="61" t="e">
        <f>Links!J102+'On-Ramps'!AH102</f>
        <v>#DIV/0!</v>
      </c>
      <c r="W102" s="61" t="e">
        <f>Links!K102+'On-Ramps'!AI102</f>
        <v>#DIV/0!</v>
      </c>
      <c r="X102" s="61" t="e">
        <f>Links!L102+'On-Ramps'!AJ102</f>
        <v>#DIV/0!</v>
      </c>
      <c r="Y102" s="61" t="e">
        <f>Links!M102</f>
        <v>#DIV/0!</v>
      </c>
      <c r="Z102" s="61" t="e">
        <f>Links!N102+'On-Ramps'!AK102</f>
        <v>#DIV/0!</v>
      </c>
      <c r="AA102" s="61" t="e">
        <f>Links!O102</f>
        <v>#DIV/0!</v>
      </c>
      <c r="AB102" s="60" t="e">
        <f t="shared" si="47"/>
        <v>#DIV/0!</v>
      </c>
      <c r="AC102" s="60" t="e">
        <f t="shared" si="48"/>
        <v>#DIV/0!</v>
      </c>
      <c r="AD102" s="60" t="e">
        <f t="shared" si="49"/>
        <v>#DIV/0!</v>
      </c>
      <c r="AE102" s="60" t="e">
        <f t="shared" si="50"/>
        <v>#DIV/0!</v>
      </c>
      <c r="AF102" s="60" t="e">
        <f t="shared" si="51"/>
        <v>#DIV/0!</v>
      </c>
      <c r="AG102" s="60" t="e">
        <f t="shared" si="52"/>
        <v>#DIV/0!</v>
      </c>
      <c r="AH102" s="60" t="e">
        <f t="shared" si="53"/>
        <v>#DIV/0!</v>
      </c>
      <c r="AI102" s="60" t="e">
        <f t="shared" si="54"/>
        <v>#DIV/0!</v>
      </c>
      <c r="AJ102" s="60" t="e">
        <f t="shared" si="55"/>
        <v>#DIV/0!</v>
      </c>
      <c r="AK102" s="60" t="e">
        <f t="shared" si="56"/>
        <v>#DIV/0!</v>
      </c>
      <c r="AL102" s="60" t="e">
        <f t="shared" si="57"/>
        <v>#DIV/0!</v>
      </c>
      <c r="AM102" s="60" t="e">
        <f t="shared" si="58"/>
        <v>#DIV/0!</v>
      </c>
      <c r="AN102" s="60" t="e">
        <f t="shared" si="60"/>
        <v>#DIV/0!</v>
      </c>
      <c r="AO102" s="61" t="e">
        <f t="shared" si="33"/>
        <v>#DIV/0!</v>
      </c>
      <c r="AP102" s="61" t="e">
        <f t="shared" si="61"/>
        <v>#DIV/0!</v>
      </c>
      <c r="AQ102" s="61" t="e">
        <f t="shared" si="61"/>
        <v>#DIV/0!</v>
      </c>
      <c r="AR102" s="61" t="e">
        <f t="shared" si="61"/>
        <v>#DIV/0!</v>
      </c>
      <c r="AS102" s="61" t="e">
        <f t="shared" si="61"/>
        <v>#DIV/0!</v>
      </c>
      <c r="AT102" s="61" t="e">
        <f t="shared" si="61"/>
        <v>#DIV/0!</v>
      </c>
      <c r="AU102" s="61" t="e">
        <f t="shared" si="61"/>
        <v>#DIV/0!</v>
      </c>
      <c r="AV102" s="61" t="e">
        <f t="shared" si="61"/>
        <v>#DIV/0!</v>
      </c>
      <c r="AW102" s="61" t="e">
        <f t="shared" si="61"/>
        <v>#DIV/0!</v>
      </c>
      <c r="AX102" s="61" t="e">
        <f t="shared" si="61"/>
        <v>#DIV/0!</v>
      </c>
      <c r="AY102" s="61" t="e">
        <f t="shared" si="61"/>
        <v>#DIV/0!</v>
      </c>
      <c r="AZ102" s="61" t="e">
        <f t="shared" si="61"/>
        <v>#DIV/0!</v>
      </c>
      <c r="BA102" s="61" t="e">
        <f t="shared" si="61"/>
        <v>#DIV/0!</v>
      </c>
      <c r="BB102" s="60" t="e">
        <f>Links!AF102</f>
        <v>#DIV/0!</v>
      </c>
      <c r="BC102" s="60" t="e">
        <f>(Links!AG102*Links!C102+'On-Ramps'!AC102*'On-Ramps'!CE102)/('On-Ramps'!AC102+Links!C102)</f>
        <v>#DIV/0!</v>
      </c>
      <c r="BD102" s="60" t="e">
        <f>Links!AH102</f>
        <v>#DIV/0!</v>
      </c>
      <c r="BE102" s="60" t="e">
        <f>(Links!AI102*Links!E102+'On-Ramps'!AD102*'On-Ramps'!CF101)/('On-Ramps'!AD102+Links!E102)</f>
        <v>#DIV/0!</v>
      </c>
      <c r="BF102" s="60" t="e">
        <f>(Links!F102*Links!AJ102+'On-Ramps'!AE102*'On-Ramps'!CG102)/('On-Ramps'!AE102+Links!F102)</f>
        <v>#DIV/0!</v>
      </c>
      <c r="BG102" s="60" t="e">
        <f>(Links!G102*Links!AK102+'On-Ramps'!AF102*'On-Ramps'!CH102)/('On-Ramps'!AF102+Links!G102)</f>
        <v>#DIV/0!</v>
      </c>
      <c r="BH102" s="60" t="e">
        <f>(Links!H102*Links!AL102+'On-Ramps'!AG102*'On-Ramps'!CI102)/('On-Ramps'!AG102+Links!H102)</f>
        <v>#DIV/0!</v>
      </c>
      <c r="BI102" s="60" t="e">
        <f>(Links!J102*Links!AN102+'On-Ramps'!AH102*'On-Ramps'!CJ102)/('On-Ramps'!AH102+Links!J102)</f>
        <v>#DIV/0!</v>
      </c>
      <c r="BJ102" s="60" t="e">
        <f>(Links!K102*Links!AO102+'On-Ramps'!AI102*'On-Ramps'!CK102)/('On-Ramps'!AI102+Links!K102)</f>
        <v>#DIV/0!</v>
      </c>
      <c r="BK102" s="60" t="e">
        <f>(Links!L102*Links!AP102+'On-Ramps'!AJ102*'On-Ramps'!CL102)/(Links!L102+'On-Ramps'!AJ102)</f>
        <v>#DIV/0!</v>
      </c>
      <c r="BL102" s="60" t="e">
        <f>Links!AQ102</f>
        <v>#DIV/0!</v>
      </c>
      <c r="BM102" s="60" t="e">
        <f>(Links!N102*Links!AR102+'On-Ramps'!AL102*'On-Ramps'!CM102)/(Links!N102+'On-Ramps'!AL102)</f>
        <v>#DIV/0!</v>
      </c>
      <c r="BN102" s="60" t="e">
        <f>Links!AS102</f>
        <v>#DIV/0!</v>
      </c>
      <c r="BO102" s="61" t="e">
        <f>(Links!R102^2+'Off-Ramp'!L102^2)/(Links!R102+'Off-Ramp'!L102)</f>
        <v>#DIV/0!</v>
      </c>
      <c r="BP102" s="61" t="e">
        <f>Links!S102</f>
        <v>#DIV/0!</v>
      </c>
      <c r="BQ102" s="61" t="e">
        <f>(Links!S102^2+'Off-Ramp'!C102^2)/(Links!S102+'Off-Ramp'!C102)</f>
        <v>#DIV/0!</v>
      </c>
      <c r="BR102" s="61" t="e">
        <f>Links!T102</f>
        <v>#DIV/0!</v>
      </c>
      <c r="BS102" s="61" t="e">
        <f>(Links!U102^2+'Off-Ramp'!N102^2)/(Links!U102+'Off-Ramp'!N102)</f>
        <v>#DIV/0!</v>
      </c>
      <c r="BT102" s="61" t="e">
        <f>(Links!V102^2+'Off-Ramp'!O102^2)/(Links!V102+'Off-Ramp'!O102)</f>
        <v>#DIV/0!</v>
      </c>
      <c r="BU102" s="61" t="e">
        <f>(Links!W102^2+'Off-Ramp'!P102^2)/(Links!W102+'Off-Ramp'!P102)</f>
        <v>#DIV/0!</v>
      </c>
      <c r="BV102" s="61" t="e">
        <f>(Links!Y102^2+'Off-Ramp'!Q102^2)/(Links!Y102+'Off-Ramp'!Q102)</f>
        <v>#DIV/0!</v>
      </c>
      <c r="BW102" s="61" t="e">
        <f>(Links!Z102^2+'Off-Ramp'!R102^2)/(Links!Z102+'Off-Ramp'!R102)</f>
        <v>#DIV/0!</v>
      </c>
      <c r="BX102" s="61" t="e">
        <f>(Links!AA102+'Off-Ramp'!S102)/(Links!AA102^2+'Off-Ramp'!S102^2)</f>
        <v>#DIV/0!</v>
      </c>
      <c r="BY102" s="61" t="e">
        <f>(Links!AB102^2+'Off-Ramp'!T102^2)/(Links!AB102+'Off-Ramp'!T102)</f>
        <v>#DIV/0!</v>
      </c>
      <c r="BZ102" s="61" t="e">
        <f>Links!AC102</f>
        <v>#DIV/0!</v>
      </c>
      <c r="CA102" s="61" t="e">
        <f>(Links!AD102^2+'Off-Ramp'!U102^2)/(Links!AD102+'Off-Ramp'!U102)</f>
        <v>#DIV/0!</v>
      </c>
    </row>
    <row r="103" spans="1:79" x14ac:dyDescent="0.15">
      <c r="A103" s="59">
        <v>101</v>
      </c>
      <c r="B103" s="60" t="e">
        <f t="shared" si="34"/>
        <v>#DIV/0!</v>
      </c>
      <c r="C103" s="60" t="e">
        <f t="shared" si="35"/>
        <v>#DIV/0!</v>
      </c>
      <c r="D103" s="60" t="e">
        <f t="shared" si="36"/>
        <v>#DIV/0!</v>
      </c>
      <c r="E103" s="60" t="e">
        <f t="shared" si="37"/>
        <v>#DIV/0!</v>
      </c>
      <c r="F103" s="60" t="e">
        <f t="shared" si="38"/>
        <v>#DIV/0!</v>
      </c>
      <c r="G103" s="60" t="e">
        <f t="shared" si="39"/>
        <v>#DIV/0!</v>
      </c>
      <c r="H103" s="60" t="e">
        <f t="shared" si="40"/>
        <v>#DIV/0!</v>
      </c>
      <c r="I103" s="60" t="e">
        <f t="shared" si="41"/>
        <v>#DIV/0!</v>
      </c>
      <c r="J103" s="60" t="e">
        <f t="shared" si="42"/>
        <v>#DIV/0!</v>
      </c>
      <c r="K103" s="60" t="e">
        <f t="shared" si="43"/>
        <v>#DIV/0!</v>
      </c>
      <c r="L103" s="60" t="e">
        <f t="shared" si="44"/>
        <v>#DIV/0!</v>
      </c>
      <c r="M103" s="60" t="e">
        <f t="shared" si="45"/>
        <v>#DIV/0!</v>
      </c>
      <c r="N103" s="60" t="e">
        <f t="shared" si="46"/>
        <v>#DIV/0!</v>
      </c>
      <c r="O103" s="61" t="e">
        <f>Links!B103</f>
        <v>#DIV/0!</v>
      </c>
      <c r="P103" s="61" t="e">
        <f>Links!C103+'On-Ramps'!AC103</f>
        <v>#DIV/0!</v>
      </c>
      <c r="Q103" s="61" t="e">
        <f>Links!D103</f>
        <v>#DIV/0!</v>
      </c>
      <c r="R103" s="61" t="e">
        <f>Links!E103+'On-Ramps'!AD103</f>
        <v>#DIV/0!</v>
      </c>
      <c r="S103" s="61" t="e">
        <f>Links!F103+'On-Ramps'!AE103</f>
        <v>#DIV/0!</v>
      </c>
      <c r="T103" s="61" t="e">
        <f>Links!G103+'On-Ramps'!AF103</f>
        <v>#DIV/0!</v>
      </c>
      <c r="U103" s="61" t="e">
        <f>Links!H103+'On-Ramps'!AG103</f>
        <v>#DIV/0!</v>
      </c>
      <c r="V103" s="61" t="e">
        <f>Links!J103+'On-Ramps'!AH103</f>
        <v>#DIV/0!</v>
      </c>
      <c r="W103" s="61" t="e">
        <f>Links!K103+'On-Ramps'!AI103</f>
        <v>#DIV/0!</v>
      </c>
      <c r="X103" s="61" t="e">
        <f>Links!L103+'On-Ramps'!AJ103</f>
        <v>#DIV/0!</v>
      </c>
      <c r="Y103" s="61" t="e">
        <f>Links!M103</f>
        <v>#DIV/0!</v>
      </c>
      <c r="Z103" s="61" t="e">
        <f>Links!N103+'On-Ramps'!AK103</f>
        <v>#DIV/0!</v>
      </c>
      <c r="AA103" s="61" t="e">
        <f>Links!O103</f>
        <v>#DIV/0!</v>
      </c>
      <c r="AB103" s="60" t="e">
        <f t="shared" si="47"/>
        <v>#DIV/0!</v>
      </c>
      <c r="AC103" s="60" t="e">
        <f t="shared" si="48"/>
        <v>#DIV/0!</v>
      </c>
      <c r="AD103" s="60" t="e">
        <f t="shared" si="49"/>
        <v>#DIV/0!</v>
      </c>
      <c r="AE103" s="60" t="e">
        <f t="shared" si="50"/>
        <v>#DIV/0!</v>
      </c>
      <c r="AF103" s="60" t="e">
        <f t="shared" si="51"/>
        <v>#DIV/0!</v>
      </c>
      <c r="AG103" s="60" t="e">
        <f t="shared" si="52"/>
        <v>#DIV/0!</v>
      </c>
      <c r="AH103" s="60" t="e">
        <f t="shared" si="53"/>
        <v>#DIV/0!</v>
      </c>
      <c r="AI103" s="60" t="e">
        <f t="shared" si="54"/>
        <v>#DIV/0!</v>
      </c>
      <c r="AJ103" s="60" t="e">
        <f t="shared" si="55"/>
        <v>#DIV/0!</v>
      </c>
      <c r="AK103" s="60" t="e">
        <f t="shared" si="56"/>
        <v>#DIV/0!</v>
      </c>
      <c r="AL103" s="60" t="e">
        <f t="shared" si="57"/>
        <v>#DIV/0!</v>
      </c>
      <c r="AM103" s="60" t="e">
        <f t="shared" si="58"/>
        <v>#DIV/0!</v>
      </c>
      <c r="AN103" s="60" t="e">
        <f t="shared" si="60"/>
        <v>#DIV/0!</v>
      </c>
      <c r="AO103" s="61" t="e">
        <f t="shared" si="33"/>
        <v>#DIV/0!</v>
      </c>
      <c r="AP103" s="61" t="e">
        <f t="shared" si="61"/>
        <v>#DIV/0!</v>
      </c>
      <c r="AQ103" s="61" t="e">
        <f t="shared" si="61"/>
        <v>#DIV/0!</v>
      </c>
      <c r="AR103" s="61" t="e">
        <f t="shared" si="61"/>
        <v>#DIV/0!</v>
      </c>
      <c r="AS103" s="61" t="e">
        <f t="shared" si="61"/>
        <v>#DIV/0!</v>
      </c>
      <c r="AT103" s="61" t="e">
        <f t="shared" si="61"/>
        <v>#DIV/0!</v>
      </c>
      <c r="AU103" s="61" t="e">
        <f t="shared" si="61"/>
        <v>#DIV/0!</v>
      </c>
      <c r="AV103" s="61" t="e">
        <f t="shared" si="61"/>
        <v>#DIV/0!</v>
      </c>
      <c r="AW103" s="61" t="e">
        <f t="shared" si="61"/>
        <v>#DIV/0!</v>
      </c>
      <c r="AX103" s="61" t="e">
        <f t="shared" si="61"/>
        <v>#DIV/0!</v>
      </c>
      <c r="AY103" s="61" t="e">
        <f t="shared" si="61"/>
        <v>#DIV/0!</v>
      </c>
      <c r="AZ103" s="61" t="e">
        <f t="shared" si="61"/>
        <v>#DIV/0!</v>
      </c>
      <c r="BA103" s="61" t="e">
        <f t="shared" si="61"/>
        <v>#DIV/0!</v>
      </c>
      <c r="BB103" s="60" t="e">
        <f>Links!AF103</f>
        <v>#DIV/0!</v>
      </c>
      <c r="BC103" s="60" t="e">
        <f>(Links!AG103*Links!C103+'On-Ramps'!AC103*'On-Ramps'!CE103)/('On-Ramps'!AC103+Links!C103)</f>
        <v>#DIV/0!</v>
      </c>
      <c r="BD103" s="60" t="e">
        <f>Links!AH103</f>
        <v>#DIV/0!</v>
      </c>
      <c r="BE103" s="60" t="e">
        <f>(Links!AI103*Links!E103+'On-Ramps'!AD103*'On-Ramps'!CF102)/('On-Ramps'!AD103+Links!E103)</f>
        <v>#DIV/0!</v>
      </c>
      <c r="BF103" s="60" t="e">
        <f>(Links!F103*Links!AJ103+'On-Ramps'!AE103*'On-Ramps'!CG103)/('On-Ramps'!AE103+Links!F103)</f>
        <v>#DIV/0!</v>
      </c>
      <c r="BG103" s="60" t="e">
        <f>(Links!G103*Links!AK103+'On-Ramps'!AF103*'On-Ramps'!CH103)/('On-Ramps'!AF103+Links!G103)</f>
        <v>#DIV/0!</v>
      </c>
      <c r="BH103" s="60" t="e">
        <f>(Links!H103*Links!AL103+'On-Ramps'!AG103*'On-Ramps'!CI103)/('On-Ramps'!AG103+Links!H103)</f>
        <v>#DIV/0!</v>
      </c>
      <c r="BI103" s="60" t="e">
        <f>(Links!J103*Links!AN103+'On-Ramps'!AH103*'On-Ramps'!CJ103)/('On-Ramps'!AH103+Links!J103)</f>
        <v>#DIV/0!</v>
      </c>
      <c r="BJ103" s="60" t="e">
        <f>(Links!K103*Links!AO103+'On-Ramps'!AI103*'On-Ramps'!CK103)/('On-Ramps'!AI103+Links!K103)</f>
        <v>#DIV/0!</v>
      </c>
      <c r="BK103" s="60" t="e">
        <f>(Links!L103*Links!AP103+'On-Ramps'!AJ103*'On-Ramps'!CL103)/(Links!L103+'On-Ramps'!AJ103)</f>
        <v>#DIV/0!</v>
      </c>
      <c r="BL103" s="60" t="e">
        <f>Links!AQ103</f>
        <v>#DIV/0!</v>
      </c>
      <c r="BM103" s="60" t="e">
        <f>(Links!N103*Links!AR103+'On-Ramps'!AL103*'On-Ramps'!CM103)/(Links!N103+'On-Ramps'!AL103)</f>
        <v>#DIV/0!</v>
      </c>
      <c r="BN103" s="60" t="e">
        <f>Links!AS103</f>
        <v>#DIV/0!</v>
      </c>
      <c r="BO103" s="61" t="e">
        <f>(Links!R103^2+'Off-Ramp'!L103^2)/(Links!R103+'Off-Ramp'!L103)</f>
        <v>#DIV/0!</v>
      </c>
      <c r="BP103" s="61" t="e">
        <f>Links!S103</f>
        <v>#DIV/0!</v>
      </c>
      <c r="BQ103" s="61" t="e">
        <f>(Links!S103^2+'Off-Ramp'!C103^2)/(Links!S103+'Off-Ramp'!C103)</f>
        <v>#DIV/0!</v>
      </c>
      <c r="BR103" s="61" t="e">
        <f>Links!T103</f>
        <v>#DIV/0!</v>
      </c>
      <c r="BS103" s="61" t="e">
        <f>(Links!U103^2+'Off-Ramp'!N103^2)/(Links!U103+'Off-Ramp'!N103)</f>
        <v>#DIV/0!</v>
      </c>
      <c r="BT103" s="61" t="e">
        <f>(Links!V103^2+'Off-Ramp'!O103^2)/(Links!V103+'Off-Ramp'!O103)</f>
        <v>#DIV/0!</v>
      </c>
      <c r="BU103" s="61" t="e">
        <f>(Links!W103^2+'Off-Ramp'!P103^2)/(Links!W103+'Off-Ramp'!P103)</f>
        <v>#DIV/0!</v>
      </c>
      <c r="BV103" s="61" t="e">
        <f>(Links!Y103^2+'Off-Ramp'!Q103^2)/(Links!Y103+'Off-Ramp'!Q103)</f>
        <v>#DIV/0!</v>
      </c>
      <c r="BW103" s="61" t="e">
        <f>(Links!Z103^2+'Off-Ramp'!R103^2)/(Links!Z103+'Off-Ramp'!R103)</f>
        <v>#DIV/0!</v>
      </c>
      <c r="BX103" s="61" t="e">
        <f>(Links!AA103+'Off-Ramp'!S103)/(Links!AA103^2+'Off-Ramp'!S103^2)</f>
        <v>#DIV/0!</v>
      </c>
      <c r="BY103" s="61" t="e">
        <f>(Links!AB103^2+'Off-Ramp'!T103^2)/(Links!AB103+'Off-Ramp'!T103)</f>
        <v>#DIV/0!</v>
      </c>
      <c r="BZ103" s="61" t="e">
        <f>Links!AC103</f>
        <v>#DIV/0!</v>
      </c>
      <c r="CA103" s="61" t="e">
        <f>(Links!AD103^2+'Off-Ramp'!U103^2)/(Links!AD103+'Off-Ramp'!U103)</f>
        <v>#DIV/0!</v>
      </c>
    </row>
    <row r="104" spans="1:79" x14ac:dyDescent="0.15">
      <c r="A104" s="59">
        <v>102</v>
      </c>
      <c r="B104" s="60" t="e">
        <f t="shared" si="34"/>
        <v>#DIV/0!</v>
      </c>
      <c r="C104" s="60" t="e">
        <f t="shared" si="35"/>
        <v>#DIV/0!</v>
      </c>
      <c r="D104" s="60" t="e">
        <f t="shared" si="36"/>
        <v>#DIV/0!</v>
      </c>
      <c r="E104" s="60" t="e">
        <f t="shared" si="37"/>
        <v>#DIV/0!</v>
      </c>
      <c r="F104" s="60" t="e">
        <f t="shared" si="38"/>
        <v>#DIV/0!</v>
      </c>
      <c r="G104" s="60" t="e">
        <f t="shared" si="39"/>
        <v>#DIV/0!</v>
      </c>
      <c r="H104" s="60" t="e">
        <f t="shared" si="40"/>
        <v>#DIV/0!</v>
      </c>
      <c r="I104" s="60" t="e">
        <f t="shared" si="41"/>
        <v>#DIV/0!</v>
      </c>
      <c r="J104" s="60" t="e">
        <f t="shared" si="42"/>
        <v>#DIV/0!</v>
      </c>
      <c r="K104" s="60" t="e">
        <f t="shared" si="43"/>
        <v>#DIV/0!</v>
      </c>
      <c r="L104" s="60" t="e">
        <f t="shared" si="44"/>
        <v>#DIV/0!</v>
      </c>
      <c r="M104" s="60" t="e">
        <f t="shared" si="45"/>
        <v>#DIV/0!</v>
      </c>
      <c r="N104" s="60" t="e">
        <f t="shared" si="46"/>
        <v>#DIV/0!</v>
      </c>
      <c r="O104" s="61" t="e">
        <f>Links!B104</f>
        <v>#DIV/0!</v>
      </c>
      <c r="P104" s="61" t="e">
        <f>Links!C104+'On-Ramps'!AC104</f>
        <v>#DIV/0!</v>
      </c>
      <c r="Q104" s="61" t="e">
        <f>Links!D104</f>
        <v>#DIV/0!</v>
      </c>
      <c r="R104" s="61" t="e">
        <f>Links!E104+'On-Ramps'!AD104</f>
        <v>#DIV/0!</v>
      </c>
      <c r="S104" s="61" t="e">
        <f>Links!F104+'On-Ramps'!AE104</f>
        <v>#DIV/0!</v>
      </c>
      <c r="T104" s="61" t="e">
        <f>Links!G104+'On-Ramps'!AF104</f>
        <v>#DIV/0!</v>
      </c>
      <c r="U104" s="61" t="e">
        <f>Links!H104+'On-Ramps'!AG104</f>
        <v>#DIV/0!</v>
      </c>
      <c r="V104" s="61" t="e">
        <f>Links!J104+'On-Ramps'!AH104</f>
        <v>#DIV/0!</v>
      </c>
      <c r="W104" s="61" t="e">
        <f>Links!K104+'On-Ramps'!AI104</f>
        <v>#DIV/0!</v>
      </c>
      <c r="X104" s="61" t="e">
        <f>Links!L104+'On-Ramps'!AJ104</f>
        <v>#DIV/0!</v>
      </c>
      <c r="Y104" s="61" t="e">
        <f>Links!M104</f>
        <v>#DIV/0!</v>
      </c>
      <c r="Z104" s="61" t="e">
        <f>Links!N104+'On-Ramps'!AK104</f>
        <v>#DIV/0!</v>
      </c>
      <c r="AA104" s="61" t="e">
        <f>Links!O104</f>
        <v>#DIV/0!</v>
      </c>
      <c r="AB104" s="60" t="e">
        <f t="shared" si="47"/>
        <v>#DIV/0!</v>
      </c>
      <c r="AC104" s="60" t="e">
        <f t="shared" si="48"/>
        <v>#DIV/0!</v>
      </c>
      <c r="AD104" s="60" t="e">
        <f t="shared" si="49"/>
        <v>#DIV/0!</v>
      </c>
      <c r="AE104" s="60" t="e">
        <f t="shared" si="50"/>
        <v>#DIV/0!</v>
      </c>
      <c r="AF104" s="60" t="e">
        <f t="shared" si="51"/>
        <v>#DIV/0!</v>
      </c>
      <c r="AG104" s="60" t="e">
        <f t="shared" si="52"/>
        <v>#DIV/0!</v>
      </c>
      <c r="AH104" s="60" t="e">
        <f t="shared" si="53"/>
        <v>#DIV/0!</v>
      </c>
      <c r="AI104" s="60" t="e">
        <f t="shared" si="54"/>
        <v>#DIV/0!</v>
      </c>
      <c r="AJ104" s="60" t="e">
        <f t="shared" si="55"/>
        <v>#DIV/0!</v>
      </c>
      <c r="AK104" s="60" t="e">
        <f t="shared" si="56"/>
        <v>#DIV/0!</v>
      </c>
      <c r="AL104" s="60" t="e">
        <f t="shared" si="57"/>
        <v>#DIV/0!</v>
      </c>
      <c r="AM104" s="60" t="e">
        <f t="shared" si="58"/>
        <v>#DIV/0!</v>
      </c>
      <c r="AN104" s="60" t="e">
        <f t="shared" si="60"/>
        <v>#DIV/0!</v>
      </c>
      <c r="AO104" s="61" t="e">
        <f t="shared" si="33"/>
        <v>#DIV/0!</v>
      </c>
      <c r="AP104" s="61" t="e">
        <f t="shared" si="61"/>
        <v>#DIV/0!</v>
      </c>
      <c r="AQ104" s="61" t="e">
        <f t="shared" si="61"/>
        <v>#DIV/0!</v>
      </c>
      <c r="AR104" s="61" t="e">
        <f t="shared" si="61"/>
        <v>#DIV/0!</v>
      </c>
      <c r="AS104" s="61" t="e">
        <f t="shared" si="61"/>
        <v>#DIV/0!</v>
      </c>
      <c r="AT104" s="61" t="e">
        <f t="shared" si="61"/>
        <v>#DIV/0!</v>
      </c>
      <c r="AU104" s="61" t="e">
        <f t="shared" si="61"/>
        <v>#DIV/0!</v>
      </c>
      <c r="AV104" s="61" t="e">
        <f t="shared" si="61"/>
        <v>#DIV/0!</v>
      </c>
      <c r="AW104" s="61" t="e">
        <f t="shared" si="61"/>
        <v>#DIV/0!</v>
      </c>
      <c r="AX104" s="61" t="e">
        <f t="shared" si="61"/>
        <v>#DIV/0!</v>
      </c>
      <c r="AY104" s="61" t="e">
        <f t="shared" si="61"/>
        <v>#DIV/0!</v>
      </c>
      <c r="AZ104" s="61" t="e">
        <f t="shared" si="61"/>
        <v>#DIV/0!</v>
      </c>
      <c r="BA104" s="61" t="e">
        <f t="shared" si="61"/>
        <v>#DIV/0!</v>
      </c>
      <c r="BB104" s="60" t="e">
        <f>Links!AF104</f>
        <v>#DIV/0!</v>
      </c>
      <c r="BC104" s="60" t="e">
        <f>(Links!AG104*Links!C104+'On-Ramps'!AC104*'On-Ramps'!CE104)/('On-Ramps'!AC104+Links!C104)</f>
        <v>#DIV/0!</v>
      </c>
      <c r="BD104" s="60" t="e">
        <f>Links!AH104</f>
        <v>#DIV/0!</v>
      </c>
      <c r="BE104" s="60" t="e">
        <f>(Links!AI104*Links!E104+'On-Ramps'!AD104*'On-Ramps'!CF103)/('On-Ramps'!AD104+Links!E104)</f>
        <v>#DIV/0!</v>
      </c>
      <c r="BF104" s="60" t="e">
        <f>(Links!F104*Links!AJ104+'On-Ramps'!AE104*'On-Ramps'!CG104)/('On-Ramps'!AE104+Links!F104)</f>
        <v>#DIV/0!</v>
      </c>
      <c r="BG104" s="60" t="e">
        <f>(Links!G104*Links!AK104+'On-Ramps'!AF104*'On-Ramps'!CH104)/('On-Ramps'!AF104+Links!G104)</f>
        <v>#DIV/0!</v>
      </c>
      <c r="BH104" s="60" t="e">
        <f>(Links!H104*Links!AL104+'On-Ramps'!AG104*'On-Ramps'!CI104)/('On-Ramps'!AG104+Links!H104)</f>
        <v>#DIV/0!</v>
      </c>
      <c r="BI104" s="60" t="e">
        <f>(Links!J104*Links!AN104+'On-Ramps'!AH104*'On-Ramps'!CJ104)/('On-Ramps'!AH104+Links!J104)</f>
        <v>#DIV/0!</v>
      </c>
      <c r="BJ104" s="60" t="e">
        <f>(Links!K104*Links!AO104+'On-Ramps'!AI104*'On-Ramps'!CK104)/('On-Ramps'!AI104+Links!K104)</f>
        <v>#DIV/0!</v>
      </c>
      <c r="BK104" s="60" t="e">
        <f>(Links!L104*Links!AP104+'On-Ramps'!AJ104*'On-Ramps'!CL104)/(Links!L104+'On-Ramps'!AJ104)</f>
        <v>#DIV/0!</v>
      </c>
      <c r="BL104" s="60" t="e">
        <f>Links!AQ104</f>
        <v>#DIV/0!</v>
      </c>
      <c r="BM104" s="60" t="e">
        <f>(Links!N104*Links!AR104+'On-Ramps'!AL104*'On-Ramps'!CM104)/(Links!N104+'On-Ramps'!AL104)</f>
        <v>#DIV/0!</v>
      </c>
      <c r="BN104" s="60" t="e">
        <f>Links!AS104</f>
        <v>#DIV/0!</v>
      </c>
      <c r="BO104" s="61" t="e">
        <f>(Links!R104^2+'Off-Ramp'!L104^2)/(Links!R104+'Off-Ramp'!L104)</f>
        <v>#DIV/0!</v>
      </c>
      <c r="BP104" s="61" t="e">
        <f>Links!S104</f>
        <v>#DIV/0!</v>
      </c>
      <c r="BQ104" s="61" t="e">
        <f>(Links!S104^2+'Off-Ramp'!C104^2)/(Links!S104+'Off-Ramp'!C104)</f>
        <v>#DIV/0!</v>
      </c>
      <c r="BR104" s="61" t="e">
        <f>Links!T104</f>
        <v>#DIV/0!</v>
      </c>
      <c r="BS104" s="61" t="e">
        <f>(Links!U104^2+'Off-Ramp'!N104^2)/(Links!U104+'Off-Ramp'!N104)</f>
        <v>#DIV/0!</v>
      </c>
      <c r="BT104" s="61" t="e">
        <f>(Links!V104^2+'Off-Ramp'!O104^2)/(Links!V104+'Off-Ramp'!O104)</f>
        <v>#DIV/0!</v>
      </c>
      <c r="BU104" s="61" t="e">
        <f>(Links!W104^2+'Off-Ramp'!P104^2)/(Links!W104+'Off-Ramp'!P104)</f>
        <v>#DIV/0!</v>
      </c>
      <c r="BV104" s="61" t="e">
        <f>(Links!Y104^2+'Off-Ramp'!Q104^2)/(Links!Y104+'Off-Ramp'!Q104)</f>
        <v>#DIV/0!</v>
      </c>
      <c r="BW104" s="61" t="e">
        <f>(Links!Z104^2+'Off-Ramp'!R104^2)/(Links!Z104+'Off-Ramp'!R104)</f>
        <v>#DIV/0!</v>
      </c>
      <c r="BX104" s="61" t="e">
        <f>(Links!AA104+'Off-Ramp'!S104)/(Links!AA104^2+'Off-Ramp'!S104^2)</f>
        <v>#DIV/0!</v>
      </c>
      <c r="BY104" s="61" t="e">
        <f>(Links!AB104^2+'Off-Ramp'!T104^2)/(Links!AB104+'Off-Ramp'!T104)</f>
        <v>#DIV/0!</v>
      </c>
      <c r="BZ104" s="61" t="e">
        <f>Links!AC104</f>
        <v>#DIV/0!</v>
      </c>
      <c r="CA104" s="61" t="e">
        <f>(Links!AD104^2+'Off-Ramp'!U104^2)/(Links!AD104+'Off-Ramp'!U104)</f>
        <v>#DIV/0!</v>
      </c>
    </row>
    <row r="105" spans="1:79" x14ac:dyDescent="0.15">
      <c r="A105" s="59">
        <v>103</v>
      </c>
      <c r="B105" s="60" t="e">
        <f t="shared" si="34"/>
        <v>#DIV/0!</v>
      </c>
      <c r="C105" s="60" t="e">
        <f t="shared" si="35"/>
        <v>#DIV/0!</v>
      </c>
      <c r="D105" s="60" t="e">
        <f t="shared" si="36"/>
        <v>#DIV/0!</v>
      </c>
      <c r="E105" s="60" t="e">
        <f t="shared" si="37"/>
        <v>#DIV/0!</v>
      </c>
      <c r="F105" s="60" t="e">
        <f t="shared" si="38"/>
        <v>#DIV/0!</v>
      </c>
      <c r="G105" s="60" t="e">
        <f t="shared" si="39"/>
        <v>#DIV/0!</v>
      </c>
      <c r="H105" s="60" t="e">
        <f t="shared" si="40"/>
        <v>#DIV/0!</v>
      </c>
      <c r="I105" s="60" t="e">
        <f t="shared" si="41"/>
        <v>#DIV/0!</v>
      </c>
      <c r="J105" s="60" t="e">
        <f t="shared" si="42"/>
        <v>#DIV/0!</v>
      </c>
      <c r="K105" s="60" t="e">
        <f t="shared" si="43"/>
        <v>#DIV/0!</v>
      </c>
      <c r="L105" s="60" t="e">
        <f t="shared" si="44"/>
        <v>#DIV/0!</v>
      </c>
      <c r="M105" s="60" t="e">
        <f t="shared" si="45"/>
        <v>#DIV/0!</v>
      </c>
      <c r="N105" s="60" t="e">
        <f t="shared" si="46"/>
        <v>#DIV/0!</v>
      </c>
      <c r="O105" s="61" t="e">
        <f>Links!B105</f>
        <v>#DIV/0!</v>
      </c>
      <c r="P105" s="61" t="e">
        <f>Links!C105+'On-Ramps'!AC105</f>
        <v>#DIV/0!</v>
      </c>
      <c r="Q105" s="61" t="e">
        <f>Links!D105</f>
        <v>#DIV/0!</v>
      </c>
      <c r="R105" s="61" t="e">
        <f>Links!E105+'On-Ramps'!AD105</f>
        <v>#DIV/0!</v>
      </c>
      <c r="S105" s="61" t="e">
        <f>Links!F105+'On-Ramps'!AE105</f>
        <v>#DIV/0!</v>
      </c>
      <c r="T105" s="61" t="e">
        <f>Links!G105+'On-Ramps'!AF105</f>
        <v>#DIV/0!</v>
      </c>
      <c r="U105" s="61" t="e">
        <f>Links!H105+'On-Ramps'!AG105</f>
        <v>#DIV/0!</v>
      </c>
      <c r="V105" s="61" t="e">
        <f>Links!J105+'On-Ramps'!AH105</f>
        <v>#DIV/0!</v>
      </c>
      <c r="W105" s="61" t="e">
        <f>Links!K105+'On-Ramps'!AI105</f>
        <v>#DIV/0!</v>
      </c>
      <c r="X105" s="61" t="e">
        <f>Links!L105+'On-Ramps'!AJ105</f>
        <v>#DIV/0!</v>
      </c>
      <c r="Y105" s="61" t="e">
        <f>Links!M105</f>
        <v>#DIV/0!</v>
      </c>
      <c r="Z105" s="61" t="e">
        <f>Links!N105+'On-Ramps'!AK105</f>
        <v>#DIV/0!</v>
      </c>
      <c r="AA105" s="61" t="e">
        <f>Links!O105</f>
        <v>#DIV/0!</v>
      </c>
      <c r="AB105" s="60" t="e">
        <f t="shared" si="47"/>
        <v>#DIV/0!</v>
      </c>
      <c r="AC105" s="60" t="e">
        <f t="shared" si="48"/>
        <v>#DIV/0!</v>
      </c>
      <c r="AD105" s="60" t="e">
        <f t="shared" si="49"/>
        <v>#DIV/0!</v>
      </c>
      <c r="AE105" s="60" t="e">
        <f t="shared" si="50"/>
        <v>#DIV/0!</v>
      </c>
      <c r="AF105" s="60" t="e">
        <f t="shared" si="51"/>
        <v>#DIV/0!</v>
      </c>
      <c r="AG105" s="60" t="e">
        <f t="shared" si="52"/>
        <v>#DIV/0!</v>
      </c>
      <c r="AH105" s="60" t="e">
        <f t="shared" si="53"/>
        <v>#DIV/0!</v>
      </c>
      <c r="AI105" s="60" t="e">
        <f t="shared" si="54"/>
        <v>#DIV/0!</v>
      </c>
      <c r="AJ105" s="60" t="e">
        <f t="shared" si="55"/>
        <v>#DIV/0!</v>
      </c>
      <c r="AK105" s="60" t="e">
        <f t="shared" si="56"/>
        <v>#DIV/0!</v>
      </c>
      <c r="AL105" s="60" t="e">
        <f t="shared" si="57"/>
        <v>#DIV/0!</v>
      </c>
      <c r="AM105" s="60" t="e">
        <f t="shared" si="58"/>
        <v>#DIV/0!</v>
      </c>
      <c r="AN105" s="60" t="e">
        <f t="shared" si="60"/>
        <v>#DIV/0!</v>
      </c>
      <c r="AO105" s="61" t="e">
        <f t="shared" si="33"/>
        <v>#DIV/0!</v>
      </c>
      <c r="AP105" s="61" t="e">
        <f t="shared" si="61"/>
        <v>#DIV/0!</v>
      </c>
      <c r="AQ105" s="61" t="e">
        <f t="shared" si="61"/>
        <v>#DIV/0!</v>
      </c>
      <c r="AR105" s="61" t="e">
        <f t="shared" si="61"/>
        <v>#DIV/0!</v>
      </c>
      <c r="AS105" s="61" t="e">
        <f t="shared" si="61"/>
        <v>#DIV/0!</v>
      </c>
      <c r="AT105" s="61" t="e">
        <f t="shared" si="61"/>
        <v>#DIV/0!</v>
      </c>
      <c r="AU105" s="61" t="e">
        <f t="shared" si="61"/>
        <v>#DIV/0!</v>
      </c>
      <c r="AV105" s="61" t="e">
        <f t="shared" si="61"/>
        <v>#DIV/0!</v>
      </c>
      <c r="AW105" s="61" t="e">
        <f t="shared" si="61"/>
        <v>#DIV/0!</v>
      </c>
      <c r="AX105" s="61" t="e">
        <f t="shared" si="61"/>
        <v>#DIV/0!</v>
      </c>
      <c r="AY105" s="61" t="e">
        <f t="shared" si="61"/>
        <v>#DIV/0!</v>
      </c>
      <c r="AZ105" s="61" t="e">
        <f t="shared" si="61"/>
        <v>#DIV/0!</v>
      </c>
      <c r="BA105" s="61" t="e">
        <f t="shared" si="61"/>
        <v>#DIV/0!</v>
      </c>
      <c r="BB105" s="60" t="e">
        <f>Links!AF105</f>
        <v>#DIV/0!</v>
      </c>
      <c r="BC105" s="60" t="e">
        <f>(Links!AG105*Links!C105+'On-Ramps'!AC105*'On-Ramps'!CE105)/('On-Ramps'!AC105+Links!C105)</f>
        <v>#DIV/0!</v>
      </c>
      <c r="BD105" s="60" t="e">
        <f>Links!AH105</f>
        <v>#DIV/0!</v>
      </c>
      <c r="BE105" s="60" t="e">
        <f>(Links!AI105*Links!E105+'On-Ramps'!AD105*'On-Ramps'!CF104)/('On-Ramps'!AD105+Links!E105)</f>
        <v>#DIV/0!</v>
      </c>
      <c r="BF105" s="60" t="e">
        <f>(Links!F105*Links!AJ105+'On-Ramps'!AE105*'On-Ramps'!CG105)/('On-Ramps'!AE105+Links!F105)</f>
        <v>#DIV/0!</v>
      </c>
      <c r="BG105" s="60" t="e">
        <f>(Links!G105*Links!AK105+'On-Ramps'!AF105*'On-Ramps'!CH105)/('On-Ramps'!AF105+Links!G105)</f>
        <v>#DIV/0!</v>
      </c>
      <c r="BH105" s="60" t="e">
        <f>(Links!H105*Links!AL105+'On-Ramps'!AG105*'On-Ramps'!CI105)/('On-Ramps'!AG105+Links!H105)</f>
        <v>#DIV/0!</v>
      </c>
      <c r="BI105" s="60" t="e">
        <f>(Links!J105*Links!AN105+'On-Ramps'!AH105*'On-Ramps'!CJ105)/('On-Ramps'!AH105+Links!J105)</f>
        <v>#DIV/0!</v>
      </c>
      <c r="BJ105" s="60" t="e">
        <f>(Links!K105*Links!AO105+'On-Ramps'!AI105*'On-Ramps'!CK105)/('On-Ramps'!AI105+Links!K105)</f>
        <v>#DIV/0!</v>
      </c>
      <c r="BK105" s="60" t="e">
        <f>(Links!L105*Links!AP105+'On-Ramps'!AJ105*'On-Ramps'!CL105)/(Links!L105+'On-Ramps'!AJ105)</f>
        <v>#DIV/0!</v>
      </c>
      <c r="BL105" s="60" t="e">
        <f>Links!AQ105</f>
        <v>#DIV/0!</v>
      </c>
      <c r="BM105" s="60" t="e">
        <f>(Links!N105*Links!AR105+'On-Ramps'!AL105*'On-Ramps'!CM105)/(Links!N105+'On-Ramps'!AL105)</f>
        <v>#DIV/0!</v>
      </c>
      <c r="BN105" s="60" t="e">
        <f>Links!AS105</f>
        <v>#DIV/0!</v>
      </c>
      <c r="BO105" s="61" t="e">
        <f>(Links!R105^2+'Off-Ramp'!L105^2)/(Links!R105+'Off-Ramp'!L105)</f>
        <v>#DIV/0!</v>
      </c>
      <c r="BP105" s="61" t="e">
        <f>Links!S105</f>
        <v>#DIV/0!</v>
      </c>
      <c r="BQ105" s="61" t="e">
        <f>(Links!S105^2+'Off-Ramp'!C105^2)/(Links!S105+'Off-Ramp'!C105)</f>
        <v>#DIV/0!</v>
      </c>
      <c r="BR105" s="61" t="e">
        <f>Links!T105</f>
        <v>#DIV/0!</v>
      </c>
      <c r="BS105" s="61" t="e">
        <f>(Links!U105^2+'Off-Ramp'!N105^2)/(Links!U105+'Off-Ramp'!N105)</f>
        <v>#DIV/0!</v>
      </c>
      <c r="BT105" s="61" t="e">
        <f>(Links!V105^2+'Off-Ramp'!O105^2)/(Links!V105+'Off-Ramp'!O105)</f>
        <v>#DIV/0!</v>
      </c>
      <c r="BU105" s="61" t="e">
        <f>(Links!W105^2+'Off-Ramp'!P105^2)/(Links!W105+'Off-Ramp'!P105)</f>
        <v>#DIV/0!</v>
      </c>
      <c r="BV105" s="61" t="e">
        <f>(Links!Y105^2+'Off-Ramp'!Q105^2)/(Links!Y105+'Off-Ramp'!Q105)</f>
        <v>#DIV/0!</v>
      </c>
      <c r="BW105" s="61" t="e">
        <f>(Links!Z105^2+'Off-Ramp'!R105^2)/(Links!Z105+'Off-Ramp'!R105)</f>
        <v>#DIV/0!</v>
      </c>
      <c r="BX105" s="61" t="e">
        <f>(Links!AA105+'Off-Ramp'!S105)/(Links!AA105^2+'Off-Ramp'!S105^2)</f>
        <v>#DIV/0!</v>
      </c>
      <c r="BY105" s="61" t="e">
        <f>(Links!AB105^2+'Off-Ramp'!T105^2)/(Links!AB105+'Off-Ramp'!T105)</f>
        <v>#DIV/0!</v>
      </c>
      <c r="BZ105" s="61" t="e">
        <f>Links!AC105</f>
        <v>#DIV/0!</v>
      </c>
      <c r="CA105" s="61" t="e">
        <f>(Links!AD105^2+'Off-Ramp'!U105^2)/(Links!AD105+'Off-Ramp'!U105)</f>
        <v>#DIV/0!</v>
      </c>
    </row>
    <row r="106" spans="1:79" x14ac:dyDescent="0.15">
      <c r="A106" s="59">
        <v>104</v>
      </c>
      <c r="B106" s="60" t="e">
        <f t="shared" si="34"/>
        <v>#DIV/0!</v>
      </c>
      <c r="C106" s="60" t="e">
        <f t="shared" si="35"/>
        <v>#DIV/0!</v>
      </c>
      <c r="D106" s="60" t="e">
        <f t="shared" si="36"/>
        <v>#DIV/0!</v>
      </c>
      <c r="E106" s="60" t="e">
        <f t="shared" si="37"/>
        <v>#DIV/0!</v>
      </c>
      <c r="F106" s="60" t="e">
        <f t="shared" si="38"/>
        <v>#DIV/0!</v>
      </c>
      <c r="G106" s="60" t="e">
        <f t="shared" si="39"/>
        <v>#DIV/0!</v>
      </c>
      <c r="H106" s="60" t="e">
        <f t="shared" si="40"/>
        <v>#DIV/0!</v>
      </c>
      <c r="I106" s="60" t="e">
        <f t="shared" si="41"/>
        <v>#DIV/0!</v>
      </c>
      <c r="J106" s="60" t="e">
        <f t="shared" si="42"/>
        <v>#DIV/0!</v>
      </c>
      <c r="K106" s="60" t="e">
        <f t="shared" si="43"/>
        <v>#DIV/0!</v>
      </c>
      <c r="L106" s="60" t="e">
        <f t="shared" si="44"/>
        <v>#DIV/0!</v>
      </c>
      <c r="M106" s="60" t="e">
        <f t="shared" si="45"/>
        <v>#DIV/0!</v>
      </c>
      <c r="N106" s="60" t="e">
        <f t="shared" si="46"/>
        <v>#DIV/0!</v>
      </c>
      <c r="O106" s="61" t="e">
        <f>Links!B106</f>
        <v>#DIV/0!</v>
      </c>
      <c r="P106" s="61" t="e">
        <f>Links!C106+'On-Ramps'!AC106</f>
        <v>#DIV/0!</v>
      </c>
      <c r="Q106" s="61" t="e">
        <f>Links!D106</f>
        <v>#DIV/0!</v>
      </c>
      <c r="R106" s="61" t="e">
        <f>Links!E106+'On-Ramps'!AD106</f>
        <v>#DIV/0!</v>
      </c>
      <c r="S106" s="61" t="e">
        <f>Links!F106+'On-Ramps'!AE106</f>
        <v>#DIV/0!</v>
      </c>
      <c r="T106" s="61" t="e">
        <f>Links!G106+'On-Ramps'!AF106</f>
        <v>#DIV/0!</v>
      </c>
      <c r="U106" s="61" t="e">
        <f>Links!H106+'On-Ramps'!AG106</f>
        <v>#DIV/0!</v>
      </c>
      <c r="V106" s="61" t="e">
        <f>Links!J106+'On-Ramps'!AH106</f>
        <v>#DIV/0!</v>
      </c>
      <c r="W106" s="61" t="e">
        <f>Links!K106+'On-Ramps'!AI106</f>
        <v>#DIV/0!</v>
      </c>
      <c r="X106" s="61" t="e">
        <f>Links!L106+'On-Ramps'!AJ106</f>
        <v>#DIV/0!</v>
      </c>
      <c r="Y106" s="61" t="e">
        <f>Links!M106</f>
        <v>#DIV/0!</v>
      </c>
      <c r="Z106" s="61" t="e">
        <f>Links!N106+'On-Ramps'!AK106</f>
        <v>#DIV/0!</v>
      </c>
      <c r="AA106" s="61" t="e">
        <f>Links!O106</f>
        <v>#DIV/0!</v>
      </c>
      <c r="AB106" s="60" t="e">
        <f t="shared" si="47"/>
        <v>#DIV/0!</v>
      </c>
      <c r="AC106" s="60" t="e">
        <f t="shared" si="48"/>
        <v>#DIV/0!</v>
      </c>
      <c r="AD106" s="60" t="e">
        <f t="shared" si="49"/>
        <v>#DIV/0!</v>
      </c>
      <c r="AE106" s="60" t="e">
        <f t="shared" si="50"/>
        <v>#DIV/0!</v>
      </c>
      <c r="AF106" s="60" t="e">
        <f t="shared" si="51"/>
        <v>#DIV/0!</v>
      </c>
      <c r="AG106" s="60" t="e">
        <f t="shared" si="52"/>
        <v>#DIV/0!</v>
      </c>
      <c r="AH106" s="60" t="e">
        <f t="shared" si="53"/>
        <v>#DIV/0!</v>
      </c>
      <c r="AI106" s="60" t="e">
        <f t="shared" si="54"/>
        <v>#DIV/0!</v>
      </c>
      <c r="AJ106" s="60" t="e">
        <f t="shared" si="55"/>
        <v>#DIV/0!</v>
      </c>
      <c r="AK106" s="60" t="e">
        <f t="shared" si="56"/>
        <v>#DIV/0!</v>
      </c>
      <c r="AL106" s="60" t="e">
        <f t="shared" si="57"/>
        <v>#DIV/0!</v>
      </c>
      <c r="AM106" s="60" t="e">
        <f t="shared" si="58"/>
        <v>#DIV/0!</v>
      </c>
      <c r="AN106" s="60" t="e">
        <f t="shared" si="60"/>
        <v>#DIV/0!</v>
      </c>
      <c r="AO106" s="61" t="e">
        <f t="shared" si="33"/>
        <v>#DIV/0!</v>
      </c>
      <c r="AP106" s="61" t="e">
        <f t="shared" si="61"/>
        <v>#DIV/0!</v>
      </c>
      <c r="AQ106" s="61" t="e">
        <f t="shared" si="61"/>
        <v>#DIV/0!</v>
      </c>
      <c r="AR106" s="61" t="e">
        <f t="shared" si="61"/>
        <v>#DIV/0!</v>
      </c>
      <c r="AS106" s="61" t="e">
        <f t="shared" si="61"/>
        <v>#DIV/0!</v>
      </c>
      <c r="AT106" s="61" t="e">
        <f t="shared" si="61"/>
        <v>#DIV/0!</v>
      </c>
      <c r="AU106" s="61" t="e">
        <f t="shared" si="61"/>
        <v>#DIV/0!</v>
      </c>
      <c r="AV106" s="61" t="e">
        <f t="shared" si="61"/>
        <v>#DIV/0!</v>
      </c>
      <c r="AW106" s="61" t="e">
        <f t="shared" si="61"/>
        <v>#DIV/0!</v>
      </c>
      <c r="AX106" s="61" t="e">
        <f t="shared" si="61"/>
        <v>#DIV/0!</v>
      </c>
      <c r="AY106" s="61" t="e">
        <f t="shared" si="61"/>
        <v>#DIV/0!</v>
      </c>
      <c r="AZ106" s="61" t="e">
        <f t="shared" si="61"/>
        <v>#DIV/0!</v>
      </c>
      <c r="BA106" s="61" t="e">
        <f t="shared" si="61"/>
        <v>#DIV/0!</v>
      </c>
      <c r="BB106" s="60" t="e">
        <f>Links!AF106</f>
        <v>#DIV/0!</v>
      </c>
      <c r="BC106" s="60" t="e">
        <f>(Links!AG106*Links!C106+'On-Ramps'!AC106*'On-Ramps'!CE106)/('On-Ramps'!AC106+Links!C106)</f>
        <v>#DIV/0!</v>
      </c>
      <c r="BD106" s="60" t="e">
        <f>Links!AH106</f>
        <v>#DIV/0!</v>
      </c>
      <c r="BE106" s="60" t="e">
        <f>(Links!AI106*Links!E106+'On-Ramps'!AD106*'On-Ramps'!CF105)/('On-Ramps'!AD106+Links!E106)</f>
        <v>#DIV/0!</v>
      </c>
      <c r="BF106" s="60" t="e">
        <f>(Links!F106*Links!AJ106+'On-Ramps'!AE106*'On-Ramps'!CG106)/('On-Ramps'!AE106+Links!F106)</f>
        <v>#DIV/0!</v>
      </c>
      <c r="BG106" s="60" t="e">
        <f>(Links!G106*Links!AK106+'On-Ramps'!AF106*'On-Ramps'!CH106)/('On-Ramps'!AF106+Links!G106)</f>
        <v>#DIV/0!</v>
      </c>
      <c r="BH106" s="60" t="e">
        <f>(Links!H106*Links!AL106+'On-Ramps'!AG106*'On-Ramps'!CI106)/('On-Ramps'!AG106+Links!H106)</f>
        <v>#DIV/0!</v>
      </c>
      <c r="BI106" s="60" t="e">
        <f>(Links!J106*Links!AN106+'On-Ramps'!AH106*'On-Ramps'!CJ106)/('On-Ramps'!AH106+Links!J106)</f>
        <v>#DIV/0!</v>
      </c>
      <c r="BJ106" s="60" t="e">
        <f>(Links!K106*Links!AO106+'On-Ramps'!AI106*'On-Ramps'!CK106)/('On-Ramps'!AI106+Links!K106)</f>
        <v>#DIV/0!</v>
      </c>
      <c r="BK106" s="60" t="e">
        <f>(Links!L106*Links!AP106+'On-Ramps'!AJ106*'On-Ramps'!CL106)/(Links!L106+'On-Ramps'!AJ106)</f>
        <v>#DIV/0!</v>
      </c>
      <c r="BL106" s="60" t="e">
        <f>Links!AQ106</f>
        <v>#DIV/0!</v>
      </c>
      <c r="BM106" s="60" t="e">
        <f>(Links!N106*Links!AR106+'On-Ramps'!AL106*'On-Ramps'!CM106)/(Links!N106+'On-Ramps'!AL106)</f>
        <v>#DIV/0!</v>
      </c>
      <c r="BN106" s="60" t="e">
        <f>Links!AS106</f>
        <v>#DIV/0!</v>
      </c>
      <c r="BO106" s="61" t="e">
        <f>(Links!R106^2+'Off-Ramp'!L106^2)/(Links!R106+'Off-Ramp'!L106)</f>
        <v>#DIV/0!</v>
      </c>
      <c r="BP106" s="61" t="e">
        <f>Links!S106</f>
        <v>#DIV/0!</v>
      </c>
      <c r="BQ106" s="61" t="e">
        <f>(Links!S106^2+'Off-Ramp'!C106^2)/(Links!S106+'Off-Ramp'!C106)</f>
        <v>#DIV/0!</v>
      </c>
      <c r="BR106" s="61" t="e">
        <f>Links!T106</f>
        <v>#DIV/0!</v>
      </c>
      <c r="BS106" s="61" t="e">
        <f>(Links!U106^2+'Off-Ramp'!N106^2)/(Links!U106+'Off-Ramp'!N106)</f>
        <v>#DIV/0!</v>
      </c>
      <c r="BT106" s="61" t="e">
        <f>(Links!V106^2+'Off-Ramp'!O106^2)/(Links!V106+'Off-Ramp'!O106)</f>
        <v>#DIV/0!</v>
      </c>
      <c r="BU106" s="61" t="e">
        <f>(Links!W106^2+'Off-Ramp'!P106^2)/(Links!W106+'Off-Ramp'!P106)</f>
        <v>#DIV/0!</v>
      </c>
      <c r="BV106" s="61" t="e">
        <f>(Links!Y106^2+'Off-Ramp'!Q106^2)/(Links!Y106+'Off-Ramp'!Q106)</f>
        <v>#DIV/0!</v>
      </c>
      <c r="BW106" s="61" t="e">
        <f>(Links!Z106^2+'Off-Ramp'!R106^2)/(Links!Z106+'Off-Ramp'!R106)</f>
        <v>#DIV/0!</v>
      </c>
      <c r="BX106" s="61" t="e">
        <f>(Links!AA106+'Off-Ramp'!S106)/(Links!AA106^2+'Off-Ramp'!S106^2)</f>
        <v>#DIV/0!</v>
      </c>
      <c r="BY106" s="61" t="e">
        <f>(Links!AB106^2+'Off-Ramp'!T106^2)/(Links!AB106+'Off-Ramp'!T106)</f>
        <v>#DIV/0!</v>
      </c>
      <c r="BZ106" s="61" t="e">
        <f>Links!AC106</f>
        <v>#DIV/0!</v>
      </c>
      <c r="CA106" s="61" t="e">
        <f>(Links!AD106^2+'Off-Ramp'!U106^2)/(Links!AD106+'Off-Ramp'!U106)</f>
        <v>#DIV/0!</v>
      </c>
    </row>
    <row r="107" spans="1:79" x14ac:dyDescent="0.15">
      <c r="A107" s="59">
        <v>105</v>
      </c>
      <c r="B107" s="60" t="e">
        <f t="shared" si="34"/>
        <v>#DIV/0!</v>
      </c>
      <c r="C107" s="60" t="e">
        <f t="shared" si="35"/>
        <v>#DIV/0!</v>
      </c>
      <c r="D107" s="60" t="e">
        <f t="shared" si="36"/>
        <v>#DIV/0!</v>
      </c>
      <c r="E107" s="60" t="e">
        <f t="shared" si="37"/>
        <v>#DIV/0!</v>
      </c>
      <c r="F107" s="60" t="e">
        <f t="shared" si="38"/>
        <v>#DIV/0!</v>
      </c>
      <c r="G107" s="60" t="e">
        <f t="shared" si="39"/>
        <v>#DIV/0!</v>
      </c>
      <c r="H107" s="60" t="e">
        <f t="shared" si="40"/>
        <v>#DIV/0!</v>
      </c>
      <c r="I107" s="60" t="e">
        <f t="shared" si="41"/>
        <v>#DIV/0!</v>
      </c>
      <c r="J107" s="60" t="e">
        <f t="shared" si="42"/>
        <v>#DIV/0!</v>
      </c>
      <c r="K107" s="60" t="e">
        <f t="shared" si="43"/>
        <v>#DIV/0!</v>
      </c>
      <c r="L107" s="60" t="e">
        <f t="shared" si="44"/>
        <v>#DIV/0!</v>
      </c>
      <c r="M107" s="60" t="e">
        <f t="shared" si="45"/>
        <v>#DIV/0!</v>
      </c>
      <c r="N107" s="60" t="e">
        <f t="shared" si="46"/>
        <v>#DIV/0!</v>
      </c>
      <c r="O107" s="61" t="e">
        <f>Links!B107</f>
        <v>#DIV/0!</v>
      </c>
      <c r="P107" s="61" t="e">
        <f>Links!C107+'On-Ramps'!AC107</f>
        <v>#DIV/0!</v>
      </c>
      <c r="Q107" s="61" t="e">
        <f>Links!D107</f>
        <v>#DIV/0!</v>
      </c>
      <c r="R107" s="61" t="e">
        <f>Links!E107+'On-Ramps'!AD107</f>
        <v>#DIV/0!</v>
      </c>
      <c r="S107" s="61" t="e">
        <f>Links!F107+'On-Ramps'!AE107</f>
        <v>#DIV/0!</v>
      </c>
      <c r="T107" s="61" t="e">
        <f>Links!G107+'On-Ramps'!AF107</f>
        <v>#DIV/0!</v>
      </c>
      <c r="U107" s="61" t="e">
        <f>Links!H107+'On-Ramps'!AG107</f>
        <v>#DIV/0!</v>
      </c>
      <c r="V107" s="61" t="e">
        <f>Links!J107+'On-Ramps'!AH107</f>
        <v>#DIV/0!</v>
      </c>
      <c r="W107" s="61" t="e">
        <f>Links!K107+'On-Ramps'!AI107</f>
        <v>#DIV/0!</v>
      </c>
      <c r="X107" s="61" t="e">
        <f>Links!L107+'On-Ramps'!AJ107</f>
        <v>#DIV/0!</v>
      </c>
      <c r="Y107" s="61" t="e">
        <f>Links!M107</f>
        <v>#DIV/0!</v>
      </c>
      <c r="Z107" s="61" t="e">
        <f>Links!N107+'On-Ramps'!AK107</f>
        <v>#DIV/0!</v>
      </c>
      <c r="AA107" s="61" t="e">
        <f>Links!O107</f>
        <v>#DIV/0!</v>
      </c>
      <c r="AB107" s="60" t="e">
        <f t="shared" si="47"/>
        <v>#DIV/0!</v>
      </c>
      <c r="AC107" s="60" t="e">
        <f t="shared" si="48"/>
        <v>#DIV/0!</v>
      </c>
      <c r="AD107" s="60" t="e">
        <f t="shared" si="49"/>
        <v>#DIV/0!</v>
      </c>
      <c r="AE107" s="60" t="e">
        <f t="shared" si="50"/>
        <v>#DIV/0!</v>
      </c>
      <c r="AF107" s="60" t="e">
        <f t="shared" si="51"/>
        <v>#DIV/0!</v>
      </c>
      <c r="AG107" s="60" t="e">
        <f t="shared" si="52"/>
        <v>#DIV/0!</v>
      </c>
      <c r="AH107" s="60" t="e">
        <f t="shared" si="53"/>
        <v>#DIV/0!</v>
      </c>
      <c r="AI107" s="60" t="e">
        <f t="shared" si="54"/>
        <v>#DIV/0!</v>
      </c>
      <c r="AJ107" s="60" t="e">
        <f t="shared" si="55"/>
        <v>#DIV/0!</v>
      </c>
      <c r="AK107" s="60" t="e">
        <f t="shared" si="56"/>
        <v>#DIV/0!</v>
      </c>
      <c r="AL107" s="60" t="e">
        <f t="shared" si="57"/>
        <v>#DIV/0!</v>
      </c>
      <c r="AM107" s="60" t="e">
        <f t="shared" si="58"/>
        <v>#DIV/0!</v>
      </c>
      <c r="AN107" s="60" t="e">
        <f t="shared" si="60"/>
        <v>#DIV/0!</v>
      </c>
      <c r="AO107" s="61" t="e">
        <f t="shared" si="33"/>
        <v>#DIV/0!</v>
      </c>
      <c r="AP107" s="61" t="e">
        <f t="shared" si="61"/>
        <v>#DIV/0!</v>
      </c>
      <c r="AQ107" s="61" t="e">
        <f t="shared" si="61"/>
        <v>#DIV/0!</v>
      </c>
      <c r="AR107" s="61" t="e">
        <f t="shared" si="61"/>
        <v>#DIV/0!</v>
      </c>
      <c r="AS107" s="61" t="e">
        <f t="shared" si="61"/>
        <v>#DIV/0!</v>
      </c>
      <c r="AT107" s="61" t="e">
        <f t="shared" si="61"/>
        <v>#DIV/0!</v>
      </c>
      <c r="AU107" s="61" t="e">
        <f t="shared" si="61"/>
        <v>#DIV/0!</v>
      </c>
      <c r="AV107" s="61" t="e">
        <f t="shared" si="61"/>
        <v>#DIV/0!</v>
      </c>
      <c r="AW107" s="61" t="e">
        <f t="shared" si="61"/>
        <v>#DIV/0!</v>
      </c>
      <c r="AX107" s="61" t="e">
        <f t="shared" si="61"/>
        <v>#DIV/0!</v>
      </c>
      <c r="AY107" s="61" t="e">
        <f t="shared" si="61"/>
        <v>#DIV/0!</v>
      </c>
      <c r="AZ107" s="61" t="e">
        <f t="shared" si="61"/>
        <v>#DIV/0!</v>
      </c>
      <c r="BA107" s="61" t="e">
        <f t="shared" si="61"/>
        <v>#DIV/0!</v>
      </c>
      <c r="BB107" s="60" t="e">
        <f>Links!AF107</f>
        <v>#DIV/0!</v>
      </c>
      <c r="BC107" s="60" t="e">
        <f>(Links!AG107*Links!C107+'On-Ramps'!AC107*'On-Ramps'!CE107)/('On-Ramps'!AC107+Links!C107)</f>
        <v>#DIV/0!</v>
      </c>
      <c r="BD107" s="60" t="e">
        <f>Links!AH107</f>
        <v>#DIV/0!</v>
      </c>
      <c r="BE107" s="60" t="e">
        <f>(Links!AI107*Links!E107+'On-Ramps'!AD107*'On-Ramps'!CF106)/('On-Ramps'!AD107+Links!E107)</f>
        <v>#DIV/0!</v>
      </c>
      <c r="BF107" s="60" t="e">
        <f>(Links!F107*Links!AJ107+'On-Ramps'!AE107*'On-Ramps'!CG107)/('On-Ramps'!AE107+Links!F107)</f>
        <v>#DIV/0!</v>
      </c>
      <c r="BG107" s="60" t="e">
        <f>(Links!G107*Links!AK107+'On-Ramps'!AF107*'On-Ramps'!CH107)/('On-Ramps'!AF107+Links!G107)</f>
        <v>#DIV/0!</v>
      </c>
      <c r="BH107" s="60" t="e">
        <f>(Links!H107*Links!AL107+'On-Ramps'!AG107*'On-Ramps'!CI107)/('On-Ramps'!AG107+Links!H107)</f>
        <v>#DIV/0!</v>
      </c>
      <c r="BI107" s="60" t="e">
        <f>(Links!J107*Links!AN107+'On-Ramps'!AH107*'On-Ramps'!CJ107)/('On-Ramps'!AH107+Links!J107)</f>
        <v>#DIV/0!</v>
      </c>
      <c r="BJ107" s="60" t="e">
        <f>(Links!K107*Links!AO107+'On-Ramps'!AI107*'On-Ramps'!CK107)/('On-Ramps'!AI107+Links!K107)</f>
        <v>#DIV/0!</v>
      </c>
      <c r="BK107" s="60" t="e">
        <f>(Links!L107*Links!AP107+'On-Ramps'!AJ107*'On-Ramps'!CL107)/(Links!L107+'On-Ramps'!AJ107)</f>
        <v>#DIV/0!</v>
      </c>
      <c r="BL107" s="60" t="e">
        <f>Links!AQ107</f>
        <v>#DIV/0!</v>
      </c>
      <c r="BM107" s="60" t="e">
        <f>(Links!N107*Links!AR107+'On-Ramps'!AL107*'On-Ramps'!CM107)/(Links!N107+'On-Ramps'!AL107)</f>
        <v>#DIV/0!</v>
      </c>
      <c r="BN107" s="60" t="e">
        <f>Links!AS107</f>
        <v>#DIV/0!</v>
      </c>
      <c r="BO107" s="61" t="e">
        <f>(Links!R107^2+'Off-Ramp'!L107^2)/(Links!R107+'Off-Ramp'!L107)</f>
        <v>#DIV/0!</v>
      </c>
      <c r="BP107" s="61" t="e">
        <f>Links!S107</f>
        <v>#DIV/0!</v>
      </c>
      <c r="BQ107" s="61" t="e">
        <f>(Links!S107^2+'Off-Ramp'!C107^2)/(Links!S107+'Off-Ramp'!C107)</f>
        <v>#DIV/0!</v>
      </c>
      <c r="BR107" s="61" t="e">
        <f>Links!T107</f>
        <v>#DIV/0!</v>
      </c>
      <c r="BS107" s="61" t="e">
        <f>(Links!U107^2+'Off-Ramp'!N107^2)/(Links!U107+'Off-Ramp'!N107)</f>
        <v>#DIV/0!</v>
      </c>
      <c r="BT107" s="61" t="e">
        <f>(Links!V107^2+'Off-Ramp'!O107^2)/(Links!V107+'Off-Ramp'!O107)</f>
        <v>#DIV/0!</v>
      </c>
      <c r="BU107" s="61" t="e">
        <f>(Links!W107^2+'Off-Ramp'!P107^2)/(Links!W107+'Off-Ramp'!P107)</f>
        <v>#DIV/0!</v>
      </c>
      <c r="BV107" s="61" t="e">
        <f>(Links!Y107^2+'Off-Ramp'!Q107^2)/(Links!Y107+'Off-Ramp'!Q107)</f>
        <v>#DIV/0!</v>
      </c>
      <c r="BW107" s="61" t="e">
        <f>(Links!Z107^2+'Off-Ramp'!R107^2)/(Links!Z107+'Off-Ramp'!R107)</f>
        <v>#DIV/0!</v>
      </c>
      <c r="BX107" s="61" t="e">
        <f>(Links!AA107+'Off-Ramp'!S107)/(Links!AA107^2+'Off-Ramp'!S107^2)</f>
        <v>#DIV/0!</v>
      </c>
      <c r="BY107" s="61" t="e">
        <f>(Links!AB107^2+'Off-Ramp'!T107^2)/(Links!AB107+'Off-Ramp'!T107)</f>
        <v>#DIV/0!</v>
      </c>
      <c r="BZ107" s="61" t="e">
        <f>Links!AC107</f>
        <v>#DIV/0!</v>
      </c>
      <c r="CA107" s="61" t="e">
        <f>(Links!AD107^2+'Off-Ramp'!U107^2)/(Links!AD107+'Off-Ramp'!U107)</f>
        <v>#DIV/0!</v>
      </c>
    </row>
    <row r="108" spans="1:79" x14ac:dyDescent="0.15">
      <c r="A108" s="59">
        <v>106</v>
      </c>
      <c r="B108" s="60" t="e">
        <f t="shared" si="34"/>
        <v>#DIV/0!</v>
      </c>
      <c r="C108" s="60" t="e">
        <f t="shared" si="35"/>
        <v>#DIV/0!</v>
      </c>
      <c r="D108" s="60" t="e">
        <f t="shared" si="36"/>
        <v>#DIV/0!</v>
      </c>
      <c r="E108" s="60" t="e">
        <f t="shared" si="37"/>
        <v>#DIV/0!</v>
      </c>
      <c r="F108" s="60" t="e">
        <f t="shared" si="38"/>
        <v>#DIV/0!</v>
      </c>
      <c r="G108" s="60" t="e">
        <f t="shared" si="39"/>
        <v>#DIV/0!</v>
      </c>
      <c r="H108" s="60" t="e">
        <f t="shared" si="40"/>
        <v>#DIV/0!</v>
      </c>
      <c r="I108" s="60" t="e">
        <f t="shared" si="41"/>
        <v>#DIV/0!</v>
      </c>
      <c r="J108" s="60" t="e">
        <f t="shared" si="42"/>
        <v>#DIV/0!</v>
      </c>
      <c r="K108" s="60" t="e">
        <f t="shared" si="43"/>
        <v>#DIV/0!</v>
      </c>
      <c r="L108" s="60" t="e">
        <f t="shared" si="44"/>
        <v>#DIV/0!</v>
      </c>
      <c r="M108" s="60" t="e">
        <f t="shared" si="45"/>
        <v>#DIV/0!</v>
      </c>
      <c r="N108" s="60" t="e">
        <f t="shared" si="46"/>
        <v>#DIV/0!</v>
      </c>
      <c r="O108" s="61" t="e">
        <f>Links!B108</f>
        <v>#DIV/0!</v>
      </c>
      <c r="P108" s="61" t="e">
        <f>Links!C108+'On-Ramps'!AC108</f>
        <v>#DIV/0!</v>
      </c>
      <c r="Q108" s="61" t="e">
        <f>Links!D108</f>
        <v>#DIV/0!</v>
      </c>
      <c r="R108" s="61" t="e">
        <f>Links!E108+'On-Ramps'!AD108</f>
        <v>#DIV/0!</v>
      </c>
      <c r="S108" s="61" t="e">
        <f>Links!F108+'On-Ramps'!AE108</f>
        <v>#DIV/0!</v>
      </c>
      <c r="T108" s="61" t="e">
        <f>Links!G108+'On-Ramps'!AF108</f>
        <v>#DIV/0!</v>
      </c>
      <c r="U108" s="61" t="e">
        <f>Links!H108+'On-Ramps'!AG108</f>
        <v>#DIV/0!</v>
      </c>
      <c r="V108" s="61" t="e">
        <f>Links!J108+'On-Ramps'!AH108</f>
        <v>#DIV/0!</v>
      </c>
      <c r="W108" s="61" t="e">
        <f>Links!K108+'On-Ramps'!AI108</f>
        <v>#DIV/0!</v>
      </c>
      <c r="X108" s="61" t="e">
        <f>Links!L108+'On-Ramps'!AJ108</f>
        <v>#DIV/0!</v>
      </c>
      <c r="Y108" s="61" t="e">
        <f>Links!M108</f>
        <v>#DIV/0!</v>
      </c>
      <c r="Z108" s="61" t="e">
        <f>Links!N108+'On-Ramps'!AK108</f>
        <v>#DIV/0!</v>
      </c>
      <c r="AA108" s="61" t="e">
        <f>Links!O108</f>
        <v>#DIV/0!</v>
      </c>
      <c r="AB108" s="60" t="e">
        <f t="shared" si="47"/>
        <v>#DIV/0!</v>
      </c>
      <c r="AC108" s="60" t="e">
        <f t="shared" si="48"/>
        <v>#DIV/0!</v>
      </c>
      <c r="AD108" s="60" t="e">
        <f t="shared" si="49"/>
        <v>#DIV/0!</v>
      </c>
      <c r="AE108" s="60" t="e">
        <f t="shared" si="50"/>
        <v>#DIV/0!</v>
      </c>
      <c r="AF108" s="60" t="e">
        <f t="shared" si="51"/>
        <v>#DIV/0!</v>
      </c>
      <c r="AG108" s="60" t="e">
        <f t="shared" si="52"/>
        <v>#DIV/0!</v>
      </c>
      <c r="AH108" s="60" t="e">
        <f t="shared" si="53"/>
        <v>#DIV/0!</v>
      </c>
      <c r="AI108" s="60" t="e">
        <f t="shared" si="54"/>
        <v>#DIV/0!</v>
      </c>
      <c r="AJ108" s="60" t="e">
        <f t="shared" si="55"/>
        <v>#DIV/0!</v>
      </c>
      <c r="AK108" s="60" t="e">
        <f t="shared" si="56"/>
        <v>#DIV/0!</v>
      </c>
      <c r="AL108" s="60" t="e">
        <f t="shared" si="57"/>
        <v>#DIV/0!</v>
      </c>
      <c r="AM108" s="60" t="e">
        <f t="shared" si="58"/>
        <v>#DIV/0!</v>
      </c>
      <c r="AN108" s="60" t="e">
        <f t="shared" si="60"/>
        <v>#DIV/0!</v>
      </c>
      <c r="AO108" s="61" t="e">
        <f t="shared" si="33"/>
        <v>#DIV/0!</v>
      </c>
      <c r="AP108" s="61" t="e">
        <f t="shared" si="61"/>
        <v>#DIV/0!</v>
      </c>
      <c r="AQ108" s="61" t="e">
        <f t="shared" si="61"/>
        <v>#DIV/0!</v>
      </c>
      <c r="AR108" s="61" t="e">
        <f t="shared" si="61"/>
        <v>#DIV/0!</v>
      </c>
      <c r="AS108" s="61" t="e">
        <f t="shared" si="61"/>
        <v>#DIV/0!</v>
      </c>
      <c r="AT108" s="61" t="e">
        <f t="shared" si="61"/>
        <v>#DIV/0!</v>
      </c>
      <c r="AU108" s="61" t="e">
        <f t="shared" si="61"/>
        <v>#DIV/0!</v>
      </c>
      <c r="AV108" s="61" t="e">
        <f t="shared" si="61"/>
        <v>#DIV/0!</v>
      </c>
      <c r="AW108" s="61" t="e">
        <f t="shared" si="61"/>
        <v>#DIV/0!</v>
      </c>
      <c r="AX108" s="61" t="e">
        <f t="shared" si="61"/>
        <v>#DIV/0!</v>
      </c>
      <c r="AY108" s="61" t="e">
        <f t="shared" si="61"/>
        <v>#DIV/0!</v>
      </c>
      <c r="AZ108" s="61" t="e">
        <f t="shared" si="61"/>
        <v>#DIV/0!</v>
      </c>
      <c r="BA108" s="61" t="e">
        <f t="shared" si="61"/>
        <v>#DIV/0!</v>
      </c>
      <c r="BB108" s="60" t="e">
        <f>Links!AF108</f>
        <v>#DIV/0!</v>
      </c>
      <c r="BC108" s="60" t="e">
        <f>(Links!AG108*Links!C108+'On-Ramps'!AC108*'On-Ramps'!CE108)/('On-Ramps'!AC108+Links!C108)</f>
        <v>#DIV/0!</v>
      </c>
      <c r="BD108" s="60" t="e">
        <f>Links!AH108</f>
        <v>#DIV/0!</v>
      </c>
      <c r="BE108" s="60" t="e">
        <f>(Links!AI108*Links!E108+'On-Ramps'!AD108*'On-Ramps'!CF107)/('On-Ramps'!AD108+Links!E108)</f>
        <v>#DIV/0!</v>
      </c>
      <c r="BF108" s="60" t="e">
        <f>(Links!F108*Links!AJ108+'On-Ramps'!AE108*'On-Ramps'!CG108)/('On-Ramps'!AE108+Links!F108)</f>
        <v>#DIV/0!</v>
      </c>
      <c r="BG108" s="60" t="e">
        <f>(Links!G108*Links!AK108+'On-Ramps'!AF108*'On-Ramps'!CH108)/('On-Ramps'!AF108+Links!G108)</f>
        <v>#DIV/0!</v>
      </c>
      <c r="BH108" s="60" t="e">
        <f>(Links!H108*Links!AL108+'On-Ramps'!AG108*'On-Ramps'!CI108)/('On-Ramps'!AG108+Links!H108)</f>
        <v>#DIV/0!</v>
      </c>
      <c r="BI108" s="60" t="e">
        <f>(Links!J108*Links!AN108+'On-Ramps'!AH108*'On-Ramps'!CJ108)/('On-Ramps'!AH108+Links!J108)</f>
        <v>#DIV/0!</v>
      </c>
      <c r="BJ108" s="60" t="e">
        <f>(Links!K108*Links!AO108+'On-Ramps'!AI108*'On-Ramps'!CK108)/('On-Ramps'!AI108+Links!K108)</f>
        <v>#DIV/0!</v>
      </c>
      <c r="BK108" s="60" t="e">
        <f>(Links!L108*Links!AP108+'On-Ramps'!AJ108*'On-Ramps'!CL108)/(Links!L108+'On-Ramps'!AJ108)</f>
        <v>#DIV/0!</v>
      </c>
      <c r="BL108" s="60" t="e">
        <f>Links!AQ108</f>
        <v>#DIV/0!</v>
      </c>
      <c r="BM108" s="60" t="e">
        <f>(Links!N108*Links!AR108+'On-Ramps'!AL108*'On-Ramps'!CM108)/(Links!N108+'On-Ramps'!AL108)</f>
        <v>#DIV/0!</v>
      </c>
      <c r="BN108" s="60" t="e">
        <f>Links!AS108</f>
        <v>#DIV/0!</v>
      </c>
      <c r="BO108" s="61" t="e">
        <f>(Links!R108^2+'Off-Ramp'!L108^2)/(Links!R108+'Off-Ramp'!L108)</f>
        <v>#DIV/0!</v>
      </c>
      <c r="BP108" s="61" t="e">
        <f>Links!S108</f>
        <v>#DIV/0!</v>
      </c>
      <c r="BQ108" s="61" t="e">
        <f>(Links!S108^2+'Off-Ramp'!C108^2)/(Links!S108+'Off-Ramp'!C108)</f>
        <v>#DIV/0!</v>
      </c>
      <c r="BR108" s="61" t="e">
        <f>Links!T108</f>
        <v>#DIV/0!</v>
      </c>
      <c r="BS108" s="61" t="e">
        <f>(Links!U108^2+'Off-Ramp'!N108^2)/(Links!U108+'Off-Ramp'!N108)</f>
        <v>#DIV/0!</v>
      </c>
      <c r="BT108" s="61" t="e">
        <f>(Links!V108^2+'Off-Ramp'!O108^2)/(Links!V108+'Off-Ramp'!O108)</f>
        <v>#DIV/0!</v>
      </c>
      <c r="BU108" s="61" t="e">
        <f>(Links!W108^2+'Off-Ramp'!P108^2)/(Links!W108+'Off-Ramp'!P108)</f>
        <v>#DIV/0!</v>
      </c>
      <c r="BV108" s="61" t="e">
        <f>(Links!Y108^2+'Off-Ramp'!Q108^2)/(Links!Y108+'Off-Ramp'!Q108)</f>
        <v>#DIV/0!</v>
      </c>
      <c r="BW108" s="61" t="e">
        <f>(Links!Z108^2+'Off-Ramp'!R108^2)/(Links!Z108+'Off-Ramp'!R108)</f>
        <v>#DIV/0!</v>
      </c>
      <c r="BX108" s="61" t="e">
        <f>(Links!AA108+'Off-Ramp'!S108)/(Links!AA108^2+'Off-Ramp'!S108^2)</f>
        <v>#DIV/0!</v>
      </c>
      <c r="BY108" s="61" t="e">
        <f>(Links!AB108^2+'Off-Ramp'!T108^2)/(Links!AB108+'Off-Ramp'!T108)</f>
        <v>#DIV/0!</v>
      </c>
      <c r="BZ108" s="61" t="e">
        <f>Links!AC108</f>
        <v>#DIV/0!</v>
      </c>
      <c r="CA108" s="61" t="e">
        <f>(Links!AD108^2+'Off-Ramp'!U108^2)/(Links!AD108+'Off-Ramp'!U108)</f>
        <v>#DIV/0!</v>
      </c>
    </row>
    <row r="109" spans="1:79" x14ac:dyDescent="0.15">
      <c r="A109" s="59">
        <v>107</v>
      </c>
      <c r="B109" s="60" t="e">
        <f t="shared" si="34"/>
        <v>#DIV/0!</v>
      </c>
      <c r="C109" s="60" t="e">
        <f t="shared" si="35"/>
        <v>#DIV/0!</v>
      </c>
      <c r="D109" s="60" t="e">
        <f t="shared" si="36"/>
        <v>#DIV/0!</v>
      </c>
      <c r="E109" s="60" t="e">
        <f t="shared" si="37"/>
        <v>#DIV/0!</v>
      </c>
      <c r="F109" s="60" t="e">
        <f t="shared" si="38"/>
        <v>#DIV/0!</v>
      </c>
      <c r="G109" s="60" t="e">
        <f t="shared" si="39"/>
        <v>#DIV/0!</v>
      </c>
      <c r="H109" s="60" t="e">
        <f t="shared" si="40"/>
        <v>#DIV/0!</v>
      </c>
      <c r="I109" s="60" t="e">
        <f t="shared" si="41"/>
        <v>#DIV/0!</v>
      </c>
      <c r="J109" s="60" t="e">
        <f t="shared" si="42"/>
        <v>#DIV/0!</v>
      </c>
      <c r="K109" s="60" t="e">
        <f t="shared" si="43"/>
        <v>#DIV/0!</v>
      </c>
      <c r="L109" s="60" t="e">
        <f t="shared" si="44"/>
        <v>#DIV/0!</v>
      </c>
      <c r="M109" s="60" t="e">
        <f t="shared" si="45"/>
        <v>#DIV/0!</v>
      </c>
      <c r="N109" s="60" t="e">
        <f t="shared" si="46"/>
        <v>#DIV/0!</v>
      </c>
      <c r="O109" s="61" t="e">
        <f>Links!B109</f>
        <v>#DIV/0!</v>
      </c>
      <c r="P109" s="61" t="e">
        <f>Links!C109+'On-Ramps'!AC109</f>
        <v>#DIV/0!</v>
      </c>
      <c r="Q109" s="61" t="e">
        <f>Links!D109</f>
        <v>#DIV/0!</v>
      </c>
      <c r="R109" s="61" t="e">
        <f>Links!E109+'On-Ramps'!AD109</f>
        <v>#DIV/0!</v>
      </c>
      <c r="S109" s="61" t="e">
        <f>Links!F109+'On-Ramps'!AE109</f>
        <v>#DIV/0!</v>
      </c>
      <c r="T109" s="61" t="e">
        <f>Links!G109+'On-Ramps'!AF109</f>
        <v>#DIV/0!</v>
      </c>
      <c r="U109" s="61" t="e">
        <f>Links!H109+'On-Ramps'!AG109</f>
        <v>#DIV/0!</v>
      </c>
      <c r="V109" s="61" t="e">
        <f>Links!J109+'On-Ramps'!AH109</f>
        <v>#DIV/0!</v>
      </c>
      <c r="W109" s="61" t="e">
        <f>Links!K109+'On-Ramps'!AI109</f>
        <v>#DIV/0!</v>
      </c>
      <c r="X109" s="61" t="e">
        <f>Links!L109+'On-Ramps'!AJ109</f>
        <v>#DIV/0!</v>
      </c>
      <c r="Y109" s="61" t="e">
        <f>Links!M109</f>
        <v>#DIV/0!</v>
      </c>
      <c r="Z109" s="61" t="e">
        <f>Links!N109+'On-Ramps'!AK109</f>
        <v>#DIV/0!</v>
      </c>
      <c r="AA109" s="61" t="e">
        <f>Links!O109</f>
        <v>#DIV/0!</v>
      </c>
      <c r="AB109" s="60" t="e">
        <f t="shared" si="47"/>
        <v>#DIV/0!</v>
      </c>
      <c r="AC109" s="60" t="e">
        <f t="shared" si="48"/>
        <v>#DIV/0!</v>
      </c>
      <c r="AD109" s="60" t="e">
        <f t="shared" si="49"/>
        <v>#DIV/0!</v>
      </c>
      <c r="AE109" s="60" t="e">
        <f t="shared" si="50"/>
        <v>#DIV/0!</v>
      </c>
      <c r="AF109" s="60" t="e">
        <f t="shared" si="51"/>
        <v>#DIV/0!</v>
      </c>
      <c r="AG109" s="60" t="e">
        <f t="shared" si="52"/>
        <v>#DIV/0!</v>
      </c>
      <c r="AH109" s="60" t="e">
        <f t="shared" si="53"/>
        <v>#DIV/0!</v>
      </c>
      <c r="AI109" s="60" t="e">
        <f t="shared" si="54"/>
        <v>#DIV/0!</v>
      </c>
      <c r="AJ109" s="60" t="e">
        <f t="shared" si="55"/>
        <v>#DIV/0!</v>
      </c>
      <c r="AK109" s="60" t="e">
        <f t="shared" si="56"/>
        <v>#DIV/0!</v>
      </c>
      <c r="AL109" s="60" t="e">
        <f t="shared" si="57"/>
        <v>#DIV/0!</v>
      </c>
      <c r="AM109" s="60" t="e">
        <f t="shared" si="58"/>
        <v>#DIV/0!</v>
      </c>
      <c r="AN109" s="60" t="e">
        <f t="shared" si="60"/>
        <v>#DIV/0!</v>
      </c>
      <c r="AO109" s="61" t="e">
        <f t="shared" si="33"/>
        <v>#DIV/0!</v>
      </c>
      <c r="AP109" s="61" t="e">
        <f t="shared" si="61"/>
        <v>#DIV/0!</v>
      </c>
      <c r="AQ109" s="61" t="e">
        <f t="shared" si="61"/>
        <v>#DIV/0!</v>
      </c>
      <c r="AR109" s="61" t="e">
        <f t="shared" si="61"/>
        <v>#DIV/0!</v>
      </c>
      <c r="AS109" s="61" t="e">
        <f t="shared" si="61"/>
        <v>#DIV/0!</v>
      </c>
      <c r="AT109" s="61" t="e">
        <f t="shared" si="61"/>
        <v>#DIV/0!</v>
      </c>
      <c r="AU109" s="61" t="e">
        <f t="shared" si="61"/>
        <v>#DIV/0!</v>
      </c>
      <c r="AV109" s="61" t="e">
        <f t="shared" si="61"/>
        <v>#DIV/0!</v>
      </c>
      <c r="AW109" s="61" t="e">
        <f t="shared" si="61"/>
        <v>#DIV/0!</v>
      </c>
      <c r="AX109" s="61" t="e">
        <f t="shared" si="61"/>
        <v>#DIV/0!</v>
      </c>
      <c r="AY109" s="61" t="e">
        <f t="shared" si="61"/>
        <v>#DIV/0!</v>
      </c>
      <c r="AZ109" s="61" t="e">
        <f t="shared" si="61"/>
        <v>#DIV/0!</v>
      </c>
      <c r="BA109" s="61" t="e">
        <f t="shared" si="61"/>
        <v>#DIV/0!</v>
      </c>
      <c r="BB109" s="60" t="e">
        <f>Links!AF109</f>
        <v>#DIV/0!</v>
      </c>
      <c r="BC109" s="60" t="e">
        <f>(Links!AG109*Links!C109+'On-Ramps'!AC109*'On-Ramps'!CE109)/('On-Ramps'!AC109+Links!C109)</f>
        <v>#DIV/0!</v>
      </c>
      <c r="BD109" s="60" t="e">
        <f>Links!AH109</f>
        <v>#DIV/0!</v>
      </c>
      <c r="BE109" s="60" t="e">
        <f>(Links!AI109*Links!E109+'On-Ramps'!AD109*'On-Ramps'!CF108)/('On-Ramps'!AD109+Links!E109)</f>
        <v>#DIV/0!</v>
      </c>
      <c r="BF109" s="60" t="e">
        <f>(Links!F109*Links!AJ109+'On-Ramps'!AE109*'On-Ramps'!CG109)/('On-Ramps'!AE109+Links!F109)</f>
        <v>#DIV/0!</v>
      </c>
      <c r="BG109" s="60" t="e">
        <f>(Links!G109*Links!AK109+'On-Ramps'!AF109*'On-Ramps'!CH109)/('On-Ramps'!AF109+Links!G109)</f>
        <v>#DIV/0!</v>
      </c>
      <c r="BH109" s="60" t="e">
        <f>(Links!H109*Links!AL109+'On-Ramps'!AG109*'On-Ramps'!CI109)/('On-Ramps'!AG109+Links!H109)</f>
        <v>#DIV/0!</v>
      </c>
      <c r="BI109" s="60" t="e">
        <f>(Links!J109*Links!AN109+'On-Ramps'!AH109*'On-Ramps'!CJ109)/('On-Ramps'!AH109+Links!J109)</f>
        <v>#DIV/0!</v>
      </c>
      <c r="BJ109" s="60" t="e">
        <f>(Links!K109*Links!AO109+'On-Ramps'!AI109*'On-Ramps'!CK109)/('On-Ramps'!AI109+Links!K109)</f>
        <v>#DIV/0!</v>
      </c>
      <c r="BK109" s="60" t="e">
        <f>(Links!L109*Links!AP109+'On-Ramps'!AJ109*'On-Ramps'!CL109)/(Links!L109+'On-Ramps'!AJ109)</f>
        <v>#DIV/0!</v>
      </c>
      <c r="BL109" s="60" t="e">
        <f>Links!AQ109</f>
        <v>#DIV/0!</v>
      </c>
      <c r="BM109" s="60" t="e">
        <f>(Links!N109*Links!AR109+'On-Ramps'!AL109*'On-Ramps'!CM109)/(Links!N109+'On-Ramps'!AL109)</f>
        <v>#DIV/0!</v>
      </c>
      <c r="BN109" s="60" t="e">
        <f>Links!AS109</f>
        <v>#DIV/0!</v>
      </c>
      <c r="BO109" s="61" t="e">
        <f>(Links!R109^2+'Off-Ramp'!L109^2)/(Links!R109+'Off-Ramp'!L109)</f>
        <v>#DIV/0!</v>
      </c>
      <c r="BP109" s="61" t="e">
        <f>Links!S109</f>
        <v>#DIV/0!</v>
      </c>
      <c r="BQ109" s="61" t="e">
        <f>(Links!S109^2+'Off-Ramp'!C109^2)/(Links!S109+'Off-Ramp'!C109)</f>
        <v>#DIV/0!</v>
      </c>
      <c r="BR109" s="61" t="e">
        <f>Links!T109</f>
        <v>#DIV/0!</v>
      </c>
      <c r="BS109" s="61" t="e">
        <f>(Links!U109^2+'Off-Ramp'!N109^2)/(Links!U109+'Off-Ramp'!N109)</f>
        <v>#DIV/0!</v>
      </c>
      <c r="BT109" s="61" t="e">
        <f>(Links!V109^2+'Off-Ramp'!O109^2)/(Links!V109+'Off-Ramp'!O109)</f>
        <v>#DIV/0!</v>
      </c>
      <c r="BU109" s="61" t="e">
        <f>(Links!W109^2+'Off-Ramp'!P109^2)/(Links!W109+'Off-Ramp'!P109)</f>
        <v>#DIV/0!</v>
      </c>
      <c r="BV109" s="61" t="e">
        <f>(Links!Y109^2+'Off-Ramp'!Q109^2)/(Links!Y109+'Off-Ramp'!Q109)</f>
        <v>#DIV/0!</v>
      </c>
      <c r="BW109" s="61" t="e">
        <f>(Links!Z109^2+'Off-Ramp'!R109^2)/(Links!Z109+'Off-Ramp'!R109)</f>
        <v>#DIV/0!</v>
      </c>
      <c r="BX109" s="61" t="e">
        <f>(Links!AA109+'Off-Ramp'!S109)/(Links!AA109^2+'Off-Ramp'!S109^2)</f>
        <v>#DIV/0!</v>
      </c>
      <c r="BY109" s="61" t="e">
        <f>(Links!AB109^2+'Off-Ramp'!T109^2)/(Links!AB109+'Off-Ramp'!T109)</f>
        <v>#DIV/0!</v>
      </c>
      <c r="BZ109" s="61" t="e">
        <f>Links!AC109</f>
        <v>#DIV/0!</v>
      </c>
      <c r="CA109" s="61" t="e">
        <f>(Links!AD109^2+'Off-Ramp'!U109^2)/(Links!AD109+'Off-Ramp'!U109)</f>
        <v>#DIV/0!</v>
      </c>
    </row>
    <row r="110" spans="1:79" x14ac:dyDescent="0.15">
      <c r="A110" s="59">
        <v>108</v>
      </c>
      <c r="B110" s="60" t="e">
        <f t="shared" si="34"/>
        <v>#DIV/0!</v>
      </c>
      <c r="C110" s="60" t="e">
        <f t="shared" si="35"/>
        <v>#DIV/0!</v>
      </c>
      <c r="D110" s="60" t="e">
        <f t="shared" si="36"/>
        <v>#DIV/0!</v>
      </c>
      <c r="E110" s="60" t="e">
        <f t="shared" si="37"/>
        <v>#DIV/0!</v>
      </c>
      <c r="F110" s="60" t="e">
        <f t="shared" si="38"/>
        <v>#DIV/0!</v>
      </c>
      <c r="G110" s="60" t="e">
        <f t="shared" si="39"/>
        <v>#DIV/0!</v>
      </c>
      <c r="H110" s="60" t="e">
        <f t="shared" si="40"/>
        <v>#DIV/0!</v>
      </c>
      <c r="I110" s="60" t="e">
        <f t="shared" si="41"/>
        <v>#DIV/0!</v>
      </c>
      <c r="J110" s="60" t="e">
        <f t="shared" si="42"/>
        <v>#DIV/0!</v>
      </c>
      <c r="K110" s="60" t="e">
        <f t="shared" si="43"/>
        <v>#DIV/0!</v>
      </c>
      <c r="L110" s="60" t="e">
        <f t="shared" si="44"/>
        <v>#DIV/0!</v>
      </c>
      <c r="M110" s="60" t="e">
        <f t="shared" si="45"/>
        <v>#DIV/0!</v>
      </c>
      <c r="N110" s="60" t="e">
        <f t="shared" si="46"/>
        <v>#DIV/0!</v>
      </c>
      <c r="O110" s="61" t="e">
        <f>Links!B110</f>
        <v>#DIV/0!</v>
      </c>
      <c r="P110" s="61" t="e">
        <f>Links!C110+'On-Ramps'!AC110</f>
        <v>#DIV/0!</v>
      </c>
      <c r="Q110" s="61" t="e">
        <f>Links!D110</f>
        <v>#DIV/0!</v>
      </c>
      <c r="R110" s="61" t="e">
        <f>Links!E110+'On-Ramps'!AD110</f>
        <v>#DIV/0!</v>
      </c>
      <c r="S110" s="61" t="e">
        <f>Links!F110+'On-Ramps'!AE110</f>
        <v>#DIV/0!</v>
      </c>
      <c r="T110" s="61" t="e">
        <f>Links!G110+'On-Ramps'!AF110</f>
        <v>#DIV/0!</v>
      </c>
      <c r="U110" s="61" t="e">
        <f>Links!H110+'On-Ramps'!AG110</f>
        <v>#DIV/0!</v>
      </c>
      <c r="V110" s="61" t="e">
        <f>Links!J110+'On-Ramps'!AH110</f>
        <v>#DIV/0!</v>
      </c>
      <c r="W110" s="61" t="e">
        <f>Links!K110+'On-Ramps'!AI110</f>
        <v>#DIV/0!</v>
      </c>
      <c r="X110" s="61" t="e">
        <f>Links!L110+'On-Ramps'!AJ110</f>
        <v>#DIV/0!</v>
      </c>
      <c r="Y110" s="61" t="e">
        <f>Links!M110</f>
        <v>#DIV/0!</v>
      </c>
      <c r="Z110" s="61" t="e">
        <f>Links!N110+'On-Ramps'!AK110</f>
        <v>#DIV/0!</v>
      </c>
      <c r="AA110" s="61" t="e">
        <f>Links!O110</f>
        <v>#DIV/0!</v>
      </c>
      <c r="AB110" s="60" t="e">
        <f t="shared" si="47"/>
        <v>#DIV/0!</v>
      </c>
      <c r="AC110" s="60" t="e">
        <f t="shared" si="48"/>
        <v>#DIV/0!</v>
      </c>
      <c r="AD110" s="60" t="e">
        <f t="shared" si="49"/>
        <v>#DIV/0!</v>
      </c>
      <c r="AE110" s="60" t="e">
        <f t="shared" si="50"/>
        <v>#DIV/0!</v>
      </c>
      <c r="AF110" s="60" t="e">
        <f t="shared" si="51"/>
        <v>#DIV/0!</v>
      </c>
      <c r="AG110" s="60" t="e">
        <f t="shared" si="52"/>
        <v>#DIV/0!</v>
      </c>
      <c r="AH110" s="60" t="e">
        <f t="shared" si="53"/>
        <v>#DIV/0!</v>
      </c>
      <c r="AI110" s="60" t="e">
        <f t="shared" si="54"/>
        <v>#DIV/0!</v>
      </c>
      <c r="AJ110" s="60" t="e">
        <f t="shared" si="55"/>
        <v>#DIV/0!</v>
      </c>
      <c r="AK110" s="60" t="e">
        <f t="shared" si="56"/>
        <v>#DIV/0!</v>
      </c>
      <c r="AL110" s="60" t="e">
        <f t="shared" si="57"/>
        <v>#DIV/0!</v>
      </c>
      <c r="AM110" s="60" t="e">
        <f t="shared" si="58"/>
        <v>#DIV/0!</v>
      </c>
      <c r="AN110" s="60" t="e">
        <f t="shared" si="60"/>
        <v>#DIV/0!</v>
      </c>
      <c r="AO110" s="61" t="e">
        <f t="shared" si="33"/>
        <v>#DIV/0!</v>
      </c>
      <c r="AP110" s="61" t="e">
        <f t="shared" si="61"/>
        <v>#DIV/0!</v>
      </c>
      <c r="AQ110" s="61" t="e">
        <f t="shared" si="61"/>
        <v>#DIV/0!</v>
      </c>
      <c r="AR110" s="61" t="e">
        <f t="shared" si="61"/>
        <v>#DIV/0!</v>
      </c>
      <c r="AS110" s="61" t="e">
        <f t="shared" si="61"/>
        <v>#DIV/0!</v>
      </c>
      <c r="AT110" s="61" t="e">
        <f t="shared" si="61"/>
        <v>#DIV/0!</v>
      </c>
      <c r="AU110" s="61" t="e">
        <f t="shared" si="61"/>
        <v>#DIV/0!</v>
      </c>
      <c r="AV110" s="61" t="e">
        <f t="shared" si="61"/>
        <v>#DIV/0!</v>
      </c>
      <c r="AW110" s="61" t="e">
        <f t="shared" si="61"/>
        <v>#DIV/0!</v>
      </c>
      <c r="AX110" s="61" t="e">
        <f t="shared" si="61"/>
        <v>#DIV/0!</v>
      </c>
      <c r="AY110" s="61" t="e">
        <f t="shared" si="61"/>
        <v>#DIV/0!</v>
      </c>
      <c r="AZ110" s="61" t="e">
        <f t="shared" si="61"/>
        <v>#DIV/0!</v>
      </c>
      <c r="BA110" s="61" t="e">
        <f t="shared" si="61"/>
        <v>#DIV/0!</v>
      </c>
      <c r="BB110" s="60" t="e">
        <f>Links!AF110</f>
        <v>#DIV/0!</v>
      </c>
      <c r="BC110" s="60" t="e">
        <f>(Links!AG110*Links!C110+'On-Ramps'!AC110*'On-Ramps'!CE110)/('On-Ramps'!AC110+Links!C110)</f>
        <v>#DIV/0!</v>
      </c>
      <c r="BD110" s="60" t="e">
        <f>Links!AH110</f>
        <v>#DIV/0!</v>
      </c>
      <c r="BE110" s="60" t="e">
        <f>(Links!AI110*Links!E110+'On-Ramps'!AD110*'On-Ramps'!CF109)/('On-Ramps'!AD110+Links!E110)</f>
        <v>#DIV/0!</v>
      </c>
      <c r="BF110" s="60" t="e">
        <f>(Links!F110*Links!AJ110+'On-Ramps'!AE110*'On-Ramps'!CG110)/('On-Ramps'!AE110+Links!F110)</f>
        <v>#DIV/0!</v>
      </c>
      <c r="BG110" s="60" t="e">
        <f>(Links!G110*Links!AK110+'On-Ramps'!AF110*'On-Ramps'!CH110)/('On-Ramps'!AF110+Links!G110)</f>
        <v>#DIV/0!</v>
      </c>
      <c r="BH110" s="60" t="e">
        <f>(Links!H110*Links!AL110+'On-Ramps'!AG110*'On-Ramps'!CI110)/('On-Ramps'!AG110+Links!H110)</f>
        <v>#DIV/0!</v>
      </c>
      <c r="BI110" s="60" t="e">
        <f>(Links!J110*Links!AN110+'On-Ramps'!AH110*'On-Ramps'!CJ110)/('On-Ramps'!AH110+Links!J110)</f>
        <v>#DIV/0!</v>
      </c>
      <c r="BJ110" s="60" t="e">
        <f>(Links!K110*Links!AO110+'On-Ramps'!AI110*'On-Ramps'!CK110)/('On-Ramps'!AI110+Links!K110)</f>
        <v>#DIV/0!</v>
      </c>
      <c r="BK110" s="60" t="e">
        <f>(Links!L110*Links!AP110+'On-Ramps'!AJ110*'On-Ramps'!CL110)/(Links!L110+'On-Ramps'!AJ110)</f>
        <v>#DIV/0!</v>
      </c>
      <c r="BL110" s="60" t="e">
        <f>Links!AQ110</f>
        <v>#DIV/0!</v>
      </c>
      <c r="BM110" s="60" t="e">
        <f>(Links!N110*Links!AR110+'On-Ramps'!AL110*'On-Ramps'!CM110)/(Links!N110+'On-Ramps'!AL110)</f>
        <v>#DIV/0!</v>
      </c>
      <c r="BN110" s="60" t="e">
        <f>Links!AS110</f>
        <v>#DIV/0!</v>
      </c>
      <c r="BO110" s="61" t="e">
        <f>(Links!R110^2+'Off-Ramp'!L110^2)/(Links!R110+'Off-Ramp'!L110)</f>
        <v>#DIV/0!</v>
      </c>
      <c r="BP110" s="61" t="e">
        <f>Links!S110</f>
        <v>#DIV/0!</v>
      </c>
      <c r="BQ110" s="61" t="e">
        <f>(Links!S110^2+'Off-Ramp'!C110^2)/(Links!S110+'Off-Ramp'!C110)</f>
        <v>#DIV/0!</v>
      </c>
      <c r="BR110" s="61" t="e">
        <f>Links!T110</f>
        <v>#DIV/0!</v>
      </c>
      <c r="BS110" s="61" t="e">
        <f>(Links!U110^2+'Off-Ramp'!N110^2)/(Links!U110+'Off-Ramp'!N110)</f>
        <v>#DIV/0!</v>
      </c>
      <c r="BT110" s="61" t="e">
        <f>(Links!V110^2+'Off-Ramp'!O110^2)/(Links!V110+'Off-Ramp'!O110)</f>
        <v>#DIV/0!</v>
      </c>
      <c r="BU110" s="61" t="e">
        <f>(Links!W110^2+'Off-Ramp'!P110^2)/(Links!W110+'Off-Ramp'!P110)</f>
        <v>#DIV/0!</v>
      </c>
      <c r="BV110" s="61" t="e">
        <f>(Links!Y110^2+'Off-Ramp'!Q110^2)/(Links!Y110+'Off-Ramp'!Q110)</f>
        <v>#DIV/0!</v>
      </c>
      <c r="BW110" s="61" t="e">
        <f>(Links!Z110^2+'Off-Ramp'!R110^2)/(Links!Z110+'Off-Ramp'!R110)</f>
        <v>#DIV/0!</v>
      </c>
      <c r="BX110" s="61" t="e">
        <f>(Links!AA110+'Off-Ramp'!S110)/(Links!AA110^2+'Off-Ramp'!S110^2)</f>
        <v>#DIV/0!</v>
      </c>
      <c r="BY110" s="61" t="e">
        <f>(Links!AB110^2+'Off-Ramp'!T110^2)/(Links!AB110+'Off-Ramp'!T110)</f>
        <v>#DIV/0!</v>
      </c>
      <c r="BZ110" s="61" t="e">
        <f>Links!AC110</f>
        <v>#DIV/0!</v>
      </c>
      <c r="CA110" s="61" t="e">
        <f>(Links!AD110^2+'Off-Ramp'!U110^2)/(Links!AD110+'Off-Ramp'!U110)</f>
        <v>#DIV/0!</v>
      </c>
    </row>
    <row r="111" spans="1:79" x14ac:dyDescent="0.15">
      <c r="A111" s="59">
        <v>109</v>
      </c>
      <c r="B111" s="60" t="e">
        <f t="shared" si="34"/>
        <v>#DIV/0!</v>
      </c>
      <c r="C111" s="60" t="e">
        <f t="shared" si="35"/>
        <v>#DIV/0!</v>
      </c>
      <c r="D111" s="60" t="e">
        <f t="shared" si="36"/>
        <v>#DIV/0!</v>
      </c>
      <c r="E111" s="60" t="e">
        <f t="shared" si="37"/>
        <v>#DIV/0!</v>
      </c>
      <c r="F111" s="60" t="e">
        <f t="shared" si="38"/>
        <v>#DIV/0!</v>
      </c>
      <c r="G111" s="60" t="e">
        <f t="shared" si="39"/>
        <v>#DIV/0!</v>
      </c>
      <c r="H111" s="60" t="e">
        <f t="shared" si="40"/>
        <v>#DIV/0!</v>
      </c>
      <c r="I111" s="60" t="e">
        <f t="shared" si="41"/>
        <v>#DIV/0!</v>
      </c>
      <c r="J111" s="60" t="e">
        <f t="shared" si="42"/>
        <v>#DIV/0!</v>
      </c>
      <c r="K111" s="60" t="e">
        <f t="shared" si="43"/>
        <v>#DIV/0!</v>
      </c>
      <c r="L111" s="60" t="e">
        <f t="shared" si="44"/>
        <v>#DIV/0!</v>
      </c>
      <c r="M111" s="60" t="e">
        <f t="shared" si="45"/>
        <v>#DIV/0!</v>
      </c>
      <c r="N111" s="60" t="e">
        <f t="shared" si="46"/>
        <v>#DIV/0!</v>
      </c>
      <c r="O111" s="61" t="e">
        <f>Links!B111</f>
        <v>#DIV/0!</v>
      </c>
      <c r="P111" s="61" t="e">
        <f>Links!C111+'On-Ramps'!AC111</f>
        <v>#DIV/0!</v>
      </c>
      <c r="Q111" s="61" t="e">
        <f>Links!D111</f>
        <v>#DIV/0!</v>
      </c>
      <c r="R111" s="61" t="e">
        <f>Links!E111+'On-Ramps'!AD111</f>
        <v>#DIV/0!</v>
      </c>
      <c r="S111" s="61" t="e">
        <f>Links!F111+'On-Ramps'!AE111</f>
        <v>#DIV/0!</v>
      </c>
      <c r="T111" s="61" t="e">
        <f>Links!G111+'On-Ramps'!AF111</f>
        <v>#DIV/0!</v>
      </c>
      <c r="U111" s="61" t="e">
        <f>Links!H111+'On-Ramps'!AG111</f>
        <v>#DIV/0!</v>
      </c>
      <c r="V111" s="61" t="e">
        <f>Links!J111+'On-Ramps'!AH111</f>
        <v>#DIV/0!</v>
      </c>
      <c r="W111" s="61" t="e">
        <f>Links!K111+'On-Ramps'!AI111</f>
        <v>#DIV/0!</v>
      </c>
      <c r="X111" s="61" t="e">
        <f>Links!L111+'On-Ramps'!AJ111</f>
        <v>#DIV/0!</v>
      </c>
      <c r="Y111" s="61" t="e">
        <f>Links!M111</f>
        <v>#DIV/0!</v>
      </c>
      <c r="Z111" s="61" t="e">
        <f>Links!N111+'On-Ramps'!AK111</f>
        <v>#DIV/0!</v>
      </c>
      <c r="AA111" s="61" t="e">
        <f>Links!O111</f>
        <v>#DIV/0!</v>
      </c>
      <c r="AB111" s="60" t="e">
        <f t="shared" si="47"/>
        <v>#DIV/0!</v>
      </c>
      <c r="AC111" s="60" t="e">
        <f t="shared" si="48"/>
        <v>#DIV/0!</v>
      </c>
      <c r="AD111" s="60" t="e">
        <f t="shared" si="49"/>
        <v>#DIV/0!</v>
      </c>
      <c r="AE111" s="60" t="e">
        <f t="shared" si="50"/>
        <v>#DIV/0!</v>
      </c>
      <c r="AF111" s="60" t="e">
        <f t="shared" si="51"/>
        <v>#DIV/0!</v>
      </c>
      <c r="AG111" s="60" t="e">
        <f t="shared" si="52"/>
        <v>#DIV/0!</v>
      </c>
      <c r="AH111" s="60" t="e">
        <f t="shared" si="53"/>
        <v>#DIV/0!</v>
      </c>
      <c r="AI111" s="60" t="e">
        <f t="shared" si="54"/>
        <v>#DIV/0!</v>
      </c>
      <c r="AJ111" s="60" t="e">
        <f t="shared" si="55"/>
        <v>#DIV/0!</v>
      </c>
      <c r="AK111" s="60" t="e">
        <f t="shared" si="56"/>
        <v>#DIV/0!</v>
      </c>
      <c r="AL111" s="60" t="e">
        <f t="shared" si="57"/>
        <v>#DIV/0!</v>
      </c>
      <c r="AM111" s="60" t="e">
        <f t="shared" si="58"/>
        <v>#DIV/0!</v>
      </c>
      <c r="AN111" s="60" t="e">
        <f t="shared" si="60"/>
        <v>#DIV/0!</v>
      </c>
      <c r="AO111" s="61" t="e">
        <f t="shared" si="33"/>
        <v>#DIV/0!</v>
      </c>
      <c r="AP111" s="61" t="e">
        <f t="shared" si="61"/>
        <v>#DIV/0!</v>
      </c>
      <c r="AQ111" s="61" t="e">
        <f t="shared" si="61"/>
        <v>#DIV/0!</v>
      </c>
      <c r="AR111" s="61" t="e">
        <f t="shared" si="61"/>
        <v>#DIV/0!</v>
      </c>
      <c r="AS111" s="61" t="e">
        <f t="shared" si="61"/>
        <v>#DIV/0!</v>
      </c>
      <c r="AT111" s="61" t="e">
        <f t="shared" si="61"/>
        <v>#DIV/0!</v>
      </c>
      <c r="AU111" s="61" t="e">
        <f t="shared" si="61"/>
        <v>#DIV/0!</v>
      </c>
      <c r="AV111" s="61" t="e">
        <f t="shared" si="61"/>
        <v>#DIV/0!</v>
      </c>
      <c r="AW111" s="61" t="e">
        <f t="shared" si="61"/>
        <v>#DIV/0!</v>
      </c>
      <c r="AX111" s="61" t="e">
        <f t="shared" si="61"/>
        <v>#DIV/0!</v>
      </c>
      <c r="AY111" s="61" t="e">
        <f t="shared" si="61"/>
        <v>#DIV/0!</v>
      </c>
      <c r="AZ111" s="61" t="e">
        <f t="shared" si="61"/>
        <v>#DIV/0!</v>
      </c>
      <c r="BA111" s="61" t="e">
        <f t="shared" si="61"/>
        <v>#DIV/0!</v>
      </c>
      <c r="BB111" s="60" t="e">
        <f>Links!AF111</f>
        <v>#DIV/0!</v>
      </c>
      <c r="BC111" s="60" t="e">
        <f>(Links!AG111*Links!C111+'On-Ramps'!AC111*'On-Ramps'!CE111)/('On-Ramps'!AC111+Links!C111)</f>
        <v>#DIV/0!</v>
      </c>
      <c r="BD111" s="60" t="e">
        <f>Links!AH111</f>
        <v>#DIV/0!</v>
      </c>
      <c r="BE111" s="60" t="e">
        <f>(Links!AI111*Links!E111+'On-Ramps'!AD111*'On-Ramps'!CF110)/('On-Ramps'!AD111+Links!E111)</f>
        <v>#DIV/0!</v>
      </c>
      <c r="BF111" s="60" t="e">
        <f>(Links!F111*Links!AJ111+'On-Ramps'!AE111*'On-Ramps'!CG111)/('On-Ramps'!AE111+Links!F111)</f>
        <v>#DIV/0!</v>
      </c>
      <c r="BG111" s="60" t="e">
        <f>(Links!G111*Links!AK111+'On-Ramps'!AF111*'On-Ramps'!CH111)/('On-Ramps'!AF111+Links!G111)</f>
        <v>#DIV/0!</v>
      </c>
      <c r="BH111" s="60" t="e">
        <f>(Links!H111*Links!AL111+'On-Ramps'!AG111*'On-Ramps'!CI111)/('On-Ramps'!AG111+Links!H111)</f>
        <v>#DIV/0!</v>
      </c>
      <c r="BI111" s="60" t="e">
        <f>(Links!J111*Links!AN111+'On-Ramps'!AH111*'On-Ramps'!CJ111)/('On-Ramps'!AH111+Links!J111)</f>
        <v>#DIV/0!</v>
      </c>
      <c r="BJ111" s="60" t="e">
        <f>(Links!K111*Links!AO111+'On-Ramps'!AI111*'On-Ramps'!CK111)/('On-Ramps'!AI111+Links!K111)</f>
        <v>#DIV/0!</v>
      </c>
      <c r="BK111" s="60" t="e">
        <f>(Links!L111*Links!AP111+'On-Ramps'!AJ111*'On-Ramps'!CL111)/(Links!L111+'On-Ramps'!AJ111)</f>
        <v>#DIV/0!</v>
      </c>
      <c r="BL111" s="60" t="e">
        <f>Links!AQ111</f>
        <v>#DIV/0!</v>
      </c>
      <c r="BM111" s="60" t="e">
        <f>(Links!N111*Links!AR111+'On-Ramps'!AL111*'On-Ramps'!CM111)/(Links!N111+'On-Ramps'!AL111)</f>
        <v>#DIV/0!</v>
      </c>
      <c r="BN111" s="60" t="e">
        <f>Links!AS111</f>
        <v>#DIV/0!</v>
      </c>
      <c r="BO111" s="61" t="e">
        <f>(Links!R111^2+'Off-Ramp'!L111^2)/(Links!R111+'Off-Ramp'!L111)</f>
        <v>#DIV/0!</v>
      </c>
      <c r="BP111" s="61" t="e">
        <f>Links!S111</f>
        <v>#DIV/0!</v>
      </c>
      <c r="BQ111" s="61" t="e">
        <f>(Links!S111^2+'Off-Ramp'!C111^2)/(Links!S111+'Off-Ramp'!C111)</f>
        <v>#DIV/0!</v>
      </c>
      <c r="BR111" s="61" t="e">
        <f>Links!T111</f>
        <v>#DIV/0!</v>
      </c>
      <c r="BS111" s="61" t="e">
        <f>(Links!U111^2+'Off-Ramp'!N111^2)/(Links!U111+'Off-Ramp'!N111)</f>
        <v>#DIV/0!</v>
      </c>
      <c r="BT111" s="61" t="e">
        <f>(Links!V111^2+'Off-Ramp'!O111^2)/(Links!V111+'Off-Ramp'!O111)</f>
        <v>#DIV/0!</v>
      </c>
      <c r="BU111" s="61" t="e">
        <f>(Links!W111^2+'Off-Ramp'!P111^2)/(Links!W111+'Off-Ramp'!P111)</f>
        <v>#DIV/0!</v>
      </c>
      <c r="BV111" s="61" t="e">
        <f>(Links!Y111^2+'Off-Ramp'!Q111^2)/(Links!Y111+'Off-Ramp'!Q111)</f>
        <v>#DIV/0!</v>
      </c>
      <c r="BW111" s="61" t="e">
        <f>(Links!Z111^2+'Off-Ramp'!R111^2)/(Links!Z111+'Off-Ramp'!R111)</f>
        <v>#DIV/0!</v>
      </c>
      <c r="BX111" s="61" t="e">
        <f>(Links!AA111+'Off-Ramp'!S111)/(Links!AA111^2+'Off-Ramp'!S111^2)</f>
        <v>#DIV/0!</v>
      </c>
      <c r="BY111" s="61" t="e">
        <f>(Links!AB111^2+'Off-Ramp'!T111^2)/(Links!AB111+'Off-Ramp'!T111)</f>
        <v>#DIV/0!</v>
      </c>
      <c r="BZ111" s="61" t="e">
        <f>Links!AC111</f>
        <v>#DIV/0!</v>
      </c>
      <c r="CA111" s="61" t="e">
        <f>(Links!AD111^2+'Off-Ramp'!U111^2)/(Links!AD111+'Off-Ramp'!U111)</f>
        <v>#DIV/0!</v>
      </c>
    </row>
    <row r="112" spans="1:79" x14ac:dyDescent="0.15">
      <c r="A112" s="59">
        <v>110</v>
      </c>
      <c r="B112" s="60" t="e">
        <f t="shared" si="34"/>
        <v>#DIV/0!</v>
      </c>
      <c r="C112" s="60" t="e">
        <f t="shared" si="35"/>
        <v>#DIV/0!</v>
      </c>
      <c r="D112" s="60" t="e">
        <f t="shared" si="36"/>
        <v>#DIV/0!</v>
      </c>
      <c r="E112" s="60" t="e">
        <f t="shared" si="37"/>
        <v>#DIV/0!</v>
      </c>
      <c r="F112" s="60" t="e">
        <f t="shared" si="38"/>
        <v>#DIV/0!</v>
      </c>
      <c r="G112" s="60" t="e">
        <f t="shared" si="39"/>
        <v>#DIV/0!</v>
      </c>
      <c r="H112" s="60" t="e">
        <f t="shared" si="40"/>
        <v>#DIV/0!</v>
      </c>
      <c r="I112" s="60" t="e">
        <f t="shared" si="41"/>
        <v>#DIV/0!</v>
      </c>
      <c r="J112" s="60" t="e">
        <f t="shared" si="42"/>
        <v>#DIV/0!</v>
      </c>
      <c r="K112" s="60" t="e">
        <f t="shared" si="43"/>
        <v>#DIV/0!</v>
      </c>
      <c r="L112" s="60" t="e">
        <f t="shared" si="44"/>
        <v>#DIV/0!</v>
      </c>
      <c r="M112" s="60" t="e">
        <f t="shared" si="45"/>
        <v>#DIV/0!</v>
      </c>
      <c r="N112" s="60" t="e">
        <f t="shared" si="46"/>
        <v>#DIV/0!</v>
      </c>
      <c r="O112" s="61" t="e">
        <f>Links!B112</f>
        <v>#DIV/0!</v>
      </c>
      <c r="P112" s="61" t="e">
        <f>Links!C112+'On-Ramps'!AC112</f>
        <v>#DIV/0!</v>
      </c>
      <c r="Q112" s="61" t="e">
        <f>Links!D112</f>
        <v>#DIV/0!</v>
      </c>
      <c r="R112" s="61" t="e">
        <f>Links!E112+'On-Ramps'!AD112</f>
        <v>#DIV/0!</v>
      </c>
      <c r="S112" s="61" t="e">
        <f>Links!F112+'On-Ramps'!AE112</f>
        <v>#DIV/0!</v>
      </c>
      <c r="T112" s="61" t="e">
        <f>Links!G112+'On-Ramps'!AF112</f>
        <v>#DIV/0!</v>
      </c>
      <c r="U112" s="61" t="e">
        <f>Links!H112+'On-Ramps'!AG112</f>
        <v>#DIV/0!</v>
      </c>
      <c r="V112" s="61" t="e">
        <f>Links!J112+'On-Ramps'!AH112</f>
        <v>#DIV/0!</v>
      </c>
      <c r="W112" s="61" t="e">
        <f>Links!K112+'On-Ramps'!AI112</f>
        <v>#DIV/0!</v>
      </c>
      <c r="X112" s="61" t="e">
        <f>Links!L112+'On-Ramps'!AJ112</f>
        <v>#DIV/0!</v>
      </c>
      <c r="Y112" s="61" t="e">
        <f>Links!M112</f>
        <v>#DIV/0!</v>
      </c>
      <c r="Z112" s="61" t="e">
        <f>Links!N112+'On-Ramps'!AK112</f>
        <v>#DIV/0!</v>
      </c>
      <c r="AA112" s="61" t="e">
        <f>Links!O112</f>
        <v>#DIV/0!</v>
      </c>
      <c r="AB112" s="60" t="e">
        <f t="shared" si="47"/>
        <v>#DIV/0!</v>
      </c>
      <c r="AC112" s="60" t="e">
        <f t="shared" si="48"/>
        <v>#DIV/0!</v>
      </c>
      <c r="AD112" s="60" t="e">
        <f t="shared" si="49"/>
        <v>#DIV/0!</v>
      </c>
      <c r="AE112" s="60" t="e">
        <f t="shared" si="50"/>
        <v>#DIV/0!</v>
      </c>
      <c r="AF112" s="60" t="e">
        <f t="shared" si="51"/>
        <v>#DIV/0!</v>
      </c>
      <c r="AG112" s="60" t="e">
        <f t="shared" si="52"/>
        <v>#DIV/0!</v>
      </c>
      <c r="AH112" s="60" t="e">
        <f t="shared" si="53"/>
        <v>#DIV/0!</v>
      </c>
      <c r="AI112" s="60" t="e">
        <f t="shared" si="54"/>
        <v>#DIV/0!</v>
      </c>
      <c r="AJ112" s="60" t="e">
        <f t="shared" si="55"/>
        <v>#DIV/0!</v>
      </c>
      <c r="AK112" s="60" t="e">
        <f t="shared" si="56"/>
        <v>#DIV/0!</v>
      </c>
      <c r="AL112" s="60" t="e">
        <f t="shared" si="57"/>
        <v>#DIV/0!</v>
      </c>
      <c r="AM112" s="60" t="e">
        <f t="shared" si="58"/>
        <v>#DIV/0!</v>
      </c>
      <c r="AN112" s="60" t="e">
        <f t="shared" si="60"/>
        <v>#DIV/0!</v>
      </c>
      <c r="AO112" s="61" t="e">
        <f t="shared" si="33"/>
        <v>#DIV/0!</v>
      </c>
      <c r="AP112" s="61" t="e">
        <f t="shared" si="61"/>
        <v>#DIV/0!</v>
      </c>
      <c r="AQ112" s="61" t="e">
        <f t="shared" si="61"/>
        <v>#DIV/0!</v>
      </c>
      <c r="AR112" s="61" t="e">
        <f t="shared" si="61"/>
        <v>#DIV/0!</v>
      </c>
      <c r="AS112" s="61" t="e">
        <f t="shared" si="61"/>
        <v>#DIV/0!</v>
      </c>
      <c r="AT112" s="61" t="e">
        <f t="shared" si="61"/>
        <v>#DIV/0!</v>
      </c>
      <c r="AU112" s="61" t="e">
        <f t="shared" si="61"/>
        <v>#DIV/0!</v>
      </c>
      <c r="AV112" s="61" t="e">
        <f t="shared" si="61"/>
        <v>#DIV/0!</v>
      </c>
      <c r="AW112" s="61" t="e">
        <f t="shared" si="61"/>
        <v>#DIV/0!</v>
      </c>
      <c r="AX112" s="61" t="e">
        <f t="shared" si="61"/>
        <v>#DIV/0!</v>
      </c>
      <c r="AY112" s="61" t="e">
        <f t="shared" si="61"/>
        <v>#DIV/0!</v>
      </c>
      <c r="AZ112" s="61" t="e">
        <f t="shared" si="61"/>
        <v>#DIV/0!</v>
      </c>
      <c r="BA112" s="61" t="e">
        <f t="shared" si="61"/>
        <v>#DIV/0!</v>
      </c>
      <c r="BB112" s="60" t="e">
        <f>Links!AF112</f>
        <v>#DIV/0!</v>
      </c>
      <c r="BC112" s="60" t="e">
        <f>(Links!AG112*Links!C112+'On-Ramps'!AC112*'On-Ramps'!CE112)/('On-Ramps'!AC112+Links!C112)</f>
        <v>#DIV/0!</v>
      </c>
      <c r="BD112" s="60" t="e">
        <f>Links!AH112</f>
        <v>#DIV/0!</v>
      </c>
      <c r="BE112" s="60" t="e">
        <f>(Links!AI112*Links!E112+'On-Ramps'!AD112*'On-Ramps'!CF111)/('On-Ramps'!AD112+Links!E112)</f>
        <v>#DIV/0!</v>
      </c>
      <c r="BF112" s="60" t="e">
        <f>(Links!F112*Links!AJ112+'On-Ramps'!AE112*'On-Ramps'!CG112)/('On-Ramps'!AE112+Links!F112)</f>
        <v>#DIV/0!</v>
      </c>
      <c r="BG112" s="60" t="e">
        <f>(Links!G112*Links!AK112+'On-Ramps'!AF112*'On-Ramps'!CH112)/('On-Ramps'!AF112+Links!G112)</f>
        <v>#DIV/0!</v>
      </c>
      <c r="BH112" s="60" t="e">
        <f>(Links!H112*Links!AL112+'On-Ramps'!AG112*'On-Ramps'!CI112)/('On-Ramps'!AG112+Links!H112)</f>
        <v>#DIV/0!</v>
      </c>
      <c r="BI112" s="60" t="e">
        <f>(Links!J112*Links!AN112+'On-Ramps'!AH112*'On-Ramps'!CJ112)/('On-Ramps'!AH112+Links!J112)</f>
        <v>#DIV/0!</v>
      </c>
      <c r="BJ112" s="60" t="e">
        <f>(Links!K112*Links!AO112+'On-Ramps'!AI112*'On-Ramps'!CK112)/('On-Ramps'!AI112+Links!K112)</f>
        <v>#DIV/0!</v>
      </c>
      <c r="BK112" s="60" t="e">
        <f>(Links!L112*Links!AP112+'On-Ramps'!AJ112*'On-Ramps'!CL112)/(Links!L112+'On-Ramps'!AJ112)</f>
        <v>#DIV/0!</v>
      </c>
      <c r="BL112" s="60" t="e">
        <f>Links!AQ112</f>
        <v>#DIV/0!</v>
      </c>
      <c r="BM112" s="60" t="e">
        <f>(Links!N112*Links!AR112+'On-Ramps'!AL112*'On-Ramps'!CM112)/(Links!N112+'On-Ramps'!AL112)</f>
        <v>#DIV/0!</v>
      </c>
      <c r="BN112" s="60" t="e">
        <f>Links!AS112</f>
        <v>#DIV/0!</v>
      </c>
      <c r="BO112" s="61" t="e">
        <f>(Links!R112^2+'Off-Ramp'!L112^2)/(Links!R112+'Off-Ramp'!L112)</f>
        <v>#DIV/0!</v>
      </c>
      <c r="BP112" s="61" t="e">
        <f>Links!S112</f>
        <v>#DIV/0!</v>
      </c>
      <c r="BQ112" s="61" t="e">
        <f>(Links!S112^2+'Off-Ramp'!C112^2)/(Links!S112+'Off-Ramp'!C112)</f>
        <v>#DIV/0!</v>
      </c>
      <c r="BR112" s="61" t="e">
        <f>Links!T112</f>
        <v>#DIV/0!</v>
      </c>
      <c r="BS112" s="61" t="e">
        <f>(Links!U112^2+'Off-Ramp'!N112^2)/(Links!U112+'Off-Ramp'!N112)</f>
        <v>#DIV/0!</v>
      </c>
      <c r="BT112" s="61" t="e">
        <f>(Links!V112^2+'Off-Ramp'!O112^2)/(Links!V112+'Off-Ramp'!O112)</f>
        <v>#DIV/0!</v>
      </c>
      <c r="BU112" s="61" t="e">
        <f>(Links!W112^2+'Off-Ramp'!P112^2)/(Links!W112+'Off-Ramp'!P112)</f>
        <v>#DIV/0!</v>
      </c>
      <c r="BV112" s="61" t="e">
        <f>(Links!Y112^2+'Off-Ramp'!Q112^2)/(Links!Y112+'Off-Ramp'!Q112)</f>
        <v>#DIV/0!</v>
      </c>
      <c r="BW112" s="61" t="e">
        <f>(Links!Z112^2+'Off-Ramp'!R112^2)/(Links!Z112+'Off-Ramp'!R112)</f>
        <v>#DIV/0!</v>
      </c>
      <c r="BX112" s="61" t="e">
        <f>(Links!AA112+'Off-Ramp'!S112)/(Links!AA112^2+'Off-Ramp'!S112^2)</f>
        <v>#DIV/0!</v>
      </c>
      <c r="BY112" s="61" t="e">
        <f>(Links!AB112^2+'Off-Ramp'!T112^2)/(Links!AB112+'Off-Ramp'!T112)</f>
        <v>#DIV/0!</v>
      </c>
      <c r="BZ112" s="61" t="e">
        <f>Links!AC112</f>
        <v>#DIV/0!</v>
      </c>
      <c r="CA112" s="61" t="e">
        <f>(Links!AD112^2+'Off-Ramp'!U112^2)/(Links!AD112+'Off-Ramp'!U112)</f>
        <v>#DIV/0!</v>
      </c>
    </row>
    <row r="113" spans="1:79" x14ac:dyDescent="0.15">
      <c r="A113" s="59">
        <v>111</v>
      </c>
      <c r="B113" s="60" t="e">
        <f t="shared" si="34"/>
        <v>#DIV/0!</v>
      </c>
      <c r="C113" s="60" t="e">
        <f t="shared" si="35"/>
        <v>#DIV/0!</v>
      </c>
      <c r="D113" s="60" t="e">
        <f t="shared" si="36"/>
        <v>#DIV/0!</v>
      </c>
      <c r="E113" s="60" t="e">
        <f t="shared" si="37"/>
        <v>#DIV/0!</v>
      </c>
      <c r="F113" s="60" t="e">
        <f t="shared" si="38"/>
        <v>#DIV/0!</v>
      </c>
      <c r="G113" s="60" t="e">
        <f t="shared" si="39"/>
        <v>#DIV/0!</v>
      </c>
      <c r="H113" s="60" t="e">
        <f t="shared" si="40"/>
        <v>#DIV/0!</v>
      </c>
      <c r="I113" s="60" t="e">
        <f t="shared" si="41"/>
        <v>#DIV/0!</v>
      </c>
      <c r="J113" s="60" t="e">
        <f t="shared" si="42"/>
        <v>#DIV/0!</v>
      </c>
      <c r="K113" s="60" t="e">
        <f t="shared" si="43"/>
        <v>#DIV/0!</v>
      </c>
      <c r="L113" s="60" t="e">
        <f t="shared" si="44"/>
        <v>#DIV/0!</v>
      </c>
      <c r="M113" s="60" t="e">
        <f t="shared" si="45"/>
        <v>#DIV/0!</v>
      </c>
      <c r="N113" s="60" t="e">
        <f t="shared" si="46"/>
        <v>#DIV/0!</v>
      </c>
      <c r="O113" s="61" t="e">
        <f>Links!B113</f>
        <v>#DIV/0!</v>
      </c>
      <c r="P113" s="61" t="e">
        <f>Links!C113+'On-Ramps'!AC113</f>
        <v>#DIV/0!</v>
      </c>
      <c r="Q113" s="61" t="e">
        <f>Links!D113</f>
        <v>#DIV/0!</v>
      </c>
      <c r="R113" s="61" t="e">
        <f>Links!E113+'On-Ramps'!AD113</f>
        <v>#DIV/0!</v>
      </c>
      <c r="S113" s="61" t="e">
        <f>Links!F113+'On-Ramps'!AE113</f>
        <v>#DIV/0!</v>
      </c>
      <c r="T113" s="61" t="e">
        <f>Links!G113+'On-Ramps'!AF113</f>
        <v>#DIV/0!</v>
      </c>
      <c r="U113" s="61" t="e">
        <f>Links!H113+'On-Ramps'!AG113</f>
        <v>#DIV/0!</v>
      </c>
      <c r="V113" s="61" t="e">
        <f>Links!J113+'On-Ramps'!AH113</f>
        <v>#DIV/0!</v>
      </c>
      <c r="W113" s="61" t="e">
        <f>Links!K113+'On-Ramps'!AI113</f>
        <v>#DIV/0!</v>
      </c>
      <c r="X113" s="61" t="e">
        <f>Links!L113+'On-Ramps'!AJ113</f>
        <v>#DIV/0!</v>
      </c>
      <c r="Y113" s="61" t="e">
        <f>Links!M113</f>
        <v>#DIV/0!</v>
      </c>
      <c r="Z113" s="61" t="e">
        <f>Links!N113+'On-Ramps'!AK113</f>
        <v>#DIV/0!</v>
      </c>
      <c r="AA113" s="61" t="e">
        <f>Links!O113</f>
        <v>#DIV/0!</v>
      </c>
      <c r="AB113" s="60" t="e">
        <f t="shared" si="47"/>
        <v>#DIV/0!</v>
      </c>
      <c r="AC113" s="60" t="e">
        <f t="shared" si="48"/>
        <v>#DIV/0!</v>
      </c>
      <c r="AD113" s="60" t="e">
        <f t="shared" si="49"/>
        <v>#DIV/0!</v>
      </c>
      <c r="AE113" s="60" t="e">
        <f t="shared" si="50"/>
        <v>#DIV/0!</v>
      </c>
      <c r="AF113" s="60" t="e">
        <f t="shared" si="51"/>
        <v>#DIV/0!</v>
      </c>
      <c r="AG113" s="60" t="e">
        <f t="shared" si="52"/>
        <v>#DIV/0!</v>
      </c>
      <c r="AH113" s="60" t="e">
        <f t="shared" si="53"/>
        <v>#DIV/0!</v>
      </c>
      <c r="AI113" s="60" t="e">
        <f t="shared" si="54"/>
        <v>#DIV/0!</v>
      </c>
      <c r="AJ113" s="60" t="e">
        <f t="shared" si="55"/>
        <v>#DIV/0!</v>
      </c>
      <c r="AK113" s="60" t="e">
        <f t="shared" si="56"/>
        <v>#DIV/0!</v>
      </c>
      <c r="AL113" s="60" t="e">
        <f t="shared" si="57"/>
        <v>#DIV/0!</v>
      </c>
      <c r="AM113" s="60" t="e">
        <f t="shared" si="58"/>
        <v>#DIV/0!</v>
      </c>
      <c r="AN113" s="60" t="e">
        <f t="shared" si="60"/>
        <v>#DIV/0!</v>
      </c>
      <c r="AO113" s="61" t="e">
        <f t="shared" si="33"/>
        <v>#DIV/0!</v>
      </c>
      <c r="AP113" s="61" t="e">
        <f t="shared" si="61"/>
        <v>#DIV/0!</v>
      </c>
      <c r="AQ113" s="61" t="e">
        <f t="shared" si="61"/>
        <v>#DIV/0!</v>
      </c>
      <c r="AR113" s="61" t="e">
        <f t="shared" si="61"/>
        <v>#DIV/0!</v>
      </c>
      <c r="AS113" s="61" t="e">
        <f t="shared" si="61"/>
        <v>#DIV/0!</v>
      </c>
      <c r="AT113" s="61" t="e">
        <f t="shared" si="61"/>
        <v>#DIV/0!</v>
      </c>
      <c r="AU113" s="61" t="e">
        <f t="shared" si="61"/>
        <v>#DIV/0!</v>
      </c>
      <c r="AV113" s="61" t="e">
        <f t="shared" si="61"/>
        <v>#DIV/0!</v>
      </c>
      <c r="AW113" s="61" t="e">
        <f t="shared" si="61"/>
        <v>#DIV/0!</v>
      </c>
      <c r="AX113" s="61" t="e">
        <f t="shared" si="61"/>
        <v>#DIV/0!</v>
      </c>
      <c r="AY113" s="61" t="e">
        <f t="shared" si="61"/>
        <v>#DIV/0!</v>
      </c>
      <c r="AZ113" s="61" t="e">
        <f t="shared" si="61"/>
        <v>#DIV/0!</v>
      </c>
      <c r="BA113" s="61" t="e">
        <f t="shared" si="61"/>
        <v>#DIV/0!</v>
      </c>
      <c r="BB113" s="60" t="e">
        <f>Links!AF113</f>
        <v>#DIV/0!</v>
      </c>
      <c r="BC113" s="60" t="e">
        <f>(Links!AG113*Links!C113+'On-Ramps'!AC113*'On-Ramps'!CE113)/('On-Ramps'!AC113+Links!C113)</f>
        <v>#DIV/0!</v>
      </c>
      <c r="BD113" s="60" t="e">
        <f>Links!AH113</f>
        <v>#DIV/0!</v>
      </c>
      <c r="BE113" s="60" t="e">
        <f>(Links!AI113*Links!E113+'On-Ramps'!AD113*'On-Ramps'!CF112)/('On-Ramps'!AD113+Links!E113)</f>
        <v>#DIV/0!</v>
      </c>
      <c r="BF113" s="60" t="e">
        <f>(Links!F113*Links!AJ113+'On-Ramps'!AE113*'On-Ramps'!CG113)/('On-Ramps'!AE113+Links!F113)</f>
        <v>#DIV/0!</v>
      </c>
      <c r="BG113" s="60" t="e">
        <f>(Links!G113*Links!AK113+'On-Ramps'!AF113*'On-Ramps'!CH113)/('On-Ramps'!AF113+Links!G113)</f>
        <v>#DIV/0!</v>
      </c>
      <c r="BH113" s="60" t="e">
        <f>(Links!H113*Links!AL113+'On-Ramps'!AG113*'On-Ramps'!CI113)/('On-Ramps'!AG113+Links!H113)</f>
        <v>#DIV/0!</v>
      </c>
      <c r="BI113" s="60" t="e">
        <f>(Links!J113*Links!AN113+'On-Ramps'!AH113*'On-Ramps'!CJ113)/('On-Ramps'!AH113+Links!J113)</f>
        <v>#DIV/0!</v>
      </c>
      <c r="BJ113" s="60" t="e">
        <f>(Links!K113*Links!AO113+'On-Ramps'!AI113*'On-Ramps'!CK113)/('On-Ramps'!AI113+Links!K113)</f>
        <v>#DIV/0!</v>
      </c>
      <c r="BK113" s="60" t="e">
        <f>(Links!L113*Links!AP113+'On-Ramps'!AJ113*'On-Ramps'!CL113)/(Links!L113+'On-Ramps'!AJ113)</f>
        <v>#DIV/0!</v>
      </c>
      <c r="BL113" s="60" t="e">
        <f>Links!AQ113</f>
        <v>#DIV/0!</v>
      </c>
      <c r="BM113" s="60" t="e">
        <f>(Links!N113*Links!AR113+'On-Ramps'!AL113*'On-Ramps'!CM113)/(Links!N113+'On-Ramps'!AL113)</f>
        <v>#DIV/0!</v>
      </c>
      <c r="BN113" s="60" t="e">
        <f>Links!AS113</f>
        <v>#DIV/0!</v>
      </c>
      <c r="BO113" s="61" t="e">
        <f>(Links!R113^2+'Off-Ramp'!L113^2)/(Links!R113+'Off-Ramp'!L113)</f>
        <v>#DIV/0!</v>
      </c>
      <c r="BP113" s="61" t="e">
        <f>Links!S113</f>
        <v>#DIV/0!</v>
      </c>
      <c r="BQ113" s="61" t="e">
        <f>(Links!S113^2+'Off-Ramp'!C113^2)/(Links!S113+'Off-Ramp'!C113)</f>
        <v>#DIV/0!</v>
      </c>
      <c r="BR113" s="61" t="e">
        <f>Links!T113</f>
        <v>#DIV/0!</v>
      </c>
      <c r="BS113" s="61" t="e">
        <f>(Links!U113^2+'Off-Ramp'!N113^2)/(Links!U113+'Off-Ramp'!N113)</f>
        <v>#DIV/0!</v>
      </c>
      <c r="BT113" s="61" t="e">
        <f>(Links!V113^2+'Off-Ramp'!O113^2)/(Links!V113+'Off-Ramp'!O113)</f>
        <v>#DIV/0!</v>
      </c>
      <c r="BU113" s="61" t="e">
        <f>(Links!W113^2+'Off-Ramp'!P113^2)/(Links!W113+'Off-Ramp'!P113)</f>
        <v>#DIV/0!</v>
      </c>
      <c r="BV113" s="61" t="e">
        <f>(Links!Y113^2+'Off-Ramp'!Q113^2)/(Links!Y113+'Off-Ramp'!Q113)</f>
        <v>#DIV/0!</v>
      </c>
      <c r="BW113" s="61" t="e">
        <f>(Links!Z113^2+'Off-Ramp'!R113^2)/(Links!Z113+'Off-Ramp'!R113)</f>
        <v>#DIV/0!</v>
      </c>
      <c r="BX113" s="61" t="e">
        <f>(Links!AA113+'Off-Ramp'!S113)/(Links!AA113^2+'Off-Ramp'!S113^2)</f>
        <v>#DIV/0!</v>
      </c>
      <c r="BY113" s="61" t="e">
        <f>(Links!AB113^2+'Off-Ramp'!T113^2)/(Links!AB113+'Off-Ramp'!T113)</f>
        <v>#DIV/0!</v>
      </c>
      <c r="BZ113" s="61" t="e">
        <f>Links!AC113</f>
        <v>#DIV/0!</v>
      </c>
      <c r="CA113" s="61" t="e">
        <f>(Links!AD113^2+'Off-Ramp'!U113^2)/(Links!AD113+'Off-Ramp'!U113)</f>
        <v>#DIV/0!</v>
      </c>
    </row>
    <row r="114" spans="1:79" x14ac:dyDescent="0.15">
      <c r="A114" s="59">
        <v>112</v>
      </c>
      <c r="B114" s="60" t="e">
        <f t="shared" si="34"/>
        <v>#DIV/0!</v>
      </c>
      <c r="C114" s="60" t="e">
        <f t="shared" si="35"/>
        <v>#DIV/0!</v>
      </c>
      <c r="D114" s="60" t="e">
        <f t="shared" si="36"/>
        <v>#DIV/0!</v>
      </c>
      <c r="E114" s="60" t="e">
        <f t="shared" si="37"/>
        <v>#DIV/0!</v>
      </c>
      <c r="F114" s="60" t="e">
        <f t="shared" si="38"/>
        <v>#DIV/0!</v>
      </c>
      <c r="G114" s="60" t="e">
        <f t="shared" si="39"/>
        <v>#DIV/0!</v>
      </c>
      <c r="H114" s="60" t="e">
        <f t="shared" si="40"/>
        <v>#DIV/0!</v>
      </c>
      <c r="I114" s="60" t="e">
        <f t="shared" si="41"/>
        <v>#DIV/0!</v>
      </c>
      <c r="J114" s="60" t="e">
        <f t="shared" si="42"/>
        <v>#DIV/0!</v>
      </c>
      <c r="K114" s="60" t="e">
        <f t="shared" si="43"/>
        <v>#DIV/0!</v>
      </c>
      <c r="L114" s="60" t="e">
        <f t="shared" si="44"/>
        <v>#DIV/0!</v>
      </c>
      <c r="M114" s="60" t="e">
        <f t="shared" si="45"/>
        <v>#DIV/0!</v>
      </c>
      <c r="N114" s="60" t="e">
        <f t="shared" si="46"/>
        <v>#DIV/0!</v>
      </c>
      <c r="O114" s="61" t="e">
        <f>Links!B114</f>
        <v>#DIV/0!</v>
      </c>
      <c r="P114" s="61" t="e">
        <f>Links!C114+'On-Ramps'!AC114</f>
        <v>#DIV/0!</v>
      </c>
      <c r="Q114" s="61" t="e">
        <f>Links!D114</f>
        <v>#DIV/0!</v>
      </c>
      <c r="R114" s="61" t="e">
        <f>Links!E114+'On-Ramps'!AD114</f>
        <v>#DIV/0!</v>
      </c>
      <c r="S114" s="61" t="e">
        <f>Links!F114+'On-Ramps'!AE114</f>
        <v>#DIV/0!</v>
      </c>
      <c r="T114" s="61" t="e">
        <f>Links!G114+'On-Ramps'!AF114</f>
        <v>#DIV/0!</v>
      </c>
      <c r="U114" s="61" t="e">
        <f>Links!H114+'On-Ramps'!AG114</f>
        <v>#DIV/0!</v>
      </c>
      <c r="V114" s="61" t="e">
        <f>Links!J114+'On-Ramps'!AH114</f>
        <v>#DIV/0!</v>
      </c>
      <c r="W114" s="61" t="e">
        <f>Links!K114+'On-Ramps'!AI114</f>
        <v>#DIV/0!</v>
      </c>
      <c r="X114" s="61" t="e">
        <f>Links!L114+'On-Ramps'!AJ114</f>
        <v>#DIV/0!</v>
      </c>
      <c r="Y114" s="61" t="e">
        <f>Links!M114</f>
        <v>#DIV/0!</v>
      </c>
      <c r="Z114" s="61" t="e">
        <f>Links!N114+'On-Ramps'!AK114</f>
        <v>#DIV/0!</v>
      </c>
      <c r="AA114" s="61" t="e">
        <f>Links!O114</f>
        <v>#DIV/0!</v>
      </c>
      <c r="AB114" s="60" t="e">
        <f t="shared" si="47"/>
        <v>#DIV/0!</v>
      </c>
      <c r="AC114" s="60" t="e">
        <f t="shared" si="48"/>
        <v>#DIV/0!</v>
      </c>
      <c r="AD114" s="60" t="e">
        <f t="shared" si="49"/>
        <v>#DIV/0!</v>
      </c>
      <c r="AE114" s="60" t="e">
        <f t="shared" si="50"/>
        <v>#DIV/0!</v>
      </c>
      <c r="AF114" s="60" t="e">
        <f t="shared" si="51"/>
        <v>#DIV/0!</v>
      </c>
      <c r="AG114" s="60" t="e">
        <f t="shared" si="52"/>
        <v>#DIV/0!</v>
      </c>
      <c r="AH114" s="60" t="e">
        <f t="shared" si="53"/>
        <v>#DIV/0!</v>
      </c>
      <c r="AI114" s="60" t="e">
        <f t="shared" si="54"/>
        <v>#DIV/0!</v>
      </c>
      <c r="AJ114" s="60" t="e">
        <f t="shared" si="55"/>
        <v>#DIV/0!</v>
      </c>
      <c r="AK114" s="60" t="e">
        <f t="shared" si="56"/>
        <v>#DIV/0!</v>
      </c>
      <c r="AL114" s="60" t="e">
        <f t="shared" si="57"/>
        <v>#DIV/0!</v>
      </c>
      <c r="AM114" s="60" t="e">
        <f t="shared" si="58"/>
        <v>#DIV/0!</v>
      </c>
      <c r="AN114" s="60" t="e">
        <f t="shared" si="60"/>
        <v>#DIV/0!</v>
      </c>
      <c r="AO114" s="61" t="e">
        <f t="shared" si="33"/>
        <v>#DIV/0!</v>
      </c>
      <c r="AP114" s="61" t="e">
        <f t="shared" si="61"/>
        <v>#DIV/0!</v>
      </c>
      <c r="AQ114" s="61" t="e">
        <f t="shared" si="61"/>
        <v>#DIV/0!</v>
      </c>
      <c r="AR114" s="61" t="e">
        <f t="shared" si="61"/>
        <v>#DIV/0!</v>
      </c>
      <c r="AS114" s="61" t="e">
        <f t="shared" si="61"/>
        <v>#DIV/0!</v>
      </c>
      <c r="AT114" s="61" t="e">
        <f t="shared" si="61"/>
        <v>#DIV/0!</v>
      </c>
      <c r="AU114" s="61" t="e">
        <f t="shared" si="61"/>
        <v>#DIV/0!</v>
      </c>
      <c r="AV114" s="61" t="e">
        <f t="shared" si="61"/>
        <v>#DIV/0!</v>
      </c>
      <c r="AW114" s="61" t="e">
        <f t="shared" si="61"/>
        <v>#DIV/0!</v>
      </c>
      <c r="AX114" s="61" t="e">
        <f t="shared" si="61"/>
        <v>#DIV/0!</v>
      </c>
      <c r="AY114" s="61" t="e">
        <f t="shared" si="61"/>
        <v>#DIV/0!</v>
      </c>
      <c r="AZ114" s="61" t="e">
        <f t="shared" si="61"/>
        <v>#DIV/0!</v>
      </c>
      <c r="BA114" s="61" t="e">
        <f t="shared" si="61"/>
        <v>#DIV/0!</v>
      </c>
      <c r="BB114" s="60" t="e">
        <f>Links!AF114</f>
        <v>#DIV/0!</v>
      </c>
      <c r="BC114" s="60" t="e">
        <f>(Links!AG114*Links!C114+'On-Ramps'!AC114*'On-Ramps'!CE114)/('On-Ramps'!AC114+Links!C114)</f>
        <v>#DIV/0!</v>
      </c>
      <c r="BD114" s="60" t="e">
        <f>Links!AH114</f>
        <v>#DIV/0!</v>
      </c>
      <c r="BE114" s="60" t="e">
        <f>(Links!AI114*Links!E114+'On-Ramps'!AD114*'On-Ramps'!CF113)/('On-Ramps'!AD114+Links!E114)</f>
        <v>#DIV/0!</v>
      </c>
      <c r="BF114" s="60" t="e">
        <f>(Links!F114*Links!AJ114+'On-Ramps'!AE114*'On-Ramps'!CG114)/('On-Ramps'!AE114+Links!F114)</f>
        <v>#DIV/0!</v>
      </c>
      <c r="BG114" s="60" t="e">
        <f>(Links!G114*Links!AK114+'On-Ramps'!AF114*'On-Ramps'!CH114)/('On-Ramps'!AF114+Links!G114)</f>
        <v>#DIV/0!</v>
      </c>
      <c r="BH114" s="60" t="e">
        <f>(Links!H114*Links!AL114+'On-Ramps'!AG114*'On-Ramps'!CI114)/('On-Ramps'!AG114+Links!H114)</f>
        <v>#DIV/0!</v>
      </c>
      <c r="BI114" s="60" t="e">
        <f>(Links!J114*Links!AN114+'On-Ramps'!AH114*'On-Ramps'!CJ114)/('On-Ramps'!AH114+Links!J114)</f>
        <v>#DIV/0!</v>
      </c>
      <c r="BJ114" s="60" t="e">
        <f>(Links!K114*Links!AO114+'On-Ramps'!AI114*'On-Ramps'!CK114)/('On-Ramps'!AI114+Links!K114)</f>
        <v>#DIV/0!</v>
      </c>
      <c r="BK114" s="60" t="e">
        <f>(Links!L114*Links!AP114+'On-Ramps'!AJ114*'On-Ramps'!CL114)/(Links!L114+'On-Ramps'!AJ114)</f>
        <v>#DIV/0!</v>
      </c>
      <c r="BL114" s="60" t="e">
        <f>Links!AQ114</f>
        <v>#DIV/0!</v>
      </c>
      <c r="BM114" s="60" t="e">
        <f>(Links!N114*Links!AR114+'On-Ramps'!AL114*'On-Ramps'!CM114)/(Links!N114+'On-Ramps'!AL114)</f>
        <v>#DIV/0!</v>
      </c>
      <c r="BN114" s="60" t="e">
        <f>Links!AS114</f>
        <v>#DIV/0!</v>
      </c>
      <c r="BO114" s="61" t="e">
        <f>(Links!R114^2+'Off-Ramp'!L114^2)/(Links!R114+'Off-Ramp'!L114)</f>
        <v>#DIV/0!</v>
      </c>
      <c r="BP114" s="61" t="e">
        <f>Links!S114</f>
        <v>#DIV/0!</v>
      </c>
      <c r="BQ114" s="61" t="e">
        <f>(Links!S114^2+'Off-Ramp'!C114^2)/(Links!S114+'Off-Ramp'!C114)</f>
        <v>#DIV/0!</v>
      </c>
      <c r="BR114" s="61" t="e">
        <f>Links!T114</f>
        <v>#DIV/0!</v>
      </c>
      <c r="BS114" s="61" t="e">
        <f>(Links!U114^2+'Off-Ramp'!N114^2)/(Links!U114+'Off-Ramp'!N114)</f>
        <v>#DIV/0!</v>
      </c>
      <c r="BT114" s="61" t="e">
        <f>(Links!V114^2+'Off-Ramp'!O114^2)/(Links!V114+'Off-Ramp'!O114)</f>
        <v>#DIV/0!</v>
      </c>
      <c r="BU114" s="61" t="e">
        <f>(Links!W114^2+'Off-Ramp'!P114^2)/(Links!W114+'Off-Ramp'!P114)</f>
        <v>#DIV/0!</v>
      </c>
      <c r="BV114" s="61" t="e">
        <f>(Links!Y114^2+'Off-Ramp'!Q114^2)/(Links!Y114+'Off-Ramp'!Q114)</f>
        <v>#DIV/0!</v>
      </c>
      <c r="BW114" s="61" t="e">
        <f>(Links!Z114^2+'Off-Ramp'!R114^2)/(Links!Z114+'Off-Ramp'!R114)</f>
        <v>#DIV/0!</v>
      </c>
      <c r="BX114" s="61" t="e">
        <f>(Links!AA114+'Off-Ramp'!S114)/(Links!AA114^2+'Off-Ramp'!S114^2)</f>
        <v>#DIV/0!</v>
      </c>
      <c r="BY114" s="61" t="e">
        <f>(Links!AB114^2+'Off-Ramp'!T114^2)/(Links!AB114+'Off-Ramp'!T114)</f>
        <v>#DIV/0!</v>
      </c>
      <c r="BZ114" s="61" t="e">
        <f>Links!AC114</f>
        <v>#DIV/0!</v>
      </c>
      <c r="CA114" s="61" t="e">
        <f>(Links!AD114^2+'Off-Ramp'!U114^2)/(Links!AD114+'Off-Ramp'!U114)</f>
        <v>#DIV/0!</v>
      </c>
    </row>
    <row r="115" spans="1:79" x14ac:dyDescent="0.15">
      <c r="A115" s="59">
        <v>113</v>
      </c>
      <c r="B115" s="60" t="e">
        <f t="shared" si="34"/>
        <v>#DIV/0!</v>
      </c>
      <c r="C115" s="60" t="e">
        <f t="shared" si="35"/>
        <v>#DIV/0!</v>
      </c>
      <c r="D115" s="60" t="e">
        <f t="shared" si="36"/>
        <v>#DIV/0!</v>
      </c>
      <c r="E115" s="60" t="e">
        <f t="shared" si="37"/>
        <v>#DIV/0!</v>
      </c>
      <c r="F115" s="60" t="e">
        <f t="shared" si="38"/>
        <v>#DIV/0!</v>
      </c>
      <c r="G115" s="60" t="e">
        <f t="shared" si="39"/>
        <v>#DIV/0!</v>
      </c>
      <c r="H115" s="60" t="e">
        <f t="shared" si="40"/>
        <v>#DIV/0!</v>
      </c>
      <c r="I115" s="60" t="e">
        <f t="shared" si="41"/>
        <v>#DIV/0!</v>
      </c>
      <c r="J115" s="60" t="e">
        <f t="shared" si="42"/>
        <v>#DIV/0!</v>
      </c>
      <c r="K115" s="60" t="e">
        <f t="shared" si="43"/>
        <v>#DIV/0!</v>
      </c>
      <c r="L115" s="60" t="e">
        <f t="shared" si="44"/>
        <v>#DIV/0!</v>
      </c>
      <c r="M115" s="60" t="e">
        <f t="shared" si="45"/>
        <v>#DIV/0!</v>
      </c>
      <c r="N115" s="60" t="e">
        <f t="shared" si="46"/>
        <v>#DIV/0!</v>
      </c>
      <c r="O115" s="61" t="e">
        <f>Links!B115</f>
        <v>#DIV/0!</v>
      </c>
      <c r="P115" s="61" t="e">
        <f>Links!C115+'On-Ramps'!AC115</f>
        <v>#DIV/0!</v>
      </c>
      <c r="Q115" s="61" t="e">
        <f>Links!D115</f>
        <v>#DIV/0!</v>
      </c>
      <c r="R115" s="61" t="e">
        <f>Links!E115+'On-Ramps'!AD115</f>
        <v>#DIV/0!</v>
      </c>
      <c r="S115" s="61" t="e">
        <f>Links!F115+'On-Ramps'!AE115</f>
        <v>#DIV/0!</v>
      </c>
      <c r="T115" s="61" t="e">
        <f>Links!G115+'On-Ramps'!AF115</f>
        <v>#DIV/0!</v>
      </c>
      <c r="U115" s="61" t="e">
        <f>Links!H115+'On-Ramps'!AG115</f>
        <v>#DIV/0!</v>
      </c>
      <c r="V115" s="61" t="e">
        <f>Links!J115+'On-Ramps'!AH115</f>
        <v>#DIV/0!</v>
      </c>
      <c r="W115" s="61" t="e">
        <f>Links!K115+'On-Ramps'!AI115</f>
        <v>#DIV/0!</v>
      </c>
      <c r="X115" s="61" t="e">
        <f>Links!L115+'On-Ramps'!AJ115</f>
        <v>#DIV/0!</v>
      </c>
      <c r="Y115" s="61" t="e">
        <f>Links!M115</f>
        <v>#DIV/0!</v>
      </c>
      <c r="Z115" s="61" t="e">
        <f>Links!N115+'On-Ramps'!AK115</f>
        <v>#DIV/0!</v>
      </c>
      <c r="AA115" s="61" t="e">
        <f>Links!O115</f>
        <v>#DIV/0!</v>
      </c>
      <c r="AB115" s="60" t="e">
        <f t="shared" si="47"/>
        <v>#DIV/0!</v>
      </c>
      <c r="AC115" s="60" t="e">
        <f t="shared" si="48"/>
        <v>#DIV/0!</v>
      </c>
      <c r="AD115" s="60" t="e">
        <f t="shared" si="49"/>
        <v>#DIV/0!</v>
      </c>
      <c r="AE115" s="60" t="e">
        <f t="shared" si="50"/>
        <v>#DIV/0!</v>
      </c>
      <c r="AF115" s="60" t="e">
        <f t="shared" si="51"/>
        <v>#DIV/0!</v>
      </c>
      <c r="AG115" s="60" t="e">
        <f t="shared" si="52"/>
        <v>#DIV/0!</v>
      </c>
      <c r="AH115" s="60" t="e">
        <f t="shared" si="53"/>
        <v>#DIV/0!</v>
      </c>
      <c r="AI115" s="60" t="e">
        <f t="shared" si="54"/>
        <v>#DIV/0!</v>
      </c>
      <c r="AJ115" s="60" t="e">
        <f t="shared" si="55"/>
        <v>#DIV/0!</v>
      </c>
      <c r="AK115" s="60" t="e">
        <f t="shared" si="56"/>
        <v>#DIV/0!</v>
      </c>
      <c r="AL115" s="60" t="e">
        <f t="shared" si="57"/>
        <v>#DIV/0!</v>
      </c>
      <c r="AM115" s="60" t="e">
        <f t="shared" si="58"/>
        <v>#DIV/0!</v>
      </c>
      <c r="AN115" s="60" t="e">
        <f t="shared" si="60"/>
        <v>#DIV/0!</v>
      </c>
      <c r="AO115" s="61" t="e">
        <f t="shared" si="33"/>
        <v>#DIV/0!</v>
      </c>
      <c r="AP115" s="61" t="e">
        <f t="shared" si="61"/>
        <v>#DIV/0!</v>
      </c>
      <c r="AQ115" s="61" t="e">
        <f t="shared" si="61"/>
        <v>#DIV/0!</v>
      </c>
      <c r="AR115" s="61" t="e">
        <f t="shared" si="61"/>
        <v>#DIV/0!</v>
      </c>
      <c r="AS115" s="61" t="e">
        <f t="shared" si="61"/>
        <v>#DIV/0!</v>
      </c>
      <c r="AT115" s="61" t="e">
        <f t="shared" si="61"/>
        <v>#DIV/0!</v>
      </c>
      <c r="AU115" s="61" t="e">
        <f t="shared" si="61"/>
        <v>#DIV/0!</v>
      </c>
      <c r="AV115" s="61" t="e">
        <f t="shared" si="61"/>
        <v>#DIV/0!</v>
      </c>
      <c r="AW115" s="61" t="e">
        <f t="shared" si="61"/>
        <v>#DIV/0!</v>
      </c>
      <c r="AX115" s="61" t="e">
        <f t="shared" si="61"/>
        <v>#DIV/0!</v>
      </c>
      <c r="AY115" s="61" t="e">
        <f t="shared" si="61"/>
        <v>#DIV/0!</v>
      </c>
      <c r="AZ115" s="61" t="e">
        <f t="shared" si="61"/>
        <v>#DIV/0!</v>
      </c>
      <c r="BA115" s="61" t="e">
        <f t="shared" si="61"/>
        <v>#DIV/0!</v>
      </c>
      <c r="BB115" s="60" t="e">
        <f>Links!AF115</f>
        <v>#DIV/0!</v>
      </c>
      <c r="BC115" s="60" t="e">
        <f>(Links!AG115*Links!C115+'On-Ramps'!AC115*'On-Ramps'!CE115)/('On-Ramps'!AC115+Links!C115)</f>
        <v>#DIV/0!</v>
      </c>
      <c r="BD115" s="60" t="e">
        <f>Links!AH115</f>
        <v>#DIV/0!</v>
      </c>
      <c r="BE115" s="60" t="e">
        <f>(Links!AI115*Links!E115+'On-Ramps'!AD115*'On-Ramps'!CF114)/('On-Ramps'!AD115+Links!E115)</f>
        <v>#DIV/0!</v>
      </c>
      <c r="BF115" s="60" t="e">
        <f>(Links!F115*Links!AJ115+'On-Ramps'!AE115*'On-Ramps'!CG115)/('On-Ramps'!AE115+Links!F115)</f>
        <v>#DIV/0!</v>
      </c>
      <c r="BG115" s="60" t="e">
        <f>(Links!G115*Links!AK115+'On-Ramps'!AF115*'On-Ramps'!CH115)/('On-Ramps'!AF115+Links!G115)</f>
        <v>#DIV/0!</v>
      </c>
      <c r="BH115" s="60" t="e">
        <f>(Links!H115*Links!AL115+'On-Ramps'!AG115*'On-Ramps'!CI115)/('On-Ramps'!AG115+Links!H115)</f>
        <v>#DIV/0!</v>
      </c>
      <c r="BI115" s="60" t="e">
        <f>(Links!J115*Links!AN115+'On-Ramps'!AH115*'On-Ramps'!CJ115)/('On-Ramps'!AH115+Links!J115)</f>
        <v>#DIV/0!</v>
      </c>
      <c r="BJ115" s="60" t="e">
        <f>(Links!K115*Links!AO115+'On-Ramps'!AI115*'On-Ramps'!CK115)/('On-Ramps'!AI115+Links!K115)</f>
        <v>#DIV/0!</v>
      </c>
      <c r="BK115" s="60" t="e">
        <f>(Links!L115*Links!AP115+'On-Ramps'!AJ115*'On-Ramps'!CL115)/(Links!L115+'On-Ramps'!AJ115)</f>
        <v>#DIV/0!</v>
      </c>
      <c r="BL115" s="60" t="e">
        <f>Links!AQ115</f>
        <v>#DIV/0!</v>
      </c>
      <c r="BM115" s="60" t="e">
        <f>(Links!N115*Links!AR115+'On-Ramps'!AL115*'On-Ramps'!CM115)/(Links!N115+'On-Ramps'!AL115)</f>
        <v>#DIV/0!</v>
      </c>
      <c r="BN115" s="60" t="e">
        <f>Links!AS115</f>
        <v>#DIV/0!</v>
      </c>
      <c r="BO115" s="61" t="e">
        <f>(Links!R115^2+'Off-Ramp'!L115^2)/(Links!R115+'Off-Ramp'!L115)</f>
        <v>#DIV/0!</v>
      </c>
      <c r="BP115" s="61" t="e">
        <f>Links!S115</f>
        <v>#DIV/0!</v>
      </c>
      <c r="BQ115" s="61" t="e">
        <f>(Links!S115^2+'Off-Ramp'!C115^2)/(Links!S115+'Off-Ramp'!C115)</f>
        <v>#DIV/0!</v>
      </c>
      <c r="BR115" s="61" t="e">
        <f>Links!T115</f>
        <v>#DIV/0!</v>
      </c>
      <c r="BS115" s="61" t="e">
        <f>(Links!U115^2+'Off-Ramp'!N115^2)/(Links!U115+'Off-Ramp'!N115)</f>
        <v>#DIV/0!</v>
      </c>
      <c r="BT115" s="61" t="e">
        <f>(Links!V115^2+'Off-Ramp'!O115^2)/(Links!V115+'Off-Ramp'!O115)</f>
        <v>#DIV/0!</v>
      </c>
      <c r="BU115" s="61" t="e">
        <f>(Links!W115^2+'Off-Ramp'!P115^2)/(Links!W115+'Off-Ramp'!P115)</f>
        <v>#DIV/0!</v>
      </c>
      <c r="BV115" s="61" t="e">
        <f>(Links!Y115^2+'Off-Ramp'!Q115^2)/(Links!Y115+'Off-Ramp'!Q115)</f>
        <v>#DIV/0!</v>
      </c>
      <c r="BW115" s="61" t="e">
        <f>(Links!Z115^2+'Off-Ramp'!R115^2)/(Links!Z115+'Off-Ramp'!R115)</f>
        <v>#DIV/0!</v>
      </c>
      <c r="BX115" s="61" t="e">
        <f>(Links!AA115+'Off-Ramp'!S115)/(Links!AA115^2+'Off-Ramp'!S115^2)</f>
        <v>#DIV/0!</v>
      </c>
      <c r="BY115" s="61" t="e">
        <f>(Links!AB115^2+'Off-Ramp'!T115^2)/(Links!AB115+'Off-Ramp'!T115)</f>
        <v>#DIV/0!</v>
      </c>
      <c r="BZ115" s="61" t="e">
        <f>Links!AC115</f>
        <v>#DIV/0!</v>
      </c>
      <c r="CA115" s="61" t="e">
        <f>(Links!AD115^2+'Off-Ramp'!U115^2)/(Links!AD115+'Off-Ramp'!U115)</f>
        <v>#DIV/0!</v>
      </c>
    </row>
    <row r="116" spans="1:79" x14ac:dyDescent="0.15">
      <c r="A116" s="59">
        <v>114</v>
      </c>
      <c r="B116" s="60" t="e">
        <f t="shared" si="34"/>
        <v>#DIV/0!</v>
      </c>
      <c r="C116" s="60" t="e">
        <f t="shared" si="35"/>
        <v>#DIV/0!</v>
      </c>
      <c r="D116" s="60" t="e">
        <f t="shared" si="36"/>
        <v>#DIV/0!</v>
      </c>
      <c r="E116" s="60" t="e">
        <f t="shared" si="37"/>
        <v>#DIV/0!</v>
      </c>
      <c r="F116" s="60" t="e">
        <f t="shared" si="38"/>
        <v>#DIV/0!</v>
      </c>
      <c r="G116" s="60" t="e">
        <f t="shared" si="39"/>
        <v>#DIV/0!</v>
      </c>
      <c r="H116" s="60" t="e">
        <f t="shared" si="40"/>
        <v>#DIV/0!</v>
      </c>
      <c r="I116" s="60" t="e">
        <f t="shared" si="41"/>
        <v>#DIV/0!</v>
      </c>
      <c r="J116" s="60" t="e">
        <f t="shared" si="42"/>
        <v>#DIV/0!</v>
      </c>
      <c r="K116" s="60" t="e">
        <f t="shared" si="43"/>
        <v>#DIV/0!</v>
      </c>
      <c r="L116" s="60" t="e">
        <f t="shared" si="44"/>
        <v>#DIV/0!</v>
      </c>
      <c r="M116" s="60" t="e">
        <f t="shared" si="45"/>
        <v>#DIV/0!</v>
      </c>
      <c r="N116" s="60" t="e">
        <f t="shared" si="46"/>
        <v>#DIV/0!</v>
      </c>
      <c r="O116" s="61" t="e">
        <f>Links!B116</f>
        <v>#DIV/0!</v>
      </c>
      <c r="P116" s="61" t="e">
        <f>Links!C116+'On-Ramps'!AC116</f>
        <v>#DIV/0!</v>
      </c>
      <c r="Q116" s="61" t="e">
        <f>Links!D116</f>
        <v>#DIV/0!</v>
      </c>
      <c r="R116" s="61" t="e">
        <f>Links!E116+'On-Ramps'!AD116</f>
        <v>#DIV/0!</v>
      </c>
      <c r="S116" s="61" t="e">
        <f>Links!F116+'On-Ramps'!AE116</f>
        <v>#DIV/0!</v>
      </c>
      <c r="T116" s="61" t="e">
        <f>Links!G116+'On-Ramps'!AF116</f>
        <v>#DIV/0!</v>
      </c>
      <c r="U116" s="61" t="e">
        <f>Links!H116+'On-Ramps'!AG116</f>
        <v>#DIV/0!</v>
      </c>
      <c r="V116" s="61" t="e">
        <f>Links!J116+'On-Ramps'!AH116</f>
        <v>#DIV/0!</v>
      </c>
      <c r="W116" s="61" t="e">
        <f>Links!K116+'On-Ramps'!AI116</f>
        <v>#DIV/0!</v>
      </c>
      <c r="X116" s="61" t="e">
        <f>Links!L116+'On-Ramps'!AJ116</f>
        <v>#DIV/0!</v>
      </c>
      <c r="Y116" s="61" t="e">
        <f>Links!M116</f>
        <v>#DIV/0!</v>
      </c>
      <c r="Z116" s="61" t="e">
        <f>Links!N116+'On-Ramps'!AK116</f>
        <v>#DIV/0!</v>
      </c>
      <c r="AA116" s="61" t="e">
        <f>Links!O116</f>
        <v>#DIV/0!</v>
      </c>
      <c r="AB116" s="60" t="e">
        <f t="shared" si="47"/>
        <v>#DIV/0!</v>
      </c>
      <c r="AC116" s="60" t="e">
        <f t="shared" si="48"/>
        <v>#DIV/0!</v>
      </c>
      <c r="AD116" s="60" t="e">
        <f t="shared" si="49"/>
        <v>#DIV/0!</v>
      </c>
      <c r="AE116" s="60" t="e">
        <f t="shared" si="50"/>
        <v>#DIV/0!</v>
      </c>
      <c r="AF116" s="60" t="e">
        <f t="shared" si="51"/>
        <v>#DIV/0!</v>
      </c>
      <c r="AG116" s="60" t="e">
        <f t="shared" si="52"/>
        <v>#DIV/0!</v>
      </c>
      <c r="AH116" s="60" t="e">
        <f t="shared" si="53"/>
        <v>#DIV/0!</v>
      </c>
      <c r="AI116" s="60" t="e">
        <f t="shared" si="54"/>
        <v>#DIV/0!</v>
      </c>
      <c r="AJ116" s="60" t="e">
        <f t="shared" si="55"/>
        <v>#DIV/0!</v>
      </c>
      <c r="AK116" s="60" t="e">
        <f t="shared" si="56"/>
        <v>#DIV/0!</v>
      </c>
      <c r="AL116" s="60" t="e">
        <f t="shared" si="57"/>
        <v>#DIV/0!</v>
      </c>
      <c r="AM116" s="60" t="e">
        <f t="shared" si="58"/>
        <v>#DIV/0!</v>
      </c>
      <c r="AN116" s="60" t="e">
        <f t="shared" si="60"/>
        <v>#DIV/0!</v>
      </c>
      <c r="AO116" s="61" t="e">
        <f t="shared" si="33"/>
        <v>#DIV/0!</v>
      </c>
      <c r="AP116" s="61" t="e">
        <f t="shared" si="61"/>
        <v>#DIV/0!</v>
      </c>
      <c r="AQ116" s="61" t="e">
        <f t="shared" si="61"/>
        <v>#DIV/0!</v>
      </c>
      <c r="AR116" s="61" t="e">
        <f t="shared" si="61"/>
        <v>#DIV/0!</v>
      </c>
      <c r="AS116" s="61" t="e">
        <f t="shared" si="61"/>
        <v>#DIV/0!</v>
      </c>
      <c r="AT116" s="61" t="e">
        <f t="shared" si="61"/>
        <v>#DIV/0!</v>
      </c>
      <c r="AU116" s="61" t="e">
        <f t="shared" si="61"/>
        <v>#DIV/0!</v>
      </c>
      <c r="AV116" s="61" t="e">
        <f t="shared" si="61"/>
        <v>#DIV/0!</v>
      </c>
      <c r="AW116" s="61" t="e">
        <f t="shared" si="61"/>
        <v>#DIV/0!</v>
      </c>
      <c r="AX116" s="61" t="e">
        <f t="shared" si="61"/>
        <v>#DIV/0!</v>
      </c>
      <c r="AY116" s="61" t="e">
        <f t="shared" si="61"/>
        <v>#DIV/0!</v>
      </c>
      <c r="AZ116" s="61" t="e">
        <f t="shared" si="61"/>
        <v>#DIV/0!</v>
      </c>
      <c r="BA116" s="61" t="e">
        <f t="shared" si="61"/>
        <v>#DIV/0!</v>
      </c>
      <c r="BB116" s="60" t="e">
        <f>Links!AF116</f>
        <v>#DIV/0!</v>
      </c>
      <c r="BC116" s="60" t="e">
        <f>(Links!AG116*Links!C116+'On-Ramps'!AC116*'On-Ramps'!CE116)/('On-Ramps'!AC116+Links!C116)</f>
        <v>#DIV/0!</v>
      </c>
      <c r="BD116" s="60" t="e">
        <f>Links!AH116</f>
        <v>#DIV/0!</v>
      </c>
      <c r="BE116" s="60" t="e">
        <f>(Links!AI116*Links!E116+'On-Ramps'!AD116*'On-Ramps'!CF115)/('On-Ramps'!AD116+Links!E116)</f>
        <v>#DIV/0!</v>
      </c>
      <c r="BF116" s="60" t="e">
        <f>(Links!F116*Links!AJ116+'On-Ramps'!AE116*'On-Ramps'!CG116)/('On-Ramps'!AE116+Links!F116)</f>
        <v>#DIV/0!</v>
      </c>
      <c r="BG116" s="60" t="e">
        <f>(Links!G116*Links!AK116+'On-Ramps'!AF116*'On-Ramps'!CH116)/('On-Ramps'!AF116+Links!G116)</f>
        <v>#DIV/0!</v>
      </c>
      <c r="BH116" s="60" t="e">
        <f>(Links!H116*Links!AL116+'On-Ramps'!AG116*'On-Ramps'!CI116)/('On-Ramps'!AG116+Links!H116)</f>
        <v>#DIV/0!</v>
      </c>
      <c r="BI116" s="60" t="e">
        <f>(Links!J116*Links!AN116+'On-Ramps'!AH116*'On-Ramps'!CJ116)/('On-Ramps'!AH116+Links!J116)</f>
        <v>#DIV/0!</v>
      </c>
      <c r="BJ116" s="60" t="e">
        <f>(Links!K116*Links!AO116+'On-Ramps'!AI116*'On-Ramps'!CK116)/('On-Ramps'!AI116+Links!K116)</f>
        <v>#DIV/0!</v>
      </c>
      <c r="BK116" s="60" t="e">
        <f>(Links!L116*Links!AP116+'On-Ramps'!AJ116*'On-Ramps'!CL116)/(Links!L116+'On-Ramps'!AJ116)</f>
        <v>#DIV/0!</v>
      </c>
      <c r="BL116" s="60" t="e">
        <f>Links!AQ116</f>
        <v>#DIV/0!</v>
      </c>
      <c r="BM116" s="60" t="e">
        <f>(Links!N116*Links!AR116+'On-Ramps'!AL116*'On-Ramps'!CM116)/(Links!N116+'On-Ramps'!AL116)</f>
        <v>#DIV/0!</v>
      </c>
      <c r="BN116" s="60" t="e">
        <f>Links!AS116</f>
        <v>#DIV/0!</v>
      </c>
      <c r="BO116" s="61" t="e">
        <f>(Links!R116^2+'Off-Ramp'!L116^2)/(Links!R116+'Off-Ramp'!L116)</f>
        <v>#DIV/0!</v>
      </c>
      <c r="BP116" s="61" t="e">
        <f>Links!S116</f>
        <v>#DIV/0!</v>
      </c>
      <c r="BQ116" s="61" t="e">
        <f>(Links!S116^2+'Off-Ramp'!C116^2)/(Links!S116+'Off-Ramp'!C116)</f>
        <v>#DIV/0!</v>
      </c>
      <c r="BR116" s="61" t="e">
        <f>Links!T116</f>
        <v>#DIV/0!</v>
      </c>
      <c r="BS116" s="61" t="e">
        <f>(Links!U116^2+'Off-Ramp'!N116^2)/(Links!U116+'Off-Ramp'!N116)</f>
        <v>#DIV/0!</v>
      </c>
      <c r="BT116" s="61" t="e">
        <f>(Links!V116^2+'Off-Ramp'!O116^2)/(Links!V116+'Off-Ramp'!O116)</f>
        <v>#DIV/0!</v>
      </c>
      <c r="BU116" s="61" t="e">
        <f>(Links!W116^2+'Off-Ramp'!P116^2)/(Links!W116+'Off-Ramp'!P116)</f>
        <v>#DIV/0!</v>
      </c>
      <c r="BV116" s="61" t="e">
        <f>(Links!Y116^2+'Off-Ramp'!Q116^2)/(Links!Y116+'Off-Ramp'!Q116)</f>
        <v>#DIV/0!</v>
      </c>
      <c r="BW116" s="61" t="e">
        <f>(Links!Z116^2+'Off-Ramp'!R116^2)/(Links!Z116+'Off-Ramp'!R116)</f>
        <v>#DIV/0!</v>
      </c>
      <c r="BX116" s="61" t="e">
        <f>(Links!AA116+'Off-Ramp'!S116)/(Links!AA116^2+'Off-Ramp'!S116^2)</f>
        <v>#DIV/0!</v>
      </c>
      <c r="BY116" s="61" t="e">
        <f>(Links!AB116^2+'Off-Ramp'!T116^2)/(Links!AB116+'Off-Ramp'!T116)</f>
        <v>#DIV/0!</v>
      </c>
      <c r="BZ116" s="61" t="e">
        <f>Links!AC116</f>
        <v>#DIV/0!</v>
      </c>
      <c r="CA116" s="61" t="e">
        <f>(Links!AD116^2+'Off-Ramp'!U116^2)/(Links!AD116+'Off-Ramp'!U116)</f>
        <v>#DIV/0!</v>
      </c>
    </row>
    <row r="117" spans="1:79" x14ac:dyDescent="0.15">
      <c r="A117" s="59">
        <v>115</v>
      </c>
      <c r="B117" s="60" t="e">
        <f t="shared" si="34"/>
        <v>#DIV/0!</v>
      </c>
      <c r="C117" s="60" t="e">
        <f t="shared" si="35"/>
        <v>#DIV/0!</v>
      </c>
      <c r="D117" s="60" t="e">
        <f t="shared" si="36"/>
        <v>#DIV/0!</v>
      </c>
      <c r="E117" s="60" t="e">
        <f t="shared" si="37"/>
        <v>#DIV/0!</v>
      </c>
      <c r="F117" s="60" t="e">
        <f t="shared" si="38"/>
        <v>#DIV/0!</v>
      </c>
      <c r="G117" s="60" t="e">
        <f t="shared" si="39"/>
        <v>#DIV/0!</v>
      </c>
      <c r="H117" s="60" t="e">
        <f t="shared" si="40"/>
        <v>#DIV/0!</v>
      </c>
      <c r="I117" s="60" t="e">
        <f t="shared" si="41"/>
        <v>#DIV/0!</v>
      </c>
      <c r="J117" s="60" t="e">
        <f t="shared" si="42"/>
        <v>#DIV/0!</v>
      </c>
      <c r="K117" s="60" t="e">
        <f t="shared" si="43"/>
        <v>#DIV/0!</v>
      </c>
      <c r="L117" s="60" t="e">
        <f t="shared" si="44"/>
        <v>#DIV/0!</v>
      </c>
      <c r="M117" s="60" t="e">
        <f t="shared" si="45"/>
        <v>#DIV/0!</v>
      </c>
      <c r="N117" s="60" t="e">
        <f t="shared" si="46"/>
        <v>#DIV/0!</v>
      </c>
      <c r="O117" s="61" t="e">
        <f>Links!B117</f>
        <v>#DIV/0!</v>
      </c>
      <c r="P117" s="61" t="e">
        <f>Links!C117+'On-Ramps'!AC117</f>
        <v>#DIV/0!</v>
      </c>
      <c r="Q117" s="61" t="e">
        <f>Links!D117</f>
        <v>#DIV/0!</v>
      </c>
      <c r="R117" s="61" t="e">
        <f>Links!E117+'On-Ramps'!AD117</f>
        <v>#DIV/0!</v>
      </c>
      <c r="S117" s="61" t="e">
        <f>Links!F117+'On-Ramps'!AE117</f>
        <v>#DIV/0!</v>
      </c>
      <c r="T117" s="61" t="e">
        <f>Links!G117+'On-Ramps'!AF117</f>
        <v>#DIV/0!</v>
      </c>
      <c r="U117" s="61" t="e">
        <f>Links!H117+'On-Ramps'!AG117</f>
        <v>#DIV/0!</v>
      </c>
      <c r="V117" s="61" t="e">
        <f>Links!J117+'On-Ramps'!AH117</f>
        <v>#DIV/0!</v>
      </c>
      <c r="W117" s="61" t="e">
        <f>Links!K117+'On-Ramps'!AI117</f>
        <v>#DIV/0!</v>
      </c>
      <c r="X117" s="61" t="e">
        <f>Links!L117+'On-Ramps'!AJ117</f>
        <v>#DIV/0!</v>
      </c>
      <c r="Y117" s="61" t="e">
        <f>Links!M117</f>
        <v>#DIV/0!</v>
      </c>
      <c r="Z117" s="61" t="e">
        <f>Links!N117+'On-Ramps'!AK117</f>
        <v>#DIV/0!</v>
      </c>
      <c r="AA117" s="61" t="e">
        <f>Links!O117</f>
        <v>#DIV/0!</v>
      </c>
      <c r="AB117" s="60" t="e">
        <f t="shared" si="47"/>
        <v>#DIV/0!</v>
      </c>
      <c r="AC117" s="60" t="e">
        <f t="shared" si="48"/>
        <v>#DIV/0!</v>
      </c>
      <c r="AD117" s="60" t="e">
        <f t="shared" si="49"/>
        <v>#DIV/0!</v>
      </c>
      <c r="AE117" s="60" t="e">
        <f t="shared" si="50"/>
        <v>#DIV/0!</v>
      </c>
      <c r="AF117" s="60" t="e">
        <f t="shared" si="51"/>
        <v>#DIV/0!</v>
      </c>
      <c r="AG117" s="60" t="e">
        <f t="shared" si="52"/>
        <v>#DIV/0!</v>
      </c>
      <c r="AH117" s="60" t="e">
        <f t="shared" si="53"/>
        <v>#DIV/0!</v>
      </c>
      <c r="AI117" s="60" t="e">
        <f t="shared" si="54"/>
        <v>#DIV/0!</v>
      </c>
      <c r="AJ117" s="60" t="e">
        <f t="shared" si="55"/>
        <v>#DIV/0!</v>
      </c>
      <c r="AK117" s="60" t="e">
        <f t="shared" si="56"/>
        <v>#DIV/0!</v>
      </c>
      <c r="AL117" s="60" t="e">
        <f t="shared" si="57"/>
        <v>#DIV/0!</v>
      </c>
      <c r="AM117" s="60" t="e">
        <f t="shared" si="58"/>
        <v>#DIV/0!</v>
      </c>
      <c r="AN117" s="60" t="e">
        <f t="shared" si="60"/>
        <v>#DIV/0!</v>
      </c>
      <c r="AO117" s="61" t="e">
        <f t="shared" si="33"/>
        <v>#DIV/0!</v>
      </c>
      <c r="AP117" s="61" t="e">
        <f t="shared" si="61"/>
        <v>#DIV/0!</v>
      </c>
      <c r="AQ117" s="61" t="e">
        <f t="shared" si="61"/>
        <v>#DIV/0!</v>
      </c>
      <c r="AR117" s="61" t="e">
        <f t="shared" si="61"/>
        <v>#DIV/0!</v>
      </c>
      <c r="AS117" s="61" t="e">
        <f t="shared" si="61"/>
        <v>#DIV/0!</v>
      </c>
      <c r="AT117" s="61" t="e">
        <f t="shared" si="61"/>
        <v>#DIV/0!</v>
      </c>
      <c r="AU117" s="61" t="e">
        <f t="shared" si="61"/>
        <v>#DIV/0!</v>
      </c>
      <c r="AV117" s="61" t="e">
        <f t="shared" si="61"/>
        <v>#DIV/0!</v>
      </c>
      <c r="AW117" s="61" t="e">
        <f t="shared" si="61"/>
        <v>#DIV/0!</v>
      </c>
      <c r="AX117" s="61" t="e">
        <f t="shared" si="61"/>
        <v>#DIV/0!</v>
      </c>
      <c r="AY117" s="61" t="e">
        <f t="shared" si="61"/>
        <v>#DIV/0!</v>
      </c>
      <c r="AZ117" s="61" t="e">
        <f t="shared" si="61"/>
        <v>#DIV/0!</v>
      </c>
      <c r="BA117" s="61" t="e">
        <f t="shared" si="61"/>
        <v>#DIV/0!</v>
      </c>
      <c r="BB117" s="60" t="e">
        <f>Links!AF117</f>
        <v>#DIV/0!</v>
      </c>
      <c r="BC117" s="60" t="e">
        <f>(Links!AG117*Links!C117+'On-Ramps'!AC117*'On-Ramps'!CE117)/('On-Ramps'!AC117+Links!C117)</f>
        <v>#DIV/0!</v>
      </c>
      <c r="BD117" s="60" t="e">
        <f>Links!AH117</f>
        <v>#DIV/0!</v>
      </c>
      <c r="BE117" s="60" t="e">
        <f>(Links!AI117*Links!E117+'On-Ramps'!AD117*'On-Ramps'!CF116)/('On-Ramps'!AD117+Links!E117)</f>
        <v>#DIV/0!</v>
      </c>
      <c r="BF117" s="60" t="e">
        <f>(Links!F117*Links!AJ117+'On-Ramps'!AE117*'On-Ramps'!CG117)/('On-Ramps'!AE117+Links!F117)</f>
        <v>#DIV/0!</v>
      </c>
      <c r="BG117" s="60" t="e">
        <f>(Links!G117*Links!AK117+'On-Ramps'!AF117*'On-Ramps'!CH117)/('On-Ramps'!AF117+Links!G117)</f>
        <v>#DIV/0!</v>
      </c>
      <c r="BH117" s="60" t="e">
        <f>(Links!H117*Links!AL117+'On-Ramps'!AG117*'On-Ramps'!CI117)/('On-Ramps'!AG117+Links!H117)</f>
        <v>#DIV/0!</v>
      </c>
      <c r="BI117" s="60" t="e">
        <f>(Links!J117*Links!AN117+'On-Ramps'!AH117*'On-Ramps'!CJ117)/('On-Ramps'!AH117+Links!J117)</f>
        <v>#DIV/0!</v>
      </c>
      <c r="BJ117" s="60" t="e">
        <f>(Links!K117*Links!AO117+'On-Ramps'!AI117*'On-Ramps'!CK117)/('On-Ramps'!AI117+Links!K117)</f>
        <v>#DIV/0!</v>
      </c>
      <c r="BK117" s="60" t="e">
        <f>(Links!L117*Links!AP117+'On-Ramps'!AJ117*'On-Ramps'!CL117)/(Links!L117+'On-Ramps'!AJ117)</f>
        <v>#DIV/0!</v>
      </c>
      <c r="BL117" s="60" t="e">
        <f>Links!AQ117</f>
        <v>#DIV/0!</v>
      </c>
      <c r="BM117" s="60" t="e">
        <f>(Links!N117*Links!AR117+'On-Ramps'!AL117*'On-Ramps'!CM117)/(Links!N117+'On-Ramps'!AL117)</f>
        <v>#DIV/0!</v>
      </c>
      <c r="BN117" s="60" t="e">
        <f>Links!AS117</f>
        <v>#DIV/0!</v>
      </c>
      <c r="BO117" s="61" t="e">
        <f>(Links!R117^2+'Off-Ramp'!L117^2)/(Links!R117+'Off-Ramp'!L117)</f>
        <v>#DIV/0!</v>
      </c>
      <c r="BP117" s="61" t="e">
        <f>Links!S117</f>
        <v>#DIV/0!</v>
      </c>
      <c r="BQ117" s="61" t="e">
        <f>(Links!S117^2+'Off-Ramp'!C117^2)/(Links!S117+'Off-Ramp'!C117)</f>
        <v>#DIV/0!</v>
      </c>
      <c r="BR117" s="61" t="e">
        <f>Links!T117</f>
        <v>#DIV/0!</v>
      </c>
      <c r="BS117" s="61" t="e">
        <f>(Links!U117^2+'Off-Ramp'!N117^2)/(Links!U117+'Off-Ramp'!N117)</f>
        <v>#DIV/0!</v>
      </c>
      <c r="BT117" s="61" t="e">
        <f>(Links!V117^2+'Off-Ramp'!O117^2)/(Links!V117+'Off-Ramp'!O117)</f>
        <v>#DIV/0!</v>
      </c>
      <c r="BU117" s="61" t="e">
        <f>(Links!W117^2+'Off-Ramp'!P117^2)/(Links!W117+'Off-Ramp'!P117)</f>
        <v>#DIV/0!</v>
      </c>
      <c r="BV117" s="61" t="e">
        <f>(Links!Y117^2+'Off-Ramp'!Q117^2)/(Links!Y117+'Off-Ramp'!Q117)</f>
        <v>#DIV/0!</v>
      </c>
      <c r="BW117" s="61" t="e">
        <f>(Links!Z117^2+'Off-Ramp'!R117^2)/(Links!Z117+'Off-Ramp'!R117)</f>
        <v>#DIV/0!</v>
      </c>
      <c r="BX117" s="61" t="e">
        <f>(Links!AA117+'Off-Ramp'!S117)/(Links!AA117^2+'Off-Ramp'!S117^2)</f>
        <v>#DIV/0!</v>
      </c>
      <c r="BY117" s="61" t="e">
        <f>(Links!AB117^2+'Off-Ramp'!T117^2)/(Links!AB117+'Off-Ramp'!T117)</f>
        <v>#DIV/0!</v>
      </c>
      <c r="BZ117" s="61" t="e">
        <f>Links!AC117</f>
        <v>#DIV/0!</v>
      </c>
      <c r="CA117" s="61" t="e">
        <f>(Links!AD117^2+'Off-Ramp'!U117^2)/(Links!AD117+'Off-Ramp'!U117)</f>
        <v>#DIV/0!</v>
      </c>
    </row>
    <row r="118" spans="1:79" x14ac:dyDescent="0.15">
      <c r="A118" s="59">
        <v>116</v>
      </c>
      <c r="B118" s="60" t="e">
        <f t="shared" si="34"/>
        <v>#DIV/0!</v>
      </c>
      <c r="C118" s="60" t="e">
        <f t="shared" si="35"/>
        <v>#DIV/0!</v>
      </c>
      <c r="D118" s="60" t="e">
        <f t="shared" si="36"/>
        <v>#DIV/0!</v>
      </c>
      <c r="E118" s="60" t="e">
        <f t="shared" si="37"/>
        <v>#DIV/0!</v>
      </c>
      <c r="F118" s="60" t="e">
        <f t="shared" si="38"/>
        <v>#DIV/0!</v>
      </c>
      <c r="G118" s="60" t="e">
        <f t="shared" si="39"/>
        <v>#DIV/0!</v>
      </c>
      <c r="H118" s="60" t="e">
        <f t="shared" si="40"/>
        <v>#DIV/0!</v>
      </c>
      <c r="I118" s="60" t="e">
        <f t="shared" si="41"/>
        <v>#DIV/0!</v>
      </c>
      <c r="J118" s="60" t="e">
        <f t="shared" si="42"/>
        <v>#DIV/0!</v>
      </c>
      <c r="K118" s="60" t="e">
        <f t="shared" si="43"/>
        <v>#DIV/0!</v>
      </c>
      <c r="L118" s="60" t="e">
        <f t="shared" si="44"/>
        <v>#DIV/0!</v>
      </c>
      <c r="M118" s="60" t="e">
        <f t="shared" si="45"/>
        <v>#DIV/0!</v>
      </c>
      <c r="N118" s="60" t="e">
        <f t="shared" si="46"/>
        <v>#DIV/0!</v>
      </c>
      <c r="O118" s="61" t="e">
        <f>Links!B118</f>
        <v>#DIV/0!</v>
      </c>
      <c r="P118" s="61" t="e">
        <f>Links!C118+'On-Ramps'!AC118</f>
        <v>#DIV/0!</v>
      </c>
      <c r="Q118" s="61" t="e">
        <f>Links!D118</f>
        <v>#DIV/0!</v>
      </c>
      <c r="R118" s="61" t="e">
        <f>Links!E118+'On-Ramps'!AD118</f>
        <v>#DIV/0!</v>
      </c>
      <c r="S118" s="61" t="e">
        <f>Links!F118+'On-Ramps'!AE118</f>
        <v>#DIV/0!</v>
      </c>
      <c r="T118" s="61" t="e">
        <f>Links!G118+'On-Ramps'!AF118</f>
        <v>#DIV/0!</v>
      </c>
      <c r="U118" s="61" t="e">
        <f>Links!H118+'On-Ramps'!AG118</f>
        <v>#DIV/0!</v>
      </c>
      <c r="V118" s="61" t="e">
        <f>Links!J118+'On-Ramps'!AH118</f>
        <v>#DIV/0!</v>
      </c>
      <c r="W118" s="61" t="e">
        <f>Links!K118+'On-Ramps'!AI118</f>
        <v>#DIV/0!</v>
      </c>
      <c r="X118" s="61" t="e">
        <f>Links!L118+'On-Ramps'!AJ118</f>
        <v>#DIV/0!</v>
      </c>
      <c r="Y118" s="61" t="e">
        <f>Links!M118</f>
        <v>#DIV/0!</v>
      </c>
      <c r="Z118" s="61" t="e">
        <f>Links!N118+'On-Ramps'!AK118</f>
        <v>#DIV/0!</v>
      </c>
      <c r="AA118" s="61" t="e">
        <f>Links!O118</f>
        <v>#DIV/0!</v>
      </c>
      <c r="AB118" s="60" t="e">
        <f t="shared" si="47"/>
        <v>#DIV/0!</v>
      </c>
      <c r="AC118" s="60" t="e">
        <f t="shared" si="48"/>
        <v>#DIV/0!</v>
      </c>
      <c r="AD118" s="60" t="e">
        <f t="shared" si="49"/>
        <v>#DIV/0!</v>
      </c>
      <c r="AE118" s="60" t="e">
        <f t="shared" si="50"/>
        <v>#DIV/0!</v>
      </c>
      <c r="AF118" s="60" t="e">
        <f t="shared" si="51"/>
        <v>#DIV/0!</v>
      </c>
      <c r="AG118" s="60" t="e">
        <f t="shared" si="52"/>
        <v>#DIV/0!</v>
      </c>
      <c r="AH118" s="60" t="e">
        <f t="shared" si="53"/>
        <v>#DIV/0!</v>
      </c>
      <c r="AI118" s="60" t="e">
        <f t="shared" si="54"/>
        <v>#DIV/0!</v>
      </c>
      <c r="AJ118" s="60" t="e">
        <f t="shared" si="55"/>
        <v>#DIV/0!</v>
      </c>
      <c r="AK118" s="60" t="e">
        <f t="shared" si="56"/>
        <v>#DIV/0!</v>
      </c>
      <c r="AL118" s="60" t="e">
        <f t="shared" si="57"/>
        <v>#DIV/0!</v>
      </c>
      <c r="AM118" s="60" t="e">
        <f t="shared" si="58"/>
        <v>#DIV/0!</v>
      </c>
      <c r="AN118" s="60" t="e">
        <f t="shared" si="60"/>
        <v>#DIV/0!</v>
      </c>
      <c r="AO118" s="61" t="e">
        <f t="shared" si="33"/>
        <v>#DIV/0!</v>
      </c>
      <c r="AP118" s="61" t="e">
        <f t="shared" si="61"/>
        <v>#DIV/0!</v>
      </c>
      <c r="AQ118" s="61" t="e">
        <f t="shared" si="61"/>
        <v>#DIV/0!</v>
      </c>
      <c r="AR118" s="61" t="e">
        <f t="shared" si="61"/>
        <v>#DIV/0!</v>
      </c>
      <c r="AS118" s="61" t="e">
        <f t="shared" si="61"/>
        <v>#DIV/0!</v>
      </c>
      <c r="AT118" s="61" t="e">
        <f t="shared" si="61"/>
        <v>#DIV/0!</v>
      </c>
      <c r="AU118" s="61" t="e">
        <f t="shared" si="61"/>
        <v>#DIV/0!</v>
      </c>
      <c r="AV118" s="61" t="e">
        <f t="shared" si="61"/>
        <v>#DIV/0!</v>
      </c>
      <c r="AW118" s="61" t="e">
        <f t="shared" si="61"/>
        <v>#DIV/0!</v>
      </c>
      <c r="AX118" s="61" t="e">
        <f t="shared" si="61"/>
        <v>#DIV/0!</v>
      </c>
      <c r="AY118" s="61" t="e">
        <f t="shared" si="61"/>
        <v>#DIV/0!</v>
      </c>
      <c r="AZ118" s="61" t="e">
        <f t="shared" si="61"/>
        <v>#DIV/0!</v>
      </c>
      <c r="BA118" s="61" t="e">
        <f t="shared" si="61"/>
        <v>#DIV/0!</v>
      </c>
      <c r="BB118" s="60" t="e">
        <f>Links!AF118</f>
        <v>#DIV/0!</v>
      </c>
      <c r="BC118" s="60" t="e">
        <f>(Links!AG118*Links!C118+'On-Ramps'!AC118*'On-Ramps'!CE118)/('On-Ramps'!AC118+Links!C118)</f>
        <v>#DIV/0!</v>
      </c>
      <c r="BD118" s="60" t="e">
        <f>Links!AH118</f>
        <v>#DIV/0!</v>
      </c>
      <c r="BE118" s="60" t="e">
        <f>(Links!AI118*Links!E118+'On-Ramps'!AD118*'On-Ramps'!CF117)/('On-Ramps'!AD118+Links!E118)</f>
        <v>#DIV/0!</v>
      </c>
      <c r="BF118" s="60" t="e">
        <f>(Links!F118*Links!AJ118+'On-Ramps'!AE118*'On-Ramps'!CG118)/('On-Ramps'!AE118+Links!F118)</f>
        <v>#DIV/0!</v>
      </c>
      <c r="BG118" s="60" t="e">
        <f>(Links!G118*Links!AK118+'On-Ramps'!AF118*'On-Ramps'!CH118)/('On-Ramps'!AF118+Links!G118)</f>
        <v>#DIV/0!</v>
      </c>
      <c r="BH118" s="60" t="e">
        <f>(Links!H118*Links!AL118+'On-Ramps'!AG118*'On-Ramps'!CI118)/('On-Ramps'!AG118+Links!H118)</f>
        <v>#DIV/0!</v>
      </c>
      <c r="BI118" s="60" t="e">
        <f>(Links!J118*Links!AN118+'On-Ramps'!AH118*'On-Ramps'!CJ118)/('On-Ramps'!AH118+Links!J118)</f>
        <v>#DIV/0!</v>
      </c>
      <c r="BJ118" s="60" t="e">
        <f>(Links!K118*Links!AO118+'On-Ramps'!AI118*'On-Ramps'!CK118)/('On-Ramps'!AI118+Links!K118)</f>
        <v>#DIV/0!</v>
      </c>
      <c r="BK118" s="60" t="e">
        <f>(Links!L118*Links!AP118+'On-Ramps'!AJ118*'On-Ramps'!CL118)/(Links!L118+'On-Ramps'!AJ118)</f>
        <v>#DIV/0!</v>
      </c>
      <c r="BL118" s="60" t="e">
        <f>Links!AQ118</f>
        <v>#DIV/0!</v>
      </c>
      <c r="BM118" s="60" t="e">
        <f>(Links!N118*Links!AR118+'On-Ramps'!AL118*'On-Ramps'!CM118)/(Links!N118+'On-Ramps'!AL118)</f>
        <v>#DIV/0!</v>
      </c>
      <c r="BN118" s="60" t="e">
        <f>Links!AS118</f>
        <v>#DIV/0!</v>
      </c>
      <c r="BO118" s="61" t="e">
        <f>(Links!R118^2+'Off-Ramp'!L118^2)/(Links!R118+'Off-Ramp'!L118)</f>
        <v>#DIV/0!</v>
      </c>
      <c r="BP118" s="61" t="e">
        <f>Links!S118</f>
        <v>#DIV/0!</v>
      </c>
      <c r="BQ118" s="61" t="e">
        <f>(Links!S118^2+'Off-Ramp'!C118^2)/(Links!S118+'Off-Ramp'!C118)</f>
        <v>#DIV/0!</v>
      </c>
      <c r="BR118" s="61" t="e">
        <f>Links!T118</f>
        <v>#DIV/0!</v>
      </c>
      <c r="BS118" s="61" t="e">
        <f>(Links!U118^2+'Off-Ramp'!N118^2)/(Links!U118+'Off-Ramp'!N118)</f>
        <v>#DIV/0!</v>
      </c>
      <c r="BT118" s="61" t="e">
        <f>(Links!V118^2+'Off-Ramp'!O118^2)/(Links!V118+'Off-Ramp'!O118)</f>
        <v>#DIV/0!</v>
      </c>
      <c r="BU118" s="61" t="e">
        <f>(Links!W118^2+'Off-Ramp'!P118^2)/(Links!W118+'Off-Ramp'!P118)</f>
        <v>#DIV/0!</v>
      </c>
      <c r="BV118" s="61" t="e">
        <f>(Links!Y118^2+'Off-Ramp'!Q118^2)/(Links!Y118+'Off-Ramp'!Q118)</f>
        <v>#DIV/0!</v>
      </c>
      <c r="BW118" s="61" t="e">
        <f>(Links!Z118^2+'Off-Ramp'!R118^2)/(Links!Z118+'Off-Ramp'!R118)</f>
        <v>#DIV/0!</v>
      </c>
      <c r="BX118" s="61" t="e">
        <f>(Links!AA118+'Off-Ramp'!S118)/(Links!AA118^2+'Off-Ramp'!S118^2)</f>
        <v>#DIV/0!</v>
      </c>
      <c r="BY118" s="61" t="e">
        <f>(Links!AB118^2+'Off-Ramp'!T118^2)/(Links!AB118+'Off-Ramp'!T118)</f>
        <v>#DIV/0!</v>
      </c>
      <c r="BZ118" s="61" t="e">
        <f>Links!AC118</f>
        <v>#DIV/0!</v>
      </c>
      <c r="CA118" s="61" t="e">
        <f>(Links!AD118^2+'Off-Ramp'!U118^2)/(Links!AD118+'Off-Ramp'!U118)</f>
        <v>#DIV/0!</v>
      </c>
    </row>
    <row r="119" spans="1:79" x14ac:dyDescent="0.15">
      <c r="A119" s="59">
        <v>117</v>
      </c>
      <c r="B119" s="60" t="e">
        <f t="shared" si="34"/>
        <v>#DIV/0!</v>
      </c>
      <c r="C119" s="60" t="e">
        <f t="shared" si="35"/>
        <v>#DIV/0!</v>
      </c>
      <c r="D119" s="60" t="e">
        <f t="shared" si="36"/>
        <v>#DIV/0!</v>
      </c>
      <c r="E119" s="60" t="e">
        <f t="shared" si="37"/>
        <v>#DIV/0!</v>
      </c>
      <c r="F119" s="60" t="e">
        <f t="shared" si="38"/>
        <v>#DIV/0!</v>
      </c>
      <c r="G119" s="60" t="e">
        <f t="shared" si="39"/>
        <v>#DIV/0!</v>
      </c>
      <c r="H119" s="60" t="e">
        <f t="shared" si="40"/>
        <v>#DIV/0!</v>
      </c>
      <c r="I119" s="60" t="e">
        <f t="shared" si="41"/>
        <v>#DIV/0!</v>
      </c>
      <c r="J119" s="60" t="e">
        <f t="shared" si="42"/>
        <v>#DIV/0!</v>
      </c>
      <c r="K119" s="60" t="e">
        <f t="shared" si="43"/>
        <v>#DIV/0!</v>
      </c>
      <c r="L119" s="60" t="e">
        <f t="shared" si="44"/>
        <v>#DIV/0!</v>
      </c>
      <c r="M119" s="60" t="e">
        <f t="shared" si="45"/>
        <v>#DIV/0!</v>
      </c>
      <c r="N119" s="60" t="e">
        <f t="shared" si="46"/>
        <v>#DIV/0!</v>
      </c>
      <c r="O119" s="61" t="e">
        <f>Links!B119</f>
        <v>#DIV/0!</v>
      </c>
      <c r="P119" s="61" t="e">
        <f>Links!C119+'On-Ramps'!AC119</f>
        <v>#DIV/0!</v>
      </c>
      <c r="Q119" s="61" t="e">
        <f>Links!D119</f>
        <v>#DIV/0!</v>
      </c>
      <c r="R119" s="61" t="e">
        <f>Links!E119+'On-Ramps'!AD119</f>
        <v>#DIV/0!</v>
      </c>
      <c r="S119" s="61" t="e">
        <f>Links!F119+'On-Ramps'!AE119</f>
        <v>#DIV/0!</v>
      </c>
      <c r="T119" s="61" t="e">
        <f>Links!G119+'On-Ramps'!AF119</f>
        <v>#DIV/0!</v>
      </c>
      <c r="U119" s="61" t="e">
        <f>Links!H119+'On-Ramps'!AG119</f>
        <v>#DIV/0!</v>
      </c>
      <c r="V119" s="61" t="e">
        <f>Links!J119+'On-Ramps'!AH119</f>
        <v>#DIV/0!</v>
      </c>
      <c r="W119" s="61" t="e">
        <f>Links!K119+'On-Ramps'!AI119</f>
        <v>#DIV/0!</v>
      </c>
      <c r="X119" s="61" t="e">
        <f>Links!L119+'On-Ramps'!AJ119</f>
        <v>#DIV/0!</v>
      </c>
      <c r="Y119" s="61" t="e">
        <f>Links!M119</f>
        <v>#DIV/0!</v>
      </c>
      <c r="Z119" s="61" t="e">
        <f>Links!N119+'On-Ramps'!AK119</f>
        <v>#DIV/0!</v>
      </c>
      <c r="AA119" s="61" t="e">
        <f>Links!O119</f>
        <v>#DIV/0!</v>
      </c>
      <c r="AB119" s="60" t="e">
        <f t="shared" si="47"/>
        <v>#DIV/0!</v>
      </c>
      <c r="AC119" s="60" t="e">
        <f t="shared" si="48"/>
        <v>#DIV/0!</v>
      </c>
      <c r="AD119" s="60" t="e">
        <f t="shared" si="49"/>
        <v>#DIV/0!</v>
      </c>
      <c r="AE119" s="60" t="e">
        <f t="shared" si="50"/>
        <v>#DIV/0!</v>
      </c>
      <c r="AF119" s="60" t="e">
        <f t="shared" si="51"/>
        <v>#DIV/0!</v>
      </c>
      <c r="AG119" s="60" t="e">
        <f t="shared" si="52"/>
        <v>#DIV/0!</v>
      </c>
      <c r="AH119" s="60" t="e">
        <f t="shared" si="53"/>
        <v>#DIV/0!</v>
      </c>
      <c r="AI119" s="60" t="e">
        <f t="shared" si="54"/>
        <v>#DIV/0!</v>
      </c>
      <c r="AJ119" s="60" t="e">
        <f t="shared" si="55"/>
        <v>#DIV/0!</v>
      </c>
      <c r="AK119" s="60" t="e">
        <f t="shared" si="56"/>
        <v>#DIV/0!</v>
      </c>
      <c r="AL119" s="60" t="e">
        <f t="shared" si="57"/>
        <v>#DIV/0!</v>
      </c>
      <c r="AM119" s="60" t="e">
        <f t="shared" si="58"/>
        <v>#DIV/0!</v>
      </c>
      <c r="AN119" s="60" t="e">
        <f t="shared" si="60"/>
        <v>#DIV/0!</v>
      </c>
      <c r="AO119" s="61" t="e">
        <f t="shared" si="33"/>
        <v>#DIV/0!</v>
      </c>
      <c r="AP119" s="61" t="e">
        <f t="shared" si="61"/>
        <v>#DIV/0!</v>
      </c>
      <c r="AQ119" s="61" t="e">
        <f t="shared" si="61"/>
        <v>#DIV/0!</v>
      </c>
      <c r="AR119" s="61" t="e">
        <f t="shared" si="61"/>
        <v>#DIV/0!</v>
      </c>
      <c r="AS119" s="61" t="e">
        <f t="shared" si="61"/>
        <v>#DIV/0!</v>
      </c>
      <c r="AT119" s="61" t="e">
        <f t="shared" si="61"/>
        <v>#DIV/0!</v>
      </c>
      <c r="AU119" s="61" t="e">
        <f t="shared" si="61"/>
        <v>#DIV/0!</v>
      </c>
      <c r="AV119" s="61" t="e">
        <f t="shared" si="61"/>
        <v>#DIV/0!</v>
      </c>
      <c r="AW119" s="61" t="e">
        <f t="shared" si="61"/>
        <v>#DIV/0!</v>
      </c>
      <c r="AX119" s="61" t="e">
        <f t="shared" si="61"/>
        <v>#DIV/0!</v>
      </c>
      <c r="AY119" s="61" t="e">
        <f t="shared" si="61"/>
        <v>#DIV/0!</v>
      </c>
      <c r="AZ119" s="61" t="e">
        <f t="shared" si="61"/>
        <v>#DIV/0!</v>
      </c>
      <c r="BA119" s="61" t="e">
        <f t="shared" si="61"/>
        <v>#DIV/0!</v>
      </c>
      <c r="BB119" s="60" t="e">
        <f>Links!AF119</f>
        <v>#DIV/0!</v>
      </c>
      <c r="BC119" s="60" t="e">
        <f>(Links!AG119*Links!C119+'On-Ramps'!AC119*'On-Ramps'!CE119)/('On-Ramps'!AC119+Links!C119)</f>
        <v>#DIV/0!</v>
      </c>
      <c r="BD119" s="60" t="e">
        <f>Links!AH119</f>
        <v>#DIV/0!</v>
      </c>
      <c r="BE119" s="60" t="e">
        <f>(Links!AI119*Links!E119+'On-Ramps'!AD119*'On-Ramps'!CF118)/('On-Ramps'!AD119+Links!E119)</f>
        <v>#DIV/0!</v>
      </c>
      <c r="BF119" s="60" t="e">
        <f>(Links!F119*Links!AJ119+'On-Ramps'!AE119*'On-Ramps'!CG119)/('On-Ramps'!AE119+Links!F119)</f>
        <v>#DIV/0!</v>
      </c>
      <c r="BG119" s="60" t="e">
        <f>(Links!G119*Links!AK119+'On-Ramps'!AF119*'On-Ramps'!CH119)/('On-Ramps'!AF119+Links!G119)</f>
        <v>#DIV/0!</v>
      </c>
      <c r="BH119" s="60" t="e">
        <f>(Links!H119*Links!AL119+'On-Ramps'!AG119*'On-Ramps'!CI119)/('On-Ramps'!AG119+Links!H119)</f>
        <v>#DIV/0!</v>
      </c>
      <c r="BI119" s="60" t="e">
        <f>(Links!J119*Links!AN119+'On-Ramps'!AH119*'On-Ramps'!CJ119)/('On-Ramps'!AH119+Links!J119)</f>
        <v>#DIV/0!</v>
      </c>
      <c r="BJ119" s="60" t="e">
        <f>(Links!K119*Links!AO119+'On-Ramps'!AI119*'On-Ramps'!CK119)/('On-Ramps'!AI119+Links!K119)</f>
        <v>#DIV/0!</v>
      </c>
      <c r="BK119" s="60" t="e">
        <f>(Links!L119*Links!AP119+'On-Ramps'!AJ119*'On-Ramps'!CL119)/(Links!L119+'On-Ramps'!AJ119)</f>
        <v>#DIV/0!</v>
      </c>
      <c r="BL119" s="60" t="e">
        <f>Links!AQ119</f>
        <v>#DIV/0!</v>
      </c>
      <c r="BM119" s="60" t="e">
        <f>(Links!N119*Links!AR119+'On-Ramps'!AL119*'On-Ramps'!CM119)/(Links!N119+'On-Ramps'!AL119)</f>
        <v>#DIV/0!</v>
      </c>
      <c r="BN119" s="60" t="e">
        <f>Links!AS119</f>
        <v>#DIV/0!</v>
      </c>
      <c r="BO119" s="61" t="e">
        <f>(Links!R119^2+'Off-Ramp'!L119^2)/(Links!R119+'Off-Ramp'!L119)</f>
        <v>#DIV/0!</v>
      </c>
      <c r="BP119" s="61" t="e">
        <f>Links!S119</f>
        <v>#DIV/0!</v>
      </c>
      <c r="BQ119" s="61" t="e">
        <f>(Links!S119^2+'Off-Ramp'!C119^2)/(Links!S119+'Off-Ramp'!C119)</f>
        <v>#DIV/0!</v>
      </c>
      <c r="BR119" s="61" t="e">
        <f>Links!T119</f>
        <v>#DIV/0!</v>
      </c>
      <c r="BS119" s="61" t="e">
        <f>(Links!U119^2+'Off-Ramp'!N119^2)/(Links!U119+'Off-Ramp'!N119)</f>
        <v>#DIV/0!</v>
      </c>
      <c r="BT119" s="61" t="e">
        <f>(Links!V119^2+'Off-Ramp'!O119^2)/(Links!V119+'Off-Ramp'!O119)</f>
        <v>#DIV/0!</v>
      </c>
      <c r="BU119" s="61" t="e">
        <f>(Links!W119^2+'Off-Ramp'!P119^2)/(Links!W119+'Off-Ramp'!P119)</f>
        <v>#DIV/0!</v>
      </c>
      <c r="BV119" s="61" t="e">
        <f>(Links!Y119^2+'Off-Ramp'!Q119^2)/(Links!Y119+'Off-Ramp'!Q119)</f>
        <v>#DIV/0!</v>
      </c>
      <c r="BW119" s="61" t="e">
        <f>(Links!Z119^2+'Off-Ramp'!R119^2)/(Links!Z119+'Off-Ramp'!R119)</f>
        <v>#DIV/0!</v>
      </c>
      <c r="BX119" s="61" t="e">
        <f>(Links!AA119+'Off-Ramp'!S119)/(Links!AA119^2+'Off-Ramp'!S119^2)</f>
        <v>#DIV/0!</v>
      </c>
      <c r="BY119" s="61" t="e">
        <f>(Links!AB119^2+'Off-Ramp'!T119^2)/(Links!AB119+'Off-Ramp'!T119)</f>
        <v>#DIV/0!</v>
      </c>
      <c r="BZ119" s="61" t="e">
        <f>Links!AC119</f>
        <v>#DIV/0!</v>
      </c>
      <c r="CA119" s="61" t="e">
        <f>(Links!AD119^2+'Off-Ramp'!U119^2)/(Links!AD119+'Off-Ramp'!U119)</f>
        <v>#DIV/0!</v>
      </c>
    </row>
    <row r="120" spans="1:79" x14ac:dyDescent="0.15">
      <c r="A120" s="59">
        <v>118</v>
      </c>
      <c r="B120" s="60" t="e">
        <f t="shared" si="34"/>
        <v>#DIV/0!</v>
      </c>
      <c r="C120" s="60" t="e">
        <f t="shared" si="35"/>
        <v>#DIV/0!</v>
      </c>
      <c r="D120" s="60" t="e">
        <f t="shared" si="36"/>
        <v>#DIV/0!</v>
      </c>
      <c r="E120" s="60" t="e">
        <f t="shared" si="37"/>
        <v>#DIV/0!</v>
      </c>
      <c r="F120" s="60" t="e">
        <f t="shared" si="38"/>
        <v>#DIV/0!</v>
      </c>
      <c r="G120" s="60" t="e">
        <f t="shared" si="39"/>
        <v>#DIV/0!</v>
      </c>
      <c r="H120" s="60" t="e">
        <f t="shared" si="40"/>
        <v>#DIV/0!</v>
      </c>
      <c r="I120" s="60" t="e">
        <f t="shared" si="41"/>
        <v>#DIV/0!</v>
      </c>
      <c r="J120" s="60" t="e">
        <f t="shared" si="42"/>
        <v>#DIV/0!</v>
      </c>
      <c r="K120" s="60" t="e">
        <f t="shared" si="43"/>
        <v>#DIV/0!</v>
      </c>
      <c r="L120" s="60" t="e">
        <f t="shared" si="44"/>
        <v>#DIV/0!</v>
      </c>
      <c r="M120" s="60" t="e">
        <f t="shared" si="45"/>
        <v>#DIV/0!</v>
      </c>
      <c r="N120" s="60" t="e">
        <f t="shared" si="46"/>
        <v>#DIV/0!</v>
      </c>
      <c r="O120" s="61" t="e">
        <f>Links!B120</f>
        <v>#DIV/0!</v>
      </c>
      <c r="P120" s="61" t="e">
        <f>Links!C120+'On-Ramps'!AC120</f>
        <v>#DIV/0!</v>
      </c>
      <c r="Q120" s="61" t="e">
        <f>Links!D120</f>
        <v>#DIV/0!</v>
      </c>
      <c r="R120" s="61" t="e">
        <f>Links!E120+'On-Ramps'!AD120</f>
        <v>#DIV/0!</v>
      </c>
      <c r="S120" s="61" t="e">
        <f>Links!F120+'On-Ramps'!AE120</f>
        <v>#DIV/0!</v>
      </c>
      <c r="T120" s="61" t="e">
        <f>Links!G120+'On-Ramps'!AF120</f>
        <v>#DIV/0!</v>
      </c>
      <c r="U120" s="61" t="e">
        <f>Links!H120+'On-Ramps'!AG120</f>
        <v>#DIV/0!</v>
      </c>
      <c r="V120" s="61" t="e">
        <f>Links!J120+'On-Ramps'!AH120</f>
        <v>#DIV/0!</v>
      </c>
      <c r="W120" s="61" t="e">
        <f>Links!K120+'On-Ramps'!AI120</f>
        <v>#DIV/0!</v>
      </c>
      <c r="X120" s="61" t="e">
        <f>Links!L120+'On-Ramps'!AJ120</f>
        <v>#DIV/0!</v>
      </c>
      <c r="Y120" s="61" t="e">
        <f>Links!M120</f>
        <v>#DIV/0!</v>
      </c>
      <c r="Z120" s="61" t="e">
        <f>Links!N120+'On-Ramps'!AK120</f>
        <v>#DIV/0!</v>
      </c>
      <c r="AA120" s="61" t="e">
        <f>Links!O120</f>
        <v>#DIV/0!</v>
      </c>
      <c r="AB120" s="60" t="e">
        <f t="shared" si="47"/>
        <v>#DIV/0!</v>
      </c>
      <c r="AC120" s="60" t="e">
        <f t="shared" si="48"/>
        <v>#DIV/0!</v>
      </c>
      <c r="AD120" s="60" t="e">
        <f t="shared" si="49"/>
        <v>#DIV/0!</v>
      </c>
      <c r="AE120" s="60" t="e">
        <f t="shared" si="50"/>
        <v>#DIV/0!</v>
      </c>
      <c r="AF120" s="60" t="e">
        <f t="shared" si="51"/>
        <v>#DIV/0!</v>
      </c>
      <c r="AG120" s="60" t="e">
        <f t="shared" si="52"/>
        <v>#DIV/0!</v>
      </c>
      <c r="AH120" s="60" t="e">
        <f t="shared" si="53"/>
        <v>#DIV/0!</v>
      </c>
      <c r="AI120" s="60" t="e">
        <f t="shared" si="54"/>
        <v>#DIV/0!</v>
      </c>
      <c r="AJ120" s="60" t="e">
        <f t="shared" si="55"/>
        <v>#DIV/0!</v>
      </c>
      <c r="AK120" s="60" t="e">
        <f t="shared" si="56"/>
        <v>#DIV/0!</v>
      </c>
      <c r="AL120" s="60" t="e">
        <f t="shared" si="57"/>
        <v>#DIV/0!</v>
      </c>
      <c r="AM120" s="60" t="e">
        <f t="shared" si="58"/>
        <v>#DIV/0!</v>
      </c>
      <c r="AN120" s="60" t="e">
        <f t="shared" si="60"/>
        <v>#DIV/0!</v>
      </c>
      <c r="AO120" s="61" t="e">
        <f t="shared" si="33"/>
        <v>#DIV/0!</v>
      </c>
      <c r="AP120" s="61" t="e">
        <f t="shared" si="61"/>
        <v>#DIV/0!</v>
      </c>
      <c r="AQ120" s="61" t="e">
        <f t="shared" si="61"/>
        <v>#DIV/0!</v>
      </c>
      <c r="AR120" s="61" t="e">
        <f t="shared" si="61"/>
        <v>#DIV/0!</v>
      </c>
      <c r="AS120" s="61" t="e">
        <f t="shared" si="61"/>
        <v>#DIV/0!</v>
      </c>
      <c r="AT120" s="61" t="e">
        <f t="shared" ref="AP120:BA141" si="62">AT$3</f>
        <v>#DIV/0!</v>
      </c>
      <c r="AU120" s="61" t="e">
        <f t="shared" si="62"/>
        <v>#DIV/0!</v>
      </c>
      <c r="AV120" s="61" t="e">
        <f t="shared" si="62"/>
        <v>#DIV/0!</v>
      </c>
      <c r="AW120" s="61" t="e">
        <f t="shared" si="62"/>
        <v>#DIV/0!</v>
      </c>
      <c r="AX120" s="61" t="e">
        <f t="shared" si="62"/>
        <v>#DIV/0!</v>
      </c>
      <c r="AY120" s="61" t="e">
        <f t="shared" si="62"/>
        <v>#DIV/0!</v>
      </c>
      <c r="AZ120" s="61" t="e">
        <f t="shared" si="62"/>
        <v>#DIV/0!</v>
      </c>
      <c r="BA120" s="61" t="e">
        <f t="shared" si="62"/>
        <v>#DIV/0!</v>
      </c>
      <c r="BB120" s="60" t="e">
        <f>Links!AF120</f>
        <v>#DIV/0!</v>
      </c>
      <c r="BC120" s="60" t="e">
        <f>(Links!AG120*Links!C120+'On-Ramps'!AC120*'On-Ramps'!CE120)/('On-Ramps'!AC120+Links!C120)</f>
        <v>#DIV/0!</v>
      </c>
      <c r="BD120" s="60" t="e">
        <f>Links!AH120</f>
        <v>#DIV/0!</v>
      </c>
      <c r="BE120" s="60" t="e">
        <f>(Links!AI120*Links!E120+'On-Ramps'!AD120*'On-Ramps'!CF119)/('On-Ramps'!AD120+Links!E120)</f>
        <v>#DIV/0!</v>
      </c>
      <c r="BF120" s="60" t="e">
        <f>(Links!F120*Links!AJ120+'On-Ramps'!AE120*'On-Ramps'!CG120)/('On-Ramps'!AE120+Links!F120)</f>
        <v>#DIV/0!</v>
      </c>
      <c r="BG120" s="60" t="e">
        <f>(Links!G120*Links!AK120+'On-Ramps'!AF120*'On-Ramps'!CH120)/('On-Ramps'!AF120+Links!G120)</f>
        <v>#DIV/0!</v>
      </c>
      <c r="BH120" s="60" t="e">
        <f>(Links!H120*Links!AL120+'On-Ramps'!AG120*'On-Ramps'!CI120)/('On-Ramps'!AG120+Links!H120)</f>
        <v>#DIV/0!</v>
      </c>
      <c r="BI120" s="60" t="e">
        <f>(Links!J120*Links!AN120+'On-Ramps'!AH120*'On-Ramps'!CJ120)/('On-Ramps'!AH120+Links!J120)</f>
        <v>#DIV/0!</v>
      </c>
      <c r="BJ120" s="60" t="e">
        <f>(Links!K120*Links!AO120+'On-Ramps'!AI120*'On-Ramps'!CK120)/('On-Ramps'!AI120+Links!K120)</f>
        <v>#DIV/0!</v>
      </c>
      <c r="BK120" s="60" t="e">
        <f>(Links!L120*Links!AP120+'On-Ramps'!AJ120*'On-Ramps'!CL120)/(Links!L120+'On-Ramps'!AJ120)</f>
        <v>#DIV/0!</v>
      </c>
      <c r="BL120" s="60" t="e">
        <f>Links!AQ120</f>
        <v>#DIV/0!</v>
      </c>
      <c r="BM120" s="60" t="e">
        <f>(Links!N120*Links!AR120+'On-Ramps'!AL120*'On-Ramps'!CM120)/(Links!N120+'On-Ramps'!AL120)</f>
        <v>#DIV/0!</v>
      </c>
      <c r="BN120" s="60" t="e">
        <f>Links!AS120</f>
        <v>#DIV/0!</v>
      </c>
      <c r="BO120" s="61" t="e">
        <f>(Links!R120^2+'Off-Ramp'!L120^2)/(Links!R120+'Off-Ramp'!L120)</f>
        <v>#DIV/0!</v>
      </c>
      <c r="BP120" s="61" t="e">
        <f>Links!S120</f>
        <v>#DIV/0!</v>
      </c>
      <c r="BQ120" s="61" t="e">
        <f>(Links!S120^2+'Off-Ramp'!C120^2)/(Links!S120+'Off-Ramp'!C120)</f>
        <v>#DIV/0!</v>
      </c>
      <c r="BR120" s="61" t="e">
        <f>Links!T120</f>
        <v>#DIV/0!</v>
      </c>
      <c r="BS120" s="61" t="e">
        <f>(Links!U120^2+'Off-Ramp'!N120^2)/(Links!U120+'Off-Ramp'!N120)</f>
        <v>#DIV/0!</v>
      </c>
      <c r="BT120" s="61" t="e">
        <f>(Links!V120^2+'Off-Ramp'!O120^2)/(Links!V120+'Off-Ramp'!O120)</f>
        <v>#DIV/0!</v>
      </c>
      <c r="BU120" s="61" t="e">
        <f>(Links!W120^2+'Off-Ramp'!P120^2)/(Links!W120+'Off-Ramp'!P120)</f>
        <v>#DIV/0!</v>
      </c>
      <c r="BV120" s="61" t="e">
        <f>(Links!Y120^2+'Off-Ramp'!Q120^2)/(Links!Y120+'Off-Ramp'!Q120)</f>
        <v>#DIV/0!</v>
      </c>
      <c r="BW120" s="61" t="e">
        <f>(Links!Z120^2+'Off-Ramp'!R120^2)/(Links!Z120+'Off-Ramp'!R120)</f>
        <v>#DIV/0!</v>
      </c>
      <c r="BX120" s="61" t="e">
        <f>(Links!AA120+'Off-Ramp'!S120)/(Links!AA120^2+'Off-Ramp'!S120^2)</f>
        <v>#DIV/0!</v>
      </c>
      <c r="BY120" s="61" t="e">
        <f>(Links!AB120^2+'Off-Ramp'!T120^2)/(Links!AB120+'Off-Ramp'!T120)</f>
        <v>#DIV/0!</v>
      </c>
      <c r="BZ120" s="61" t="e">
        <f>Links!AC120</f>
        <v>#DIV/0!</v>
      </c>
      <c r="CA120" s="61" t="e">
        <f>(Links!AD120^2+'Off-Ramp'!U120^2)/(Links!AD120+'Off-Ramp'!U120)</f>
        <v>#DIV/0!</v>
      </c>
    </row>
    <row r="121" spans="1:79" x14ac:dyDescent="0.15">
      <c r="A121" s="59">
        <v>119</v>
      </c>
      <c r="B121" s="60" t="e">
        <f t="shared" si="34"/>
        <v>#DIV/0!</v>
      </c>
      <c r="C121" s="60" t="e">
        <f t="shared" si="35"/>
        <v>#DIV/0!</v>
      </c>
      <c r="D121" s="60" t="e">
        <f t="shared" si="36"/>
        <v>#DIV/0!</v>
      </c>
      <c r="E121" s="60" t="e">
        <f t="shared" si="37"/>
        <v>#DIV/0!</v>
      </c>
      <c r="F121" s="60" t="e">
        <f t="shared" si="38"/>
        <v>#DIV/0!</v>
      </c>
      <c r="G121" s="60" t="e">
        <f t="shared" si="39"/>
        <v>#DIV/0!</v>
      </c>
      <c r="H121" s="60" t="e">
        <f t="shared" si="40"/>
        <v>#DIV/0!</v>
      </c>
      <c r="I121" s="60" t="e">
        <f t="shared" si="41"/>
        <v>#DIV/0!</v>
      </c>
      <c r="J121" s="60" t="e">
        <f t="shared" si="42"/>
        <v>#DIV/0!</v>
      </c>
      <c r="K121" s="60" t="e">
        <f t="shared" si="43"/>
        <v>#DIV/0!</v>
      </c>
      <c r="L121" s="60" t="e">
        <f t="shared" si="44"/>
        <v>#DIV/0!</v>
      </c>
      <c r="M121" s="60" t="e">
        <f t="shared" si="45"/>
        <v>#DIV/0!</v>
      </c>
      <c r="N121" s="60" t="e">
        <f t="shared" si="46"/>
        <v>#DIV/0!</v>
      </c>
      <c r="O121" s="61" t="e">
        <f>Links!B121</f>
        <v>#DIV/0!</v>
      </c>
      <c r="P121" s="61" t="e">
        <f>Links!C121+'On-Ramps'!AC121</f>
        <v>#DIV/0!</v>
      </c>
      <c r="Q121" s="61" t="e">
        <f>Links!D121</f>
        <v>#DIV/0!</v>
      </c>
      <c r="R121" s="61" t="e">
        <f>Links!E121+'On-Ramps'!AD121</f>
        <v>#DIV/0!</v>
      </c>
      <c r="S121" s="61" t="e">
        <f>Links!F121+'On-Ramps'!AE121</f>
        <v>#DIV/0!</v>
      </c>
      <c r="T121" s="61" t="e">
        <f>Links!G121+'On-Ramps'!AF121</f>
        <v>#DIV/0!</v>
      </c>
      <c r="U121" s="61" t="e">
        <f>Links!H121+'On-Ramps'!AG121</f>
        <v>#DIV/0!</v>
      </c>
      <c r="V121" s="61" t="e">
        <f>Links!J121+'On-Ramps'!AH121</f>
        <v>#DIV/0!</v>
      </c>
      <c r="W121" s="61" t="e">
        <f>Links!K121+'On-Ramps'!AI121</f>
        <v>#DIV/0!</v>
      </c>
      <c r="X121" s="61" t="e">
        <f>Links!L121+'On-Ramps'!AJ121</f>
        <v>#DIV/0!</v>
      </c>
      <c r="Y121" s="61" t="e">
        <f>Links!M121</f>
        <v>#DIV/0!</v>
      </c>
      <c r="Z121" s="61" t="e">
        <f>Links!N121+'On-Ramps'!AK121</f>
        <v>#DIV/0!</v>
      </c>
      <c r="AA121" s="61" t="e">
        <f>Links!O121</f>
        <v>#DIV/0!</v>
      </c>
      <c r="AB121" s="60" t="e">
        <f t="shared" si="47"/>
        <v>#DIV/0!</v>
      </c>
      <c r="AC121" s="60" t="e">
        <f t="shared" si="48"/>
        <v>#DIV/0!</v>
      </c>
      <c r="AD121" s="60" t="e">
        <f t="shared" si="49"/>
        <v>#DIV/0!</v>
      </c>
      <c r="AE121" s="60" t="e">
        <f t="shared" si="50"/>
        <v>#DIV/0!</v>
      </c>
      <c r="AF121" s="60" t="e">
        <f t="shared" si="51"/>
        <v>#DIV/0!</v>
      </c>
      <c r="AG121" s="60" t="e">
        <f t="shared" si="52"/>
        <v>#DIV/0!</v>
      </c>
      <c r="AH121" s="60" t="e">
        <f t="shared" si="53"/>
        <v>#DIV/0!</v>
      </c>
      <c r="AI121" s="60" t="e">
        <f t="shared" si="54"/>
        <v>#DIV/0!</v>
      </c>
      <c r="AJ121" s="60" t="e">
        <f t="shared" si="55"/>
        <v>#DIV/0!</v>
      </c>
      <c r="AK121" s="60" t="e">
        <f t="shared" si="56"/>
        <v>#DIV/0!</v>
      </c>
      <c r="AL121" s="60" t="e">
        <f t="shared" si="57"/>
        <v>#DIV/0!</v>
      </c>
      <c r="AM121" s="60" t="e">
        <f t="shared" si="58"/>
        <v>#DIV/0!</v>
      </c>
      <c r="AN121" s="60" t="e">
        <f t="shared" si="60"/>
        <v>#DIV/0!</v>
      </c>
      <c r="AO121" s="61" t="e">
        <f t="shared" ref="AO121:AO182" si="63">AO$3</f>
        <v>#DIV/0!</v>
      </c>
      <c r="AP121" s="61" t="e">
        <f t="shared" si="62"/>
        <v>#DIV/0!</v>
      </c>
      <c r="AQ121" s="61" t="e">
        <f t="shared" si="62"/>
        <v>#DIV/0!</v>
      </c>
      <c r="AR121" s="61" t="e">
        <f t="shared" si="62"/>
        <v>#DIV/0!</v>
      </c>
      <c r="AS121" s="61" t="e">
        <f t="shared" si="62"/>
        <v>#DIV/0!</v>
      </c>
      <c r="AT121" s="61" t="e">
        <f t="shared" si="62"/>
        <v>#DIV/0!</v>
      </c>
      <c r="AU121" s="61" t="e">
        <f t="shared" si="62"/>
        <v>#DIV/0!</v>
      </c>
      <c r="AV121" s="61" t="e">
        <f t="shared" si="62"/>
        <v>#DIV/0!</v>
      </c>
      <c r="AW121" s="61" t="e">
        <f t="shared" si="62"/>
        <v>#DIV/0!</v>
      </c>
      <c r="AX121" s="61" t="e">
        <f t="shared" si="62"/>
        <v>#DIV/0!</v>
      </c>
      <c r="AY121" s="61" t="e">
        <f t="shared" si="62"/>
        <v>#DIV/0!</v>
      </c>
      <c r="AZ121" s="61" t="e">
        <f t="shared" si="62"/>
        <v>#DIV/0!</v>
      </c>
      <c r="BA121" s="61" t="e">
        <f t="shared" si="62"/>
        <v>#DIV/0!</v>
      </c>
      <c r="BB121" s="60" t="e">
        <f>Links!AF121</f>
        <v>#DIV/0!</v>
      </c>
      <c r="BC121" s="60" t="e">
        <f>(Links!AG121*Links!C121+'On-Ramps'!AC121*'On-Ramps'!CE121)/('On-Ramps'!AC121+Links!C121)</f>
        <v>#DIV/0!</v>
      </c>
      <c r="BD121" s="60" t="e">
        <f>Links!AH121</f>
        <v>#DIV/0!</v>
      </c>
      <c r="BE121" s="60" t="e">
        <f>(Links!AI121*Links!E121+'On-Ramps'!AD121*'On-Ramps'!CF120)/('On-Ramps'!AD121+Links!E121)</f>
        <v>#DIV/0!</v>
      </c>
      <c r="BF121" s="60" t="e">
        <f>(Links!F121*Links!AJ121+'On-Ramps'!AE121*'On-Ramps'!CG121)/('On-Ramps'!AE121+Links!F121)</f>
        <v>#DIV/0!</v>
      </c>
      <c r="BG121" s="60" t="e">
        <f>(Links!G121*Links!AK121+'On-Ramps'!AF121*'On-Ramps'!CH121)/('On-Ramps'!AF121+Links!G121)</f>
        <v>#DIV/0!</v>
      </c>
      <c r="BH121" s="60" t="e">
        <f>(Links!H121*Links!AL121+'On-Ramps'!AG121*'On-Ramps'!CI121)/('On-Ramps'!AG121+Links!H121)</f>
        <v>#DIV/0!</v>
      </c>
      <c r="BI121" s="60" t="e">
        <f>(Links!J121*Links!AN121+'On-Ramps'!AH121*'On-Ramps'!CJ121)/('On-Ramps'!AH121+Links!J121)</f>
        <v>#DIV/0!</v>
      </c>
      <c r="BJ121" s="60" t="e">
        <f>(Links!K121*Links!AO121+'On-Ramps'!AI121*'On-Ramps'!CK121)/('On-Ramps'!AI121+Links!K121)</f>
        <v>#DIV/0!</v>
      </c>
      <c r="BK121" s="60" t="e">
        <f>(Links!L121*Links!AP121+'On-Ramps'!AJ121*'On-Ramps'!CL121)/(Links!L121+'On-Ramps'!AJ121)</f>
        <v>#DIV/0!</v>
      </c>
      <c r="BL121" s="60" t="e">
        <f>Links!AQ121</f>
        <v>#DIV/0!</v>
      </c>
      <c r="BM121" s="60" t="e">
        <f>(Links!N121*Links!AR121+'On-Ramps'!AL121*'On-Ramps'!CM121)/(Links!N121+'On-Ramps'!AL121)</f>
        <v>#DIV/0!</v>
      </c>
      <c r="BN121" s="60" t="e">
        <f>Links!AS121</f>
        <v>#DIV/0!</v>
      </c>
      <c r="BO121" s="61" t="e">
        <f>(Links!R121^2+'Off-Ramp'!L121^2)/(Links!R121+'Off-Ramp'!L121)</f>
        <v>#DIV/0!</v>
      </c>
      <c r="BP121" s="61" t="e">
        <f>Links!S121</f>
        <v>#DIV/0!</v>
      </c>
      <c r="BQ121" s="61" t="e">
        <f>(Links!S121^2+'Off-Ramp'!C121^2)/(Links!S121+'Off-Ramp'!C121)</f>
        <v>#DIV/0!</v>
      </c>
      <c r="BR121" s="61" t="e">
        <f>Links!T121</f>
        <v>#DIV/0!</v>
      </c>
      <c r="BS121" s="61" t="e">
        <f>(Links!U121^2+'Off-Ramp'!N121^2)/(Links!U121+'Off-Ramp'!N121)</f>
        <v>#DIV/0!</v>
      </c>
      <c r="BT121" s="61" t="e">
        <f>(Links!V121^2+'Off-Ramp'!O121^2)/(Links!V121+'Off-Ramp'!O121)</f>
        <v>#DIV/0!</v>
      </c>
      <c r="BU121" s="61" t="e">
        <f>(Links!W121^2+'Off-Ramp'!P121^2)/(Links!W121+'Off-Ramp'!P121)</f>
        <v>#DIV/0!</v>
      </c>
      <c r="BV121" s="61" t="e">
        <f>(Links!Y121^2+'Off-Ramp'!Q121^2)/(Links!Y121+'Off-Ramp'!Q121)</f>
        <v>#DIV/0!</v>
      </c>
      <c r="BW121" s="61" t="e">
        <f>(Links!Z121^2+'Off-Ramp'!R121^2)/(Links!Z121+'Off-Ramp'!R121)</f>
        <v>#DIV/0!</v>
      </c>
      <c r="BX121" s="61" t="e">
        <f>(Links!AA121+'Off-Ramp'!S121)/(Links!AA121^2+'Off-Ramp'!S121^2)</f>
        <v>#DIV/0!</v>
      </c>
      <c r="BY121" s="61" t="e">
        <f>(Links!AB121^2+'Off-Ramp'!T121^2)/(Links!AB121+'Off-Ramp'!T121)</f>
        <v>#DIV/0!</v>
      </c>
      <c r="BZ121" s="61" t="e">
        <f>Links!AC121</f>
        <v>#DIV/0!</v>
      </c>
      <c r="CA121" s="61" t="e">
        <f>(Links!AD121^2+'Off-Ramp'!U121^2)/(Links!AD121+'Off-Ramp'!U121)</f>
        <v>#DIV/0!</v>
      </c>
    </row>
    <row r="122" spans="1:79" x14ac:dyDescent="0.15">
      <c r="A122" s="59">
        <v>120</v>
      </c>
      <c r="B122" s="60" t="e">
        <f t="shared" si="34"/>
        <v>#DIV/0!</v>
      </c>
      <c r="C122" s="60" t="e">
        <f t="shared" si="35"/>
        <v>#DIV/0!</v>
      </c>
      <c r="D122" s="60" t="e">
        <f t="shared" si="36"/>
        <v>#DIV/0!</v>
      </c>
      <c r="E122" s="60" t="e">
        <f t="shared" si="37"/>
        <v>#DIV/0!</v>
      </c>
      <c r="F122" s="60" t="e">
        <f t="shared" si="38"/>
        <v>#DIV/0!</v>
      </c>
      <c r="G122" s="60" t="e">
        <f t="shared" si="39"/>
        <v>#DIV/0!</v>
      </c>
      <c r="H122" s="60" t="e">
        <f t="shared" si="40"/>
        <v>#DIV/0!</v>
      </c>
      <c r="I122" s="60" t="e">
        <f t="shared" si="41"/>
        <v>#DIV/0!</v>
      </c>
      <c r="J122" s="60" t="e">
        <f t="shared" si="42"/>
        <v>#DIV/0!</v>
      </c>
      <c r="K122" s="60" t="e">
        <f t="shared" si="43"/>
        <v>#DIV/0!</v>
      </c>
      <c r="L122" s="60" t="e">
        <f t="shared" si="44"/>
        <v>#DIV/0!</v>
      </c>
      <c r="M122" s="60" t="e">
        <f t="shared" si="45"/>
        <v>#DIV/0!</v>
      </c>
      <c r="N122" s="60" t="e">
        <f t="shared" si="46"/>
        <v>#DIV/0!</v>
      </c>
      <c r="O122" s="61" t="e">
        <f>Links!B122</f>
        <v>#DIV/0!</v>
      </c>
      <c r="P122" s="61" t="e">
        <f>Links!C122+'On-Ramps'!AC122</f>
        <v>#DIV/0!</v>
      </c>
      <c r="Q122" s="61" t="e">
        <f>Links!D122</f>
        <v>#DIV/0!</v>
      </c>
      <c r="R122" s="61" t="e">
        <f>Links!E122+'On-Ramps'!AD122</f>
        <v>#DIV/0!</v>
      </c>
      <c r="S122" s="61" t="e">
        <f>Links!F122+'On-Ramps'!AE122</f>
        <v>#DIV/0!</v>
      </c>
      <c r="T122" s="61" t="e">
        <f>Links!G122+'On-Ramps'!AF122</f>
        <v>#DIV/0!</v>
      </c>
      <c r="U122" s="61" t="e">
        <f>Links!H122+'On-Ramps'!AG122</f>
        <v>#DIV/0!</v>
      </c>
      <c r="V122" s="61" t="e">
        <f>Links!J122+'On-Ramps'!AH122</f>
        <v>#DIV/0!</v>
      </c>
      <c r="W122" s="61" t="e">
        <f>Links!K122+'On-Ramps'!AI122</f>
        <v>#DIV/0!</v>
      </c>
      <c r="X122" s="61" t="e">
        <f>Links!L122+'On-Ramps'!AJ122</f>
        <v>#DIV/0!</v>
      </c>
      <c r="Y122" s="61" t="e">
        <f>Links!M122</f>
        <v>#DIV/0!</v>
      </c>
      <c r="Z122" s="61" t="e">
        <f>Links!N122+'On-Ramps'!AK122</f>
        <v>#DIV/0!</v>
      </c>
      <c r="AA122" s="61" t="e">
        <f>Links!O122</f>
        <v>#DIV/0!</v>
      </c>
      <c r="AB122" s="60" t="e">
        <f t="shared" si="47"/>
        <v>#DIV/0!</v>
      </c>
      <c r="AC122" s="60" t="e">
        <f t="shared" si="48"/>
        <v>#DIV/0!</v>
      </c>
      <c r="AD122" s="60" t="e">
        <f t="shared" si="49"/>
        <v>#DIV/0!</v>
      </c>
      <c r="AE122" s="60" t="e">
        <f t="shared" si="50"/>
        <v>#DIV/0!</v>
      </c>
      <c r="AF122" s="60" t="e">
        <f t="shared" si="51"/>
        <v>#DIV/0!</v>
      </c>
      <c r="AG122" s="60" t="e">
        <f t="shared" si="52"/>
        <v>#DIV/0!</v>
      </c>
      <c r="AH122" s="60" t="e">
        <f t="shared" si="53"/>
        <v>#DIV/0!</v>
      </c>
      <c r="AI122" s="60" t="e">
        <f t="shared" si="54"/>
        <v>#DIV/0!</v>
      </c>
      <c r="AJ122" s="60" t="e">
        <f t="shared" si="55"/>
        <v>#DIV/0!</v>
      </c>
      <c r="AK122" s="60" t="e">
        <f t="shared" si="56"/>
        <v>#DIV/0!</v>
      </c>
      <c r="AL122" s="60" t="e">
        <f t="shared" si="57"/>
        <v>#DIV/0!</v>
      </c>
      <c r="AM122" s="60" t="e">
        <f t="shared" si="58"/>
        <v>#DIV/0!</v>
      </c>
      <c r="AN122" s="60" t="e">
        <f t="shared" si="60"/>
        <v>#DIV/0!</v>
      </c>
      <c r="AO122" s="61" t="e">
        <f t="shared" si="63"/>
        <v>#DIV/0!</v>
      </c>
      <c r="AP122" s="61" t="e">
        <f t="shared" si="62"/>
        <v>#DIV/0!</v>
      </c>
      <c r="AQ122" s="61" t="e">
        <f t="shared" si="62"/>
        <v>#DIV/0!</v>
      </c>
      <c r="AR122" s="61" t="e">
        <f t="shared" si="62"/>
        <v>#DIV/0!</v>
      </c>
      <c r="AS122" s="61" t="e">
        <f t="shared" si="62"/>
        <v>#DIV/0!</v>
      </c>
      <c r="AT122" s="61" t="e">
        <f t="shared" si="62"/>
        <v>#DIV/0!</v>
      </c>
      <c r="AU122" s="61" t="e">
        <f t="shared" si="62"/>
        <v>#DIV/0!</v>
      </c>
      <c r="AV122" s="61" t="e">
        <f t="shared" si="62"/>
        <v>#DIV/0!</v>
      </c>
      <c r="AW122" s="61" t="e">
        <f t="shared" si="62"/>
        <v>#DIV/0!</v>
      </c>
      <c r="AX122" s="61" t="e">
        <f t="shared" si="62"/>
        <v>#DIV/0!</v>
      </c>
      <c r="AY122" s="61" t="e">
        <f t="shared" si="62"/>
        <v>#DIV/0!</v>
      </c>
      <c r="AZ122" s="61" t="e">
        <f t="shared" si="62"/>
        <v>#DIV/0!</v>
      </c>
      <c r="BA122" s="61" t="e">
        <f t="shared" si="62"/>
        <v>#DIV/0!</v>
      </c>
      <c r="BB122" s="60" t="e">
        <f>Links!AF122</f>
        <v>#DIV/0!</v>
      </c>
      <c r="BC122" s="60" t="e">
        <f>(Links!AG122*Links!C122+'On-Ramps'!AC122*'On-Ramps'!CE122)/('On-Ramps'!AC122+Links!C122)</f>
        <v>#DIV/0!</v>
      </c>
      <c r="BD122" s="60" t="e">
        <f>Links!AH122</f>
        <v>#DIV/0!</v>
      </c>
      <c r="BE122" s="60" t="e">
        <f>(Links!AI122*Links!E122+'On-Ramps'!AD122*'On-Ramps'!CF121)/('On-Ramps'!AD122+Links!E122)</f>
        <v>#DIV/0!</v>
      </c>
      <c r="BF122" s="60" t="e">
        <f>(Links!F122*Links!AJ122+'On-Ramps'!AE122*'On-Ramps'!CG122)/('On-Ramps'!AE122+Links!F122)</f>
        <v>#DIV/0!</v>
      </c>
      <c r="BG122" s="60" t="e">
        <f>(Links!G122*Links!AK122+'On-Ramps'!AF122*'On-Ramps'!CH122)/('On-Ramps'!AF122+Links!G122)</f>
        <v>#DIV/0!</v>
      </c>
      <c r="BH122" s="60" t="e">
        <f>(Links!H122*Links!AL122+'On-Ramps'!AG122*'On-Ramps'!CI122)/('On-Ramps'!AG122+Links!H122)</f>
        <v>#DIV/0!</v>
      </c>
      <c r="BI122" s="60" t="e">
        <f>(Links!J122*Links!AN122+'On-Ramps'!AH122*'On-Ramps'!CJ122)/('On-Ramps'!AH122+Links!J122)</f>
        <v>#DIV/0!</v>
      </c>
      <c r="BJ122" s="60" t="e">
        <f>(Links!K122*Links!AO122+'On-Ramps'!AI122*'On-Ramps'!CK122)/('On-Ramps'!AI122+Links!K122)</f>
        <v>#DIV/0!</v>
      </c>
      <c r="BK122" s="60" t="e">
        <f>(Links!L122*Links!AP122+'On-Ramps'!AJ122*'On-Ramps'!CL122)/(Links!L122+'On-Ramps'!AJ122)</f>
        <v>#DIV/0!</v>
      </c>
      <c r="BL122" s="60" t="e">
        <f>Links!AQ122</f>
        <v>#DIV/0!</v>
      </c>
      <c r="BM122" s="60" t="e">
        <f>(Links!N122*Links!AR122+'On-Ramps'!AL122*'On-Ramps'!CM122)/(Links!N122+'On-Ramps'!AL122)</f>
        <v>#DIV/0!</v>
      </c>
      <c r="BN122" s="60" t="e">
        <f>Links!AS122</f>
        <v>#DIV/0!</v>
      </c>
      <c r="BO122" s="61" t="e">
        <f>(Links!R122^2+'Off-Ramp'!L122^2)/(Links!R122+'Off-Ramp'!L122)</f>
        <v>#DIV/0!</v>
      </c>
      <c r="BP122" s="61" t="e">
        <f>Links!S122</f>
        <v>#DIV/0!</v>
      </c>
      <c r="BQ122" s="61" t="e">
        <f>(Links!S122^2+'Off-Ramp'!C122^2)/(Links!S122+'Off-Ramp'!C122)</f>
        <v>#DIV/0!</v>
      </c>
      <c r="BR122" s="61" t="e">
        <f>Links!T122</f>
        <v>#DIV/0!</v>
      </c>
      <c r="BS122" s="61" t="e">
        <f>(Links!U122^2+'Off-Ramp'!N122^2)/(Links!U122+'Off-Ramp'!N122)</f>
        <v>#DIV/0!</v>
      </c>
      <c r="BT122" s="61" t="e">
        <f>(Links!V122^2+'Off-Ramp'!O122^2)/(Links!V122+'Off-Ramp'!O122)</f>
        <v>#DIV/0!</v>
      </c>
      <c r="BU122" s="61" t="e">
        <f>(Links!W122^2+'Off-Ramp'!P122^2)/(Links!W122+'Off-Ramp'!P122)</f>
        <v>#DIV/0!</v>
      </c>
      <c r="BV122" s="61" t="e">
        <f>(Links!Y122^2+'Off-Ramp'!Q122^2)/(Links!Y122+'Off-Ramp'!Q122)</f>
        <v>#DIV/0!</v>
      </c>
      <c r="BW122" s="61" t="e">
        <f>(Links!Z122^2+'Off-Ramp'!R122^2)/(Links!Z122+'Off-Ramp'!R122)</f>
        <v>#DIV/0!</v>
      </c>
      <c r="BX122" s="61" t="e">
        <f>(Links!AA122+'Off-Ramp'!S122)/(Links!AA122^2+'Off-Ramp'!S122^2)</f>
        <v>#DIV/0!</v>
      </c>
      <c r="BY122" s="61" t="e">
        <f>(Links!AB122^2+'Off-Ramp'!T122^2)/(Links!AB122+'Off-Ramp'!T122)</f>
        <v>#DIV/0!</v>
      </c>
      <c r="BZ122" s="61" t="e">
        <f>Links!AC122</f>
        <v>#DIV/0!</v>
      </c>
      <c r="CA122" s="61" t="e">
        <f>(Links!AD122^2+'Off-Ramp'!U122^2)/(Links!AD122+'Off-Ramp'!U122)</f>
        <v>#DIV/0!</v>
      </c>
    </row>
    <row r="123" spans="1:79" x14ac:dyDescent="0.15">
      <c r="A123" s="59">
        <v>121</v>
      </c>
      <c r="B123" s="60" t="e">
        <f t="shared" si="34"/>
        <v>#DIV/0!</v>
      </c>
      <c r="C123" s="60" t="e">
        <f t="shared" si="35"/>
        <v>#DIV/0!</v>
      </c>
      <c r="D123" s="60" t="e">
        <f t="shared" si="36"/>
        <v>#DIV/0!</v>
      </c>
      <c r="E123" s="60" t="e">
        <f t="shared" si="37"/>
        <v>#DIV/0!</v>
      </c>
      <c r="F123" s="60" t="e">
        <f t="shared" si="38"/>
        <v>#DIV/0!</v>
      </c>
      <c r="G123" s="60" t="e">
        <f t="shared" si="39"/>
        <v>#DIV/0!</v>
      </c>
      <c r="H123" s="60" t="e">
        <f t="shared" si="40"/>
        <v>#DIV/0!</v>
      </c>
      <c r="I123" s="60" t="e">
        <f t="shared" si="41"/>
        <v>#DIV/0!</v>
      </c>
      <c r="J123" s="60" t="e">
        <f t="shared" si="42"/>
        <v>#DIV/0!</v>
      </c>
      <c r="K123" s="60" t="e">
        <f t="shared" si="43"/>
        <v>#DIV/0!</v>
      </c>
      <c r="L123" s="60" t="e">
        <f t="shared" si="44"/>
        <v>#DIV/0!</v>
      </c>
      <c r="M123" s="60" t="e">
        <f t="shared" si="45"/>
        <v>#DIV/0!</v>
      </c>
      <c r="N123" s="60" t="e">
        <f t="shared" si="46"/>
        <v>#DIV/0!</v>
      </c>
      <c r="O123" s="61" t="e">
        <f>Links!B123</f>
        <v>#DIV/0!</v>
      </c>
      <c r="P123" s="61" t="e">
        <f>Links!C123+'On-Ramps'!AC123</f>
        <v>#DIV/0!</v>
      </c>
      <c r="Q123" s="61" t="e">
        <f>Links!D123</f>
        <v>#DIV/0!</v>
      </c>
      <c r="R123" s="61" t="e">
        <f>Links!E123+'On-Ramps'!AD123</f>
        <v>#DIV/0!</v>
      </c>
      <c r="S123" s="61" t="e">
        <f>Links!F123+'On-Ramps'!AE123</f>
        <v>#DIV/0!</v>
      </c>
      <c r="T123" s="61" t="e">
        <f>Links!G123+'On-Ramps'!AF123</f>
        <v>#DIV/0!</v>
      </c>
      <c r="U123" s="61" t="e">
        <f>Links!H123+'On-Ramps'!AG123</f>
        <v>#DIV/0!</v>
      </c>
      <c r="V123" s="61" t="e">
        <f>Links!J123+'On-Ramps'!AH123</f>
        <v>#DIV/0!</v>
      </c>
      <c r="W123" s="61" t="e">
        <f>Links!K123+'On-Ramps'!AI123</f>
        <v>#DIV/0!</v>
      </c>
      <c r="X123" s="61" t="e">
        <f>Links!L123+'On-Ramps'!AJ123</f>
        <v>#DIV/0!</v>
      </c>
      <c r="Y123" s="61" t="e">
        <f>Links!M123</f>
        <v>#DIV/0!</v>
      </c>
      <c r="Z123" s="61" t="e">
        <f>Links!N123+'On-Ramps'!AK123</f>
        <v>#DIV/0!</v>
      </c>
      <c r="AA123" s="61" t="e">
        <f>Links!O123</f>
        <v>#DIV/0!</v>
      </c>
      <c r="AB123" s="60" t="e">
        <f t="shared" si="47"/>
        <v>#DIV/0!</v>
      </c>
      <c r="AC123" s="60" t="e">
        <f t="shared" si="48"/>
        <v>#DIV/0!</v>
      </c>
      <c r="AD123" s="60" t="e">
        <f t="shared" si="49"/>
        <v>#DIV/0!</v>
      </c>
      <c r="AE123" s="60" t="e">
        <f t="shared" si="50"/>
        <v>#DIV/0!</v>
      </c>
      <c r="AF123" s="60" t="e">
        <f t="shared" si="51"/>
        <v>#DIV/0!</v>
      </c>
      <c r="AG123" s="60" t="e">
        <f t="shared" si="52"/>
        <v>#DIV/0!</v>
      </c>
      <c r="AH123" s="60" t="e">
        <f t="shared" si="53"/>
        <v>#DIV/0!</v>
      </c>
      <c r="AI123" s="60" t="e">
        <f t="shared" si="54"/>
        <v>#DIV/0!</v>
      </c>
      <c r="AJ123" s="60" t="e">
        <f t="shared" si="55"/>
        <v>#DIV/0!</v>
      </c>
      <c r="AK123" s="60" t="e">
        <f t="shared" si="56"/>
        <v>#DIV/0!</v>
      </c>
      <c r="AL123" s="60" t="e">
        <f t="shared" si="57"/>
        <v>#DIV/0!</v>
      </c>
      <c r="AM123" s="60" t="e">
        <f t="shared" si="58"/>
        <v>#DIV/0!</v>
      </c>
      <c r="AN123" s="60" t="e">
        <f t="shared" si="60"/>
        <v>#DIV/0!</v>
      </c>
      <c r="AO123" s="61" t="e">
        <f t="shared" si="63"/>
        <v>#DIV/0!</v>
      </c>
      <c r="AP123" s="61" t="e">
        <f t="shared" si="62"/>
        <v>#DIV/0!</v>
      </c>
      <c r="AQ123" s="61" t="e">
        <f t="shared" si="62"/>
        <v>#DIV/0!</v>
      </c>
      <c r="AR123" s="61" t="e">
        <f t="shared" si="62"/>
        <v>#DIV/0!</v>
      </c>
      <c r="AS123" s="61" t="e">
        <f t="shared" si="62"/>
        <v>#DIV/0!</v>
      </c>
      <c r="AT123" s="61" t="e">
        <f t="shared" si="62"/>
        <v>#DIV/0!</v>
      </c>
      <c r="AU123" s="61" t="e">
        <f t="shared" si="62"/>
        <v>#DIV/0!</v>
      </c>
      <c r="AV123" s="61" t="e">
        <f t="shared" si="62"/>
        <v>#DIV/0!</v>
      </c>
      <c r="AW123" s="61" t="e">
        <f t="shared" si="62"/>
        <v>#DIV/0!</v>
      </c>
      <c r="AX123" s="61" t="e">
        <f t="shared" si="62"/>
        <v>#DIV/0!</v>
      </c>
      <c r="AY123" s="61" t="e">
        <f t="shared" si="62"/>
        <v>#DIV/0!</v>
      </c>
      <c r="AZ123" s="61" t="e">
        <f t="shared" si="62"/>
        <v>#DIV/0!</v>
      </c>
      <c r="BA123" s="61" t="e">
        <f t="shared" si="62"/>
        <v>#DIV/0!</v>
      </c>
      <c r="BB123" s="60" t="e">
        <f>Links!AF123</f>
        <v>#DIV/0!</v>
      </c>
      <c r="BC123" s="60" t="e">
        <f>(Links!AG123*Links!C123+'On-Ramps'!AC123*'On-Ramps'!CE123)/('On-Ramps'!AC123+Links!C123)</f>
        <v>#DIV/0!</v>
      </c>
      <c r="BD123" s="60" t="e">
        <f>Links!AH123</f>
        <v>#DIV/0!</v>
      </c>
      <c r="BE123" s="60" t="e">
        <f>(Links!AI123*Links!E123+'On-Ramps'!AD123*'On-Ramps'!CF122)/('On-Ramps'!AD123+Links!E123)</f>
        <v>#DIV/0!</v>
      </c>
      <c r="BF123" s="60" t="e">
        <f>(Links!F123*Links!AJ123+'On-Ramps'!AE123*'On-Ramps'!CG123)/('On-Ramps'!AE123+Links!F123)</f>
        <v>#DIV/0!</v>
      </c>
      <c r="BG123" s="60" t="e">
        <f>(Links!G123*Links!AK123+'On-Ramps'!AF123*'On-Ramps'!CH123)/('On-Ramps'!AF123+Links!G123)</f>
        <v>#DIV/0!</v>
      </c>
      <c r="BH123" s="60" t="e">
        <f>(Links!H123*Links!AL123+'On-Ramps'!AG123*'On-Ramps'!CI123)/('On-Ramps'!AG123+Links!H123)</f>
        <v>#DIV/0!</v>
      </c>
      <c r="BI123" s="60" t="e">
        <f>(Links!J123*Links!AN123+'On-Ramps'!AH123*'On-Ramps'!CJ123)/('On-Ramps'!AH123+Links!J123)</f>
        <v>#DIV/0!</v>
      </c>
      <c r="BJ123" s="60" t="e">
        <f>(Links!K123*Links!AO123+'On-Ramps'!AI123*'On-Ramps'!CK123)/('On-Ramps'!AI123+Links!K123)</f>
        <v>#DIV/0!</v>
      </c>
      <c r="BK123" s="60" t="e">
        <f>(Links!L123*Links!AP123+'On-Ramps'!AJ123*'On-Ramps'!CL123)/(Links!L123+'On-Ramps'!AJ123)</f>
        <v>#DIV/0!</v>
      </c>
      <c r="BL123" s="60" t="e">
        <f>Links!AQ123</f>
        <v>#DIV/0!</v>
      </c>
      <c r="BM123" s="60" t="e">
        <f>(Links!N123*Links!AR123+'On-Ramps'!AL123*'On-Ramps'!CM123)/(Links!N123+'On-Ramps'!AL123)</f>
        <v>#DIV/0!</v>
      </c>
      <c r="BN123" s="60" t="e">
        <f>Links!AS123</f>
        <v>#DIV/0!</v>
      </c>
      <c r="BO123" s="61" t="e">
        <f>(Links!R123^2+'Off-Ramp'!L123^2)/(Links!R123+'Off-Ramp'!L123)</f>
        <v>#DIV/0!</v>
      </c>
      <c r="BP123" s="61" t="e">
        <f>Links!S123</f>
        <v>#DIV/0!</v>
      </c>
      <c r="BQ123" s="61" t="e">
        <f>(Links!S123^2+'Off-Ramp'!C123^2)/(Links!S123+'Off-Ramp'!C123)</f>
        <v>#DIV/0!</v>
      </c>
      <c r="BR123" s="61" t="e">
        <f>Links!T123</f>
        <v>#DIV/0!</v>
      </c>
      <c r="BS123" s="61" t="e">
        <f>(Links!U123^2+'Off-Ramp'!N123^2)/(Links!U123+'Off-Ramp'!N123)</f>
        <v>#DIV/0!</v>
      </c>
      <c r="BT123" s="61" t="e">
        <f>(Links!V123^2+'Off-Ramp'!O123^2)/(Links!V123+'Off-Ramp'!O123)</f>
        <v>#DIV/0!</v>
      </c>
      <c r="BU123" s="61" t="e">
        <f>(Links!W123^2+'Off-Ramp'!P123^2)/(Links!W123+'Off-Ramp'!P123)</f>
        <v>#DIV/0!</v>
      </c>
      <c r="BV123" s="61" t="e">
        <f>(Links!Y123^2+'Off-Ramp'!Q123^2)/(Links!Y123+'Off-Ramp'!Q123)</f>
        <v>#DIV/0!</v>
      </c>
      <c r="BW123" s="61" t="e">
        <f>(Links!Z123^2+'Off-Ramp'!R123^2)/(Links!Z123+'Off-Ramp'!R123)</f>
        <v>#DIV/0!</v>
      </c>
      <c r="BX123" s="61" t="e">
        <f>(Links!AA123+'Off-Ramp'!S123)/(Links!AA123^2+'Off-Ramp'!S123^2)</f>
        <v>#DIV/0!</v>
      </c>
      <c r="BY123" s="61" t="e">
        <f>(Links!AB123^2+'Off-Ramp'!T123^2)/(Links!AB123+'Off-Ramp'!T123)</f>
        <v>#DIV/0!</v>
      </c>
      <c r="BZ123" s="61" t="e">
        <f>Links!AC123</f>
        <v>#DIV/0!</v>
      </c>
      <c r="CA123" s="61" t="e">
        <f>(Links!AD123^2+'Off-Ramp'!U123^2)/(Links!AD123+'Off-Ramp'!U123)</f>
        <v>#DIV/0!</v>
      </c>
    </row>
    <row r="124" spans="1:79" x14ac:dyDescent="0.15">
      <c r="A124" s="59">
        <v>122</v>
      </c>
      <c r="B124" s="60" t="e">
        <f t="shared" si="34"/>
        <v>#DIV/0!</v>
      </c>
      <c r="C124" s="60" t="e">
        <f t="shared" si="35"/>
        <v>#DIV/0!</v>
      </c>
      <c r="D124" s="60" t="e">
        <f t="shared" si="36"/>
        <v>#DIV/0!</v>
      </c>
      <c r="E124" s="60" t="e">
        <f t="shared" si="37"/>
        <v>#DIV/0!</v>
      </c>
      <c r="F124" s="60" t="e">
        <f t="shared" si="38"/>
        <v>#DIV/0!</v>
      </c>
      <c r="G124" s="60" t="e">
        <f t="shared" si="39"/>
        <v>#DIV/0!</v>
      </c>
      <c r="H124" s="60" t="e">
        <f t="shared" si="40"/>
        <v>#DIV/0!</v>
      </c>
      <c r="I124" s="60" t="e">
        <f t="shared" si="41"/>
        <v>#DIV/0!</v>
      </c>
      <c r="J124" s="60" t="e">
        <f t="shared" si="42"/>
        <v>#DIV/0!</v>
      </c>
      <c r="K124" s="60" t="e">
        <f t="shared" si="43"/>
        <v>#DIV/0!</v>
      </c>
      <c r="L124" s="60" t="e">
        <f t="shared" si="44"/>
        <v>#DIV/0!</v>
      </c>
      <c r="M124" s="60" t="e">
        <f t="shared" si="45"/>
        <v>#DIV/0!</v>
      </c>
      <c r="N124" s="60" t="e">
        <f t="shared" si="46"/>
        <v>#DIV/0!</v>
      </c>
      <c r="O124" s="61" t="e">
        <f>Links!B124</f>
        <v>#DIV/0!</v>
      </c>
      <c r="P124" s="61" t="e">
        <f>Links!C124+'On-Ramps'!AC124</f>
        <v>#DIV/0!</v>
      </c>
      <c r="Q124" s="61" t="e">
        <f>Links!D124</f>
        <v>#DIV/0!</v>
      </c>
      <c r="R124" s="61" t="e">
        <f>Links!E124+'On-Ramps'!AD124</f>
        <v>#DIV/0!</v>
      </c>
      <c r="S124" s="61" t="e">
        <f>Links!F124+'On-Ramps'!AE124</f>
        <v>#DIV/0!</v>
      </c>
      <c r="T124" s="61" t="e">
        <f>Links!G124+'On-Ramps'!AF124</f>
        <v>#DIV/0!</v>
      </c>
      <c r="U124" s="61" t="e">
        <f>Links!H124+'On-Ramps'!AG124</f>
        <v>#DIV/0!</v>
      </c>
      <c r="V124" s="61" t="e">
        <f>Links!J124+'On-Ramps'!AH124</f>
        <v>#DIV/0!</v>
      </c>
      <c r="W124" s="61" t="e">
        <f>Links!K124+'On-Ramps'!AI124</f>
        <v>#DIV/0!</v>
      </c>
      <c r="X124" s="61" t="e">
        <f>Links!L124+'On-Ramps'!AJ124</f>
        <v>#DIV/0!</v>
      </c>
      <c r="Y124" s="61" t="e">
        <f>Links!M124</f>
        <v>#DIV/0!</v>
      </c>
      <c r="Z124" s="61" t="e">
        <f>Links!N124+'On-Ramps'!AK124</f>
        <v>#DIV/0!</v>
      </c>
      <c r="AA124" s="61" t="e">
        <f>Links!O124</f>
        <v>#DIV/0!</v>
      </c>
      <c r="AB124" s="60" t="e">
        <f t="shared" si="47"/>
        <v>#DIV/0!</v>
      </c>
      <c r="AC124" s="60" t="e">
        <f t="shared" si="48"/>
        <v>#DIV/0!</v>
      </c>
      <c r="AD124" s="60" t="e">
        <f t="shared" si="49"/>
        <v>#DIV/0!</v>
      </c>
      <c r="AE124" s="60" t="e">
        <f t="shared" si="50"/>
        <v>#DIV/0!</v>
      </c>
      <c r="AF124" s="60" t="e">
        <f t="shared" si="51"/>
        <v>#DIV/0!</v>
      </c>
      <c r="AG124" s="60" t="e">
        <f t="shared" si="52"/>
        <v>#DIV/0!</v>
      </c>
      <c r="AH124" s="60" t="e">
        <f t="shared" si="53"/>
        <v>#DIV/0!</v>
      </c>
      <c r="AI124" s="60" t="e">
        <f t="shared" si="54"/>
        <v>#DIV/0!</v>
      </c>
      <c r="AJ124" s="60" t="e">
        <f t="shared" si="55"/>
        <v>#DIV/0!</v>
      </c>
      <c r="AK124" s="60" t="e">
        <f t="shared" si="56"/>
        <v>#DIV/0!</v>
      </c>
      <c r="AL124" s="60" t="e">
        <f t="shared" si="57"/>
        <v>#DIV/0!</v>
      </c>
      <c r="AM124" s="60" t="e">
        <f t="shared" si="58"/>
        <v>#DIV/0!</v>
      </c>
      <c r="AN124" s="60" t="e">
        <f t="shared" si="60"/>
        <v>#DIV/0!</v>
      </c>
      <c r="AO124" s="61" t="e">
        <f t="shared" si="63"/>
        <v>#DIV/0!</v>
      </c>
      <c r="AP124" s="61" t="e">
        <f t="shared" si="62"/>
        <v>#DIV/0!</v>
      </c>
      <c r="AQ124" s="61" t="e">
        <f t="shared" si="62"/>
        <v>#DIV/0!</v>
      </c>
      <c r="AR124" s="61" t="e">
        <f t="shared" si="62"/>
        <v>#DIV/0!</v>
      </c>
      <c r="AS124" s="61" t="e">
        <f t="shared" si="62"/>
        <v>#DIV/0!</v>
      </c>
      <c r="AT124" s="61" t="e">
        <f t="shared" si="62"/>
        <v>#DIV/0!</v>
      </c>
      <c r="AU124" s="61" t="e">
        <f t="shared" si="62"/>
        <v>#DIV/0!</v>
      </c>
      <c r="AV124" s="61" t="e">
        <f t="shared" si="62"/>
        <v>#DIV/0!</v>
      </c>
      <c r="AW124" s="61" t="e">
        <f t="shared" si="62"/>
        <v>#DIV/0!</v>
      </c>
      <c r="AX124" s="61" t="e">
        <f t="shared" si="62"/>
        <v>#DIV/0!</v>
      </c>
      <c r="AY124" s="61" t="e">
        <f t="shared" si="62"/>
        <v>#DIV/0!</v>
      </c>
      <c r="AZ124" s="61" t="e">
        <f t="shared" si="62"/>
        <v>#DIV/0!</v>
      </c>
      <c r="BA124" s="61" t="e">
        <f t="shared" si="62"/>
        <v>#DIV/0!</v>
      </c>
      <c r="BB124" s="60" t="e">
        <f>Links!AF124</f>
        <v>#DIV/0!</v>
      </c>
      <c r="BC124" s="60" t="e">
        <f>(Links!AG124*Links!C124+'On-Ramps'!AC124*'On-Ramps'!CE124)/('On-Ramps'!AC124+Links!C124)</f>
        <v>#DIV/0!</v>
      </c>
      <c r="BD124" s="60" t="e">
        <f>Links!AH124</f>
        <v>#DIV/0!</v>
      </c>
      <c r="BE124" s="60" t="e">
        <f>(Links!AI124*Links!E124+'On-Ramps'!AD124*'On-Ramps'!CF123)/('On-Ramps'!AD124+Links!E124)</f>
        <v>#DIV/0!</v>
      </c>
      <c r="BF124" s="60" t="e">
        <f>(Links!F124*Links!AJ124+'On-Ramps'!AE124*'On-Ramps'!CG124)/('On-Ramps'!AE124+Links!F124)</f>
        <v>#DIV/0!</v>
      </c>
      <c r="BG124" s="60" t="e">
        <f>(Links!G124*Links!AK124+'On-Ramps'!AF124*'On-Ramps'!CH124)/('On-Ramps'!AF124+Links!G124)</f>
        <v>#DIV/0!</v>
      </c>
      <c r="BH124" s="60" t="e">
        <f>(Links!H124*Links!AL124+'On-Ramps'!AG124*'On-Ramps'!CI124)/('On-Ramps'!AG124+Links!H124)</f>
        <v>#DIV/0!</v>
      </c>
      <c r="BI124" s="60" t="e">
        <f>(Links!J124*Links!AN124+'On-Ramps'!AH124*'On-Ramps'!CJ124)/('On-Ramps'!AH124+Links!J124)</f>
        <v>#DIV/0!</v>
      </c>
      <c r="BJ124" s="60" t="e">
        <f>(Links!K124*Links!AO124+'On-Ramps'!AI124*'On-Ramps'!CK124)/('On-Ramps'!AI124+Links!K124)</f>
        <v>#DIV/0!</v>
      </c>
      <c r="BK124" s="60" t="e">
        <f>(Links!L124*Links!AP124+'On-Ramps'!AJ124*'On-Ramps'!CL124)/(Links!L124+'On-Ramps'!AJ124)</f>
        <v>#DIV/0!</v>
      </c>
      <c r="BL124" s="60" t="e">
        <f>Links!AQ124</f>
        <v>#DIV/0!</v>
      </c>
      <c r="BM124" s="60" t="e">
        <f>(Links!N124*Links!AR124+'On-Ramps'!AL124*'On-Ramps'!CM124)/(Links!N124+'On-Ramps'!AL124)</f>
        <v>#DIV/0!</v>
      </c>
      <c r="BN124" s="60" t="e">
        <f>Links!AS124</f>
        <v>#DIV/0!</v>
      </c>
      <c r="BO124" s="61" t="e">
        <f>(Links!R124^2+'Off-Ramp'!L124^2)/(Links!R124+'Off-Ramp'!L124)</f>
        <v>#DIV/0!</v>
      </c>
      <c r="BP124" s="61" t="e">
        <f>Links!S124</f>
        <v>#DIV/0!</v>
      </c>
      <c r="BQ124" s="61" t="e">
        <f>(Links!S124^2+'Off-Ramp'!C124^2)/(Links!S124+'Off-Ramp'!C124)</f>
        <v>#DIV/0!</v>
      </c>
      <c r="BR124" s="61" t="e">
        <f>Links!T124</f>
        <v>#DIV/0!</v>
      </c>
      <c r="BS124" s="61" t="e">
        <f>(Links!U124^2+'Off-Ramp'!N124^2)/(Links!U124+'Off-Ramp'!N124)</f>
        <v>#DIV/0!</v>
      </c>
      <c r="BT124" s="61" t="e">
        <f>(Links!V124^2+'Off-Ramp'!O124^2)/(Links!V124+'Off-Ramp'!O124)</f>
        <v>#DIV/0!</v>
      </c>
      <c r="BU124" s="61" t="e">
        <f>(Links!W124^2+'Off-Ramp'!P124^2)/(Links!W124+'Off-Ramp'!P124)</f>
        <v>#DIV/0!</v>
      </c>
      <c r="BV124" s="61" t="e">
        <f>(Links!Y124^2+'Off-Ramp'!Q124^2)/(Links!Y124+'Off-Ramp'!Q124)</f>
        <v>#DIV/0!</v>
      </c>
      <c r="BW124" s="61" t="e">
        <f>(Links!Z124^2+'Off-Ramp'!R124^2)/(Links!Z124+'Off-Ramp'!R124)</f>
        <v>#DIV/0!</v>
      </c>
      <c r="BX124" s="61" t="e">
        <f>(Links!AA124+'Off-Ramp'!S124)/(Links!AA124^2+'Off-Ramp'!S124^2)</f>
        <v>#DIV/0!</v>
      </c>
      <c r="BY124" s="61" t="e">
        <f>(Links!AB124^2+'Off-Ramp'!T124^2)/(Links!AB124+'Off-Ramp'!T124)</f>
        <v>#DIV/0!</v>
      </c>
      <c r="BZ124" s="61" t="e">
        <f>Links!AC124</f>
        <v>#DIV/0!</v>
      </c>
      <c r="CA124" s="61" t="e">
        <f>(Links!AD124^2+'Off-Ramp'!U124^2)/(Links!AD124+'Off-Ramp'!U124)</f>
        <v>#DIV/0!</v>
      </c>
    </row>
    <row r="125" spans="1:79" x14ac:dyDescent="0.15">
      <c r="A125" s="59">
        <v>123</v>
      </c>
      <c r="B125" s="60" t="e">
        <f t="shared" si="34"/>
        <v>#DIV/0!</v>
      </c>
      <c r="C125" s="60" t="e">
        <f t="shared" si="35"/>
        <v>#DIV/0!</v>
      </c>
      <c r="D125" s="60" t="e">
        <f t="shared" si="36"/>
        <v>#DIV/0!</v>
      </c>
      <c r="E125" s="60" t="e">
        <f t="shared" si="37"/>
        <v>#DIV/0!</v>
      </c>
      <c r="F125" s="60" t="e">
        <f t="shared" si="38"/>
        <v>#DIV/0!</v>
      </c>
      <c r="G125" s="60" t="e">
        <f t="shared" si="39"/>
        <v>#DIV/0!</v>
      </c>
      <c r="H125" s="60" t="e">
        <f t="shared" si="40"/>
        <v>#DIV/0!</v>
      </c>
      <c r="I125" s="60" t="e">
        <f t="shared" si="41"/>
        <v>#DIV/0!</v>
      </c>
      <c r="J125" s="60" t="e">
        <f t="shared" si="42"/>
        <v>#DIV/0!</v>
      </c>
      <c r="K125" s="60" t="e">
        <f t="shared" si="43"/>
        <v>#DIV/0!</v>
      </c>
      <c r="L125" s="60" t="e">
        <f t="shared" si="44"/>
        <v>#DIV/0!</v>
      </c>
      <c r="M125" s="60" t="e">
        <f t="shared" si="45"/>
        <v>#DIV/0!</v>
      </c>
      <c r="N125" s="60" t="e">
        <f t="shared" si="46"/>
        <v>#DIV/0!</v>
      </c>
      <c r="O125" s="61" t="e">
        <f>Links!B125</f>
        <v>#DIV/0!</v>
      </c>
      <c r="P125" s="61" t="e">
        <f>Links!C125+'On-Ramps'!AC125</f>
        <v>#DIV/0!</v>
      </c>
      <c r="Q125" s="61" t="e">
        <f>Links!D125</f>
        <v>#DIV/0!</v>
      </c>
      <c r="R125" s="61" t="e">
        <f>Links!E125+'On-Ramps'!AD125</f>
        <v>#DIV/0!</v>
      </c>
      <c r="S125" s="61" t="e">
        <f>Links!F125+'On-Ramps'!AE125</f>
        <v>#DIV/0!</v>
      </c>
      <c r="T125" s="61" t="e">
        <f>Links!G125+'On-Ramps'!AF125</f>
        <v>#DIV/0!</v>
      </c>
      <c r="U125" s="61" t="e">
        <f>Links!H125+'On-Ramps'!AG125</f>
        <v>#DIV/0!</v>
      </c>
      <c r="V125" s="61" t="e">
        <f>Links!J125+'On-Ramps'!AH125</f>
        <v>#DIV/0!</v>
      </c>
      <c r="W125" s="61" t="e">
        <f>Links!K125+'On-Ramps'!AI125</f>
        <v>#DIV/0!</v>
      </c>
      <c r="X125" s="61" t="e">
        <f>Links!L125+'On-Ramps'!AJ125</f>
        <v>#DIV/0!</v>
      </c>
      <c r="Y125" s="61" t="e">
        <f>Links!M125</f>
        <v>#DIV/0!</v>
      </c>
      <c r="Z125" s="61" t="e">
        <f>Links!N125+'On-Ramps'!AK125</f>
        <v>#DIV/0!</v>
      </c>
      <c r="AA125" s="61" t="e">
        <f>Links!O125</f>
        <v>#DIV/0!</v>
      </c>
      <c r="AB125" s="60" t="e">
        <f t="shared" si="47"/>
        <v>#DIV/0!</v>
      </c>
      <c r="AC125" s="60" t="e">
        <f t="shared" si="48"/>
        <v>#DIV/0!</v>
      </c>
      <c r="AD125" s="60" t="e">
        <f t="shared" si="49"/>
        <v>#DIV/0!</v>
      </c>
      <c r="AE125" s="60" t="e">
        <f t="shared" si="50"/>
        <v>#DIV/0!</v>
      </c>
      <c r="AF125" s="60" t="e">
        <f t="shared" si="51"/>
        <v>#DIV/0!</v>
      </c>
      <c r="AG125" s="60" t="e">
        <f t="shared" si="52"/>
        <v>#DIV/0!</v>
      </c>
      <c r="AH125" s="60" t="e">
        <f t="shared" si="53"/>
        <v>#DIV/0!</v>
      </c>
      <c r="AI125" s="60" t="e">
        <f t="shared" si="54"/>
        <v>#DIV/0!</v>
      </c>
      <c r="AJ125" s="60" t="e">
        <f t="shared" si="55"/>
        <v>#DIV/0!</v>
      </c>
      <c r="AK125" s="60" t="e">
        <f t="shared" si="56"/>
        <v>#DIV/0!</v>
      </c>
      <c r="AL125" s="60" t="e">
        <f t="shared" si="57"/>
        <v>#DIV/0!</v>
      </c>
      <c r="AM125" s="60" t="e">
        <f t="shared" si="58"/>
        <v>#DIV/0!</v>
      </c>
      <c r="AN125" s="60" t="e">
        <f t="shared" si="60"/>
        <v>#DIV/0!</v>
      </c>
      <c r="AO125" s="61" t="e">
        <f t="shared" si="63"/>
        <v>#DIV/0!</v>
      </c>
      <c r="AP125" s="61" t="e">
        <f t="shared" si="62"/>
        <v>#DIV/0!</v>
      </c>
      <c r="AQ125" s="61" t="e">
        <f t="shared" si="62"/>
        <v>#DIV/0!</v>
      </c>
      <c r="AR125" s="61" t="e">
        <f t="shared" si="62"/>
        <v>#DIV/0!</v>
      </c>
      <c r="AS125" s="61" t="e">
        <f t="shared" si="62"/>
        <v>#DIV/0!</v>
      </c>
      <c r="AT125" s="61" t="e">
        <f t="shared" si="62"/>
        <v>#DIV/0!</v>
      </c>
      <c r="AU125" s="61" t="e">
        <f t="shared" si="62"/>
        <v>#DIV/0!</v>
      </c>
      <c r="AV125" s="61" t="e">
        <f t="shared" si="62"/>
        <v>#DIV/0!</v>
      </c>
      <c r="AW125" s="61" t="e">
        <f t="shared" si="62"/>
        <v>#DIV/0!</v>
      </c>
      <c r="AX125" s="61" t="e">
        <f t="shared" si="62"/>
        <v>#DIV/0!</v>
      </c>
      <c r="AY125" s="61" t="e">
        <f t="shared" si="62"/>
        <v>#DIV/0!</v>
      </c>
      <c r="AZ125" s="61" t="e">
        <f t="shared" si="62"/>
        <v>#DIV/0!</v>
      </c>
      <c r="BA125" s="61" t="e">
        <f t="shared" si="62"/>
        <v>#DIV/0!</v>
      </c>
      <c r="BB125" s="60" t="e">
        <f>Links!AF125</f>
        <v>#DIV/0!</v>
      </c>
      <c r="BC125" s="60" t="e">
        <f>(Links!AG125*Links!C125+'On-Ramps'!AC125*'On-Ramps'!CE125)/('On-Ramps'!AC125+Links!C125)</f>
        <v>#DIV/0!</v>
      </c>
      <c r="BD125" s="60" t="e">
        <f>Links!AH125</f>
        <v>#DIV/0!</v>
      </c>
      <c r="BE125" s="60" t="e">
        <f>(Links!AI125*Links!E125+'On-Ramps'!AD125*'On-Ramps'!CF124)/('On-Ramps'!AD125+Links!E125)</f>
        <v>#DIV/0!</v>
      </c>
      <c r="BF125" s="60" t="e">
        <f>(Links!F125*Links!AJ125+'On-Ramps'!AE125*'On-Ramps'!CG125)/('On-Ramps'!AE125+Links!F125)</f>
        <v>#DIV/0!</v>
      </c>
      <c r="BG125" s="60" t="e">
        <f>(Links!G125*Links!AK125+'On-Ramps'!AF125*'On-Ramps'!CH125)/('On-Ramps'!AF125+Links!G125)</f>
        <v>#DIV/0!</v>
      </c>
      <c r="BH125" s="60" t="e">
        <f>(Links!H125*Links!AL125+'On-Ramps'!AG125*'On-Ramps'!CI125)/('On-Ramps'!AG125+Links!H125)</f>
        <v>#DIV/0!</v>
      </c>
      <c r="BI125" s="60" t="e">
        <f>(Links!J125*Links!AN125+'On-Ramps'!AH125*'On-Ramps'!CJ125)/('On-Ramps'!AH125+Links!J125)</f>
        <v>#DIV/0!</v>
      </c>
      <c r="BJ125" s="60" t="e">
        <f>(Links!K125*Links!AO125+'On-Ramps'!AI125*'On-Ramps'!CK125)/('On-Ramps'!AI125+Links!K125)</f>
        <v>#DIV/0!</v>
      </c>
      <c r="BK125" s="60" t="e">
        <f>(Links!L125*Links!AP125+'On-Ramps'!AJ125*'On-Ramps'!CL125)/(Links!L125+'On-Ramps'!AJ125)</f>
        <v>#DIV/0!</v>
      </c>
      <c r="BL125" s="60" t="e">
        <f>Links!AQ125</f>
        <v>#DIV/0!</v>
      </c>
      <c r="BM125" s="60" t="e">
        <f>(Links!N125*Links!AR125+'On-Ramps'!AL125*'On-Ramps'!CM125)/(Links!N125+'On-Ramps'!AL125)</f>
        <v>#DIV/0!</v>
      </c>
      <c r="BN125" s="60" t="e">
        <f>Links!AS125</f>
        <v>#DIV/0!</v>
      </c>
      <c r="BO125" s="61" t="e">
        <f>(Links!R125^2+'Off-Ramp'!L125^2)/(Links!R125+'Off-Ramp'!L125)</f>
        <v>#DIV/0!</v>
      </c>
      <c r="BP125" s="61" t="e">
        <f>Links!S125</f>
        <v>#DIV/0!</v>
      </c>
      <c r="BQ125" s="61" t="e">
        <f>(Links!S125^2+'Off-Ramp'!C125^2)/(Links!S125+'Off-Ramp'!C125)</f>
        <v>#DIV/0!</v>
      </c>
      <c r="BR125" s="61" t="e">
        <f>Links!T125</f>
        <v>#DIV/0!</v>
      </c>
      <c r="BS125" s="61" t="e">
        <f>(Links!U125^2+'Off-Ramp'!N125^2)/(Links!U125+'Off-Ramp'!N125)</f>
        <v>#DIV/0!</v>
      </c>
      <c r="BT125" s="61" t="e">
        <f>(Links!V125^2+'Off-Ramp'!O125^2)/(Links!V125+'Off-Ramp'!O125)</f>
        <v>#DIV/0!</v>
      </c>
      <c r="BU125" s="61" t="e">
        <f>(Links!W125^2+'Off-Ramp'!P125^2)/(Links!W125+'Off-Ramp'!P125)</f>
        <v>#DIV/0!</v>
      </c>
      <c r="BV125" s="61" t="e">
        <f>(Links!Y125^2+'Off-Ramp'!Q125^2)/(Links!Y125+'Off-Ramp'!Q125)</f>
        <v>#DIV/0!</v>
      </c>
      <c r="BW125" s="61" t="e">
        <f>(Links!Z125^2+'Off-Ramp'!R125^2)/(Links!Z125+'Off-Ramp'!R125)</f>
        <v>#DIV/0!</v>
      </c>
      <c r="BX125" s="61" t="e">
        <f>(Links!AA125+'Off-Ramp'!S125)/(Links!AA125^2+'Off-Ramp'!S125^2)</f>
        <v>#DIV/0!</v>
      </c>
      <c r="BY125" s="61" t="e">
        <f>(Links!AB125^2+'Off-Ramp'!T125^2)/(Links!AB125+'Off-Ramp'!T125)</f>
        <v>#DIV/0!</v>
      </c>
      <c r="BZ125" s="61" t="e">
        <f>Links!AC125</f>
        <v>#DIV/0!</v>
      </c>
      <c r="CA125" s="61" t="e">
        <f>(Links!AD125^2+'Off-Ramp'!U125^2)/(Links!AD125+'Off-Ramp'!U125)</f>
        <v>#DIV/0!</v>
      </c>
    </row>
    <row r="126" spans="1:79" x14ac:dyDescent="0.15">
      <c r="A126" s="59">
        <v>124</v>
      </c>
      <c r="B126" s="60" t="e">
        <f t="shared" si="34"/>
        <v>#DIV/0!</v>
      </c>
      <c r="C126" s="60" t="e">
        <f t="shared" si="35"/>
        <v>#DIV/0!</v>
      </c>
      <c r="D126" s="60" t="e">
        <f t="shared" si="36"/>
        <v>#DIV/0!</v>
      </c>
      <c r="E126" s="60" t="e">
        <f t="shared" si="37"/>
        <v>#DIV/0!</v>
      </c>
      <c r="F126" s="60" t="e">
        <f t="shared" si="38"/>
        <v>#DIV/0!</v>
      </c>
      <c r="G126" s="60" t="e">
        <f t="shared" si="39"/>
        <v>#DIV/0!</v>
      </c>
      <c r="H126" s="60" t="e">
        <f t="shared" si="40"/>
        <v>#DIV/0!</v>
      </c>
      <c r="I126" s="60" t="e">
        <f t="shared" si="41"/>
        <v>#DIV/0!</v>
      </c>
      <c r="J126" s="60" t="e">
        <f t="shared" si="42"/>
        <v>#DIV/0!</v>
      </c>
      <c r="K126" s="60" t="e">
        <f t="shared" si="43"/>
        <v>#DIV/0!</v>
      </c>
      <c r="L126" s="60" t="e">
        <f t="shared" si="44"/>
        <v>#DIV/0!</v>
      </c>
      <c r="M126" s="60" t="e">
        <f t="shared" si="45"/>
        <v>#DIV/0!</v>
      </c>
      <c r="N126" s="60" t="e">
        <f t="shared" si="46"/>
        <v>#DIV/0!</v>
      </c>
      <c r="O126" s="61" t="e">
        <f>Links!B126</f>
        <v>#DIV/0!</v>
      </c>
      <c r="P126" s="61" t="e">
        <f>Links!C126+'On-Ramps'!AC126</f>
        <v>#DIV/0!</v>
      </c>
      <c r="Q126" s="61" t="e">
        <f>Links!D126</f>
        <v>#DIV/0!</v>
      </c>
      <c r="R126" s="61" t="e">
        <f>Links!E126+'On-Ramps'!AD126</f>
        <v>#DIV/0!</v>
      </c>
      <c r="S126" s="61" t="e">
        <f>Links!F126+'On-Ramps'!AE126</f>
        <v>#DIV/0!</v>
      </c>
      <c r="T126" s="61" t="e">
        <f>Links!G126+'On-Ramps'!AF126</f>
        <v>#DIV/0!</v>
      </c>
      <c r="U126" s="61" t="e">
        <f>Links!H126+'On-Ramps'!AG126</f>
        <v>#DIV/0!</v>
      </c>
      <c r="V126" s="61" t="e">
        <f>Links!J126+'On-Ramps'!AH126</f>
        <v>#DIV/0!</v>
      </c>
      <c r="W126" s="61" t="e">
        <f>Links!K126+'On-Ramps'!AI126</f>
        <v>#DIV/0!</v>
      </c>
      <c r="X126" s="61" t="e">
        <f>Links!L126+'On-Ramps'!AJ126</f>
        <v>#DIV/0!</v>
      </c>
      <c r="Y126" s="61" t="e">
        <f>Links!M126</f>
        <v>#DIV/0!</v>
      </c>
      <c r="Z126" s="61" t="e">
        <f>Links!N126+'On-Ramps'!AK126</f>
        <v>#DIV/0!</v>
      </c>
      <c r="AA126" s="61" t="e">
        <f>Links!O126</f>
        <v>#DIV/0!</v>
      </c>
      <c r="AB126" s="60" t="e">
        <f t="shared" si="47"/>
        <v>#DIV/0!</v>
      </c>
      <c r="AC126" s="60" t="e">
        <f t="shared" si="48"/>
        <v>#DIV/0!</v>
      </c>
      <c r="AD126" s="60" t="e">
        <f t="shared" si="49"/>
        <v>#DIV/0!</v>
      </c>
      <c r="AE126" s="60" t="e">
        <f t="shared" si="50"/>
        <v>#DIV/0!</v>
      </c>
      <c r="AF126" s="60" t="e">
        <f t="shared" si="51"/>
        <v>#DIV/0!</v>
      </c>
      <c r="AG126" s="60" t="e">
        <f t="shared" si="52"/>
        <v>#DIV/0!</v>
      </c>
      <c r="AH126" s="60" t="e">
        <f t="shared" si="53"/>
        <v>#DIV/0!</v>
      </c>
      <c r="AI126" s="60" t="e">
        <f t="shared" si="54"/>
        <v>#DIV/0!</v>
      </c>
      <c r="AJ126" s="60" t="e">
        <f t="shared" si="55"/>
        <v>#DIV/0!</v>
      </c>
      <c r="AK126" s="60" t="e">
        <f t="shared" si="56"/>
        <v>#DIV/0!</v>
      </c>
      <c r="AL126" s="60" t="e">
        <f t="shared" si="57"/>
        <v>#DIV/0!</v>
      </c>
      <c r="AM126" s="60" t="e">
        <f t="shared" si="58"/>
        <v>#DIV/0!</v>
      </c>
      <c r="AN126" s="60" t="e">
        <f t="shared" si="60"/>
        <v>#DIV/0!</v>
      </c>
      <c r="AO126" s="61" t="e">
        <f t="shared" si="63"/>
        <v>#DIV/0!</v>
      </c>
      <c r="AP126" s="61" t="e">
        <f t="shared" si="62"/>
        <v>#DIV/0!</v>
      </c>
      <c r="AQ126" s="61" t="e">
        <f t="shared" si="62"/>
        <v>#DIV/0!</v>
      </c>
      <c r="AR126" s="61" t="e">
        <f t="shared" si="62"/>
        <v>#DIV/0!</v>
      </c>
      <c r="AS126" s="61" t="e">
        <f t="shared" si="62"/>
        <v>#DIV/0!</v>
      </c>
      <c r="AT126" s="61" t="e">
        <f t="shared" si="62"/>
        <v>#DIV/0!</v>
      </c>
      <c r="AU126" s="61" t="e">
        <f t="shared" si="62"/>
        <v>#DIV/0!</v>
      </c>
      <c r="AV126" s="61" t="e">
        <f t="shared" si="62"/>
        <v>#DIV/0!</v>
      </c>
      <c r="AW126" s="61" t="e">
        <f t="shared" si="62"/>
        <v>#DIV/0!</v>
      </c>
      <c r="AX126" s="61" t="e">
        <f t="shared" si="62"/>
        <v>#DIV/0!</v>
      </c>
      <c r="AY126" s="61" t="e">
        <f t="shared" si="62"/>
        <v>#DIV/0!</v>
      </c>
      <c r="AZ126" s="61" t="e">
        <f t="shared" si="62"/>
        <v>#DIV/0!</v>
      </c>
      <c r="BA126" s="61" t="e">
        <f t="shared" si="62"/>
        <v>#DIV/0!</v>
      </c>
      <c r="BB126" s="60" t="e">
        <f>Links!AF126</f>
        <v>#DIV/0!</v>
      </c>
      <c r="BC126" s="60" t="e">
        <f>(Links!AG126*Links!C126+'On-Ramps'!AC126*'On-Ramps'!CE126)/('On-Ramps'!AC126+Links!C126)</f>
        <v>#DIV/0!</v>
      </c>
      <c r="BD126" s="60" t="e">
        <f>Links!AH126</f>
        <v>#DIV/0!</v>
      </c>
      <c r="BE126" s="60" t="e">
        <f>(Links!AI126*Links!E126+'On-Ramps'!AD126*'On-Ramps'!CF125)/('On-Ramps'!AD126+Links!E126)</f>
        <v>#DIV/0!</v>
      </c>
      <c r="BF126" s="60" t="e">
        <f>(Links!F126*Links!AJ126+'On-Ramps'!AE126*'On-Ramps'!CG126)/('On-Ramps'!AE126+Links!F126)</f>
        <v>#DIV/0!</v>
      </c>
      <c r="BG126" s="60" t="e">
        <f>(Links!G126*Links!AK126+'On-Ramps'!AF126*'On-Ramps'!CH126)/('On-Ramps'!AF126+Links!G126)</f>
        <v>#DIV/0!</v>
      </c>
      <c r="BH126" s="60" t="e">
        <f>(Links!H126*Links!AL126+'On-Ramps'!AG126*'On-Ramps'!CI126)/('On-Ramps'!AG126+Links!H126)</f>
        <v>#DIV/0!</v>
      </c>
      <c r="BI126" s="60" t="e">
        <f>(Links!J126*Links!AN126+'On-Ramps'!AH126*'On-Ramps'!CJ126)/('On-Ramps'!AH126+Links!J126)</f>
        <v>#DIV/0!</v>
      </c>
      <c r="BJ126" s="60" t="e">
        <f>(Links!K126*Links!AO126+'On-Ramps'!AI126*'On-Ramps'!CK126)/('On-Ramps'!AI126+Links!K126)</f>
        <v>#DIV/0!</v>
      </c>
      <c r="BK126" s="60" t="e">
        <f>(Links!L126*Links!AP126+'On-Ramps'!AJ126*'On-Ramps'!CL126)/(Links!L126+'On-Ramps'!AJ126)</f>
        <v>#DIV/0!</v>
      </c>
      <c r="BL126" s="60" t="e">
        <f>Links!AQ126</f>
        <v>#DIV/0!</v>
      </c>
      <c r="BM126" s="60" t="e">
        <f>(Links!N126*Links!AR126+'On-Ramps'!AL126*'On-Ramps'!CM126)/(Links!N126+'On-Ramps'!AL126)</f>
        <v>#DIV/0!</v>
      </c>
      <c r="BN126" s="60" t="e">
        <f>Links!AS126</f>
        <v>#DIV/0!</v>
      </c>
      <c r="BO126" s="61" t="e">
        <f>(Links!R126^2+'Off-Ramp'!L126^2)/(Links!R126+'Off-Ramp'!L126)</f>
        <v>#DIV/0!</v>
      </c>
      <c r="BP126" s="61" t="e">
        <f>Links!S126</f>
        <v>#DIV/0!</v>
      </c>
      <c r="BQ126" s="61" t="e">
        <f>(Links!S126^2+'Off-Ramp'!C126^2)/(Links!S126+'Off-Ramp'!C126)</f>
        <v>#DIV/0!</v>
      </c>
      <c r="BR126" s="61" t="e">
        <f>Links!T126</f>
        <v>#DIV/0!</v>
      </c>
      <c r="BS126" s="61" t="e">
        <f>(Links!U126^2+'Off-Ramp'!N126^2)/(Links!U126+'Off-Ramp'!N126)</f>
        <v>#DIV/0!</v>
      </c>
      <c r="BT126" s="61" t="e">
        <f>(Links!V126^2+'Off-Ramp'!O126^2)/(Links!V126+'Off-Ramp'!O126)</f>
        <v>#DIV/0!</v>
      </c>
      <c r="BU126" s="61" t="e">
        <f>(Links!W126^2+'Off-Ramp'!P126^2)/(Links!W126+'Off-Ramp'!P126)</f>
        <v>#DIV/0!</v>
      </c>
      <c r="BV126" s="61" t="e">
        <f>(Links!Y126^2+'Off-Ramp'!Q126^2)/(Links!Y126+'Off-Ramp'!Q126)</f>
        <v>#DIV/0!</v>
      </c>
      <c r="BW126" s="61" t="e">
        <f>(Links!Z126^2+'Off-Ramp'!R126^2)/(Links!Z126+'Off-Ramp'!R126)</f>
        <v>#DIV/0!</v>
      </c>
      <c r="BX126" s="61" t="e">
        <f>(Links!AA126+'Off-Ramp'!S126)/(Links!AA126^2+'Off-Ramp'!S126^2)</f>
        <v>#DIV/0!</v>
      </c>
      <c r="BY126" s="61" t="e">
        <f>(Links!AB126^2+'Off-Ramp'!T126^2)/(Links!AB126+'Off-Ramp'!T126)</f>
        <v>#DIV/0!</v>
      </c>
      <c r="BZ126" s="61" t="e">
        <f>Links!AC126</f>
        <v>#DIV/0!</v>
      </c>
      <c r="CA126" s="61" t="e">
        <f>(Links!AD126^2+'Off-Ramp'!U126^2)/(Links!AD126+'Off-Ramp'!U126)</f>
        <v>#DIV/0!</v>
      </c>
    </row>
    <row r="127" spans="1:79" x14ac:dyDescent="0.15">
      <c r="A127" s="59">
        <v>125</v>
      </c>
      <c r="B127" s="60" t="e">
        <f t="shared" si="34"/>
        <v>#DIV/0!</v>
      </c>
      <c r="C127" s="60" t="e">
        <f t="shared" si="35"/>
        <v>#DIV/0!</v>
      </c>
      <c r="D127" s="60" t="e">
        <f t="shared" si="36"/>
        <v>#DIV/0!</v>
      </c>
      <c r="E127" s="60" t="e">
        <f t="shared" si="37"/>
        <v>#DIV/0!</v>
      </c>
      <c r="F127" s="60" t="e">
        <f t="shared" si="38"/>
        <v>#DIV/0!</v>
      </c>
      <c r="G127" s="60" t="e">
        <f t="shared" si="39"/>
        <v>#DIV/0!</v>
      </c>
      <c r="H127" s="60" t="e">
        <f t="shared" si="40"/>
        <v>#DIV/0!</v>
      </c>
      <c r="I127" s="60" t="e">
        <f t="shared" si="41"/>
        <v>#DIV/0!</v>
      </c>
      <c r="J127" s="60" t="e">
        <f t="shared" si="42"/>
        <v>#DIV/0!</v>
      </c>
      <c r="K127" s="60" t="e">
        <f t="shared" si="43"/>
        <v>#DIV/0!</v>
      </c>
      <c r="L127" s="60" t="e">
        <f t="shared" si="44"/>
        <v>#DIV/0!</v>
      </c>
      <c r="M127" s="60" t="e">
        <f t="shared" si="45"/>
        <v>#DIV/0!</v>
      </c>
      <c r="N127" s="60" t="e">
        <f t="shared" si="46"/>
        <v>#DIV/0!</v>
      </c>
      <c r="O127" s="61" t="e">
        <f>Links!B127</f>
        <v>#DIV/0!</v>
      </c>
      <c r="P127" s="61" t="e">
        <f>Links!C127+'On-Ramps'!AC127</f>
        <v>#DIV/0!</v>
      </c>
      <c r="Q127" s="61" t="e">
        <f>Links!D127</f>
        <v>#DIV/0!</v>
      </c>
      <c r="R127" s="61" t="e">
        <f>Links!E127+'On-Ramps'!AD127</f>
        <v>#DIV/0!</v>
      </c>
      <c r="S127" s="61" t="e">
        <f>Links!F127+'On-Ramps'!AE127</f>
        <v>#DIV/0!</v>
      </c>
      <c r="T127" s="61" t="e">
        <f>Links!G127+'On-Ramps'!AF127</f>
        <v>#DIV/0!</v>
      </c>
      <c r="U127" s="61" t="e">
        <f>Links!H127+'On-Ramps'!AG127</f>
        <v>#DIV/0!</v>
      </c>
      <c r="V127" s="61" t="e">
        <f>Links!J127+'On-Ramps'!AH127</f>
        <v>#DIV/0!</v>
      </c>
      <c r="W127" s="61" t="e">
        <f>Links!K127+'On-Ramps'!AI127</f>
        <v>#DIV/0!</v>
      </c>
      <c r="X127" s="61" t="e">
        <f>Links!L127+'On-Ramps'!AJ127</f>
        <v>#DIV/0!</v>
      </c>
      <c r="Y127" s="61" t="e">
        <f>Links!M127</f>
        <v>#DIV/0!</v>
      </c>
      <c r="Z127" s="61" t="e">
        <f>Links!N127+'On-Ramps'!AK127</f>
        <v>#DIV/0!</v>
      </c>
      <c r="AA127" s="61" t="e">
        <f>Links!O127</f>
        <v>#DIV/0!</v>
      </c>
      <c r="AB127" s="60" t="e">
        <f t="shared" si="47"/>
        <v>#DIV/0!</v>
      </c>
      <c r="AC127" s="60" t="e">
        <f t="shared" si="48"/>
        <v>#DIV/0!</v>
      </c>
      <c r="AD127" s="60" t="e">
        <f t="shared" si="49"/>
        <v>#DIV/0!</v>
      </c>
      <c r="AE127" s="60" t="e">
        <f t="shared" si="50"/>
        <v>#DIV/0!</v>
      </c>
      <c r="AF127" s="60" t="e">
        <f t="shared" si="51"/>
        <v>#DIV/0!</v>
      </c>
      <c r="AG127" s="60" t="e">
        <f t="shared" si="52"/>
        <v>#DIV/0!</v>
      </c>
      <c r="AH127" s="60" t="e">
        <f t="shared" si="53"/>
        <v>#DIV/0!</v>
      </c>
      <c r="AI127" s="60" t="e">
        <f t="shared" si="54"/>
        <v>#DIV/0!</v>
      </c>
      <c r="AJ127" s="60" t="e">
        <f t="shared" si="55"/>
        <v>#DIV/0!</v>
      </c>
      <c r="AK127" s="60" t="e">
        <f t="shared" si="56"/>
        <v>#DIV/0!</v>
      </c>
      <c r="AL127" s="60" t="e">
        <f t="shared" si="57"/>
        <v>#DIV/0!</v>
      </c>
      <c r="AM127" s="60" t="e">
        <f t="shared" si="58"/>
        <v>#DIV/0!</v>
      </c>
      <c r="AN127" s="60" t="e">
        <f t="shared" si="60"/>
        <v>#DIV/0!</v>
      </c>
      <c r="AO127" s="61" t="e">
        <f t="shared" si="63"/>
        <v>#DIV/0!</v>
      </c>
      <c r="AP127" s="61" t="e">
        <f t="shared" si="62"/>
        <v>#DIV/0!</v>
      </c>
      <c r="AQ127" s="61" t="e">
        <f t="shared" si="62"/>
        <v>#DIV/0!</v>
      </c>
      <c r="AR127" s="61" t="e">
        <f t="shared" si="62"/>
        <v>#DIV/0!</v>
      </c>
      <c r="AS127" s="61" t="e">
        <f t="shared" si="62"/>
        <v>#DIV/0!</v>
      </c>
      <c r="AT127" s="61" t="e">
        <f t="shared" si="62"/>
        <v>#DIV/0!</v>
      </c>
      <c r="AU127" s="61" t="e">
        <f t="shared" si="62"/>
        <v>#DIV/0!</v>
      </c>
      <c r="AV127" s="61" t="e">
        <f t="shared" si="62"/>
        <v>#DIV/0!</v>
      </c>
      <c r="AW127" s="61" t="e">
        <f t="shared" si="62"/>
        <v>#DIV/0!</v>
      </c>
      <c r="AX127" s="61" t="e">
        <f t="shared" si="62"/>
        <v>#DIV/0!</v>
      </c>
      <c r="AY127" s="61" t="e">
        <f t="shared" si="62"/>
        <v>#DIV/0!</v>
      </c>
      <c r="AZ127" s="61" t="e">
        <f t="shared" si="62"/>
        <v>#DIV/0!</v>
      </c>
      <c r="BA127" s="61" t="e">
        <f t="shared" si="62"/>
        <v>#DIV/0!</v>
      </c>
      <c r="BB127" s="60" t="e">
        <f>Links!AF127</f>
        <v>#DIV/0!</v>
      </c>
      <c r="BC127" s="60" t="e">
        <f>(Links!AG127*Links!C127+'On-Ramps'!AC127*'On-Ramps'!CE127)/('On-Ramps'!AC127+Links!C127)</f>
        <v>#DIV/0!</v>
      </c>
      <c r="BD127" s="60" t="e">
        <f>Links!AH127</f>
        <v>#DIV/0!</v>
      </c>
      <c r="BE127" s="60" t="e">
        <f>(Links!AI127*Links!E127+'On-Ramps'!AD127*'On-Ramps'!CF126)/('On-Ramps'!AD127+Links!E127)</f>
        <v>#DIV/0!</v>
      </c>
      <c r="BF127" s="60" t="e">
        <f>(Links!F127*Links!AJ127+'On-Ramps'!AE127*'On-Ramps'!CG127)/('On-Ramps'!AE127+Links!F127)</f>
        <v>#DIV/0!</v>
      </c>
      <c r="BG127" s="60" t="e">
        <f>(Links!G127*Links!AK127+'On-Ramps'!AF127*'On-Ramps'!CH127)/('On-Ramps'!AF127+Links!G127)</f>
        <v>#DIV/0!</v>
      </c>
      <c r="BH127" s="60" t="e">
        <f>(Links!H127*Links!AL127+'On-Ramps'!AG127*'On-Ramps'!CI127)/('On-Ramps'!AG127+Links!H127)</f>
        <v>#DIV/0!</v>
      </c>
      <c r="BI127" s="60" t="e">
        <f>(Links!J127*Links!AN127+'On-Ramps'!AH127*'On-Ramps'!CJ127)/('On-Ramps'!AH127+Links!J127)</f>
        <v>#DIV/0!</v>
      </c>
      <c r="BJ127" s="60" t="e">
        <f>(Links!K127*Links!AO127+'On-Ramps'!AI127*'On-Ramps'!CK127)/('On-Ramps'!AI127+Links!K127)</f>
        <v>#DIV/0!</v>
      </c>
      <c r="BK127" s="60" t="e">
        <f>(Links!L127*Links!AP127+'On-Ramps'!AJ127*'On-Ramps'!CL127)/(Links!L127+'On-Ramps'!AJ127)</f>
        <v>#DIV/0!</v>
      </c>
      <c r="BL127" s="60" t="e">
        <f>Links!AQ127</f>
        <v>#DIV/0!</v>
      </c>
      <c r="BM127" s="60" t="e">
        <f>(Links!N127*Links!AR127+'On-Ramps'!AL127*'On-Ramps'!CM127)/(Links!N127+'On-Ramps'!AL127)</f>
        <v>#DIV/0!</v>
      </c>
      <c r="BN127" s="60" t="e">
        <f>Links!AS127</f>
        <v>#DIV/0!</v>
      </c>
      <c r="BO127" s="61" t="e">
        <f>(Links!R127^2+'Off-Ramp'!L127^2)/(Links!R127+'Off-Ramp'!L127)</f>
        <v>#DIV/0!</v>
      </c>
      <c r="BP127" s="61" t="e">
        <f>Links!S127</f>
        <v>#DIV/0!</v>
      </c>
      <c r="BQ127" s="61" t="e">
        <f>(Links!S127^2+'Off-Ramp'!C127^2)/(Links!S127+'Off-Ramp'!C127)</f>
        <v>#DIV/0!</v>
      </c>
      <c r="BR127" s="61" t="e">
        <f>Links!T127</f>
        <v>#DIV/0!</v>
      </c>
      <c r="BS127" s="61" t="e">
        <f>(Links!U127^2+'Off-Ramp'!N127^2)/(Links!U127+'Off-Ramp'!N127)</f>
        <v>#DIV/0!</v>
      </c>
      <c r="BT127" s="61" t="e">
        <f>(Links!V127^2+'Off-Ramp'!O127^2)/(Links!V127+'Off-Ramp'!O127)</f>
        <v>#DIV/0!</v>
      </c>
      <c r="BU127" s="61" t="e">
        <f>(Links!W127^2+'Off-Ramp'!P127^2)/(Links!W127+'Off-Ramp'!P127)</f>
        <v>#DIV/0!</v>
      </c>
      <c r="BV127" s="61" t="e">
        <f>(Links!Y127^2+'Off-Ramp'!Q127^2)/(Links!Y127+'Off-Ramp'!Q127)</f>
        <v>#DIV/0!</v>
      </c>
      <c r="BW127" s="61" t="e">
        <f>(Links!Z127^2+'Off-Ramp'!R127^2)/(Links!Z127+'Off-Ramp'!R127)</f>
        <v>#DIV/0!</v>
      </c>
      <c r="BX127" s="61" t="e">
        <f>(Links!AA127+'Off-Ramp'!S127)/(Links!AA127^2+'Off-Ramp'!S127^2)</f>
        <v>#DIV/0!</v>
      </c>
      <c r="BY127" s="61" t="e">
        <f>(Links!AB127^2+'Off-Ramp'!T127^2)/(Links!AB127+'Off-Ramp'!T127)</f>
        <v>#DIV/0!</v>
      </c>
      <c r="BZ127" s="61" t="e">
        <f>Links!AC127</f>
        <v>#DIV/0!</v>
      </c>
      <c r="CA127" s="61" t="e">
        <f>(Links!AD127^2+'Off-Ramp'!U127^2)/(Links!AD127+'Off-Ramp'!U127)</f>
        <v>#DIV/0!</v>
      </c>
    </row>
    <row r="128" spans="1:79" x14ac:dyDescent="0.15">
      <c r="A128" s="59">
        <v>126</v>
      </c>
      <c r="B128" s="60" t="e">
        <f t="shared" si="34"/>
        <v>#DIV/0!</v>
      </c>
      <c r="C128" s="60" t="e">
        <f t="shared" si="35"/>
        <v>#DIV/0!</v>
      </c>
      <c r="D128" s="60" t="e">
        <f t="shared" si="36"/>
        <v>#DIV/0!</v>
      </c>
      <c r="E128" s="60" t="e">
        <f t="shared" si="37"/>
        <v>#DIV/0!</v>
      </c>
      <c r="F128" s="60" t="e">
        <f t="shared" si="38"/>
        <v>#DIV/0!</v>
      </c>
      <c r="G128" s="60" t="e">
        <f t="shared" si="39"/>
        <v>#DIV/0!</v>
      </c>
      <c r="H128" s="60" t="e">
        <f t="shared" si="40"/>
        <v>#DIV/0!</v>
      </c>
      <c r="I128" s="60" t="e">
        <f t="shared" si="41"/>
        <v>#DIV/0!</v>
      </c>
      <c r="J128" s="60" t="e">
        <f t="shared" si="42"/>
        <v>#DIV/0!</v>
      </c>
      <c r="K128" s="60" t="e">
        <f t="shared" si="43"/>
        <v>#DIV/0!</v>
      </c>
      <c r="L128" s="60" t="e">
        <f t="shared" si="44"/>
        <v>#DIV/0!</v>
      </c>
      <c r="M128" s="60" t="e">
        <f t="shared" si="45"/>
        <v>#DIV/0!</v>
      </c>
      <c r="N128" s="60" t="e">
        <f t="shared" si="46"/>
        <v>#DIV/0!</v>
      </c>
      <c r="O128" s="61" t="e">
        <f>Links!B128</f>
        <v>#DIV/0!</v>
      </c>
      <c r="P128" s="61" t="e">
        <f>Links!C128+'On-Ramps'!AC128</f>
        <v>#DIV/0!</v>
      </c>
      <c r="Q128" s="61" t="e">
        <f>Links!D128</f>
        <v>#DIV/0!</v>
      </c>
      <c r="R128" s="61" t="e">
        <f>Links!E128+'On-Ramps'!AD128</f>
        <v>#DIV/0!</v>
      </c>
      <c r="S128" s="61" t="e">
        <f>Links!F128+'On-Ramps'!AE128</f>
        <v>#DIV/0!</v>
      </c>
      <c r="T128" s="61" t="e">
        <f>Links!G128+'On-Ramps'!AF128</f>
        <v>#DIV/0!</v>
      </c>
      <c r="U128" s="61" t="e">
        <f>Links!H128+'On-Ramps'!AG128</f>
        <v>#DIV/0!</v>
      </c>
      <c r="V128" s="61" t="e">
        <f>Links!J128+'On-Ramps'!AH128</f>
        <v>#DIV/0!</v>
      </c>
      <c r="W128" s="61" t="e">
        <f>Links!K128+'On-Ramps'!AI128</f>
        <v>#DIV/0!</v>
      </c>
      <c r="X128" s="61" t="e">
        <f>Links!L128+'On-Ramps'!AJ128</f>
        <v>#DIV/0!</v>
      </c>
      <c r="Y128" s="61" t="e">
        <f>Links!M128</f>
        <v>#DIV/0!</v>
      </c>
      <c r="Z128" s="61" t="e">
        <f>Links!N128+'On-Ramps'!AK128</f>
        <v>#DIV/0!</v>
      </c>
      <c r="AA128" s="61" t="e">
        <f>Links!O128</f>
        <v>#DIV/0!</v>
      </c>
      <c r="AB128" s="60" t="e">
        <f t="shared" si="47"/>
        <v>#DIV/0!</v>
      </c>
      <c r="AC128" s="60" t="e">
        <f t="shared" si="48"/>
        <v>#DIV/0!</v>
      </c>
      <c r="AD128" s="60" t="e">
        <f t="shared" si="49"/>
        <v>#DIV/0!</v>
      </c>
      <c r="AE128" s="60" t="e">
        <f t="shared" si="50"/>
        <v>#DIV/0!</v>
      </c>
      <c r="AF128" s="60" t="e">
        <f t="shared" si="51"/>
        <v>#DIV/0!</v>
      </c>
      <c r="AG128" s="60" t="e">
        <f t="shared" si="52"/>
        <v>#DIV/0!</v>
      </c>
      <c r="AH128" s="60" t="e">
        <f t="shared" si="53"/>
        <v>#DIV/0!</v>
      </c>
      <c r="AI128" s="60" t="e">
        <f t="shared" si="54"/>
        <v>#DIV/0!</v>
      </c>
      <c r="AJ128" s="60" t="e">
        <f t="shared" si="55"/>
        <v>#DIV/0!</v>
      </c>
      <c r="AK128" s="60" t="e">
        <f t="shared" si="56"/>
        <v>#DIV/0!</v>
      </c>
      <c r="AL128" s="60" t="e">
        <f t="shared" si="57"/>
        <v>#DIV/0!</v>
      </c>
      <c r="AM128" s="60" t="e">
        <f t="shared" si="58"/>
        <v>#DIV/0!</v>
      </c>
      <c r="AN128" s="60" t="e">
        <f t="shared" si="60"/>
        <v>#DIV/0!</v>
      </c>
      <c r="AO128" s="61" t="e">
        <f t="shared" si="63"/>
        <v>#DIV/0!</v>
      </c>
      <c r="AP128" s="61" t="e">
        <f t="shared" si="62"/>
        <v>#DIV/0!</v>
      </c>
      <c r="AQ128" s="61" t="e">
        <f t="shared" si="62"/>
        <v>#DIV/0!</v>
      </c>
      <c r="AR128" s="61" t="e">
        <f t="shared" si="62"/>
        <v>#DIV/0!</v>
      </c>
      <c r="AS128" s="61" t="e">
        <f t="shared" si="62"/>
        <v>#DIV/0!</v>
      </c>
      <c r="AT128" s="61" t="e">
        <f t="shared" si="62"/>
        <v>#DIV/0!</v>
      </c>
      <c r="AU128" s="61" t="e">
        <f t="shared" si="62"/>
        <v>#DIV/0!</v>
      </c>
      <c r="AV128" s="61" t="e">
        <f t="shared" si="62"/>
        <v>#DIV/0!</v>
      </c>
      <c r="AW128" s="61" t="e">
        <f t="shared" si="62"/>
        <v>#DIV/0!</v>
      </c>
      <c r="AX128" s="61" t="e">
        <f t="shared" si="62"/>
        <v>#DIV/0!</v>
      </c>
      <c r="AY128" s="61" t="e">
        <f t="shared" si="62"/>
        <v>#DIV/0!</v>
      </c>
      <c r="AZ128" s="61" t="e">
        <f t="shared" si="62"/>
        <v>#DIV/0!</v>
      </c>
      <c r="BA128" s="61" t="e">
        <f t="shared" si="62"/>
        <v>#DIV/0!</v>
      </c>
      <c r="BB128" s="60" t="e">
        <f>Links!AF128</f>
        <v>#DIV/0!</v>
      </c>
      <c r="BC128" s="60" t="e">
        <f>(Links!AG128*Links!C128+'On-Ramps'!AC128*'On-Ramps'!CE128)/('On-Ramps'!AC128+Links!C128)</f>
        <v>#DIV/0!</v>
      </c>
      <c r="BD128" s="60" t="e">
        <f>Links!AH128</f>
        <v>#DIV/0!</v>
      </c>
      <c r="BE128" s="60" t="e">
        <f>(Links!AI128*Links!E128+'On-Ramps'!AD128*'On-Ramps'!CF127)/('On-Ramps'!AD128+Links!E128)</f>
        <v>#DIV/0!</v>
      </c>
      <c r="BF128" s="60" t="e">
        <f>(Links!F128*Links!AJ128+'On-Ramps'!AE128*'On-Ramps'!CG128)/('On-Ramps'!AE128+Links!F128)</f>
        <v>#DIV/0!</v>
      </c>
      <c r="BG128" s="60" t="e">
        <f>(Links!G128*Links!AK128+'On-Ramps'!AF128*'On-Ramps'!CH128)/('On-Ramps'!AF128+Links!G128)</f>
        <v>#DIV/0!</v>
      </c>
      <c r="BH128" s="60" t="e">
        <f>(Links!H128*Links!AL128+'On-Ramps'!AG128*'On-Ramps'!CI128)/('On-Ramps'!AG128+Links!H128)</f>
        <v>#DIV/0!</v>
      </c>
      <c r="BI128" s="60" t="e">
        <f>(Links!J128*Links!AN128+'On-Ramps'!AH128*'On-Ramps'!CJ128)/('On-Ramps'!AH128+Links!J128)</f>
        <v>#DIV/0!</v>
      </c>
      <c r="BJ128" s="60" t="e">
        <f>(Links!K128*Links!AO128+'On-Ramps'!AI128*'On-Ramps'!CK128)/('On-Ramps'!AI128+Links!K128)</f>
        <v>#DIV/0!</v>
      </c>
      <c r="BK128" s="60" t="e">
        <f>(Links!L128*Links!AP128+'On-Ramps'!AJ128*'On-Ramps'!CL128)/(Links!L128+'On-Ramps'!AJ128)</f>
        <v>#DIV/0!</v>
      </c>
      <c r="BL128" s="60" t="e">
        <f>Links!AQ128</f>
        <v>#DIV/0!</v>
      </c>
      <c r="BM128" s="60" t="e">
        <f>(Links!N128*Links!AR128+'On-Ramps'!AL128*'On-Ramps'!CM128)/(Links!N128+'On-Ramps'!AL128)</f>
        <v>#DIV/0!</v>
      </c>
      <c r="BN128" s="60" t="e">
        <f>Links!AS128</f>
        <v>#DIV/0!</v>
      </c>
      <c r="BO128" s="61" t="e">
        <f>(Links!R128^2+'Off-Ramp'!L128^2)/(Links!R128+'Off-Ramp'!L128)</f>
        <v>#DIV/0!</v>
      </c>
      <c r="BP128" s="61" t="e">
        <f>Links!S128</f>
        <v>#DIV/0!</v>
      </c>
      <c r="BQ128" s="61" t="e">
        <f>(Links!S128^2+'Off-Ramp'!C128^2)/(Links!S128+'Off-Ramp'!C128)</f>
        <v>#DIV/0!</v>
      </c>
      <c r="BR128" s="61" t="e">
        <f>Links!T128</f>
        <v>#DIV/0!</v>
      </c>
      <c r="BS128" s="61" t="e">
        <f>(Links!U128^2+'Off-Ramp'!N128^2)/(Links!U128+'Off-Ramp'!N128)</f>
        <v>#DIV/0!</v>
      </c>
      <c r="BT128" s="61" t="e">
        <f>(Links!V128^2+'Off-Ramp'!O128^2)/(Links!V128+'Off-Ramp'!O128)</f>
        <v>#DIV/0!</v>
      </c>
      <c r="BU128" s="61" t="e">
        <f>(Links!W128^2+'Off-Ramp'!P128^2)/(Links!W128+'Off-Ramp'!P128)</f>
        <v>#DIV/0!</v>
      </c>
      <c r="BV128" s="61" t="e">
        <f>(Links!Y128^2+'Off-Ramp'!Q128^2)/(Links!Y128+'Off-Ramp'!Q128)</f>
        <v>#DIV/0!</v>
      </c>
      <c r="BW128" s="61" t="e">
        <f>(Links!Z128^2+'Off-Ramp'!R128^2)/(Links!Z128+'Off-Ramp'!R128)</f>
        <v>#DIV/0!</v>
      </c>
      <c r="BX128" s="61" t="e">
        <f>(Links!AA128+'Off-Ramp'!S128)/(Links!AA128^2+'Off-Ramp'!S128^2)</f>
        <v>#DIV/0!</v>
      </c>
      <c r="BY128" s="61" t="e">
        <f>(Links!AB128^2+'Off-Ramp'!T128^2)/(Links!AB128+'Off-Ramp'!T128)</f>
        <v>#DIV/0!</v>
      </c>
      <c r="BZ128" s="61" t="e">
        <f>Links!AC128</f>
        <v>#DIV/0!</v>
      </c>
      <c r="CA128" s="61" t="e">
        <f>(Links!AD128^2+'Off-Ramp'!U128^2)/(Links!AD128+'Off-Ramp'!U128)</f>
        <v>#DIV/0!</v>
      </c>
    </row>
    <row r="129" spans="1:79" x14ac:dyDescent="0.15">
      <c r="A129" s="59">
        <v>127</v>
      </c>
      <c r="B129" s="60" t="e">
        <f t="shared" si="34"/>
        <v>#DIV/0!</v>
      </c>
      <c r="C129" s="60" t="e">
        <f t="shared" si="35"/>
        <v>#DIV/0!</v>
      </c>
      <c r="D129" s="60" t="e">
        <f t="shared" si="36"/>
        <v>#DIV/0!</v>
      </c>
      <c r="E129" s="60" t="e">
        <f t="shared" si="37"/>
        <v>#DIV/0!</v>
      </c>
      <c r="F129" s="60" t="e">
        <f t="shared" si="38"/>
        <v>#DIV/0!</v>
      </c>
      <c r="G129" s="60" t="e">
        <f t="shared" si="39"/>
        <v>#DIV/0!</v>
      </c>
      <c r="H129" s="60" t="e">
        <f t="shared" si="40"/>
        <v>#DIV/0!</v>
      </c>
      <c r="I129" s="60" t="e">
        <f t="shared" si="41"/>
        <v>#DIV/0!</v>
      </c>
      <c r="J129" s="60" t="e">
        <f t="shared" si="42"/>
        <v>#DIV/0!</v>
      </c>
      <c r="K129" s="60" t="e">
        <f t="shared" si="43"/>
        <v>#DIV/0!</v>
      </c>
      <c r="L129" s="60" t="e">
        <f t="shared" si="44"/>
        <v>#DIV/0!</v>
      </c>
      <c r="M129" s="60" t="e">
        <f t="shared" si="45"/>
        <v>#DIV/0!</v>
      </c>
      <c r="N129" s="60" t="e">
        <f t="shared" si="46"/>
        <v>#DIV/0!</v>
      </c>
      <c r="O129" s="61" t="e">
        <f>Links!B129</f>
        <v>#DIV/0!</v>
      </c>
      <c r="P129" s="61" t="e">
        <f>Links!C129+'On-Ramps'!AC129</f>
        <v>#DIV/0!</v>
      </c>
      <c r="Q129" s="61" t="e">
        <f>Links!D129</f>
        <v>#DIV/0!</v>
      </c>
      <c r="R129" s="61" t="e">
        <f>Links!E129+'On-Ramps'!AD129</f>
        <v>#DIV/0!</v>
      </c>
      <c r="S129" s="61" t="e">
        <f>Links!F129+'On-Ramps'!AE129</f>
        <v>#DIV/0!</v>
      </c>
      <c r="T129" s="61" t="e">
        <f>Links!G129+'On-Ramps'!AF129</f>
        <v>#DIV/0!</v>
      </c>
      <c r="U129" s="61" t="e">
        <f>Links!H129+'On-Ramps'!AG129</f>
        <v>#DIV/0!</v>
      </c>
      <c r="V129" s="61" t="e">
        <f>Links!J129+'On-Ramps'!AH129</f>
        <v>#DIV/0!</v>
      </c>
      <c r="W129" s="61" t="e">
        <f>Links!K129+'On-Ramps'!AI129</f>
        <v>#DIV/0!</v>
      </c>
      <c r="X129" s="61" t="e">
        <f>Links!L129+'On-Ramps'!AJ129</f>
        <v>#DIV/0!</v>
      </c>
      <c r="Y129" s="61" t="e">
        <f>Links!M129</f>
        <v>#DIV/0!</v>
      </c>
      <c r="Z129" s="61" t="e">
        <f>Links!N129+'On-Ramps'!AK129</f>
        <v>#DIV/0!</v>
      </c>
      <c r="AA129" s="61" t="e">
        <f>Links!O129</f>
        <v>#DIV/0!</v>
      </c>
      <c r="AB129" s="60" t="e">
        <f t="shared" si="47"/>
        <v>#DIV/0!</v>
      </c>
      <c r="AC129" s="60" t="e">
        <f t="shared" si="48"/>
        <v>#DIV/0!</v>
      </c>
      <c r="AD129" s="60" t="e">
        <f t="shared" si="49"/>
        <v>#DIV/0!</v>
      </c>
      <c r="AE129" s="60" t="e">
        <f t="shared" si="50"/>
        <v>#DIV/0!</v>
      </c>
      <c r="AF129" s="60" t="e">
        <f t="shared" si="51"/>
        <v>#DIV/0!</v>
      </c>
      <c r="AG129" s="60" t="e">
        <f t="shared" si="52"/>
        <v>#DIV/0!</v>
      </c>
      <c r="AH129" s="60" t="e">
        <f t="shared" si="53"/>
        <v>#DIV/0!</v>
      </c>
      <c r="AI129" s="60" t="e">
        <f t="shared" si="54"/>
        <v>#DIV/0!</v>
      </c>
      <c r="AJ129" s="60" t="e">
        <f t="shared" si="55"/>
        <v>#DIV/0!</v>
      </c>
      <c r="AK129" s="60" t="e">
        <f t="shared" si="56"/>
        <v>#DIV/0!</v>
      </c>
      <c r="AL129" s="60" t="e">
        <f t="shared" si="57"/>
        <v>#DIV/0!</v>
      </c>
      <c r="AM129" s="60" t="e">
        <f t="shared" si="58"/>
        <v>#DIV/0!</v>
      </c>
      <c r="AN129" s="60" t="e">
        <f t="shared" si="60"/>
        <v>#DIV/0!</v>
      </c>
      <c r="AO129" s="61" t="e">
        <f t="shared" si="63"/>
        <v>#DIV/0!</v>
      </c>
      <c r="AP129" s="61" t="e">
        <f t="shared" si="62"/>
        <v>#DIV/0!</v>
      </c>
      <c r="AQ129" s="61" t="e">
        <f t="shared" si="62"/>
        <v>#DIV/0!</v>
      </c>
      <c r="AR129" s="61" t="e">
        <f t="shared" si="62"/>
        <v>#DIV/0!</v>
      </c>
      <c r="AS129" s="61" t="e">
        <f t="shared" si="62"/>
        <v>#DIV/0!</v>
      </c>
      <c r="AT129" s="61" t="e">
        <f t="shared" si="62"/>
        <v>#DIV/0!</v>
      </c>
      <c r="AU129" s="61" t="e">
        <f t="shared" si="62"/>
        <v>#DIV/0!</v>
      </c>
      <c r="AV129" s="61" t="e">
        <f t="shared" si="62"/>
        <v>#DIV/0!</v>
      </c>
      <c r="AW129" s="61" t="e">
        <f t="shared" si="62"/>
        <v>#DIV/0!</v>
      </c>
      <c r="AX129" s="61" t="e">
        <f t="shared" si="62"/>
        <v>#DIV/0!</v>
      </c>
      <c r="AY129" s="61" t="e">
        <f t="shared" si="62"/>
        <v>#DIV/0!</v>
      </c>
      <c r="AZ129" s="61" t="e">
        <f t="shared" si="62"/>
        <v>#DIV/0!</v>
      </c>
      <c r="BA129" s="61" t="e">
        <f t="shared" si="62"/>
        <v>#DIV/0!</v>
      </c>
      <c r="BB129" s="60" t="e">
        <f>Links!AF129</f>
        <v>#DIV/0!</v>
      </c>
      <c r="BC129" s="60" t="e">
        <f>(Links!AG129*Links!C129+'On-Ramps'!AC129*'On-Ramps'!CE129)/('On-Ramps'!AC129+Links!C129)</f>
        <v>#DIV/0!</v>
      </c>
      <c r="BD129" s="60" t="e">
        <f>Links!AH129</f>
        <v>#DIV/0!</v>
      </c>
      <c r="BE129" s="60" t="e">
        <f>(Links!AI129*Links!E129+'On-Ramps'!AD129*'On-Ramps'!CF128)/('On-Ramps'!AD129+Links!E129)</f>
        <v>#DIV/0!</v>
      </c>
      <c r="BF129" s="60" t="e">
        <f>(Links!F129*Links!AJ129+'On-Ramps'!AE129*'On-Ramps'!CG129)/('On-Ramps'!AE129+Links!F129)</f>
        <v>#DIV/0!</v>
      </c>
      <c r="BG129" s="60" t="e">
        <f>(Links!G129*Links!AK129+'On-Ramps'!AF129*'On-Ramps'!CH129)/('On-Ramps'!AF129+Links!G129)</f>
        <v>#DIV/0!</v>
      </c>
      <c r="BH129" s="60" t="e">
        <f>(Links!H129*Links!AL129+'On-Ramps'!AG129*'On-Ramps'!CI129)/('On-Ramps'!AG129+Links!H129)</f>
        <v>#DIV/0!</v>
      </c>
      <c r="BI129" s="60" t="e">
        <f>(Links!J129*Links!AN129+'On-Ramps'!AH129*'On-Ramps'!CJ129)/('On-Ramps'!AH129+Links!J129)</f>
        <v>#DIV/0!</v>
      </c>
      <c r="BJ129" s="60" t="e">
        <f>(Links!K129*Links!AO129+'On-Ramps'!AI129*'On-Ramps'!CK129)/('On-Ramps'!AI129+Links!K129)</f>
        <v>#DIV/0!</v>
      </c>
      <c r="BK129" s="60" t="e">
        <f>(Links!L129*Links!AP129+'On-Ramps'!AJ129*'On-Ramps'!CL129)/(Links!L129+'On-Ramps'!AJ129)</f>
        <v>#DIV/0!</v>
      </c>
      <c r="BL129" s="60" t="e">
        <f>Links!AQ129</f>
        <v>#DIV/0!</v>
      </c>
      <c r="BM129" s="60" t="e">
        <f>(Links!N129*Links!AR129+'On-Ramps'!AL129*'On-Ramps'!CM129)/(Links!N129+'On-Ramps'!AL129)</f>
        <v>#DIV/0!</v>
      </c>
      <c r="BN129" s="60" t="e">
        <f>Links!AS129</f>
        <v>#DIV/0!</v>
      </c>
      <c r="BO129" s="61" t="e">
        <f>(Links!R129^2+'Off-Ramp'!L129^2)/(Links!R129+'Off-Ramp'!L129)</f>
        <v>#DIV/0!</v>
      </c>
      <c r="BP129" s="61" t="e">
        <f>Links!S129</f>
        <v>#DIV/0!</v>
      </c>
      <c r="BQ129" s="61" t="e">
        <f>(Links!S129^2+'Off-Ramp'!C129^2)/(Links!S129+'Off-Ramp'!C129)</f>
        <v>#DIV/0!</v>
      </c>
      <c r="BR129" s="61" t="e">
        <f>Links!T129</f>
        <v>#DIV/0!</v>
      </c>
      <c r="BS129" s="61" t="e">
        <f>(Links!U129^2+'Off-Ramp'!N129^2)/(Links!U129+'Off-Ramp'!N129)</f>
        <v>#DIV/0!</v>
      </c>
      <c r="BT129" s="61" t="e">
        <f>(Links!V129^2+'Off-Ramp'!O129^2)/(Links!V129+'Off-Ramp'!O129)</f>
        <v>#DIV/0!</v>
      </c>
      <c r="BU129" s="61" t="e">
        <f>(Links!W129^2+'Off-Ramp'!P129^2)/(Links!W129+'Off-Ramp'!P129)</f>
        <v>#DIV/0!</v>
      </c>
      <c r="BV129" s="61" t="e">
        <f>(Links!Y129^2+'Off-Ramp'!Q129^2)/(Links!Y129+'Off-Ramp'!Q129)</f>
        <v>#DIV/0!</v>
      </c>
      <c r="BW129" s="61" t="e">
        <f>(Links!Z129^2+'Off-Ramp'!R129^2)/(Links!Z129+'Off-Ramp'!R129)</f>
        <v>#DIV/0!</v>
      </c>
      <c r="BX129" s="61" t="e">
        <f>(Links!AA129+'Off-Ramp'!S129)/(Links!AA129^2+'Off-Ramp'!S129^2)</f>
        <v>#DIV/0!</v>
      </c>
      <c r="BY129" s="61" t="e">
        <f>(Links!AB129^2+'Off-Ramp'!T129^2)/(Links!AB129+'Off-Ramp'!T129)</f>
        <v>#DIV/0!</v>
      </c>
      <c r="BZ129" s="61" t="e">
        <f>Links!AC129</f>
        <v>#DIV/0!</v>
      </c>
      <c r="CA129" s="61" t="e">
        <f>(Links!AD129^2+'Off-Ramp'!U129^2)/(Links!AD129+'Off-Ramp'!U129)</f>
        <v>#DIV/0!</v>
      </c>
    </row>
    <row r="130" spans="1:79" x14ac:dyDescent="0.15">
      <c r="A130" s="59">
        <v>128</v>
      </c>
      <c r="B130" s="60" t="e">
        <f t="shared" si="34"/>
        <v>#DIV/0!</v>
      </c>
      <c r="C130" s="60" t="e">
        <f t="shared" si="35"/>
        <v>#DIV/0!</v>
      </c>
      <c r="D130" s="60" t="e">
        <f t="shared" si="36"/>
        <v>#DIV/0!</v>
      </c>
      <c r="E130" s="60" t="e">
        <f t="shared" si="37"/>
        <v>#DIV/0!</v>
      </c>
      <c r="F130" s="60" t="e">
        <f t="shared" si="38"/>
        <v>#DIV/0!</v>
      </c>
      <c r="G130" s="60" t="e">
        <f t="shared" si="39"/>
        <v>#DIV/0!</v>
      </c>
      <c r="H130" s="60" t="e">
        <f t="shared" si="40"/>
        <v>#DIV/0!</v>
      </c>
      <c r="I130" s="60" t="e">
        <f t="shared" si="41"/>
        <v>#DIV/0!</v>
      </c>
      <c r="J130" s="60" t="e">
        <f t="shared" si="42"/>
        <v>#DIV/0!</v>
      </c>
      <c r="K130" s="60" t="e">
        <f t="shared" si="43"/>
        <v>#DIV/0!</v>
      </c>
      <c r="L130" s="60" t="e">
        <f t="shared" si="44"/>
        <v>#DIV/0!</v>
      </c>
      <c r="M130" s="60" t="e">
        <f t="shared" si="45"/>
        <v>#DIV/0!</v>
      </c>
      <c r="N130" s="60" t="e">
        <f t="shared" si="46"/>
        <v>#DIV/0!</v>
      </c>
      <c r="O130" s="61" t="e">
        <f>Links!B130</f>
        <v>#DIV/0!</v>
      </c>
      <c r="P130" s="61" t="e">
        <f>Links!C130+'On-Ramps'!AC130</f>
        <v>#DIV/0!</v>
      </c>
      <c r="Q130" s="61" t="e">
        <f>Links!D130</f>
        <v>#DIV/0!</v>
      </c>
      <c r="R130" s="61" t="e">
        <f>Links!E130+'On-Ramps'!AD130</f>
        <v>#DIV/0!</v>
      </c>
      <c r="S130" s="61" t="e">
        <f>Links!F130+'On-Ramps'!AE130</f>
        <v>#DIV/0!</v>
      </c>
      <c r="T130" s="61" t="e">
        <f>Links!G130+'On-Ramps'!AF130</f>
        <v>#DIV/0!</v>
      </c>
      <c r="U130" s="61" t="e">
        <f>Links!H130+'On-Ramps'!AG130</f>
        <v>#DIV/0!</v>
      </c>
      <c r="V130" s="61" t="e">
        <f>Links!J130+'On-Ramps'!AH130</f>
        <v>#DIV/0!</v>
      </c>
      <c r="W130" s="61" t="e">
        <f>Links!K130+'On-Ramps'!AI130</f>
        <v>#DIV/0!</v>
      </c>
      <c r="X130" s="61" t="e">
        <f>Links!L130+'On-Ramps'!AJ130</f>
        <v>#DIV/0!</v>
      </c>
      <c r="Y130" s="61" t="e">
        <f>Links!M130</f>
        <v>#DIV/0!</v>
      </c>
      <c r="Z130" s="61" t="e">
        <f>Links!N130+'On-Ramps'!AK130</f>
        <v>#DIV/0!</v>
      </c>
      <c r="AA130" s="61" t="e">
        <f>Links!O130</f>
        <v>#DIV/0!</v>
      </c>
      <c r="AB130" s="60" t="e">
        <f t="shared" si="47"/>
        <v>#DIV/0!</v>
      </c>
      <c r="AC130" s="60" t="e">
        <f t="shared" si="48"/>
        <v>#DIV/0!</v>
      </c>
      <c r="AD130" s="60" t="e">
        <f t="shared" si="49"/>
        <v>#DIV/0!</v>
      </c>
      <c r="AE130" s="60" t="e">
        <f t="shared" si="50"/>
        <v>#DIV/0!</v>
      </c>
      <c r="AF130" s="60" t="e">
        <f t="shared" si="51"/>
        <v>#DIV/0!</v>
      </c>
      <c r="AG130" s="60" t="e">
        <f t="shared" si="52"/>
        <v>#DIV/0!</v>
      </c>
      <c r="AH130" s="60" t="e">
        <f t="shared" si="53"/>
        <v>#DIV/0!</v>
      </c>
      <c r="AI130" s="60" t="e">
        <f t="shared" si="54"/>
        <v>#DIV/0!</v>
      </c>
      <c r="AJ130" s="60" t="e">
        <f t="shared" si="55"/>
        <v>#DIV/0!</v>
      </c>
      <c r="AK130" s="60" t="e">
        <f t="shared" si="56"/>
        <v>#DIV/0!</v>
      </c>
      <c r="AL130" s="60" t="e">
        <f t="shared" si="57"/>
        <v>#DIV/0!</v>
      </c>
      <c r="AM130" s="60" t="e">
        <f t="shared" si="58"/>
        <v>#DIV/0!</v>
      </c>
      <c r="AN130" s="60" t="e">
        <f t="shared" si="60"/>
        <v>#DIV/0!</v>
      </c>
      <c r="AO130" s="61" t="e">
        <f t="shared" si="63"/>
        <v>#DIV/0!</v>
      </c>
      <c r="AP130" s="61" t="e">
        <f t="shared" si="62"/>
        <v>#DIV/0!</v>
      </c>
      <c r="AQ130" s="61" t="e">
        <f t="shared" si="62"/>
        <v>#DIV/0!</v>
      </c>
      <c r="AR130" s="61" t="e">
        <f t="shared" si="62"/>
        <v>#DIV/0!</v>
      </c>
      <c r="AS130" s="61" t="e">
        <f t="shared" si="62"/>
        <v>#DIV/0!</v>
      </c>
      <c r="AT130" s="61" t="e">
        <f t="shared" si="62"/>
        <v>#DIV/0!</v>
      </c>
      <c r="AU130" s="61" t="e">
        <f t="shared" si="62"/>
        <v>#DIV/0!</v>
      </c>
      <c r="AV130" s="61" t="e">
        <f t="shared" si="62"/>
        <v>#DIV/0!</v>
      </c>
      <c r="AW130" s="61" t="e">
        <f t="shared" si="62"/>
        <v>#DIV/0!</v>
      </c>
      <c r="AX130" s="61" t="e">
        <f t="shared" si="62"/>
        <v>#DIV/0!</v>
      </c>
      <c r="AY130" s="61" t="e">
        <f t="shared" si="62"/>
        <v>#DIV/0!</v>
      </c>
      <c r="AZ130" s="61" t="e">
        <f t="shared" si="62"/>
        <v>#DIV/0!</v>
      </c>
      <c r="BA130" s="61" t="e">
        <f t="shared" si="62"/>
        <v>#DIV/0!</v>
      </c>
      <c r="BB130" s="60" t="e">
        <f>Links!AF130</f>
        <v>#DIV/0!</v>
      </c>
      <c r="BC130" s="60" t="e">
        <f>(Links!AG130*Links!C130+'On-Ramps'!AC130*'On-Ramps'!CE130)/('On-Ramps'!AC130+Links!C130)</f>
        <v>#DIV/0!</v>
      </c>
      <c r="BD130" s="60" t="e">
        <f>Links!AH130</f>
        <v>#DIV/0!</v>
      </c>
      <c r="BE130" s="60" t="e">
        <f>(Links!AI130*Links!E130+'On-Ramps'!AD130*'On-Ramps'!CF129)/('On-Ramps'!AD130+Links!E130)</f>
        <v>#DIV/0!</v>
      </c>
      <c r="BF130" s="60" t="e">
        <f>(Links!F130*Links!AJ130+'On-Ramps'!AE130*'On-Ramps'!CG130)/('On-Ramps'!AE130+Links!F130)</f>
        <v>#DIV/0!</v>
      </c>
      <c r="BG130" s="60" t="e">
        <f>(Links!G130*Links!AK130+'On-Ramps'!AF130*'On-Ramps'!CH130)/('On-Ramps'!AF130+Links!G130)</f>
        <v>#DIV/0!</v>
      </c>
      <c r="BH130" s="60" t="e">
        <f>(Links!H130*Links!AL130+'On-Ramps'!AG130*'On-Ramps'!CI130)/('On-Ramps'!AG130+Links!H130)</f>
        <v>#DIV/0!</v>
      </c>
      <c r="BI130" s="60" t="e">
        <f>(Links!J130*Links!AN130+'On-Ramps'!AH130*'On-Ramps'!CJ130)/('On-Ramps'!AH130+Links!J130)</f>
        <v>#DIV/0!</v>
      </c>
      <c r="BJ130" s="60" t="e">
        <f>(Links!K130*Links!AO130+'On-Ramps'!AI130*'On-Ramps'!CK130)/('On-Ramps'!AI130+Links!K130)</f>
        <v>#DIV/0!</v>
      </c>
      <c r="BK130" s="60" t="e">
        <f>(Links!L130*Links!AP130+'On-Ramps'!AJ130*'On-Ramps'!CL130)/(Links!L130+'On-Ramps'!AJ130)</f>
        <v>#DIV/0!</v>
      </c>
      <c r="BL130" s="60" t="e">
        <f>Links!AQ130</f>
        <v>#DIV/0!</v>
      </c>
      <c r="BM130" s="60" t="e">
        <f>(Links!N130*Links!AR130+'On-Ramps'!AL130*'On-Ramps'!CM130)/(Links!N130+'On-Ramps'!AL130)</f>
        <v>#DIV/0!</v>
      </c>
      <c r="BN130" s="60" t="e">
        <f>Links!AS130</f>
        <v>#DIV/0!</v>
      </c>
      <c r="BO130" s="61" t="e">
        <f>(Links!R130^2+'Off-Ramp'!L130^2)/(Links!R130+'Off-Ramp'!L130)</f>
        <v>#DIV/0!</v>
      </c>
      <c r="BP130" s="61" t="e">
        <f>Links!S130</f>
        <v>#DIV/0!</v>
      </c>
      <c r="BQ130" s="61" t="e">
        <f>(Links!S130^2+'Off-Ramp'!C130^2)/(Links!S130+'Off-Ramp'!C130)</f>
        <v>#DIV/0!</v>
      </c>
      <c r="BR130" s="61" t="e">
        <f>Links!T130</f>
        <v>#DIV/0!</v>
      </c>
      <c r="BS130" s="61" t="e">
        <f>(Links!U130^2+'Off-Ramp'!N130^2)/(Links!U130+'Off-Ramp'!N130)</f>
        <v>#DIV/0!</v>
      </c>
      <c r="BT130" s="61" t="e">
        <f>(Links!V130^2+'Off-Ramp'!O130^2)/(Links!V130+'Off-Ramp'!O130)</f>
        <v>#DIV/0!</v>
      </c>
      <c r="BU130" s="61" t="e">
        <f>(Links!W130^2+'Off-Ramp'!P130^2)/(Links!W130+'Off-Ramp'!P130)</f>
        <v>#DIV/0!</v>
      </c>
      <c r="BV130" s="61" t="e">
        <f>(Links!Y130^2+'Off-Ramp'!Q130^2)/(Links!Y130+'Off-Ramp'!Q130)</f>
        <v>#DIV/0!</v>
      </c>
      <c r="BW130" s="61" t="e">
        <f>(Links!Z130^2+'Off-Ramp'!R130^2)/(Links!Z130+'Off-Ramp'!R130)</f>
        <v>#DIV/0!</v>
      </c>
      <c r="BX130" s="61" t="e">
        <f>(Links!AA130+'Off-Ramp'!S130)/(Links!AA130^2+'Off-Ramp'!S130^2)</f>
        <v>#DIV/0!</v>
      </c>
      <c r="BY130" s="61" t="e">
        <f>(Links!AB130^2+'Off-Ramp'!T130^2)/(Links!AB130+'Off-Ramp'!T130)</f>
        <v>#DIV/0!</v>
      </c>
      <c r="BZ130" s="61" t="e">
        <f>Links!AC130</f>
        <v>#DIV/0!</v>
      </c>
      <c r="CA130" s="61" t="e">
        <f>(Links!AD130^2+'Off-Ramp'!U130^2)/(Links!AD130+'Off-Ramp'!U130)</f>
        <v>#DIV/0!</v>
      </c>
    </row>
    <row r="131" spans="1:79" x14ac:dyDescent="0.15">
      <c r="A131" s="59">
        <v>129</v>
      </c>
      <c r="B131" s="60" t="e">
        <f t="shared" si="34"/>
        <v>#DIV/0!</v>
      </c>
      <c r="C131" s="60" t="e">
        <f t="shared" si="35"/>
        <v>#DIV/0!</v>
      </c>
      <c r="D131" s="60" t="e">
        <f t="shared" si="36"/>
        <v>#DIV/0!</v>
      </c>
      <c r="E131" s="60" t="e">
        <f t="shared" si="37"/>
        <v>#DIV/0!</v>
      </c>
      <c r="F131" s="60" t="e">
        <f t="shared" si="38"/>
        <v>#DIV/0!</v>
      </c>
      <c r="G131" s="60" t="e">
        <f t="shared" si="39"/>
        <v>#DIV/0!</v>
      </c>
      <c r="H131" s="60" t="e">
        <f t="shared" si="40"/>
        <v>#DIV/0!</v>
      </c>
      <c r="I131" s="60" t="e">
        <f t="shared" si="41"/>
        <v>#DIV/0!</v>
      </c>
      <c r="J131" s="60" t="e">
        <f t="shared" si="42"/>
        <v>#DIV/0!</v>
      </c>
      <c r="K131" s="60" t="e">
        <f t="shared" si="43"/>
        <v>#DIV/0!</v>
      </c>
      <c r="L131" s="60" t="e">
        <f t="shared" si="44"/>
        <v>#DIV/0!</v>
      </c>
      <c r="M131" s="60" t="e">
        <f t="shared" si="45"/>
        <v>#DIV/0!</v>
      </c>
      <c r="N131" s="60" t="e">
        <f t="shared" si="46"/>
        <v>#DIV/0!</v>
      </c>
      <c r="O131" s="61" t="e">
        <f>Links!B131</f>
        <v>#DIV/0!</v>
      </c>
      <c r="P131" s="61" t="e">
        <f>Links!C131+'On-Ramps'!AC131</f>
        <v>#DIV/0!</v>
      </c>
      <c r="Q131" s="61" t="e">
        <f>Links!D131</f>
        <v>#DIV/0!</v>
      </c>
      <c r="R131" s="61" t="e">
        <f>Links!E131+'On-Ramps'!AD131</f>
        <v>#DIV/0!</v>
      </c>
      <c r="S131" s="61" t="e">
        <f>Links!F131+'On-Ramps'!AE131</f>
        <v>#DIV/0!</v>
      </c>
      <c r="T131" s="61" t="e">
        <f>Links!G131+'On-Ramps'!AF131</f>
        <v>#DIV/0!</v>
      </c>
      <c r="U131" s="61" t="e">
        <f>Links!H131+'On-Ramps'!AG131</f>
        <v>#DIV/0!</v>
      </c>
      <c r="V131" s="61" t="e">
        <f>Links!J131+'On-Ramps'!AH131</f>
        <v>#DIV/0!</v>
      </c>
      <c r="W131" s="61" t="e">
        <f>Links!K131+'On-Ramps'!AI131</f>
        <v>#DIV/0!</v>
      </c>
      <c r="X131" s="61" t="e">
        <f>Links!L131+'On-Ramps'!AJ131</f>
        <v>#DIV/0!</v>
      </c>
      <c r="Y131" s="61" t="e">
        <f>Links!M131</f>
        <v>#DIV/0!</v>
      </c>
      <c r="Z131" s="61" t="e">
        <f>Links!N131+'On-Ramps'!AK131</f>
        <v>#DIV/0!</v>
      </c>
      <c r="AA131" s="61" t="e">
        <f>Links!O131</f>
        <v>#DIV/0!</v>
      </c>
      <c r="AB131" s="60" t="e">
        <f t="shared" si="47"/>
        <v>#DIV/0!</v>
      </c>
      <c r="AC131" s="60" t="e">
        <f t="shared" si="48"/>
        <v>#DIV/0!</v>
      </c>
      <c r="AD131" s="60" t="e">
        <f t="shared" si="49"/>
        <v>#DIV/0!</v>
      </c>
      <c r="AE131" s="60" t="e">
        <f t="shared" si="50"/>
        <v>#DIV/0!</v>
      </c>
      <c r="AF131" s="60" t="e">
        <f t="shared" si="51"/>
        <v>#DIV/0!</v>
      </c>
      <c r="AG131" s="60" t="e">
        <f t="shared" si="52"/>
        <v>#DIV/0!</v>
      </c>
      <c r="AH131" s="60" t="e">
        <f t="shared" si="53"/>
        <v>#DIV/0!</v>
      </c>
      <c r="AI131" s="60" t="e">
        <f t="shared" si="54"/>
        <v>#DIV/0!</v>
      </c>
      <c r="AJ131" s="60" t="e">
        <f t="shared" si="55"/>
        <v>#DIV/0!</v>
      </c>
      <c r="AK131" s="60" t="e">
        <f t="shared" si="56"/>
        <v>#DIV/0!</v>
      </c>
      <c r="AL131" s="60" t="e">
        <f t="shared" si="57"/>
        <v>#DIV/0!</v>
      </c>
      <c r="AM131" s="60" t="e">
        <f t="shared" si="58"/>
        <v>#DIV/0!</v>
      </c>
      <c r="AN131" s="60" t="e">
        <f t="shared" si="60"/>
        <v>#DIV/0!</v>
      </c>
      <c r="AO131" s="61" t="e">
        <f t="shared" si="63"/>
        <v>#DIV/0!</v>
      </c>
      <c r="AP131" s="61" t="e">
        <f t="shared" si="62"/>
        <v>#DIV/0!</v>
      </c>
      <c r="AQ131" s="61" t="e">
        <f t="shared" si="62"/>
        <v>#DIV/0!</v>
      </c>
      <c r="AR131" s="61" t="e">
        <f t="shared" si="62"/>
        <v>#DIV/0!</v>
      </c>
      <c r="AS131" s="61" t="e">
        <f t="shared" si="62"/>
        <v>#DIV/0!</v>
      </c>
      <c r="AT131" s="61" t="e">
        <f t="shared" si="62"/>
        <v>#DIV/0!</v>
      </c>
      <c r="AU131" s="61" t="e">
        <f t="shared" si="62"/>
        <v>#DIV/0!</v>
      </c>
      <c r="AV131" s="61" t="e">
        <f t="shared" si="62"/>
        <v>#DIV/0!</v>
      </c>
      <c r="AW131" s="61" t="e">
        <f t="shared" si="62"/>
        <v>#DIV/0!</v>
      </c>
      <c r="AX131" s="61" t="e">
        <f t="shared" si="62"/>
        <v>#DIV/0!</v>
      </c>
      <c r="AY131" s="61" t="e">
        <f t="shared" si="62"/>
        <v>#DIV/0!</v>
      </c>
      <c r="AZ131" s="61" t="e">
        <f t="shared" si="62"/>
        <v>#DIV/0!</v>
      </c>
      <c r="BA131" s="61" t="e">
        <f t="shared" si="62"/>
        <v>#DIV/0!</v>
      </c>
      <c r="BB131" s="60" t="e">
        <f>Links!AF131</f>
        <v>#DIV/0!</v>
      </c>
      <c r="BC131" s="60" t="e">
        <f>(Links!AG131*Links!C131+'On-Ramps'!AC131*'On-Ramps'!CE131)/('On-Ramps'!AC131+Links!C131)</f>
        <v>#DIV/0!</v>
      </c>
      <c r="BD131" s="60" t="e">
        <f>Links!AH131</f>
        <v>#DIV/0!</v>
      </c>
      <c r="BE131" s="60" t="e">
        <f>(Links!AI131*Links!E131+'On-Ramps'!AD131*'On-Ramps'!CF130)/('On-Ramps'!AD131+Links!E131)</f>
        <v>#DIV/0!</v>
      </c>
      <c r="BF131" s="60" t="e">
        <f>(Links!F131*Links!AJ131+'On-Ramps'!AE131*'On-Ramps'!CG131)/('On-Ramps'!AE131+Links!F131)</f>
        <v>#DIV/0!</v>
      </c>
      <c r="BG131" s="60" t="e">
        <f>(Links!G131*Links!AK131+'On-Ramps'!AF131*'On-Ramps'!CH131)/('On-Ramps'!AF131+Links!G131)</f>
        <v>#DIV/0!</v>
      </c>
      <c r="BH131" s="60" t="e">
        <f>(Links!H131*Links!AL131+'On-Ramps'!AG131*'On-Ramps'!CI131)/('On-Ramps'!AG131+Links!H131)</f>
        <v>#DIV/0!</v>
      </c>
      <c r="BI131" s="60" t="e">
        <f>(Links!J131*Links!AN131+'On-Ramps'!AH131*'On-Ramps'!CJ131)/('On-Ramps'!AH131+Links!J131)</f>
        <v>#DIV/0!</v>
      </c>
      <c r="BJ131" s="60" t="e">
        <f>(Links!K131*Links!AO131+'On-Ramps'!AI131*'On-Ramps'!CK131)/('On-Ramps'!AI131+Links!K131)</f>
        <v>#DIV/0!</v>
      </c>
      <c r="BK131" s="60" t="e">
        <f>(Links!L131*Links!AP131+'On-Ramps'!AJ131*'On-Ramps'!CL131)/(Links!L131+'On-Ramps'!AJ131)</f>
        <v>#DIV/0!</v>
      </c>
      <c r="BL131" s="60" t="e">
        <f>Links!AQ131</f>
        <v>#DIV/0!</v>
      </c>
      <c r="BM131" s="60" t="e">
        <f>(Links!N131*Links!AR131+'On-Ramps'!AL131*'On-Ramps'!CM131)/(Links!N131+'On-Ramps'!AL131)</f>
        <v>#DIV/0!</v>
      </c>
      <c r="BN131" s="60" t="e">
        <f>Links!AS131</f>
        <v>#DIV/0!</v>
      </c>
      <c r="BO131" s="61" t="e">
        <f>(Links!R131^2+'Off-Ramp'!L131^2)/(Links!R131+'Off-Ramp'!L131)</f>
        <v>#DIV/0!</v>
      </c>
      <c r="BP131" s="61" t="e">
        <f>Links!S131</f>
        <v>#DIV/0!</v>
      </c>
      <c r="BQ131" s="61" t="e">
        <f>(Links!S131^2+'Off-Ramp'!C131^2)/(Links!S131+'Off-Ramp'!C131)</f>
        <v>#DIV/0!</v>
      </c>
      <c r="BR131" s="61" t="e">
        <f>Links!T131</f>
        <v>#DIV/0!</v>
      </c>
      <c r="BS131" s="61" t="e">
        <f>(Links!U131^2+'Off-Ramp'!N131^2)/(Links!U131+'Off-Ramp'!N131)</f>
        <v>#DIV/0!</v>
      </c>
      <c r="BT131" s="61" t="e">
        <f>(Links!V131^2+'Off-Ramp'!O131^2)/(Links!V131+'Off-Ramp'!O131)</f>
        <v>#DIV/0!</v>
      </c>
      <c r="BU131" s="61" t="e">
        <f>(Links!W131^2+'Off-Ramp'!P131^2)/(Links!W131+'Off-Ramp'!P131)</f>
        <v>#DIV/0!</v>
      </c>
      <c r="BV131" s="61" t="e">
        <f>(Links!Y131^2+'Off-Ramp'!Q131^2)/(Links!Y131+'Off-Ramp'!Q131)</f>
        <v>#DIV/0!</v>
      </c>
      <c r="BW131" s="61" t="e">
        <f>(Links!Z131^2+'Off-Ramp'!R131^2)/(Links!Z131+'Off-Ramp'!R131)</f>
        <v>#DIV/0!</v>
      </c>
      <c r="BX131" s="61" t="e">
        <f>(Links!AA131+'Off-Ramp'!S131)/(Links!AA131^2+'Off-Ramp'!S131^2)</f>
        <v>#DIV/0!</v>
      </c>
      <c r="BY131" s="61" t="e">
        <f>(Links!AB131^2+'Off-Ramp'!T131^2)/(Links!AB131+'Off-Ramp'!T131)</f>
        <v>#DIV/0!</v>
      </c>
      <c r="BZ131" s="61" t="e">
        <f>Links!AC131</f>
        <v>#DIV/0!</v>
      </c>
      <c r="CA131" s="61" t="e">
        <f>(Links!AD131^2+'Off-Ramp'!U131^2)/(Links!AD131+'Off-Ramp'!U131)</f>
        <v>#DIV/0!</v>
      </c>
    </row>
    <row r="132" spans="1:79" x14ac:dyDescent="0.15">
      <c r="A132" s="59">
        <v>130</v>
      </c>
      <c r="B132" s="60" t="e">
        <f t="shared" ref="B132:B182" si="64">O132+AB132</f>
        <v>#DIV/0!</v>
      </c>
      <c r="C132" s="60" t="e">
        <f t="shared" ref="C132:C182" si="65">P132+AC132</f>
        <v>#DIV/0!</v>
      </c>
      <c r="D132" s="60" t="e">
        <f t="shared" ref="D132:D182" si="66">Q132+AD132</f>
        <v>#DIV/0!</v>
      </c>
      <c r="E132" s="60" t="e">
        <f t="shared" ref="E132:E182" si="67">R132+AE132</f>
        <v>#DIV/0!</v>
      </c>
      <c r="F132" s="60" t="e">
        <f t="shared" ref="F132:F182" si="68">S132+AF132</f>
        <v>#DIV/0!</v>
      </c>
      <c r="G132" s="60" t="e">
        <f t="shared" ref="G132:G182" si="69">T132+AG132</f>
        <v>#DIV/0!</v>
      </c>
      <c r="H132" s="60" t="e">
        <f t="shared" ref="H132:H182" si="70">U132+AH132</f>
        <v>#DIV/0!</v>
      </c>
      <c r="I132" s="60" t="e">
        <f t="shared" ref="I132:I182" si="71">V132+AI132</f>
        <v>#DIV/0!</v>
      </c>
      <c r="J132" s="60" t="e">
        <f t="shared" ref="J132:J182" si="72">W132+AJ132</f>
        <v>#DIV/0!</v>
      </c>
      <c r="K132" s="60" t="e">
        <f t="shared" ref="K132:K182" si="73">X132+AK132</f>
        <v>#DIV/0!</v>
      </c>
      <c r="L132" s="60" t="e">
        <f t="shared" ref="L132:L182" si="74">Y132+AL132</f>
        <v>#DIV/0!</v>
      </c>
      <c r="M132" s="60" t="e">
        <f t="shared" ref="M132:M182" si="75">Z132+AM132</f>
        <v>#DIV/0!</v>
      </c>
      <c r="N132" s="60" t="e">
        <f t="shared" ref="N132:N182" si="76">AA132+AN132</f>
        <v>#DIV/0!</v>
      </c>
      <c r="O132" s="61" t="e">
        <f>Links!B132</f>
        <v>#DIV/0!</v>
      </c>
      <c r="P132" s="61" t="e">
        <f>Links!C132+'On-Ramps'!AC132</f>
        <v>#DIV/0!</v>
      </c>
      <c r="Q132" s="61" t="e">
        <f>Links!D132</f>
        <v>#DIV/0!</v>
      </c>
      <c r="R132" s="61" t="e">
        <f>Links!E132+'On-Ramps'!AD132</f>
        <v>#DIV/0!</v>
      </c>
      <c r="S132" s="61" t="e">
        <f>Links!F132+'On-Ramps'!AE132</f>
        <v>#DIV/0!</v>
      </c>
      <c r="T132" s="61" t="e">
        <f>Links!G132+'On-Ramps'!AF132</f>
        <v>#DIV/0!</v>
      </c>
      <c r="U132" s="61" t="e">
        <f>Links!H132+'On-Ramps'!AG132</f>
        <v>#DIV/0!</v>
      </c>
      <c r="V132" s="61" t="e">
        <f>Links!J132+'On-Ramps'!AH132</f>
        <v>#DIV/0!</v>
      </c>
      <c r="W132" s="61" t="e">
        <f>Links!K132+'On-Ramps'!AI132</f>
        <v>#DIV/0!</v>
      </c>
      <c r="X132" s="61" t="e">
        <f>Links!L132+'On-Ramps'!AJ132</f>
        <v>#DIV/0!</v>
      </c>
      <c r="Y132" s="61" t="e">
        <f>Links!M132</f>
        <v>#DIV/0!</v>
      </c>
      <c r="Z132" s="61" t="e">
        <f>Links!N132+'On-Ramps'!AK132</f>
        <v>#DIV/0!</v>
      </c>
      <c r="AA132" s="61" t="e">
        <f>Links!O132</f>
        <v>#DIV/0!</v>
      </c>
      <c r="AB132" s="60" t="e">
        <f t="shared" si="47"/>
        <v>#DIV/0!</v>
      </c>
      <c r="AC132" s="60" t="e">
        <f t="shared" si="48"/>
        <v>#DIV/0!</v>
      </c>
      <c r="AD132" s="60" t="e">
        <f t="shared" si="49"/>
        <v>#DIV/0!</v>
      </c>
      <c r="AE132" s="60" t="e">
        <f t="shared" si="50"/>
        <v>#DIV/0!</v>
      </c>
      <c r="AF132" s="60" t="e">
        <f t="shared" si="51"/>
        <v>#DIV/0!</v>
      </c>
      <c r="AG132" s="60" t="e">
        <f t="shared" si="52"/>
        <v>#DIV/0!</v>
      </c>
      <c r="AH132" s="60" t="e">
        <f t="shared" si="53"/>
        <v>#DIV/0!</v>
      </c>
      <c r="AI132" s="60" t="e">
        <f t="shared" si="54"/>
        <v>#DIV/0!</v>
      </c>
      <c r="AJ132" s="60" t="e">
        <f t="shared" si="55"/>
        <v>#DIV/0!</v>
      </c>
      <c r="AK132" s="60" t="e">
        <f t="shared" si="56"/>
        <v>#DIV/0!</v>
      </c>
      <c r="AL132" s="60" t="e">
        <f t="shared" si="57"/>
        <v>#DIV/0!</v>
      </c>
      <c r="AM132" s="60" t="e">
        <f t="shared" si="58"/>
        <v>#DIV/0!</v>
      </c>
      <c r="AN132" s="60" t="e">
        <f t="shared" si="60"/>
        <v>#DIV/0!</v>
      </c>
      <c r="AO132" s="61" t="e">
        <f t="shared" si="63"/>
        <v>#DIV/0!</v>
      </c>
      <c r="AP132" s="61" t="e">
        <f t="shared" si="62"/>
        <v>#DIV/0!</v>
      </c>
      <c r="AQ132" s="61" t="e">
        <f t="shared" si="62"/>
        <v>#DIV/0!</v>
      </c>
      <c r="AR132" s="61" t="e">
        <f t="shared" si="62"/>
        <v>#DIV/0!</v>
      </c>
      <c r="AS132" s="61" t="e">
        <f t="shared" si="62"/>
        <v>#DIV/0!</v>
      </c>
      <c r="AT132" s="61" t="e">
        <f t="shared" si="62"/>
        <v>#DIV/0!</v>
      </c>
      <c r="AU132" s="61" t="e">
        <f t="shared" si="62"/>
        <v>#DIV/0!</v>
      </c>
      <c r="AV132" s="61" t="e">
        <f t="shared" si="62"/>
        <v>#DIV/0!</v>
      </c>
      <c r="AW132" s="61" t="e">
        <f t="shared" si="62"/>
        <v>#DIV/0!</v>
      </c>
      <c r="AX132" s="61" t="e">
        <f t="shared" si="62"/>
        <v>#DIV/0!</v>
      </c>
      <c r="AY132" s="61" t="e">
        <f t="shared" si="62"/>
        <v>#DIV/0!</v>
      </c>
      <c r="AZ132" s="61" t="e">
        <f t="shared" si="62"/>
        <v>#DIV/0!</v>
      </c>
      <c r="BA132" s="61" t="e">
        <f t="shared" si="62"/>
        <v>#DIV/0!</v>
      </c>
      <c r="BB132" s="60" t="e">
        <f>Links!AF132</f>
        <v>#DIV/0!</v>
      </c>
      <c r="BC132" s="60" t="e">
        <f>(Links!AG132*Links!C132+'On-Ramps'!AC132*'On-Ramps'!CE132)/('On-Ramps'!AC132+Links!C132)</f>
        <v>#DIV/0!</v>
      </c>
      <c r="BD132" s="60" t="e">
        <f>Links!AH132</f>
        <v>#DIV/0!</v>
      </c>
      <c r="BE132" s="60" t="e">
        <f>(Links!AI132*Links!E132+'On-Ramps'!AD132*'On-Ramps'!CF131)/('On-Ramps'!AD132+Links!E132)</f>
        <v>#DIV/0!</v>
      </c>
      <c r="BF132" s="60" t="e">
        <f>(Links!F132*Links!AJ132+'On-Ramps'!AE132*'On-Ramps'!CG132)/('On-Ramps'!AE132+Links!F132)</f>
        <v>#DIV/0!</v>
      </c>
      <c r="BG132" s="60" t="e">
        <f>(Links!G132*Links!AK132+'On-Ramps'!AF132*'On-Ramps'!CH132)/('On-Ramps'!AF132+Links!G132)</f>
        <v>#DIV/0!</v>
      </c>
      <c r="BH132" s="60" t="e">
        <f>(Links!H132*Links!AL132+'On-Ramps'!AG132*'On-Ramps'!CI132)/('On-Ramps'!AG132+Links!H132)</f>
        <v>#DIV/0!</v>
      </c>
      <c r="BI132" s="60" t="e">
        <f>(Links!J132*Links!AN132+'On-Ramps'!AH132*'On-Ramps'!CJ132)/('On-Ramps'!AH132+Links!J132)</f>
        <v>#DIV/0!</v>
      </c>
      <c r="BJ132" s="60" t="e">
        <f>(Links!K132*Links!AO132+'On-Ramps'!AI132*'On-Ramps'!CK132)/('On-Ramps'!AI132+Links!K132)</f>
        <v>#DIV/0!</v>
      </c>
      <c r="BK132" s="60" t="e">
        <f>(Links!L132*Links!AP132+'On-Ramps'!AJ132*'On-Ramps'!CL132)/(Links!L132+'On-Ramps'!AJ132)</f>
        <v>#DIV/0!</v>
      </c>
      <c r="BL132" s="60" t="e">
        <f>Links!AQ132</f>
        <v>#DIV/0!</v>
      </c>
      <c r="BM132" s="60" t="e">
        <f>(Links!N132*Links!AR132+'On-Ramps'!AL132*'On-Ramps'!CM132)/(Links!N132+'On-Ramps'!AL132)</f>
        <v>#DIV/0!</v>
      </c>
      <c r="BN132" s="60" t="e">
        <f>Links!AS132</f>
        <v>#DIV/0!</v>
      </c>
      <c r="BO132" s="61" t="e">
        <f>(Links!R132^2+'Off-Ramp'!L132^2)/(Links!R132+'Off-Ramp'!L132)</f>
        <v>#DIV/0!</v>
      </c>
      <c r="BP132" s="61" t="e">
        <f>Links!S132</f>
        <v>#DIV/0!</v>
      </c>
      <c r="BQ132" s="61" t="e">
        <f>(Links!S132^2+'Off-Ramp'!C132^2)/(Links!S132+'Off-Ramp'!C132)</f>
        <v>#DIV/0!</v>
      </c>
      <c r="BR132" s="61" t="e">
        <f>Links!T132</f>
        <v>#DIV/0!</v>
      </c>
      <c r="BS132" s="61" t="e">
        <f>(Links!U132^2+'Off-Ramp'!N132^2)/(Links!U132+'Off-Ramp'!N132)</f>
        <v>#DIV/0!</v>
      </c>
      <c r="BT132" s="61" t="e">
        <f>(Links!V132^2+'Off-Ramp'!O132^2)/(Links!V132+'Off-Ramp'!O132)</f>
        <v>#DIV/0!</v>
      </c>
      <c r="BU132" s="61" t="e">
        <f>(Links!W132^2+'Off-Ramp'!P132^2)/(Links!W132+'Off-Ramp'!P132)</f>
        <v>#DIV/0!</v>
      </c>
      <c r="BV132" s="61" t="e">
        <f>(Links!Y132^2+'Off-Ramp'!Q132^2)/(Links!Y132+'Off-Ramp'!Q132)</f>
        <v>#DIV/0!</v>
      </c>
      <c r="BW132" s="61" t="e">
        <f>(Links!Z132^2+'Off-Ramp'!R132^2)/(Links!Z132+'Off-Ramp'!R132)</f>
        <v>#DIV/0!</v>
      </c>
      <c r="BX132" s="61" t="e">
        <f>(Links!AA132+'Off-Ramp'!S132)/(Links!AA132^2+'Off-Ramp'!S132^2)</f>
        <v>#DIV/0!</v>
      </c>
      <c r="BY132" s="61" t="e">
        <f>(Links!AB132^2+'Off-Ramp'!T132^2)/(Links!AB132+'Off-Ramp'!T132)</f>
        <v>#DIV/0!</v>
      </c>
      <c r="BZ132" s="61" t="e">
        <f>Links!AC132</f>
        <v>#DIV/0!</v>
      </c>
      <c r="CA132" s="61" t="e">
        <f>(Links!AD132^2+'Off-Ramp'!U132^2)/(Links!AD132+'Off-Ramp'!U132)</f>
        <v>#DIV/0!</v>
      </c>
    </row>
    <row r="133" spans="1:79" x14ac:dyDescent="0.15">
      <c r="A133" s="59">
        <v>131</v>
      </c>
      <c r="B133" s="60" t="e">
        <f t="shared" si="64"/>
        <v>#DIV/0!</v>
      </c>
      <c r="C133" s="60" t="e">
        <f t="shared" si="65"/>
        <v>#DIV/0!</v>
      </c>
      <c r="D133" s="60" t="e">
        <f t="shared" si="66"/>
        <v>#DIV/0!</v>
      </c>
      <c r="E133" s="60" t="e">
        <f t="shared" si="67"/>
        <v>#DIV/0!</v>
      </c>
      <c r="F133" s="60" t="e">
        <f t="shared" si="68"/>
        <v>#DIV/0!</v>
      </c>
      <c r="G133" s="60" t="e">
        <f t="shared" si="69"/>
        <v>#DIV/0!</v>
      </c>
      <c r="H133" s="60" t="e">
        <f t="shared" si="70"/>
        <v>#DIV/0!</v>
      </c>
      <c r="I133" s="60" t="e">
        <f t="shared" si="71"/>
        <v>#DIV/0!</v>
      </c>
      <c r="J133" s="60" t="e">
        <f t="shared" si="72"/>
        <v>#DIV/0!</v>
      </c>
      <c r="K133" s="60" t="e">
        <f t="shared" si="73"/>
        <v>#DIV/0!</v>
      </c>
      <c r="L133" s="60" t="e">
        <f t="shared" si="74"/>
        <v>#DIV/0!</v>
      </c>
      <c r="M133" s="60" t="e">
        <f t="shared" si="75"/>
        <v>#DIV/0!</v>
      </c>
      <c r="N133" s="60" t="e">
        <f t="shared" si="76"/>
        <v>#DIV/0!</v>
      </c>
      <c r="O133" s="61" t="e">
        <f>Links!B133</f>
        <v>#DIV/0!</v>
      </c>
      <c r="P133" s="61" t="e">
        <f>Links!C133+'On-Ramps'!AC133</f>
        <v>#DIV/0!</v>
      </c>
      <c r="Q133" s="61" t="e">
        <f>Links!D133</f>
        <v>#DIV/0!</v>
      </c>
      <c r="R133" s="61" t="e">
        <f>Links!E133+'On-Ramps'!AD133</f>
        <v>#DIV/0!</v>
      </c>
      <c r="S133" s="61" t="e">
        <f>Links!F133+'On-Ramps'!AE133</f>
        <v>#DIV/0!</v>
      </c>
      <c r="T133" s="61" t="e">
        <f>Links!G133+'On-Ramps'!AF133</f>
        <v>#DIV/0!</v>
      </c>
      <c r="U133" s="61" t="e">
        <f>Links!H133+'On-Ramps'!AG133</f>
        <v>#DIV/0!</v>
      </c>
      <c r="V133" s="61" t="e">
        <f>Links!J133+'On-Ramps'!AH133</f>
        <v>#DIV/0!</v>
      </c>
      <c r="W133" s="61" t="e">
        <f>Links!K133+'On-Ramps'!AI133</f>
        <v>#DIV/0!</v>
      </c>
      <c r="X133" s="61" t="e">
        <f>Links!L133+'On-Ramps'!AJ133</f>
        <v>#DIV/0!</v>
      </c>
      <c r="Y133" s="61" t="e">
        <f>Links!M133</f>
        <v>#DIV/0!</v>
      </c>
      <c r="Z133" s="61" t="e">
        <f>Links!N133+'On-Ramps'!AK133</f>
        <v>#DIV/0!</v>
      </c>
      <c r="AA133" s="61" t="e">
        <f>Links!O133</f>
        <v>#DIV/0!</v>
      </c>
      <c r="AB133" s="60" t="e">
        <f t="shared" ref="AB133:AB182" si="77">AO133*(1-AO133)*O133</f>
        <v>#DIV/0!</v>
      </c>
      <c r="AC133" s="60" t="e">
        <f t="shared" ref="AC133:AC182" si="78">AP133*(1-AP133)*P133</f>
        <v>#DIV/0!</v>
      </c>
      <c r="AD133" s="60" t="e">
        <f t="shared" ref="AD133:AD182" si="79">AQ133*(1-AQ133)*Q133</f>
        <v>#DIV/0!</v>
      </c>
      <c r="AE133" s="60" t="e">
        <f t="shared" ref="AE133:AE182" si="80">AR133*(1-AR133)*R133</f>
        <v>#DIV/0!</v>
      </c>
      <c r="AF133" s="60" t="e">
        <f t="shared" ref="AF133:AF182" si="81">AS133*(1-AS133)*S133</f>
        <v>#DIV/0!</v>
      </c>
      <c r="AG133" s="60" t="e">
        <f t="shared" ref="AG133:AG182" si="82">AT133*(1-AT133)*T133</f>
        <v>#DIV/0!</v>
      </c>
      <c r="AH133" s="60" t="e">
        <f t="shared" ref="AH133:AH182" si="83">AU133*(1-AU133)*U133</f>
        <v>#DIV/0!</v>
      </c>
      <c r="AI133" s="60" t="e">
        <f t="shared" ref="AI133:AI182" si="84">AV133*(1-AV133)*V133</f>
        <v>#DIV/0!</v>
      </c>
      <c r="AJ133" s="60" t="e">
        <f t="shared" ref="AJ133:AJ182" si="85">AW133*(1-AW133)*W133</f>
        <v>#DIV/0!</v>
      </c>
      <c r="AK133" s="60" t="e">
        <f t="shared" ref="AK133:AK182" si="86">AX133*(1-AX133)*X133</f>
        <v>#DIV/0!</v>
      </c>
      <c r="AL133" s="60" t="e">
        <f t="shared" ref="AL133:AL182" si="87">AY133*(1-AY133)*Y133</f>
        <v>#DIV/0!</v>
      </c>
      <c r="AM133" s="60" t="e">
        <f t="shared" ref="AM133:AM182" si="88">AZ133*(1-AZ133)*Z133</f>
        <v>#DIV/0!</v>
      </c>
      <c r="AN133" s="60" t="e">
        <f t="shared" si="60"/>
        <v>#DIV/0!</v>
      </c>
      <c r="AO133" s="61" t="e">
        <f t="shared" si="63"/>
        <v>#DIV/0!</v>
      </c>
      <c r="AP133" s="61" t="e">
        <f t="shared" si="62"/>
        <v>#DIV/0!</v>
      </c>
      <c r="AQ133" s="61" t="e">
        <f t="shared" si="62"/>
        <v>#DIV/0!</v>
      </c>
      <c r="AR133" s="61" t="e">
        <f t="shared" si="62"/>
        <v>#DIV/0!</v>
      </c>
      <c r="AS133" s="61" t="e">
        <f t="shared" si="62"/>
        <v>#DIV/0!</v>
      </c>
      <c r="AT133" s="61" t="e">
        <f t="shared" si="62"/>
        <v>#DIV/0!</v>
      </c>
      <c r="AU133" s="61" t="e">
        <f t="shared" si="62"/>
        <v>#DIV/0!</v>
      </c>
      <c r="AV133" s="61" t="e">
        <f t="shared" si="62"/>
        <v>#DIV/0!</v>
      </c>
      <c r="AW133" s="61" t="e">
        <f t="shared" si="62"/>
        <v>#DIV/0!</v>
      </c>
      <c r="AX133" s="61" t="e">
        <f t="shared" si="62"/>
        <v>#DIV/0!</v>
      </c>
      <c r="AY133" s="61" t="e">
        <f t="shared" si="62"/>
        <v>#DIV/0!</v>
      </c>
      <c r="AZ133" s="61" t="e">
        <f t="shared" si="62"/>
        <v>#DIV/0!</v>
      </c>
      <c r="BA133" s="61" t="e">
        <f t="shared" si="62"/>
        <v>#DIV/0!</v>
      </c>
      <c r="BB133" s="60" t="e">
        <f>Links!AF133</f>
        <v>#DIV/0!</v>
      </c>
      <c r="BC133" s="60" t="e">
        <f>(Links!AG133*Links!C133+'On-Ramps'!AC133*'On-Ramps'!CE133)/('On-Ramps'!AC133+Links!C133)</f>
        <v>#DIV/0!</v>
      </c>
      <c r="BD133" s="60" t="e">
        <f>Links!AH133</f>
        <v>#DIV/0!</v>
      </c>
      <c r="BE133" s="60" t="e">
        <f>(Links!AI133*Links!E133+'On-Ramps'!AD133*'On-Ramps'!CF132)/('On-Ramps'!AD133+Links!E133)</f>
        <v>#DIV/0!</v>
      </c>
      <c r="BF133" s="60" t="e">
        <f>(Links!F133*Links!AJ133+'On-Ramps'!AE133*'On-Ramps'!CG133)/('On-Ramps'!AE133+Links!F133)</f>
        <v>#DIV/0!</v>
      </c>
      <c r="BG133" s="60" t="e">
        <f>(Links!G133*Links!AK133+'On-Ramps'!AF133*'On-Ramps'!CH133)/('On-Ramps'!AF133+Links!G133)</f>
        <v>#DIV/0!</v>
      </c>
      <c r="BH133" s="60" t="e">
        <f>(Links!H133*Links!AL133+'On-Ramps'!AG133*'On-Ramps'!CI133)/('On-Ramps'!AG133+Links!H133)</f>
        <v>#DIV/0!</v>
      </c>
      <c r="BI133" s="60" t="e">
        <f>(Links!J133*Links!AN133+'On-Ramps'!AH133*'On-Ramps'!CJ133)/('On-Ramps'!AH133+Links!J133)</f>
        <v>#DIV/0!</v>
      </c>
      <c r="BJ133" s="60" t="e">
        <f>(Links!K133*Links!AO133+'On-Ramps'!AI133*'On-Ramps'!CK133)/('On-Ramps'!AI133+Links!K133)</f>
        <v>#DIV/0!</v>
      </c>
      <c r="BK133" s="60" t="e">
        <f>(Links!L133*Links!AP133+'On-Ramps'!AJ133*'On-Ramps'!CL133)/(Links!L133+'On-Ramps'!AJ133)</f>
        <v>#DIV/0!</v>
      </c>
      <c r="BL133" s="60" t="e">
        <f>Links!AQ133</f>
        <v>#DIV/0!</v>
      </c>
      <c r="BM133" s="60" t="e">
        <f>(Links!N133*Links!AR133+'On-Ramps'!AL133*'On-Ramps'!CM133)/(Links!N133+'On-Ramps'!AL133)</f>
        <v>#DIV/0!</v>
      </c>
      <c r="BN133" s="60" t="e">
        <f>Links!AS133</f>
        <v>#DIV/0!</v>
      </c>
      <c r="BO133" s="61" t="e">
        <f>(Links!R133^2+'Off-Ramp'!L133^2)/(Links!R133+'Off-Ramp'!L133)</f>
        <v>#DIV/0!</v>
      </c>
      <c r="BP133" s="61" t="e">
        <f>Links!S133</f>
        <v>#DIV/0!</v>
      </c>
      <c r="BQ133" s="61" t="e">
        <f>(Links!S133^2+'Off-Ramp'!C133^2)/(Links!S133+'Off-Ramp'!C133)</f>
        <v>#DIV/0!</v>
      </c>
      <c r="BR133" s="61" t="e">
        <f>Links!T133</f>
        <v>#DIV/0!</v>
      </c>
      <c r="BS133" s="61" t="e">
        <f>(Links!U133^2+'Off-Ramp'!N133^2)/(Links!U133+'Off-Ramp'!N133)</f>
        <v>#DIV/0!</v>
      </c>
      <c r="BT133" s="61" t="e">
        <f>(Links!V133^2+'Off-Ramp'!O133^2)/(Links!V133+'Off-Ramp'!O133)</f>
        <v>#DIV/0!</v>
      </c>
      <c r="BU133" s="61" t="e">
        <f>(Links!W133^2+'Off-Ramp'!P133^2)/(Links!W133+'Off-Ramp'!P133)</f>
        <v>#DIV/0!</v>
      </c>
      <c r="BV133" s="61" t="e">
        <f>(Links!Y133^2+'Off-Ramp'!Q133^2)/(Links!Y133+'Off-Ramp'!Q133)</f>
        <v>#DIV/0!</v>
      </c>
      <c r="BW133" s="61" t="e">
        <f>(Links!Z133^2+'Off-Ramp'!R133^2)/(Links!Z133+'Off-Ramp'!R133)</f>
        <v>#DIV/0!</v>
      </c>
      <c r="BX133" s="61" t="e">
        <f>(Links!AA133+'Off-Ramp'!S133)/(Links!AA133^2+'Off-Ramp'!S133^2)</f>
        <v>#DIV/0!</v>
      </c>
      <c r="BY133" s="61" t="e">
        <f>(Links!AB133^2+'Off-Ramp'!T133^2)/(Links!AB133+'Off-Ramp'!T133)</f>
        <v>#DIV/0!</v>
      </c>
      <c r="BZ133" s="61" t="e">
        <f>Links!AC133</f>
        <v>#DIV/0!</v>
      </c>
      <c r="CA133" s="61" t="e">
        <f>(Links!AD133^2+'Off-Ramp'!U133^2)/(Links!AD133+'Off-Ramp'!U133)</f>
        <v>#DIV/0!</v>
      </c>
    </row>
    <row r="134" spans="1:79" x14ac:dyDescent="0.15">
      <c r="A134" s="59">
        <v>132</v>
      </c>
      <c r="B134" s="60" t="e">
        <f t="shared" si="64"/>
        <v>#DIV/0!</v>
      </c>
      <c r="C134" s="60" t="e">
        <f t="shared" si="65"/>
        <v>#DIV/0!</v>
      </c>
      <c r="D134" s="60" t="e">
        <f t="shared" si="66"/>
        <v>#DIV/0!</v>
      </c>
      <c r="E134" s="60" t="e">
        <f t="shared" si="67"/>
        <v>#DIV/0!</v>
      </c>
      <c r="F134" s="60" t="e">
        <f t="shared" si="68"/>
        <v>#DIV/0!</v>
      </c>
      <c r="G134" s="60" t="e">
        <f t="shared" si="69"/>
        <v>#DIV/0!</v>
      </c>
      <c r="H134" s="60" t="e">
        <f t="shared" si="70"/>
        <v>#DIV/0!</v>
      </c>
      <c r="I134" s="60" t="e">
        <f t="shared" si="71"/>
        <v>#DIV/0!</v>
      </c>
      <c r="J134" s="60" t="e">
        <f t="shared" si="72"/>
        <v>#DIV/0!</v>
      </c>
      <c r="K134" s="60" t="e">
        <f t="shared" si="73"/>
        <v>#DIV/0!</v>
      </c>
      <c r="L134" s="60" t="e">
        <f t="shared" si="74"/>
        <v>#DIV/0!</v>
      </c>
      <c r="M134" s="60" t="e">
        <f t="shared" si="75"/>
        <v>#DIV/0!</v>
      </c>
      <c r="N134" s="60" t="e">
        <f t="shared" si="76"/>
        <v>#DIV/0!</v>
      </c>
      <c r="O134" s="61" t="e">
        <f>Links!B134</f>
        <v>#DIV/0!</v>
      </c>
      <c r="P134" s="61" t="e">
        <f>Links!C134+'On-Ramps'!AC134</f>
        <v>#DIV/0!</v>
      </c>
      <c r="Q134" s="61" t="e">
        <f>Links!D134</f>
        <v>#DIV/0!</v>
      </c>
      <c r="R134" s="61" t="e">
        <f>Links!E134+'On-Ramps'!AD134</f>
        <v>#DIV/0!</v>
      </c>
      <c r="S134" s="61" t="e">
        <f>Links!F134+'On-Ramps'!AE134</f>
        <v>#DIV/0!</v>
      </c>
      <c r="T134" s="61" t="e">
        <f>Links!G134+'On-Ramps'!AF134</f>
        <v>#DIV/0!</v>
      </c>
      <c r="U134" s="61" t="e">
        <f>Links!H134+'On-Ramps'!AG134</f>
        <v>#DIV/0!</v>
      </c>
      <c r="V134" s="61" t="e">
        <f>Links!J134+'On-Ramps'!AH134</f>
        <v>#DIV/0!</v>
      </c>
      <c r="W134" s="61" t="e">
        <f>Links!K134+'On-Ramps'!AI134</f>
        <v>#DIV/0!</v>
      </c>
      <c r="X134" s="61" t="e">
        <f>Links!L134+'On-Ramps'!AJ134</f>
        <v>#DIV/0!</v>
      </c>
      <c r="Y134" s="61" t="e">
        <f>Links!M134</f>
        <v>#DIV/0!</v>
      </c>
      <c r="Z134" s="61" t="e">
        <f>Links!N134+'On-Ramps'!AK134</f>
        <v>#DIV/0!</v>
      </c>
      <c r="AA134" s="61" t="e">
        <f>Links!O134</f>
        <v>#DIV/0!</v>
      </c>
      <c r="AB134" s="60" t="e">
        <f t="shared" si="77"/>
        <v>#DIV/0!</v>
      </c>
      <c r="AC134" s="60" t="e">
        <f t="shared" si="78"/>
        <v>#DIV/0!</v>
      </c>
      <c r="AD134" s="60" t="e">
        <f t="shared" si="79"/>
        <v>#DIV/0!</v>
      </c>
      <c r="AE134" s="60" t="e">
        <f t="shared" si="80"/>
        <v>#DIV/0!</v>
      </c>
      <c r="AF134" s="60" t="e">
        <f t="shared" si="81"/>
        <v>#DIV/0!</v>
      </c>
      <c r="AG134" s="60" t="e">
        <f t="shared" si="82"/>
        <v>#DIV/0!</v>
      </c>
      <c r="AH134" s="60" t="e">
        <f t="shared" si="83"/>
        <v>#DIV/0!</v>
      </c>
      <c r="AI134" s="60" t="e">
        <f t="shared" si="84"/>
        <v>#DIV/0!</v>
      </c>
      <c r="AJ134" s="60" t="e">
        <f t="shared" si="85"/>
        <v>#DIV/0!</v>
      </c>
      <c r="AK134" s="60" t="e">
        <f t="shared" si="86"/>
        <v>#DIV/0!</v>
      </c>
      <c r="AL134" s="60" t="e">
        <f t="shared" si="87"/>
        <v>#DIV/0!</v>
      </c>
      <c r="AM134" s="60" t="e">
        <f t="shared" si="88"/>
        <v>#DIV/0!</v>
      </c>
      <c r="AN134" s="60" t="e">
        <f t="shared" si="60"/>
        <v>#DIV/0!</v>
      </c>
      <c r="AO134" s="61" t="e">
        <f t="shared" si="63"/>
        <v>#DIV/0!</v>
      </c>
      <c r="AP134" s="61" t="e">
        <f t="shared" si="62"/>
        <v>#DIV/0!</v>
      </c>
      <c r="AQ134" s="61" t="e">
        <f t="shared" si="62"/>
        <v>#DIV/0!</v>
      </c>
      <c r="AR134" s="61" t="e">
        <f t="shared" si="62"/>
        <v>#DIV/0!</v>
      </c>
      <c r="AS134" s="61" t="e">
        <f t="shared" si="62"/>
        <v>#DIV/0!</v>
      </c>
      <c r="AT134" s="61" t="e">
        <f t="shared" si="62"/>
        <v>#DIV/0!</v>
      </c>
      <c r="AU134" s="61" t="e">
        <f t="shared" si="62"/>
        <v>#DIV/0!</v>
      </c>
      <c r="AV134" s="61" t="e">
        <f t="shared" si="62"/>
        <v>#DIV/0!</v>
      </c>
      <c r="AW134" s="61" t="e">
        <f t="shared" si="62"/>
        <v>#DIV/0!</v>
      </c>
      <c r="AX134" s="61" t="e">
        <f t="shared" si="62"/>
        <v>#DIV/0!</v>
      </c>
      <c r="AY134" s="61" t="e">
        <f t="shared" si="62"/>
        <v>#DIV/0!</v>
      </c>
      <c r="AZ134" s="61" t="e">
        <f t="shared" si="62"/>
        <v>#DIV/0!</v>
      </c>
      <c r="BA134" s="61" t="e">
        <f t="shared" si="62"/>
        <v>#DIV/0!</v>
      </c>
      <c r="BB134" s="60" t="e">
        <f>Links!AF134</f>
        <v>#DIV/0!</v>
      </c>
      <c r="BC134" s="60" t="e">
        <f>(Links!AG134*Links!C134+'On-Ramps'!AC134*'On-Ramps'!CE134)/('On-Ramps'!AC134+Links!C134)</f>
        <v>#DIV/0!</v>
      </c>
      <c r="BD134" s="60" t="e">
        <f>Links!AH134</f>
        <v>#DIV/0!</v>
      </c>
      <c r="BE134" s="60" t="e">
        <f>(Links!AI134*Links!E134+'On-Ramps'!AD134*'On-Ramps'!CF133)/('On-Ramps'!AD134+Links!E134)</f>
        <v>#DIV/0!</v>
      </c>
      <c r="BF134" s="60" t="e">
        <f>(Links!F134*Links!AJ134+'On-Ramps'!AE134*'On-Ramps'!CG134)/('On-Ramps'!AE134+Links!F134)</f>
        <v>#DIV/0!</v>
      </c>
      <c r="BG134" s="60" t="e">
        <f>(Links!G134*Links!AK134+'On-Ramps'!AF134*'On-Ramps'!CH134)/('On-Ramps'!AF134+Links!G134)</f>
        <v>#DIV/0!</v>
      </c>
      <c r="BH134" s="60" t="e">
        <f>(Links!H134*Links!AL134+'On-Ramps'!AG134*'On-Ramps'!CI134)/('On-Ramps'!AG134+Links!H134)</f>
        <v>#DIV/0!</v>
      </c>
      <c r="BI134" s="60" t="e">
        <f>(Links!J134*Links!AN134+'On-Ramps'!AH134*'On-Ramps'!CJ134)/('On-Ramps'!AH134+Links!J134)</f>
        <v>#DIV/0!</v>
      </c>
      <c r="BJ134" s="60" t="e">
        <f>(Links!K134*Links!AO134+'On-Ramps'!AI134*'On-Ramps'!CK134)/('On-Ramps'!AI134+Links!K134)</f>
        <v>#DIV/0!</v>
      </c>
      <c r="BK134" s="60" t="e">
        <f>(Links!L134*Links!AP134+'On-Ramps'!AJ134*'On-Ramps'!CL134)/(Links!L134+'On-Ramps'!AJ134)</f>
        <v>#DIV/0!</v>
      </c>
      <c r="BL134" s="60" t="e">
        <f>Links!AQ134</f>
        <v>#DIV/0!</v>
      </c>
      <c r="BM134" s="60" t="e">
        <f>(Links!N134*Links!AR134+'On-Ramps'!AL134*'On-Ramps'!CM134)/(Links!N134+'On-Ramps'!AL134)</f>
        <v>#DIV/0!</v>
      </c>
      <c r="BN134" s="60" t="e">
        <f>Links!AS134</f>
        <v>#DIV/0!</v>
      </c>
      <c r="BO134" s="61" t="e">
        <f>(Links!R134^2+'Off-Ramp'!L134^2)/(Links!R134+'Off-Ramp'!L134)</f>
        <v>#DIV/0!</v>
      </c>
      <c r="BP134" s="61" t="e">
        <f>Links!S134</f>
        <v>#DIV/0!</v>
      </c>
      <c r="BQ134" s="61" t="e">
        <f>(Links!S134^2+'Off-Ramp'!C134^2)/(Links!S134+'Off-Ramp'!C134)</f>
        <v>#DIV/0!</v>
      </c>
      <c r="BR134" s="61" t="e">
        <f>Links!T134</f>
        <v>#DIV/0!</v>
      </c>
      <c r="BS134" s="61" t="e">
        <f>(Links!U134^2+'Off-Ramp'!N134^2)/(Links!U134+'Off-Ramp'!N134)</f>
        <v>#DIV/0!</v>
      </c>
      <c r="BT134" s="61" t="e">
        <f>(Links!V134^2+'Off-Ramp'!O134^2)/(Links!V134+'Off-Ramp'!O134)</f>
        <v>#DIV/0!</v>
      </c>
      <c r="BU134" s="61" t="e">
        <f>(Links!W134^2+'Off-Ramp'!P134^2)/(Links!W134+'Off-Ramp'!P134)</f>
        <v>#DIV/0!</v>
      </c>
      <c r="BV134" s="61" t="e">
        <f>(Links!Y134^2+'Off-Ramp'!Q134^2)/(Links!Y134+'Off-Ramp'!Q134)</f>
        <v>#DIV/0!</v>
      </c>
      <c r="BW134" s="61" t="e">
        <f>(Links!Z134^2+'Off-Ramp'!R134^2)/(Links!Z134+'Off-Ramp'!R134)</f>
        <v>#DIV/0!</v>
      </c>
      <c r="BX134" s="61" t="e">
        <f>(Links!AA134+'Off-Ramp'!S134)/(Links!AA134^2+'Off-Ramp'!S134^2)</f>
        <v>#DIV/0!</v>
      </c>
      <c r="BY134" s="61" t="e">
        <f>(Links!AB134^2+'Off-Ramp'!T134^2)/(Links!AB134+'Off-Ramp'!T134)</f>
        <v>#DIV/0!</v>
      </c>
      <c r="BZ134" s="61" t="e">
        <f>Links!AC134</f>
        <v>#DIV/0!</v>
      </c>
      <c r="CA134" s="61" t="e">
        <f>(Links!AD134^2+'Off-Ramp'!U134^2)/(Links!AD134+'Off-Ramp'!U134)</f>
        <v>#DIV/0!</v>
      </c>
    </row>
    <row r="135" spans="1:79" x14ac:dyDescent="0.15">
      <c r="A135" s="59">
        <v>133</v>
      </c>
      <c r="B135" s="60" t="e">
        <f t="shared" si="64"/>
        <v>#DIV/0!</v>
      </c>
      <c r="C135" s="60" t="e">
        <f t="shared" si="65"/>
        <v>#DIV/0!</v>
      </c>
      <c r="D135" s="60" t="e">
        <f t="shared" si="66"/>
        <v>#DIV/0!</v>
      </c>
      <c r="E135" s="60" t="e">
        <f t="shared" si="67"/>
        <v>#DIV/0!</v>
      </c>
      <c r="F135" s="60" t="e">
        <f t="shared" si="68"/>
        <v>#DIV/0!</v>
      </c>
      <c r="G135" s="60" t="e">
        <f t="shared" si="69"/>
        <v>#DIV/0!</v>
      </c>
      <c r="H135" s="60" t="e">
        <f t="shared" si="70"/>
        <v>#DIV/0!</v>
      </c>
      <c r="I135" s="60" t="e">
        <f t="shared" si="71"/>
        <v>#DIV/0!</v>
      </c>
      <c r="J135" s="60" t="e">
        <f t="shared" si="72"/>
        <v>#DIV/0!</v>
      </c>
      <c r="K135" s="60" t="e">
        <f t="shared" si="73"/>
        <v>#DIV/0!</v>
      </c>
      <c r="L135" s="60" t="e">
        <f t="shared" si="74"/>
        <v>#DIV/0!</v>
      </c>
      <c r="M135" s="60" t="e">
        <f t="shared" si="75"/>
        <v>#DIV/0!</v>
      </c>
      <c r="N135" s="60" t="e">
        <f t="shared" si="76"/>
        <v>#DIV/0!</v>
      </c>
      <c r="O135" s="61" t="e">
        <f>Links!B135</f>
        <v>#DIV/0!</v>
      </c>
      <c r="P135" s="61" t="e">
        <f>Links!C135+'On-Ramps'!AC135</f>
        <v>#DIV/0!</v>
      </c>
      <c r="Q135" s="61" t="e">
        <f>Links!D135</f>
        <v>#DIV/0!</v>
      </c>
      <c r="R135" s="61" t="e">
        <f>Links!E135+'On-Ramps'!AD135</f>
        <v>#DIV/0!</v>
      </c>
      <c r="S135" s="61" t="e">
        <f>Links!F135+'On-Ramps'!AE135</f>
        <v>#DIV/0!</v>
      </c>
      <c r="T135" s="61" t="e">
        <f>Links!G135+'On-Ramps'!AF135</f>
        <v>#DIV/0!</v>
      </c>
      <c r="U135" s="61" t="e">
        <f>Links!H135+'On-Ramps'!AG135</f>
        <v>#DIV/0!</v>
      </c>
      <c r="V135" s="61" t="e">
        <f>Links!J135+'On-Ramps'!AH135</f>
        <v>#DIV/0!</v>
      </c>
      <c r="W135" s="61" t="e">
        <f>Links!K135+'On-Ramps'!AI135</f>
        <v>#DIV/0!</v>
      </c>
      <c r="X135" s="61" t="e">
        <f>Links!L135+'On-Ramps'!AJ135</f>
        <v>#DIV/0!</v>
      </c>
      <c r="Y135" s="61" t="e">
        <f>Links!M135</f>
        <v>#DIV/0!</v>
      </c>
      <c r="Z135" s="61" t="e">
        <f>Links!N135+'On-Ramps'!AK135</f>
        <v>#DIV/0!</v>
      </c>
      <c r="AA135" s="61" t="e">
        <f>Links!O135</f>
        <v>#DIV/0!</v>
      </c>
      <c r="AB135" s="60" t="e">
        <f t="shared" si="77"/>
        <v>#DIV/0!</v>
      </c>
      <c r="AC135" s="60" t="e">
        <f t="shared" si="78"/>
        <v>#DIV/0!</v>
      </c>
      <c r="AD135" s="60" t="e">
        <f t="shared" si="79"/>
        <v>#DIV/0!</v>
      </c>
      <c r="AE135" s="60" t="e">
        <f t="shared" si="80"/>
        <v>#DIV/0!</v>
      </c>
      <c r="AF135" s="60" t="e">
        <f t="shared" si="81"/>
        <v>#DIV/0!</v>
      </c>
      <c r="AG135" s="60" t="e">
        <f t="shared" si="82"/>
        <v>#DIV/0!</v>
      </c>
      <c r="AH135" s="60" t="e">
        <f t="shared" si="83"/>
        <v>#DIV/0!</v>
      </c>
      <c r="AI135" s="60" t="e">
        <f t="shared" si="84"/>
        <v>#DIV/0!</v>
      </c>
      <c r="AJ135" s="60" t="e">
        <f t="shared" si="85"/>
        <v>#DIV/0!</v>
      </c>
      <c r="AK135" s="60" t="e">
        <f t="shared" si="86"/>
        <v>#DIV/0!</v>
      </c>
      <c r="AL135" s="60" t="e">
        <f t="shared" si="87"/>
        <v>#DIV/0!</v>
      </c>
      <c r="AM135" s="60" t="e">
        <f t="shared" si="88"/>
        <v>#DIV/0!</v>
      </c>
      <c r="AN135" s="60" t="e">
        <f t="shared" si="60"/>
        <v>#DIV/0!</v>
      </c>
      <c r="AO135" s="61" t="e">
        <f t="shared" si="63"/>
        <v>#DIV/0!</v>
      </c>
      <c r="AP135" s="61" t="e">
        <f t="shared" si="62"/>
        <v>#DIV/0!</v>
      </c>
      <c r="AQ135" s="61" t="e">
        <f t="shared" si="62"/>
        <v>#DIV/0!</v>
      </c>
      <c r="AR135" s="61" t="e">
        <f t="shared" si="62"/>
        <v>#DIV/0!</v>
      </c>
      <c r="AS135" s="61" t="e">
        <f t="shared" si="62"/>
        <v>#DIV/0!</v>
      </c>
      <c r="AT135" s="61" t="e">
        <f t="shared" si="62"/>
        <v>#DIV/0!</v>
      </c>
      <c r="AU135" s="61" t="e">
        <f t="shared" si="62"/>
        <v>#DIV/0!</v>
      </c>
      <c r="AV135" s="61" t="e">
        <f t="shared" si="62"/>
        <v>#DIV/0!</v>
      </c>
      <c r="AW135" s="61" t="e">
        <f t="shared" si="62"/>
        <v>#DIV/0!</v>
      </c>
      <c r="AX135" s="61" t="e">
        <f t="shared" si="62"/>
        <v>#DIV/0!</v>
      </c>
      <c r="AY135" s="61" t="e">
        <f t="shared" si="62"/>
        <v>#DIV/0!</v>
      </c>
      <c r="AZ135" s="61" t="e">
        <f t="shared" si="62"/>
        <v>#DIV/0!</v>
      </c>
      <c r="BA135" s="61" t="e">
        <f t="shared" si="62"/>
        <v>#DIV/0!</v>
      </c>
      <c r="BB135" s="60" t="e">
        <f>Links!AF135</f>
        <v>#DIV/0!</v>
      </c>
      <c r="BC135" s="60" t="e">
        <f>(Links!AG135*Links!C135+'On-Ramps'!AC135*'On-Ramps'!CE135)/('On-Ramps'!AC135+Links!C135)</f>
        <v>#DIV/0!</v>
      </c>
      <c r="BD135" s="60" t="e">
        <f>Links!AH135</f>
        <v>#DIV/0!</v>
      </c>
      <c r="BE135" s="60" t="e">
        <f>(Links!AI135*Links!E135+'On-Ramps'!AD135*'On-Ramps'!CF134)/('On-Ramps'!AD135+Links!E135)</f>
        <v>#DIV/0!</v>
      </c>
      <c r="BF135" s="60" t="e">
        <f>(Links!F135*Links!AJ135+'On-Ramps'!AE135*'On-Ramps'!CG135)/('On-Ramps'!AE135+Links!F135)</f>
        <v>#DIV/0!</v>
      </c>
      <c r="BG135" s="60" t="e">
        <f>(Links!G135*Links!AK135+'On-Ramps'!AF135*'On-Ramps'!CH135)/('On-Ramps'!AF135+Links!G135)</f>
        <v>#DIV/0!</v>
      </c>
      <c r="BH135" s="60" t="e">
        <f>(Links!H135*Links!AL135+'On-Ramps'!AG135*'On-Ramps'!CI135)/('On-Ramps'!AG135+Links!H135)</f>
        <v>#DIV/0!</v>
      </c>
      <c r="BI135" s="60" t="e">
        <f>(Links!J135*Links!AN135+'On-Ramps'!AH135*'On-Ramps'!CJ135)/('On-Ramps'!AH135+Links!J135)</f>
        <v>#DIV/0!</v>
      </c>
      <c r="BJ135" s="60" t="e">
        <f>(Links!K135*Links!AO135+'On-Ramps'!AI135*'On-Ramps'!CK135)/('On-Ramps'!AI135+Links!K135)</f>
        <v>#DIV/0!</v>
      </c>
      <c r="BK135" s="60" t="e">
        <f>(Links!L135*Links!AP135+'On-Ramps'!AJ135*'On-Ramps'!CL135)/(Links!L135+'On-Ramps'!AJ135)</f>
        <v>#DIV/0!</v>
      </c>
      <c r="BL135" s="60" t="e">
        <f>Links!AQ135</f>
        <v>#DIV/0!</v>
      </c>
      <c r="BM135" s="60" t="e">
        <f>(Links!N135*Links!AR135+'On-Ramps'!AL135*'On-Ramps'!CM135)/(Links!N135+'On-Ramps'!AL135)</f>
        <v>#DIV/0!</v>
      </c>
      <c r="BN135" s="60" t="e">
        <f>Links!AS135</f>
        <v>#DIV/0!</v>
      </c>
      <c r="BO135" s="61" t="e">
        <f>(Links!R135^2+'Off-Ramp'!L135^2)/(Links!R135+'Off-Ramp'!L135)</f>
        <v>#DIV/0!</v>
      </c>
      <c r="BP135" s="61" t="e">
        <f>Links!S135</f>
        <v>#DIV/0!</v>
      </c>
      <c r="BQ135" s="61" t="e">
        <f>(Links!S135^2+'Off-Ramp'!C135^2)/(Links!S135+'Off-Ramp'!C135)</f>
        <v>#DIV/0!</v>
      </c>
      <c r="BR135" s="61" t="e">
        <f>Links!T135</f>
        <v>#DIV/0!</v>
      </c>
      <c r="BS135" s="61" t="e">
        <f>(Links!U135^2+'Off-Ramp'!N135^2)/(Links!U135+'Off-Ramp'!N135)</f>
        <v>#DIV/0!</v>
      </c>
      <c r="BT135" s="61" t="e">
        <f>(Links!V135^2+'Off-Ramp'!O135^2)/(Links!V135+'Off-Ramp'!O135)</f>
        <v>#DIV/0!</v>
      </c>
      <c r="BU135" s="61" t="e">
        <f>(Links!W135^2+'Off-Ramp'!P135^2)/(Links!W135+'Off-Ramp'!P135)</f>
        <v>#DIV/0!</v>
      </c>
      <c r="BV135" s="61" t="e">
        <f>(Links!Y135^2+'Off-Ramp'!Q135^2)/(Links!Y135+'Off-Ramp'!Q135)</f>
        <v>#DIV/0!</v>
      </c>
      <c r="BW135" s="61" t="e">
        <f>(Links!Z135^2+'Off-Ramp'!R135^2)/(Links!Z135+'Off-Ramp'!R135)</f>
        <v>#DIV/0!</v>
      </c>
      <c r="BX135" s="61" t="e">
        <f>(Links!AA135+'Off-Ramp'!S135)/(Links!AA135^2+'Off-Ramp'!S135^2)</f>
        <v>#DIV/0!</v>
      </c>
      <c r="BY135" s="61" t="e">
        <f>(Links!AB135^2+'Off-Ramp'!T135^2)/(Links!AB135+'Off-Ramp'!T135)</f>
        <v>#DIV/0!</v>
      </c>
      <c r="BZ135" s="61" t="e">
        <f>Links!AC135</f>
        <v>#DIV/0!</v>
      </c>
      <c r="CA135" s="61" t="e">
        <f>(Links!AD135^2+'Off-Ramp'!U135^2)/(Links!AD135+'Off-Ramp'!U135)</f>
        <v>#DIV/0!</v>
      </c>
    </row>
    <row r="136" spans="1:79" x14ac:dyDescent="0.15">
      <c r="A136" s="59">
        <v>134</v>
      </c>
      <c r="B136" s="60" t="e">
        <f t="shared" si="64"/>
        <v>#DIV/0!</v>
      </c>
      <c r="C136" s="60" t="e">
        <f t="shared" si="65"/>
        <v>#DIV/0!</v>
      </c>
      <c r="D136" s="60" t="e">
        <f t="shared" si="66"/>
        <v>#DIV/0!</v>
      </c>
      <c r="E136" s="60" t="e">
        <f t="shared" si="67"/>
        <v>#DIV/0!</v>
      </c>
      <c r="F136" s="60" t="e">
        <f t="shared" si="68"/>
        <v>#DIV/0!</v>
      </c>
      <c r="G136" s="60" t="e">
        <f t="shared" si="69"/>
        <v>#DIV/0!</v>
      </c>
      <c r="H136" s="60" t="e">
        <f t="shared" si="70"/>
        <v>#DIV/0!</v>
      </c>
      <c r="I136" s="60" t="e">
        <f t="shared" si="71"/>
        <v>#DIV/0!</v>
      </c>
      <c r="J136" s="60" t="e">
        <f t="shared" si="72"/>
        <v>#DIV/0!</v>
      </c>
      <c r="K136" s="60" t="e">
        <f t="shared" si="73"/>
        <v>#DIV/0!</v>
      </c>
      <c r="L136" s="60" t="e">
        <f t="shared" si="74"/>
        <v>#DIV/0!</v>
      </c>
      <c r="M136" s="60" t="e">
        <f t="shared" si="75"/>
        <v>#DIV/0!</v>
      </c>
      <c r="N136" s="60" t="e">
        <f t="shared" si="76"/>
        <v>#DIV/0!</v>
      </c>
      <c r="O136" s="61" t="e">
        <f>Links!B136</f>
        <v>#DIV/0!</v>
      </c>
      <c r="P136" s="61" t="e">
        <f>Links!C136+'On-Ramps'!AC136</f>
        <v>#DIV/0!</v>
      </c>
      <c r="Q136" s="61" t="e">
        <f>Links!D136</f>
        <v>#DIV/0!</v>
      </c>
      <c r="R136" s="61" t="e">
        <f>Links!E136+'On-Ramps'!AD136</f>
        <v>#DIV/0!</v>
      </c>
      <c r="S136" s="61" t="e">
        <f>Links!F136+'On-Ramps'!AE136</f>
        <v>#DIV/0!</v>
      </c>
      <c r="T136" s="61" t="e">
        <f>Links!G136+'On-Ramps'!AF136</f>
        <v>#DIV/0!</v>
      </c>
      <c r="U136" s="61" t="e">
        <f>Links!H136+'On-Ramps'!AG136</f>
        <v>#DIV/0!</v>
      </c>
      <c r="V136" s="61" t="e">
        <f>Links!J136+'On-Ramps'!AH136</f>
        <v>#DIV/0!</v>
      </c>
      <c r="W136" s="61" t="e">
        <f>Links!K136+'On-Ramps'!AI136</f>
        <v>#DIV/0!</v>
      </c>
      <c r="X136" s="61" t="e">
        <f>Links!L136+'On-Ramps'!AJ136</f>
        <v>#DIV/0!</v>
      </c>
      <c r="Y136" s="61" t="e">
        <f>Links!M136</f>
        <v>#DIV/0!</v>
      </c>
      <c r="Z136" s="61" t="e">
        <f>Links!N136+'On-Ramps'!AK136</f>
        <v>#DIV/0!</v>
      </c>
      <c r="AA136" s="61" t="e">
        <f>Links!O136</f>
        <v>#DIV/0!</v>
      </c>
      <c r="AB136" s="60" t="e">
        <f t="shared" si="77"/>
        <v>#DIV/0!</v>
      </c>
      <c r="AC136" s="60" t="e">
        <f t="shared" si="78"/>
        <v>#DIV/0!</v>
      </c>
      <c r="AD136" s="60" t="e">
        <f t="shared" si="79"/>
        <v>#DIV/0!</v>
      </c>
      <c r="AE136" s="60" t="e">
        <f t="shared" si="80"/>
        <v>#DIV/0!</v>
      </c>
      <c r="AF136" s="60" t="e">
        <f t="shared" si="81"/>
        <v>#DIV/0!</v>
      </c>
      <c r="AG136" s="60" t="e">
        <f t="shared" si="82"/>
        <v>#DIV/0!</v>
      </c>
      <c r="AH136" s="60" t="e">
        <f t="shared" si="83"/>
        <v>#DIV/0!</v>
      </c>
      <c r="AI136" s="60" t="e">
        <f t="shared" si="84"/>
        <v>#DIV/0!</v>
      </c>
      <c r="AJ136" s="60" t="e">
        <f t="shared" si="85"/>
        <v>#DIV/0!</v>
      </c>
      <c r="AK136" s="60" t="e">
        <f t="shared" si="86"/>
        <v>#DIV/0!</v>
      </c>
      <c r="AL136" s="60" t="e">
        <f t="shared" si="87"/>
        <v>#DIV/0!</v>
      </c>
      <c r="AM136" s="60" t="e">
        <f t="shared" si="88"/>
        <v>#DIV/0!</v>
      </c>
      <c r="AN136" s="60" t="e">
        <f t="shared" si="60"/>
        <v>#DIV/0!</v>
      </c>
      <c r="AO136" s="61" t="e">
        <f t="shared" si="63"/>
        <v>#DIV/0!</v>
      </c>
      <c r="AP136" s="61" t="e">
        <f t="shared" si="62"/>
        <v>#DIV/0!</v>
      </c>
      <c r="AQ136" s="61" t="e">
        <f t="shared" si="62"/>
        <v>#DIV/0!</v>
      </c>
      <c r="AR136" s="61" t="e">
        <f t="shared" si="62"/>
        <v>#DIV/0!</v>
      </c>
      <c r="AS136" s="61" t="e">
        <f t="shared" si="62"/>
        <v>#DIV/0!</v>
      </c>
      <c r="AT136" s="61" t="e">
        <f t="shared" si="62"/>
        <v>#DIV/0!</v>
      </c>
      <c r="AU136" s="61" t="e">
        <f t="shared" si="62"/>
        <v>#DIV/0!</v>
      </c>
      <c r="AV136" s="61" t="e">
        <f t="shared" si="62"/>
        <v>#DIV/0!</v>
      </c>
      <c r="AW136" s="61" t="e">
        <f t="shared" si="62"/>
        <v>#DIV/0!</v>
      </c>
      <c r="AX136" s="61" t="e">
        <f t="shared" si="62"/>
        <v>#DIV/0!</v>
      </c>
      <c r="AY136" s="61" t="e">
        <f t="shared" si="62"/>
        <v>#DIV/0!</v>
      </c>
      <c r="AZ136" s="61" t="e">
        <f t="shared" si="62"/>
        <v>#DIV/0!</v>
      </c>
      <c r="BA136" s="61" t="e">
        <f t="shared" si="62"/>
        <v>#DIV/0!</v>
      </c>
      <c r="BB136" s="60" t="e">
        <f>Links!AF136</f>
        <v>#DIV/0!</v>
      </c>
      <c r="BC136" s="60" t="e">
        <f>(Links!AG136*Links!C136+'On-Ramps'!AC136*'On-Ramps'!CE136)/('On-Ramps'!AC136+Links!C136)</f>
        <v>#DIV/0!</v>
      </c>
      <c r="BD136" s="60" t="e">
        <f>Links!AH136</f>
        <v>#DIV/0!</v>
      </c>
      <c r="BE136" s="60" t="e">
        <f>(Links!AI136*Links!E136+'On-Ramps'!AD136*'On-Ramps'!CF135)/('On-Ramps'!AD136+Links!E136)</f>
        <v>#DIV/0!</v>
      </c>
      <c r="BF136" s="60" t="e">
        <f>(Links!F136*Links!AJ136+'On-Ramps'!AE136*'On-Ramps'!CG136)/('On-Ramps'!AE136+Links!F136)</f>
        <v>#DIV/0!</v>
      </c>
      <c r="BG136" s="60" t="e">
        <f>(Links!G136*Links!AK136+'On-Ramps'!AF136*'On-Ramps'!CH136)/('On-Ramps'!AF136+Links!G136)</f>
        <v>#DIV/0!</v>
      </c>
      <c r="BH136" s="60" t="e">
        <f>(Links!H136*Links!AL136+'On-Ramps'!AG136*'On-Ramps'!CI136)/('On-Ramps'!AG136+Links!H136)</f>
        <v>#DIV/0!</v>
      </c>
      <c r="BI136" s="60" t="e">
        <f>(Links!J136*Links!AN136+'On-Ramps'!AH136*'On-Ramps'!CJ136)/('On-Ramps'!AH136+Links!J136)</f>
        <v>#DIV/0!</v>
      </c>
      <c r="BJ136" s="60" t="e">
        <f>(Links!K136*Links!AO136+'On-Ramps'!AI136*'On-Ramps'!CK136)/('On-Ramps'!AI136+Links!K136)</f>
        <v>#DIV/0!</v>
      </c>
      <c r="BK136" s="60" t="e">
        <f>(Links!L136*Links!AP136+'On-Ramps'!AJ136*'On-Ramps'!CL136)/(Links!L136+'On-Ramps'!AJ136)</f>
        <v>#DIV/0!</v>
      </c>
      <c r="BL136" s="60" t="e">
        <f>Links!AQ136</f>
        <v>#DIV/0!</v>
      </c>
      <c r="BM136" s="60" t="e">
        <f>(Links!N136*Links!AR136+'On-Ramps'!AL136*'On-Ramps'!CM136)/(Links!N136+'On-Ramps'!AL136)</f>
        <v>#DIV/0!</v>
      </c>
      <c r="BN136" s="60" t="e">
        <f>Links!AS136</f>
        <v>#DIV/0!</v>
      </c>
      <c r="BO136" s="61" t="e">
        <f>(Links!R136^2+'Off-Ramp'!L136^2)/(Links!R136+'Off-Ramp'!L136)</f>
        <v>#DIV/0!</v>
      </c>
      <c r="BP136" s="61" t="e">
        <f>Links!S136</f>
        <v>#DIV/0!</v>
      </c>
      <c r="BQ136" s="61" t="e">
        <f>(Links!S136^2+'Off-Ramp'!C136^2)/(Links!S136+'Off-Ramp'!C136)</f>
        <v>#DIV/0!</v>
      </c>
      <c r="BR136" s="61" t="e">
        <f>Links!T136</f>
        <v>#DIV/0!</v>
      </c>
      <c r="BS136" s="61" t="e">
        <f>(Links!U136^2+'Off-Ramp'!N136^2)/(Links!U136+'Off-Ramp'!N136)</f>
        <v>#DIV/0!</v>
      </c>
      <c r="BT136" s="61" t="e">
        <f>(Links!V136^2+'Off-Ramp'!O136^2)/(Links!V136+'Off-Ramp'!O136)</f>
        <v>#DIV/0!</v>
      </c>
      <c r="BU136" s="61" t="e">
        <f>(Links!W136^2+'Off-Ramp'!P136^2)/(Links!W136+'Off-Ramp'!P136)</f>
        <v>#DIV/0!</v>
      </c>
      <c r="BV136" s="61" t="e">
        <f>(Links!Y136^2+'Off-Ramp'!Q136^2)/(Links!Y136+'Off-Ramp'!Q136)</f>
        <v>#DIV/0!</v>
      </c>
      <c r="BW136" s="61" t="e">
        <f>(Links!Z136^2+'Off-Ramp'!R136^2)/(Links!Z136+'Off-Ramp'!R136)</f>
        <v>#DIV/0!</v>
      </c>
      <c r="BX136" s="61" t="e">
        <f>(Links!AA136+'Off-Ramp'!S136)/(Links!AA136^2+'Off-Ramp'!S136^2)</f>
        <v>#DIV/0!</v>
      </c>
      <c r="BY136" s="61" t="e">
        <f>(Links!AB136^2+'Off-Ramp'!T136^2)/(Links!AB136+'Off-Ramp'!T136)</f>
        <v>#DIV/0!</v>
      </c>
      <c r="BZ136" s="61" t="e">
        <f>Links!AC136</f>
        <v>#DIV/0!</v>
      </c>
      <c r="CA136" s="61" t="e">
        <f>(Links!AD136^2+'Off-Ramp'!U136^2)/(Links!AD136+'Off-Ramp'!U136)</f>
        <v>#DIV/0!</v>
      </c>
    </row>
    <row r="137" spans="1:79" x14ac:dyDescent="0.15">
      <c r="A137" s="59">
        <v>135</v>
      </c>
      <c r="B137" s="60" t="e">
        <f t="shared" si="64"/>
        <v>#DIV/0!</v>
      </c>
      <c r="C137" s="60" t="e">
        <f t="shared" si="65"/>
        <v>#DIV/0!</v>
      </c>
      <c r="D137" s="60" t="e">
        <f t="shared" si="66"/>
        <v>#DIV/0!</v>
      </c>
      <c r="E137" s="60" t="e">
        <f t="shared" si="67"/>
        <v>#DIV/0!</v>
      </c>
      <c r="F137" s="60" t="e">
        <f t="shared" si="68"/>
        <v>#DIV/0!</v>
      </c>
      <c r="G137" s="60" t="e">
        <f t="shared" si="69"/>
        <v>#DIV/0!</v>
      </c>
      <c r="H137" s="60" t="e">
        <f t="shared" si="70"/>
        <v>#DIV/0!</v>
      </c>
      <c r="I137" s="60" t="e">
        <f t="shared" si="71"/>
        <v>#DIV/0!</v>
      </c>
      <c r="J137" s="60" t="e">
        <f t="shared" si="72"/>
        <v>#DIV/0!</v>
      </c>
      <c r="K137" s="60" t="e">
        <f t="shared" si="73"/>
        <v>#DIV/0!</v>
      </c>
      <c r="L137" s="60" t="e">
        <f t="shared" si="74"/>
        <v>#DIV/0!</v>
      </c>
      <c r="M137" s="60" t="e">
        <f t="shared" si="75"/>
        <v>#DIV/0!</v>
      </c>
      <c r="N137" s="60" t="e">
        <f t="shared" si="76"/>
        <v>#DIV/0!</v>
      </c>
      <c r="O137" s="61" t="e">
        <f>Links!B137</f>
        <v>#DIV/0!</v>
      </c>
      <c r="P137" s="61" t="e">
        <f>Links!C137+'On-Ramps'!AC137</f>
        <v>#DIV/0!</v>
      </c>
      <c r="Q137" s="61" t="e">
        <f>Links!D137</f>
        <v>#DIV/0!</v>
      </c>
      <c r="R137" s="61" t="e">
        <f>Links!E137+'On-Ramps'!AD137</f>
        <v>#DIV/0!</v>
      </c>
      <c r="S137" s="61" t="e">
        <f>Links!F137+'On-Ramps'!AE137</f>
        <v>#DIV/0!</v>
      </c>
      <c r="T137" s="61" t="e">
        <f>Links!G137+'On-Ramps'!AF137</f>
        <v>#DIV/0!</v>
      </c>
      <c r="U137" s="61" t="e">
        <f>Links!H137+'On-Ramps'!AG137</f>
        <v>#DIV/0!</v>
      </c>
      <c r="V137" s="61" t="e">
        <f>Links!J137+'On-Ramps'!AH137</f>
        <v>#DIV/0!</v>
      </c>
      <c r="W137" s="61" t="e">
        <f>Links!K137+'On-Ramps'!AI137</f>
        <v>#DIV/0!</v>
      </c>
      <c r="X137" s="61" t="e">
        <f>Links!L137+'On-Ramps'!AJ137</f>
        <v>#DIV/0!</v>
      </c>
      <c r="Y137" s="61" t="e">
        <f>Links!M137</f>
        <v>#DIV/0!</v>
      </c>
      <c r="Z137" s="61" t="e">
        <f>Links!N137+'On-Ramps'!AK137</f>
        <v>#DIV/0!</v>
      </c>
      <c r="AA137" s="61" t="e">
        <f>Links!O137</f>
        <v>#DIV/0!</v>
      </c>
      <c r="AB137" s="60" t="e">
        <f t="shared" si="77"/>
        <v>#DIV/0!</v>
      </c>
      <c r="AC137" s="60" t="e">
        <f t="shared" si="78"/>
        <v>#DIV/0!</v>
      </c>
      <c r="AD137" s="60" t="e">
        <f t="shared" si="79"/>
        <v>#DIV/0!</v>
      </c>
      <c r="AE137" s="60" t="e">
        <f t="shared" si="80"/>
        <v>#DIV/0!</v>
      </c>
      <c r="AF137" s="60" t="e">
        <f t="shared" si="81"/>
        <v>#DIV/0!</v>
      </c>
      <c r="AG137" s="60" t="e">
        <f t="shared" si="82"/>
        <v>#DIV/0!</v>
      </c>
      <c r="AH137" s="60" t="e">
        <f t="shared" si="83"/>
        <v>#DIV/0!</v>
      </c>
      <c r="AI137" s="60" t="e">
        <f t="shared" si="84"/>
        <v>#DIV/0!</v>
      </c>
      <c r="AJ137" s="60" t="e">
        <f t="shared" si="85"/>
        <v>#DIV/0!</v>
      </c>
      <c r="AK137" s="60" t="e">
        <f t="shared" si="86"/>
        <v>#DIV/0!</v>
      </c>
      <c r="AL137" s="60" t="e">
        <f t="shared" si="87"/>
        <v>#DIV/0!</v>
      </c>
      <c r="AM137" s="60" t="e">
        <f t="shared" si="88"/>
        <v>#DIV/0!</v>
      </c>
      <c r="AN137" s="60" t="e">
        <f t="shared" si="60"/>
        <v>#DIV/0!</v>
      </c>
      <c r="AO137" s="61" t="e">
        <f t="shared" si="63"/>
        <v>#DIV/0!</v>
      </c>
      <c r="AP137" s="61" t="e">
        <f t="shared" si="62"/>
        <v>#DIV/0!</v>
      </c>
      <c r="AQ137" s="61" t="e">
        <f t="shared" si="62"/>
        <v>#DIV/0!</v>
      </c>
      <c r="AR137" s="61" t="e">
        <f t="shared" si="62"/>
        <v>#DIV/0!</v>
      </c>
      <c r="AS137" s="61" t="e">
        <f t="shared" si="62"/>
        <v>#DIV/0!</v>
      </c>
      <c r="AT137" s="61" t="e">
        <f t="shared" si="62"/>
        <v>#DIV/0!</v>
      </c>
      <c r="AU137" s="61" t="e">
        <f t="shared" si="62"/>
        <v>#DIV/0!</v>
      </c>
      <c r="AV137" s="61" t="e">
        <f t="shared" si="62"/>
        <v>#DIV/0!</v>
      </c>
      <c r="AW137" s="61" t="e">
        <f t="shared" si="62"/>
        <v>#DIV/0!</v>
      </c>
      <c r="AX137" s="61" t="e">
        <f t="shared" si="62"/>
        <v>#DIV/0!</v>
      </c>
      <c r="AY137" s="61" t="e">
        <f t="shared" si="62"/>
        <v>#DIV/0!</v>
      </c>
      <c r="AZ137" s="61" t="e">
        <f t="shared" si="62"/>
        <v>#DIV/0!</v>
      </c>
      <c r="BA137" s="61" t="e">
        <f t="shared" si="62"/>
        <v>#DIV/0!</v>
      </c>
      <c r="BB137" s="60" t="e">
        <f>Links!AF137</f>
        <v>#DIV/0!</v>
      </c>
      <c r="BC137" s="60" t="e">
        <f>(Links!AG137*Links!C137+'On-Ramps'!AC137*'On-Ramps'!CE137)/('On-Ramps'!AC137+Links!C137)</f>
        <v>#DIV/0!</v>
      </c>
      <c r="BD137" s="60" t="e">
        <f>Links!AH137</f>
        <v>#DIV/0!</v>
      </c>
      <c r="BE137" s="60" t="e">
        <f>(Links!AI137*Links!E137+'On-Ramps'!AD137*'On-Ramps'!CF136)/('On-Ramps'!AD137+Links!E137)</f>
        <v>#DIV/0!</v>
      </c>
      <c r="BF137" s="60" t="e">
        <f>(Links!F137*Links!AJ137+'On-Ramps'!AE137*'On-Ramps'!CG137)/('On-Ramps'!AE137+Links!F137)</f>
        <v>#DIV/0!</v>
      </c>
      <c r="BG137" s="60" t="e">
        <f>(Links!G137*Links!AK137+'On-Ramps'!AF137*'On-Ramps'!CH137)/('On-Ramps'!AF137+Links!G137)</f>
        <v>#DIV/0!</v>
      </c>
      <c r="BH137" s="60" t="e">
        <f>(Links!H137*Links!AL137+'On-Ramps'!AG137*'On-Ramps'!CI137)/('On-Ramps'!AG137+Links!H137)</f>
        <v>#DIV/0!</v>
      </c>
      <c r="BI137" s="60" t="e">
        <f>(Links!J137*Links!AN137+'On-Ramps'!AH137*'On-Ramps'!CJ137)/('On-Ramps'!AH137+Links!J137)</f>
        <v>#DIV/0!</v>
      </c>
      <c r="BJ137" s="60" t="e">
        <f>(Links!K137*Links!AO137+'On-Ramps'!AI137*'On-Ramps'!CK137)/('On-Ramps'!AI137+Links!K137)</f>
        <v>#DIV/0!</v>
      </c>
      <c r="BK137" s="60" t="e">
        <f>(Links!L137*Links!AP137+'On-Ramps'!AJ137*'On-Ramps'!CL137)/(Links!L137+'On-Ramps'!AJ137)</f>
        <v>#DIV/0!</v>
      </c>
      <c r="BL137" s="60" t="e">
        <f>Links!AQ137</f>
        <v>#DIV/0!</v>
      </c>
      <c r="BM137" s="60" t="e">
        <f>(Links!N137*Links!AR137+'On-Ramps'!AL137*'On-Ramps'!CM137)/(Links!N137+'On-Ramps'!AL137)</f>
        <v>#DIV/0!</v>
      </c>
      <c r="BN137" s="60" t="e">
        <f>Links!AS137</f>
        <v>#DIV/0!</v>
      </c>
      <c r="BO137" s="61" t="e">
        <f>(Links!R137^2+'Off-Ramp'!L137^2)/(Links!R137+'Off-Ramp'!L137)</f>
        <v>#DIV/0!</v>
      </c>
      <c r="BP137" s="61" t="e">
        <f>Links!S137</f>
        <v>#DIV/0!</v>
      </c>
      <c r="BQ137" s="61" t="e">
        <f>(Links!S137^2+'Off-Ramp'!C137^2)/(Links!S137+'Off-Ramp'!C137)</f>
        <v>#DIV/0!</v>
      </c>
      <c r="BR137" s="61" t="e">
        <f>Links!T137</f>
        <v>#DIV/0!</v>
      </c>
      <c r="BS137" s="61" t="e">
        <f>(Links!U137^2+'Off-Ramp'!N137^2)/(Links!U137+'Off-Ramp'!N137)</f>
        <v>#DIV/0!</v>
      </c>
      <c r="BT137" s="61" t="e">
        <f>(Links!V137^2+'Off-Ramp'!O137^2)/(Links!V137+'Off-Ramp'!O137)</f>
        <v>#DIV/0!</v>
      </c>
      <c r="BU137" s="61" t="e">
        <f>(Links!W137^2+'Off-Ramp'!P137^2)/(Links!W137+'Off-Ramp'!P137)</f>
        <v>#DIV/0!</v>
      </c>
      <c r="BV137" s="61" t="e">
        <f>(Links!Y137^2+'Off-Ramp'!Q137^2)/(Links!Y137+'Off-Ramp'!Q137)</f>
        <v>#DIV/0!</v>
      </c>
      <c r="BW137" s="61" t="e">
        <f>(Links!Z137^2+'Off-Ramp'!R137^2)/(Links!Z137+'Off-Ramp'!R137)</f>
        <v>#DIV/0!</v>
      </c>
      <c r="BX137" s="61" t="e">
        <f>(Links!AA137+'Off-Ramp'!S137)/(Links!AA137^2+'Off-Ramp'!S137^2)</f>
        <v>#DIV/0!</v>
      </c>
      <c r="BY137" s="61" t="e">
        <f>(Links!AB137^2+'Off-Ramp'!T137^2)/(Links!AB137+'Off-Ramp'!T137)</f>
        <v>#DIV/0!</v>
      </c>
      <c r="BZ137" s="61" t="e">
        <f>Links!AC137</f>
        <v>#DIV/0!</v>
      </c>
      <c r="CA137" s="61" t="e">
        <f>(Links!AD137^2+'Off-Ramp'!U137^2)/(Links!AD137+'Off-Ramp'!U137)</f>
        <v>#DIV/0!</v>
      </c>
    </row>
    <row r="138" spans="1:79" x14ac:dyDescent="0.15">
      <c r="A138" s="59">
        <v>136</v>
      </c>
      <c r="B138" s="60" t="e">
        <f t="shared" si="64"/>
        <v>#DIV/0!</v>
      </c>
      <c r="C138" s="60" t="e">
        <f t="shared" si="65"/>
        <v>#DIV/0!</v>
      </c>
      <c r="D138" s="60" t="e">
        <f t="shared" si="66"/>
        <v>#DIV/0!</v>
      </c>
      <c r="E138" s="60" t="e">
        <f t="shared" si="67"/>
        <v>#DIV/0!</v>
      </c>
      <c r="F138" s="60" t="e">
        <f t="shared" si="68"/>
        <v>#DIV/0!</v>
      </c>
      <c r="G138" s="60" t="e">
        <f t="shared" si="69"/>
        <v>#DIV/0!</v>
      </c>
      <c r="H138" s="60" t="e">
        <f t="shared" si="70"/>
        <v>#DIV/0!</v>
      </c>
      <c r="I138" s="60" t="e">
        <f t="shared" si="71"/>
        <v>#DIV/0!</v>
      </c>
      <c r="J138" s="60" t="e">
        <f t="shared" si="72"/>
        <v>#DIV/0!</v>
      </c>
      <c r="K138" s="60" t="e">
        <f t="shared" si="73"/>
        <v>#DIV/0!</v>
      </c>
      <c r="L138" s="60" t="e">
        <f t="shared" si="74"/>
        <v>#DIV/0!</v>
      </c>
      <c r="M138" s="60" t="e">
        <f t="shared" si="75"/>
        <v>#DIV/0!</v>
      </c>
      <c r="N138" s="60" t="e">
        <f t="shared" si="76"/>
        <v>#DIV/0!</v>
      </c>
      <c r="O138" s="61" t="e">
        <f>Links!B138</f>
        <v>#DIV/0!</v>
      </c>
      <c r="P138" s="61" t="e">
        <f>Links!C138+'On-Ramps'!AC138</f>
        <v>#DIV/0!</v>
      </c>
      <c r="Q138" s="61" t="e">
        <f>Links!D138</f>
        <v>#DIV/0!</v>
      </c>
      <c r="R138" s="61" t="e">
        <f>Links!E138+'On-Ramps'!AD138</f>
        <v>#DIV/0!</v>
      </c>
      <c r="S138" s="61" t="e">
        <f>Links!F138+'On-Ramps'!AE138</f>
        <v>#DIV/0!</v>
      </c>
      <c r="T138" s="61" t="e">
        <f>Links!G138+'On-Ramps'!AF138</f>
        <v>#DIV/0!</v>
      </c>
      <c r="U138" s="61" t="e">
        <f>Links!H138+'On-Ramps'!AG138</f>
        <v>#DIV/0!</v>
      </c>
      <c r="V138" s="61" t="e">
        <f>Links!J138+'On-Ramps'!AH138</f>
        <v>#DIV/0!</v>
      </c>
      <c r="W138" s="61" t="e">
        <f>Links!K138+'On-Ramps'!AI138</f>
        <v>#DIV/0!</v>
      </c>
      <c r="X138" s="61" t="e">
        <f>Links!L138+'On-Ramps'!AJ138</f>
        <v>#DIV/0!</v>
      </c>
      <c r="Y138" s="61" t="e">
        <f>Links!M138</f>
        <v>#DIV/0!</v>
      </c>
      <c r="Z138" s="61" t="e">
        <f>Links!N138+'On-Ramps'!AK138</f>
        <v>#DIV/0!</v>
      </c>
      <c r="AA138" s="61" t="e">
        <f>Links!O138</f>
        <v>#DIV/0!</v>
      </c>
      <c r="AB138" s="60" t="e">
        <f t="shared" si="77"/>
        <v>#DIV/0!</v>
      </c>
      <c r="AC138" s="60" t="e">
        <f t="shared" si="78"/>
        <v>#DIV/0!</v>
      </c>
      <c r="AD138" s="60" t="e">
        <f t="shared" si="79"/>
        <v>#DIV/0!</v>
      </c>
      <c r="AE138" s="60" t="e">
        <f t="shared" si="80"/>
        <v>#DIV/0!</v>
      </c>
      <c r="AF138" s="60" t="e">
        <f t="shared" si="81"/>
        <v>#DIV/0!</v>
      </c>
      <c r="AG138" s="60" t="e">
        <f t="shared" si="82"/>
        <v>#DIV/0!</v>
      </c>
      <c r="AH138" s="60" t="e">
        <f t="shared" si="83"/>
        <v>#DIV/0!</v>
      </c>
      <c r="AI138" s="60" t="e">
        <f t="shared" si="84"/>
        <v>#DIV/0!</v>
      </c>
      <c r="AJ138" s="60" t="e">
        <f t="shared" si="85"/>
        <v>#DIV/0!</v>
      </c>
      <c r="AK138" s="60" t="e">
        <f t="shared" si="86"/>
        <v>#DIV/0!</v>
      </c>
      <c r="AL138" s="60" t="e">
        <f t="shared" si="87"/>
        <v>#DIV/0!</v>
      </c>
      <c r="AM138" s="60" t="e">
        <f t="shared" si="88"/>
        <v>#DIV/0!</v>
      </c>
      <c r="AN138" s="60" t="e">
        <f t="shared" si="60"/>
        <v>#DIV/0!</v>
      </c>
      <c r="AO138" s="61" t="e">
        <f t="shared" si="63"/>
        <v>#DIV/0!</v>
      </c>
      <c r="AP138" s="61" t="e">
        <f t="shared" si="62"/>
        <v>#DIV/0!</v>
      </c>
      <c r="AQ138" s="61" t="e">
        <f t="shared" si="62"/>
        <v>#DIV/0!</v>
      </c>
      <c r="AR138" s="61" t="e">
        <f t="shared" si="62"/>
        <v>#DIV/0!</v>
      </c>
      <c r="AS138" s="61" t="e">
        <f t="shared" si="62"/>
        <v>#DIV/0!</v>
      </c>
      <c r="AT138" s="61" t="e">
        <f t="shared" si="62"/>
        <v>#DIV/0!</v>
      </c>
      <c r="AU138" s="61" t="e">
        <f t="shared" si="62"/>
        <v>#DIV/0!</v>
      </c>
      <c r="AV138" s="61" t="e">
        <f t="shared" si="62"/>
        <v>#DIV/0!</v>
      </c>
      <c r="AW138" s="61" t="e">
        <f t="shared" si="62"/>
        <v>#DIV/0!</v>
      </c>
      <c r="AX138" s="61" t="e">
        <f t="shared" si="62"/>
        <v>#DIV/0!</v>
      </c>
      <c r="AY138" s="61" t="e">
        <f t="shared" si="62"/>
        <v>#DIV/0!</v>
      </c>
      <c r="AZ138" s="61" t="e">
        <f t="shared" si="62"/>
        <v>#DIV/0!</v>
      </c>
      <c r="BA138" s="61" t="e">
        <f t="shared" si="62"/>
        <v>#DIV/0!</v>
      </c>
      <c r="BB138" s="60" t="e">
        <f>Links!AF138</f>
        <v>#DIV/0!</v>
      </c>
      <c r="BC138" s="60" t="e">
        <f>(Links!AG138*Links!C138+'On-Ramps'!AC138*'On-Ramps'!CE138)/('On-Ramps'!AC138+Links!C138)</f>
        <v>#DIV/0!</v>
      </c>
      <c r="BD138" s="60" t="e">
        <f>Links!AH138</f>
        <v>#DIV/0!</v>
      </c>
      <c r="BE138" s="60" t="e">
        <f>(Links!AI138*Links!E138+'On-Ramps'!AD138*'On-Ramps'!CF137)/('On-Ramps'!AD138+Links!E138)</f>
        <v>#DIV/0!</v>
      </c>
      <c r="BF138" s="60" t="e">
        <f>(Links!F138*Links!AJ138+'On-Ramps'!AE138*'On-Ramps'!CG138)/('On-Ramps'!AE138+Links!F138)</f>
        <v>#DIV/0!</v>
      </c>
      <c r="BG138" s="60" t="e">
        <f>(Links!G138*Links!AK138+'On-Ramps'!AF138*'On-Ramps'!CH138)/('On-Ramps'!AF138+Links!G138)</f>
        <v>#DIV/0!</v>
      </c>
      <c r="BH138" s="60" t="e">
        <f>(Links!H138*Links!AL138+'On-Ramps'!AG138*'On-Ramps'!CI138)/('On-Ramps'!AG138+Links!H138)</f>
        <v>#DIV/0!</v>
      </c>
      <c r="BI138" s="60" t="e">
        <f>(Links!J138*Links!AN138+'On-Ramps'!AH138*'On-Ramps'!CJ138)/('On-Ramps'!AH138+Links!J138)</f>
        <v>#DIV/0!</v>
      </c>
      <c r="BJ138" s="60" t="e">
        <f>(Links!K138*Links!AO138+'On-Ramps'!AI138*'On-Ramps'!CK138)/('On-Ramps'!AI138+Links!K138)</f>
        <v>#DIV/0!</v>
      </c>
      <c r="BK138" s="60" t="e">
        <f>(Links!L138*Links!AP138+'On-Ramps'!AJ138*'On-Ramps'!CL138)/(Links!L138+'On-Ramps'!AJ138)</f>
        <v>#DIV/0!</v>
      </c>
      <c r="BL138" s="60" t="e">
        <f>Links!AQ138</f>
        <v>#DIV/0!</v>
      </c>
      <c r="BM138" s="60" t="e">
        <f>(Links!N138*Links!AR138+'On-Ramps'!AL138*'On-Ramps'!CM138)/(Links!N138+'On-Ramps'!AL138)</f>
        <v>#DIV/0!</v>
      </c>
      <c r="BN138" s="60" t="e">
        <f>Links!AS138</f>
        <v>#DIV/0!</v>
      </c>
      <c r="BO138" s="61" t="e">
        <f>(Links!R138^2+'Off-Ramp'!L138^2)/(Links!R138+'Off-Ramp'!L138)</f>
        <v>#DIV/0!</v>
      </c>
      <c r="BP138" s="61" t="e">
        <f>Links!S138</f>
        <v>#DIV/0!</v>
      </c>
      <c r="BQ138" s="61" t="e">
        <f>(Links!S138^2+'Off-Ramp'!C138^2)/(Links!S138+'Off-Ramp'!C138)</f>
        <v>#DIV/0!</v>
      </c>
      <c r="BR138" s="61" t="e">
        <f>Links!T138</f>
        <v>#DIV/0!</v>
      </c>
      <c r="BS138" s="61" t="e">
        <f>(Links!U138^2+'Off-Ramp'!N138^2)/(Links!U138+'Off-Ramp'!N138)</f>
        <v>#DIV/0!</v>
      </c>
      <c r="BT138" s="61" t="e">
        <f>(Links!V138^2+'Off-Ramp'!O138^2)/(Links!V138+'Off-Ramp'!O138)</f>
        <v>#DIV/0!</v>
      </c>
      <c r="BU138" s="61" t="e">
        <f>(Links!W138^2+'Off-Ramp'!P138^2)/(Links!W138+'Off-Ramp'!P138)</f>
        <v>#DIV/0!</v>
      </c>
      <c r="BV138" s="61" t="e">
        <f>(Links!Y138^2+'Off-Ramp'!Q138^2)/(Links!Y138+'Off-Ramp'!Q138)</f>
        <v>#DIV/0!</v>
      </c>
      <c r="BW138" s="61" t="e">
        <f>(Links!Z138^2+'Off-Ramp'!R138^2)/(Links!Z138+'Off-Ramp'!R138)</f>
        <v>#DIV/0!</v>
      </c>
      <c r="BX138" s="61" t="e">
        <f>(Links!AA138+'Off-Ramp'!S138)/(Links!AA138^2+'Off-Ramp'!S138^2)</f>
        <v>#DIV/0!</v>
      </c>
      <c r="BY138" s="61" t="e">
        <f>(Links!AB138^2+'Off-Ramp'!T138^2)/(Links!AB138+'Off-Ramp'!T138)</f>
        <v>#DIV/0!</v>
      </c>
      <c r="BZ138" s="61" t="e">
        <f>Links!AC138</f>
        <v>#DIV/0!</v>
      </c>
      <c r="CA138" s="61" t="e">
        <f>(Links!AD138^2+'Off-Ramp'!U138^2)/(Links!AD138+'Off-Ramp'!U138)</f>
        <v>#DIV/0!</v>
      </c>
    </row>
    <row r="139" spans="1:79" x14ac:dyDescent="0.15">
      <c r="A139" s="59">
        <v>137</v>
      </c>
      <c r="B139" s="60" t="e">
        <f t="shared" si="64"/>
        <v>#DIV/0!</v>
      </c>
      <c r="C139" s="60" t="e">
        <f t="shared" si="65"/>
        <v>#DIV/0!</v>
      </c>
      <c r="D139" s="60" t="e">
        <f t="shared" si="66"/>
        <v>#DIV/0!</v>
      </c>
      <c r="E139" s="60" t="e">
        <f t="shared" si="67"/>
        <v>#DIV/0!</v>
      </c>
      <c r="F139" s="60" t="e">
        <f t="shared" si="68"/>
        <v>#DIV/0!</v>
      </c>
      <c r="G139" s="60" t="e">
        <f t="shared" si="69"/>
        <v>#DIV/0!</v>
      </c>
      <c r="H139" s="60" t="e">
        <f t="shared" si="70"/>
        <v>#DIV/0!</v>
      </c>
      <c r="I139" s="60" t="e">
        <f t="shared" si="71"/>
        <v>#DIV/0!</v>
      </c>
      <c r="J139" s="60" t="e">
        <f t="shared" si="72"/>
        <v>#DIV/0!</v>
      </c>
      <c r="K139" s="60" t="e">
        <f t="shared" si="73"/>
        <v>#DIV/0!</v>
      </c>
      <c r="L139" s="60" t="e">
        <f t="shared" si="74"/>
        <v>#DIV/0!</v>
      </c>
      <c r="M139" s="60" t="e">
        <f t="shared" si="75"/>
        <v>#DIV/0!</v>
      </c>
      <c r="N139" s="60" t="e">
        <f t="shared" si="76"/>
        <v>#DIV/0!</v>
      </c>
      <c r="O139" s="61" t="e">
        <f>Links!B139</f>
        <v>#DIV/0!</v>
      </c>
      <c r="P139" s="61" t="e">
        <f>Links!C139+'On-Ramps'!AC139</f>
        <v>#DIV/0!</v>
      </c>
      <c r="Q139" s="61" t="e">
        <f>Links!D139</f>
        <v>#DIV/0!</v>
      </c>
      <c r="R139" s="61" t="e">
        <f>Links!E139+'On-Ramps'!AD139</f>
        <v>#DIV/0!</v>
      </c>
      <c r="S139" s="61" t="e">
        <f>Links!F139+'On-Ramps'!AE139</f>
        <v>#DIV/0!</v>
      </c>
      <c r="T139" s="61" t="e">
        <f>Links!G139+'On-Ramps'!AF139</f>
        <v>#DIV/0!</v>
      </c>
      <c r="U139" s="61" t="e">
        <f>Links!H139+'On-Ramps'!AG139</f>
        <v>#DIV/0!</v>
      </c>
      <c r="V139" s="61" t="e">
        <f>Links!J139+'On-Ramps'!AH139</f>
        <v>#DIV/0!</v>
      </c>
      <c r="W139" s="61" t="e">
        <f>Links!K139+'On-Ramps'!AI139</f>
        <v>#DIV/0!</v>
      </c>
      <c r="X139" s="61" t="e">
        <f>Links!L139+'On-Ramps'!AJ139</f>
        <v>#DIV/0!</v>
      </c>
      <c r="Y139" s="61" t="e">
        <f>Links!M139</f>
        <v>#DIV/0!</v>
      </c>
      <c r="Z139" s="61" t="e">
        <f>Links!N139+'On-Ramps'!AK139</f>
        <v>#DIV/0!</v>
      </c>
      <c r="AA139" s="61" t="e">
        <f>Links!O139</f>
        <v>#DIV/0!</v>
      </c>
      <c r="AB139" s="60" t="e">
        <f t="shared" si="77"/>
        <v>#DIV/0!</v>
      </c>
      <c r="AC139" s="60" t="e">
        <f t="shared" si="78"/>
        <v>#DIV/0!</v>
      </c>
      <c r="AD139" s="60" t="e">
        <f t="shared" si="79"/>
        <v>#DIV/0!</v>
      </c>
      <c r="AE139" s="60" t="e">
        <f t="shared" si="80"/>
        <v>#DIV/0!</v>
      </c>
      <c r="AF139" s="60" t="e">
        <f t="shared" si="81"/>
        <v>#DIV/0!</v>
      </c>
      <c r="AG139" s="60" t="e">
        <f t="shared" si="82"/>
        <v>#DIV/0!</v>
      </c>
      <c r="AH139" s="60" t="e">
        <f t="shared" si="83"/>
        <v>#DIV/0!</v>
      </c>
      <c r="AI139" s="60" t="e">
        <f t="shared" si="84"/>
        <v>#DIV/0!</v>
      </c>
      <c r="AJ139" s="60" t="e">
        <f t="shared" si="85"/>
        <v>#DIV/0!</v>
      </c>
      <c r="AK139" s="60" t="e">
        <f t="shared" si="86"/>
        <v>#DIV/0!</v>
      </c>
      <c r="AL139" s="60" t="e">
        <f t="shared" si="87"/>
        <v>#DIV/0!</v>
      </c>
      <c r="AM139" s="60" t="e">
        <f t="shared" si="88"/>
        <v>#DIV/0!</v>
      </c>
      <c r="AN139" s="60" t="e">
        <f t="shared" si="60"/>
        <v>#DIV/0!</v>
      </c>
      <c r="AO139" s="61" t="e">
        <f t="shared" si="63"/>
        <v>#DIV/0!</v>
      </c>
      <c r="AP139" s="61" t="e">
        <f t="shared" si="62"/>
        <v>#DIV/0!</v>
      </c>
      <c r="AQ139" s="61" t="e">
        <f t="shared" si="62"/>
        <v>#DIV/0!</v>
      </c>
      <c r="AR139" s="61" t="e">
        <f t="shared" si="62"/>
        <v>#DIV/0!</v>
      </c>
      <c r="AS139" s="61" t="e">
        <f t="shared" si="62"/>
        <v>#DIV/0!</v>
      </c>
      <c r="AT139" s="61" t="e">
        <f t="shared" si="62"/>
        <v>#DIV/0!</v>
      </c>
      <c r="AU139" s="61" t="e">
        <f t="shared" si="62"/>
        <v>#DIV/0!</v>
      </c>
      <c r="AV139" s="61" t="e">
        <f t="shared" si="62"/>
        <v>#DIV/0!</v>
      </c>
      <c r="AW139" s="61" t="e">
        <f t="shared" si="62"/>
        <v>#DIV/0!</v>
      </c>
      <c r="AX139" s="61" t="e">
        <f t="shared" si="62"/>
        <v>#DIV/0!</v>
      </c>
      <c r="AY139" s="61" t="e">
        <f t="shared" si="62"/>
        <v>#DIV/0!</v>
      </c>
      <c r="AZ139" s="61" t="e">
        <f t="shared" si="62"/>
        <v>#DIV/0!</v>
      </c>
      <c r="BA139" s="61" t="e">
        <f t="shared" si="62"/>
        <v>#DIV/0!</v>
      </c>
      <c r="BB139" s="60" t="e">
        <f>Links!AF139</f>
        <v>#DIV/0!</v>
      </c>
      <c r="BC139" s="60" t="e">
        <f>(Links!AG139*Links!C139+'On-Ramps'!AC139*'On-Ramps'!CE139)/('On-Ramps'!AC139+Links!C139)</f>
        <v>#DIV/0!</v>
      </c>
      <c r="BD139" s="60" t="e">
        <f>Links!AH139</f>
        <v>#DIV/0!</v>
      </c>
      <c r="BE139" s="60" t="e">
        <f>(Links!AI139*Links!E139+'On-Ramps'!AD139*'On-Ramps'!CF138)/('On-Ramps'!AD139+Links!E139)</f>
        <v>#DIV/0!</v>
      </c>
      <c r="BF139" s="60" t="e">
        <f>(Links!F139*Links!AJ139+'On-Ramps'!AE139*'On-Ramps'!CG139)/('On-Ramps'!AE139+Links!F139)</f>
        <v>#DIV/0!</v>
      </c>
      <c r="BG139" s="60" t="e">
        <f>(Links!G139*Links!AK139+'On-Ramps'!AF139*'On-Ramps'!CH139)/('On-Ramps'!AF139+Links!G139)</f>
        <v>#DIV/0!</v>
      </c>
      <c r="BH139" s="60" t="e">
        <f>(Links!H139*Links!AL139+'On-Ramps'!AG139*'On-Ramps'!CI139)/('On-Ramps'!AG139+Links!H139)</f>
        <v>#DIV/0!</v>
      </c>
      <c r="BI139" s="60" t="e">
        <f>(Links!J139*Links!AN139+'On-Ramps'!AH139*'On-Ramps'!CJ139)/('On-Ramps'!AH139+Links!J139)</f>
        <v>#DIV/0!</v>
      </c>
      <c r="BJ139" s="60" t="e">
        <f>(Links!K139*Links!AO139+'On-Ramps'!AI139*'On-Ramps'!CK139)/('On-Ramps'!AI139+Links!K139)</f>
        <v>#DIV/0!</v>
      </c>
      <c r="BK139" s="60" t="e">
        <f>(Links!L139*Links!AP139+'On-Ramps'!AJ139*'On-Ramps'!CL139)/(Links!L139+'On-Ramps'!AJ139)</f>
        <v>#DIV/0!</v>
      </c>
      <c r="BL139" s="60" t="e">
        <f>Links!AQ139</f>
        <v>#DIV/0!</v>
      </c>
      <c r="BM139" s="60" t="e">
        <f>(Links!N139*Links!AR139+'On-Ramps'!AL139*'On-Ramps'!CM139)/(Links!N139+'On-Ramps'!AL139)</f>
        <v>#DIV/0!</v>
      </c>
      <c r="BN139" s="60" t="e">
        <f>Links!AS139</f>
        <v>#DIV/0!</v>
      </c>
      <c r="BO139" s="61" t="e">
        <f>(Links!R139^2+'Off-Ramp'!L139^2)/(Links!R139+'Off-Ramp'!L139)</f>
        <v>#DIV/0!</v>
      </c>
      <c r="BP139" s="61" t="e">
        <f>Links!S139</f>
        <v>#DIV/0!</v>
      </c>
      <c r="BQ139" s="61" t="e">
        <f>(Links!S139^2+'Off-Ramp'!C139^2)/(Links!S139+'Off-Ramp'!C139)</f>
        <v>#DIV/0!</v>
      </c>
      <c r="BR139" s="61" t="e">
        <f>Links!T139</f>
        <v>#DIV/0!</v>
      </c>
      <c r="BS139" s="61" t="e">
        <f>(Links!U139^2+'Off-Ramp'!N139^2)/(Links!U139+'Off-Ramp'!N139)</f>
        <v>#DIV/0!</v>
      </c>
      <c r="BT139" s="61" t="e">
        <f>(Links!V139^2+'Off-Ramp'!O139^2)/(Links!V139+'Off-Ramp'!O139)</f>
        <v>#DIV/0!</v>
      </c>
      <c r="BU139" s="61" t="e">
        <f>(Links!W139^2+'Off-Ramp'!P139^2)/(Links!W139+'Off-Ramp'!P139)</f>
        <v>#DIV/0!</v>
      </c>
      <c r="BV139" s="61" t="e">
        <f>(Links!Y139^2+'Off-Ramp'!Q139^2)/(Links!Y139+'Off-Ramp'!Q139)</f>
        <v>#DIV/0!</v>
      </c>
      <c r="BW139" s="61" t="e">
        <f>(Links!Z139^2+'Off-Ramp'!R139^2)/(Links!Z139+'Off-Ramp'!R139)</f>
        <v>#DIV/0!</v>
      </c>
      <c r="BX139" s="61" t="e">
        <f>(Links!AA139+'Off-Ramp'!S139)/(Links!AA139^2+'Off-Ramp'!S139^2)</f>
        <v>#DIV/0!</v>
      </c>
      <c r="BY139" s="61" t="e">
        <f>(Links!AB139^2+'Off-Ramp'!T139^2)/(Links!AB139+'Off-Ramp'!T139)</f>
        <v>#DIV/0!</v>
      </c>
      <c r="BZ139" s="61" t="e">
        <f>Links!AC139</f>
        <v>#DIV/0!</v>
      </c>
      <c r="CA139" s="61" t="e">
        <f>(Links!AD139^2+'Off-Ramp'!U139^2)/(Links!AD139+'Off-Ramp'!U139)</f>
        <v>#DIV/0!</v>
      </c>
    </row>
    <row r="140" spans="1:79" x14ac:dyDescent="0.15">
      <c r="A140" s="59">
        <v>138</v>
      </c>
      <c r="B140" s="60" t="e">
        <f t="shared" si="64"/>
        <v>#DIV/0!</v>
      </c>
      <c r="C140" s="60" t="e">
        <f t="shared" si="65"/>
        <v>#DIV/0!</v>
      </c>
      <c r="D140" s="60" t="e">
        <f t="shared" si="66"/>
        <v>#DIV/0!</v>
      </c>
      <c r="E140" s="60" t="e">
        <f t="shared" si="67"/>
        <v>#DIV/0!</v>
      </c>
      <c r="F140" s="60" t="e">
        <f t="shared" si="68"/>
        <v>#DIV/0!</v>
      </c>
      <c r="G140" s="60" t="e">
        <f t="shared" si="69"/>
        <v>#DIV/0!</v>
      </c>
      <c r="H140" s="60" t="e">
        <f t="shared" si="70"/>
        <v>#DIV/0!</v>
      </c>
      <c r="I140" s="60" t="e">
        <f t="shared" si="71"/>
        <v>#DIV/0!</v>
      </c>
      <c r="J140" s="60" t="e">
        <f t="shared" si="72"/>
        <v>#DIV/0!</v>
      </c>
      <c r="K140" s="60" t="e">
        <f t="shared" si="73"/>
        <v>#DIV/0!</v>
      </c>
      <c r="L140" s="60" t="e">
        <f t="shared" si="74"/>
        <v>#DIV/0!</v>
      </c>
      <c r="M140" s="60" t="e">
        <f t="shared" si="75"/>
        <v>#DIV/0!</v>
      </c>
      <c r="N140" s="60" t="e">
        <f t="shared" si="76"/>
        <v>#DIV/0!</v>
      </c>
      <c r="O140" s="61" t="e">
        <f>Links!B140</f>
        <v>#DIV/0!</v>
      </c>
      <c r="P140" s="61" t="e">
        <f>Links!C140+'On-Ramps'!AC140</f>
        <v>#DIV/0!</v>
      </c>
      <c r="Q140" s="61" t="e">
        <f>Links!D140</f>
        <v>#DIV/0!</v>
      </c>
      <c r="R140" s="61" t="e">
        <f>Links!E140+'On-Ramps'!AD140</f>
        <v>#DIV/0!</v>
      </c>
      <c r="S140" s="61" t="e">
        <f>Links!F140+'On-Ramps'!AE140</f>
        <v>#DIV/0!</v>
      </c>
      <c r="T140" s="61" t="e">
        <f>Links!G140+'On-Ramps'!AF140</f>
        <v>#DIV/0!</v>
      </c>
      <c r="U140" s="61" t="e">
        <f>Links!H140+'On-Ramps'!AG140</f>
        <v>#DIV/0!</v>
      </c>
      <c r="V140" s="61" t="e">
        <f>Links!J140+'On-Ramps'!AH140</f>
        <v>#DIV/0!</v>
      </c>
      <c r="W140" s="61" t="e">
        <f>Links!K140+'On-Ramps'!AI140</f>
        <v>#DIV/0!</v>
      </c>
      <c r="X140" s="61" t="e">
        <f>Links!L140+'On-Ramps'!AJ140</f>
        <v>#DIV/0!</v>
      </c>
      <c r="Y140" s="61" t="e">
        <f>Links!M140</f>
        <v>#DIV/0!</v>
      </c>
      <c r="Z140" s="61" t="e">
        <f>Links!N140+'On-Ramps'!AK140</f>
        <v>#DIV/0!</v>
      </c>
      <c r="AA140" s="61" t="e">
        <f>Links!O140</f>
        <v>#DIV/0!</v>
      </c>
      <c r="AB140" s="60" t="e">
        <f t="shared" si="77"/>
        <v>#DIV/0!</v>
      </c>
      <c r="AC140" s="60" t="e">
        <f t="shared" si="78"/>
        <v>#DIV/0!</v>
      </c>
      <c r="AD140" s="60" t="e">
        <f t="shared" si="79"/>
        <v>#DIV/0!</v>
      </c>
      <c r="AE140" s="60" t="e">
        <f t="shared" si="80"/>
        <v>#DIV/0!</v>
      </c>
      <c r="AF140" s="60" t="e">
        <f t="shared" si="81"/>
        <v>#DIV/0!</v>
      </c>
      <c r="AG140" s="60" t="e">
        <f t="shared" si="82"/>
        <v>#DIV/0!</v>
      </c>
      <c r="AH140" s="60" t="e">
        <f t="shared" si="83"/>
        <v>#DIV/0!</v>
      </c>
      <c r="AI140" s="60" t="e">
        <f t="shared" si="84"/>
        <v>#DIV/0!</v>
      </c>
      <c r="AJ140" s="60" t="e">
        <f t="shared" si="85"/>
        <v>#DIV/0!</v>
      </c>
      <c r="AK140" s="60" t="e">
        <f t="shared" si="86"/>
        <v>#DIV/0!</v>
      </c>
      <c r="AL140" s="60" t="e">
        <f t="shared" si="87"/>
        <v>#DIV/0!</v>
      </c>
      <c r="AM140" s="60" t="e">
        <f t="shared" si="88"/>
        <v>#DIV/0!</v>
      </c>
      <c r="AN140" s="60" t="e">
        <f t="shared" si="60"/>
        <v>#DIV/0!</v>
      </c>
      <c r="AO140" s="61" t="e">
        <f t="shared" si="63"/>
        <v>#DIV/0!</v>
      </c>
      <c r="AP140" s="61" t="e">
        <f t="shared" si="62"/>
        <v>#DIV/0!</v>
      </c>
      <c r="AQ140" s="61" t="e">
        <f t="shared" si="62"/>
        <v>#DIV/0!</v>
      </c>
      <c r="AR140" s="61" t="e">
        <f t="shared" si="62"/>
        <v>#DIV/0!</v>
      </c>
      <c r="AS140" s="61" t="e">
        <f t="shared" si="62"/>
        <v>#DIV/0!</v>
      </c>
      <c r="AT140" s="61" t="e">
        <f t="shared" si="62"/>
        <v>#DIV/0!</v>
      </c>
      <c r="AU140" s="61" t="e">
        <f t="shared" si="62"/>
        <v>#DIV/0!</v>
      </c>
      <c r="AV140" s="61" t="e">
        <f t="shared" si="62"/>
        <v>#DIV/0!</v>
      </c>
      <c r="AW140" s="61" t="e">
        <f t="shared" si="62"/>
        <v>#DIV/0!</v>
      </c>
      <c r="AX140" s="61" t="e">
        <f t="shared" si="62"/>
        <v>#DIV/0!</v>
      </c>
      <c r="AY140" s="61" t="e">
        <f t="shared" si="62"/>
        <v>#DIV/0!</v>
      </c>
      <c r="AZ140" s="61" t="e">
        <f t="shared" si="62"/>
        <v>#DIV/0!</v>
      </c>
      <c r="BA140" s="61" t="e">
        <f t="shared" si="62"/>
        <v>#DIV/0!</v>
      </c>
      <c r="BB140" s="60" t="e">
        <f>Links!AF140</f>
        <v>#DIV/0!</v>
      </c>
      <c r="BC140" s="60" t="e">
        <f>(Links!AG140*Links!C140+'On-Ramps'!AC140*'On-Ramps'!CE140)/('On-Ramps'!AC140+Links!C140)</f>
        <v>#DIV/0!</v>
      </c>
      <c r="BD140" s="60" t="e">
        <f>Links!AH140</f>
        <v>#DIV/0!</v>
      </c>
      <c r="BE140" s="60" t="e">
        <f>(Links!AI140*Links!E140+'On-Ramps'!AD140*'On-Ramps'!CF139)/('On-Ramps'!AD140+Links!E140)</f>
        <v>#DIV/0!</v>
      </c>
      <c r="BF140" s="60" t="e">
        <f>(Links!F140*Links!AJ140+'On-Ramps'!AE140*'On-Ramps'!CG140)/('On-Ramps'!AE140+Links!F140)</f>
        <v>#DIV/0!</v>
      </c>
      <c r="BG140" s="60" t="e">
        <f>(Links!G140*Links!AK140+'On-Ramps'!AF140*'On-Ramps'!CH140)/('On-Ramps'!AF140+Links!G140)</f>
        <v>#DIV/0!</v>
      </c>
      <c r="BH140" s="60" t="e">
        <f>(Links!H140*Links!AL140+'On-Ramps'!AG140*'On-Ramps'!CI140)/('On-Ramps'!AG140+Links!H140)</f>
        <v>#DIV/0!</v>
      </c>
      <c r="BI140" s="60" t="e">
        <f>(Links!J140*Links!AN140+'On-Ramps'!AH140*'On-Ramps'!CJ140)/('On-Ramps'!AH140+Links!J140)</f>
        <v>#DIV/0!</v>
      </c>
      <c r="BJ140" s="60" t="e">
        <f>(Links!K140*Links!AO140+'On-Ramps'!AI140*'On-Ramps'!CK140)/('On-Ramps'!AI140+Links!K140)</f>
        <v>#DIV/0!</v>
      </c>
      <c r="BK140" s="60" t="e">
        <f>(Links!L140*Links!AP140+'On-Ramps'!AJ140*'On-Ramps'!CL140)/(Links!L140+'On-Ramps'!AJ140)</f>
        <v>#DIV/0!</v>
      </c>
      <c r="BL140" s="60" t="e">
        <f>Links!AQ140</f>
        <v>#DIV/0!</v>
      </c>
      <c r="BM140" s="60" t="e">
        <f>(Links!N140*Links!AR140+'On-Ramps'!AL140*'On-Ramps'!CM140)/(Links!N140+'On-Ramps'!AL140)</f>
        <v>#DIV/0!</v>
      </c>
      <c r="BN140" s="60" t="e">
        <f>Links!AS140</f>
        <v>#DIV/0!</v>
      </c>
      <c r="BO140" s="61" t="e">
        <f>(Links!R140^2+'Off-Ramp'!L140^2)/(Links!R140+'Off-Ramp'!L140)</f>
        <v>#DIV/0!</v>
      </c>
      <c r="BP140" s="61" t="e">
        <f>Links!S140</f>
        <v>#DIV/0!</v>
      </c>
      <c r="BQ140" s="61" t="e">
        <f>(Links!S140^2+'Off-Ramp'!C140^2)/(Links!S140+'Off-Ramp'!C140)</f>
        <v>#DIV/0!</v>
      </c>
      <c r="BR140" s="61" t="e">
        <f>Links!T140</f>
        <v>#DIV/0!</v>
      </c>
      <c r="BS140" s="61" t="e">
        <f>(Links!U140^2+'Off-Ramp'!N140^2)/(Links!U140+'Off-Ramp'!N140)</f>
        <v>#DIV/0!</v>
      </c>
      <c r="BT140" s="61" t="e">
        <f>(Links!V140^2+'Off-Ramp'!O140^2)/(Links!V140+'Off-Ramp'!O140)</f>
        <v>#DIV/0!</v>
      </c>
      <c r="BU140" s="61" t="e">
        <f>(Links!W140^2+'Off-Ramp'!P140^2)/(Links!W140+'Off-Ramp'!P140)</f>
        <v>#DIV/0!</v>
      </c>
      <c r="BV140" s="61" t="e">
        <f>(Links!Y140^2+'Off-Ramp'!Q140^2)/(Links!Y140+'Off-Ramp'!Q140)</f>
        <v>#DIV/0!</v>
      </c>
      <c r="BW140" s="61" t="e">
        <f>(Links!Z140^2+'Off-Ramp'!R140^2)/(Links!Z140+'Off-Ramp'!R140)</f>
        <v>#DIV/0!</v>
      </c>
      <c r="BX140" s="61" t="e">
        <f>(Links!AA140+'Off-Ramp'!S140)/(Links!AA140^2+'Off-Ramp'!S140^2)</f>
        <v>#DIV/0!</v>
      </c>
      <c r="BY140" s="61" t="e">
        <f>(Links!AB140^2+'Off-Ramp'!T140^2)/(Links!AB140+'Off-Ramp'!T140)</f>
        <v>#DIV/0!</v>
      </c>
      <c r="BZ140" s="61" t="e">
        <f>Links!AC140</f>
        <v>#DIV/0!</v>
      </c>
      <c r="CA140" s="61" t="e">
        <f>(Links!AD140^2+'Off-Ramp'!U140^2)/(Links!AD140+'Off-Ramp'!U140)</f>
        <v>#DIV/0!</v>
      </c>
    </row>
    <row r="141" spans="1:79" x14ac:dyDescent="0.15">
      <c r="A141" s="59">
        <v>139</v>
      </c>
      <c r="B141" s="60" t="e">
        <f t="shared" si="64"/>
        <v>#DIV/0!</v>
      </c>
      <c r="C141" s="60" t="e">
        <f t="shared" si="65"/>
        <v>#DIV/0!</v>
      </c>
      <c r="D141" s="60" t="e">
        <f t="shared" si="66"/>
        <v>#DIV/0!</v>
      </c>
      <c r="E141" s="60" t="e">
        <f t="shared" si="67"/>
        <v>#DIV/0!</v>
      </c>
      <c r="F141" s="60" t="e">
        <f t="shared" si="68"/>
        <v>#DIV/0!</v>
      </c>
      <c r="G141" s="60" t="e">
        <f t="shared" si="69"/>
        <v>#DIV/0!</v>
      </c>
      <c r="H141" s="60" t="e">
        <f t="shared" si="70"/>
        <v>#DIV/0!</v>
      </c>
      <c r="I141" s="60" t="e">
        <f t="shared" si="71"/>
        <v>#DIV/0!</v>
      </c>
      <c r="J141" s="60" t="e">
        <f t="shared" si="72"/>
        <v>#DIV/0!</v>
      </c>
      <c r="K141" s="60" t="e">
        <f t="shared" si="73"/>
        <v>#DIV/0!</v>
      </c>
      <c r="L141" s="60" t="e">
        <f t="shared" si="74"/>
        <v>#DIV/0!</v>
      </c>
      <c r="M141" s="60" t="e">
        <f t="shared" si="75"/>
        <v>#DIV/0!</v>
      </c>
      <c r="N141" s="60" t="e">
        <f t="shared" si="76"/>
        <v>#DIV/0!</v>
      </c>
      <c r="O141" s="61" t="e">
        <f>Links!B141</f>
        <v>#DIV/0!</v>
      </c>
      <c r="P141" s="61" t="e">
        <f>Links!C141+'On-Ramps'!AC141</f>
        <v>#DIV/0!</v>
      </c>
      <c r="Q141" s="61" t="e">
        <f>Links!D141</f>
        <v>#DIV/0!</v>
      </c>
      <c r="R141" s="61" t="e">
        <f>Links!E141+'On-Ramps'!AD141</f>
        <v>#DIV/0!</v>
      </c>
      <c r="S141" s="61" t="e">
        <f>Links!F141+'On-Ramps'!AE141</f>
        <v>#DIV/0!</v>
      </c>
      <c r="T141" s="61" t="e">
        <f>Links!G141+'On-Ramps'!AF141</f>
        <v>#DIV/0!</v>
      </c>
      <c r="U141" s="61" t="e">
        <f>Links!H141+'On-Ramps'!AG141</f>
        <v>#DIV/0!</v>
      </c>
      <c r="V141" s="61" t="e">
        <f>Links!J141+'On-Ramps'!AH141</f>
        <v>#DIV/0!</v>
      </c>
      <c r="W141" s="61" t="e">
        <f>Links!K141+'On-Ramps'!AI141</f>
        <v>#DIV/0!</v>
      </c>
      <c r="X141" s="61" t="e">
        <f>Links!L141+'On-Ramps'!AJ141</f>
        <v>#DIV/0!</v>
      </c>
      <c r="Y141" s="61" t="e">
        <f>Links!M141</f>
        <v>#DIV/0!</v>
      </c>
      <c r="Z141" s="61" t="e">
        <f>Links!N141+'On-Ramps'!AK141</f>
        <v>#DIV/0!</v>
      </c>
      <c r="AA141" s="61" t="e">
        <f>Links!O141</f>
        <v>#DIV/0!</v>
      </c>
      <c r="AB141" s="60" t="e">
        <f t="shared" si="77"/>
        <v>#DIV/0!</v>
      </c>
      <c r="AC141" s="60" t="e">
        <f t="shared" si="78"/>
        <v>#DIV/0!</v>
      </c>
      <c r="AD141" s="60" t="e">
        <f t="shared" si="79"/>
        <v>#DIV/0!</v>
      </c>
      <c r="AE141" s="60" t="e">
        <f t="shared" si="80"/>
        <v>#DIV/0!</v>
      </c>
      <c r="AF141" s="60" t="e">
        <f t="shared" si="81"/>
        <v>#DIV/0!</v>
      </c>
      <c r="AG141" s="60" t="e">
        <f t="shared" si="82"/>
        <v>#DIV/0!</v>
      </c>
      <c r="AH141" s="60" t="e">
        <f t="shared" si="83"/>
        <v>#DIV/0!</v>
      </c>
      <c r="AI141" s="60" t="e">
        <f t="shared" si="84"/>
        <v>#DIV/0!</v>
      </c>
      <c r="AJ141" s="60" t="e">
        <f t="shared" si="85"/>
        <v>#DIV/0!</v>
      </c>
      <c r="AK141" s="60" t="e">
        <f t="shared" si="86"/>
        <v>#DIV/0!</v>
      </c>
      <c r="AL141" s="60" t="e">
        <f t="shared" si="87"/>
        <v>#DIV/0!</v>
      </c>
      <c r="AM141" s="60" t="e">
        <f t="shared" si="88"/>
        <v>#DIV/0!</v>
      </c>
      <c r="AN141" s="60" t="e">
        <f t="shared" si="60"/>
        <v>#DIV/0!</v>
      </c>
      <c r="AO141" s="61" t="e">
        <f t="shared" si="63"/>
        <v>#DIV/0!</v>
      </c>
      <c r="AP141" s="61" t="e">
        <f t="shared" si="62"/>
        <v>#DIV/0!</v>
      </c>
      <c r="AQ141" s="61" t="e">
        <f t="shared" si="62"/>
        <v>#DIV/0!</v>
      </c>
      <c r="AR141" s="61" t="e">
        <f t="shared" si="62"/>
        <v>#DIV/0!</v>
      </c>
      <c r="AS141" s="61" t="e">
        <f t="shared" si="62"/>
        <v>#DIV/0!</v>
      </c>
      <c r="AT141" s="61" t="e">
        <f t="shared" si="62"/>
        <v>#DIV/0!</v>
      </c>
      <c r="AU141" s="61" t="e">
        <f t="shared" si="62"/>
        <v>#DIV/0!</v>
      </c>
      <c r="AV141" s="61" t="e">
        <f t="shared" si="62"/>
        <v>#DIV/0!</v>
      </c>
      <c r="AW141" s="61" t="e">
        <f t="shared" ref="AP141:BA162" si="89">AW$3</f>
        <v>#DIV/0!</v>
      </c>
      <c r="AX141" s="61" t="e">
        <f t="shared" si="89"/>
        <v>#DIV/0!</v>
      </c>
      <c r="AY141" s="61" t="e">
        <f t="shared" si="89"/>
        <v>#DIV/0!</v>
      </c>
      <c r="AZ141" s="61" t="e">
        <f t="shared" si="89"/>
        <v>#DIV/0!</v>
      </c>
      <c r="BA141" s="61" t="e">
        <f t="shared" si="89"/>
        <v>#DIV/0!</v>
      </c>
      <c r="BB141" s="60" t="e">
        <f>Links!AF141</f>
        <v>#DIV/0!</v>
      </c>
      <c r="BC141" s="60" t="e">
        <f>(Links!AG141*Links!C141+'On-Ramps'!AC141*'On-Ramps'!CE141)/('On-Ramps'!AC141+Links!C141)</f>
        <v>#DIV/0!</v>
      </c>
      <c r="BD141" s="60" t="e">
        <f>Links!AH141</f>
        <v>#DIV/0!</v>
      </c>
      <c r="BE141" s="60" t="e">
        <f>(Links!AI141*Links!E141+'On-Ramps'!AD141*'On-Ramps'!CF140)/('On-Ramps'!AD141+Links!E141)</f>
        <v>#DIV/0!</v>
      </c>
      <c r="BF141" s="60" t="e">
        <f>(Links!F141*Links!AJ141+'On-Ramps'!AE141*'On-Ramps'!CG141)/('On-Ramps'!AE141+Links!F141)</f>
        <v>#DIV/0!</v>
      </c>
      <c r="BG141" s="60" t="e">
        <f>(Links!G141*Links!AK141+'On-Ramps'!AF141*'On-Ramps'!CH141)/('On-Ramps'!AF141+Links!G141)</f>
        <v>#DIV/0!</v>
      </c>
      <c r="BH141" s="60" t="e">
        <f>(Links!H141*Links!AL141+'On-Ramps'!AG141*'On-Ramps'!CI141)/('On-Ramps'!AG141+Links!H141)</f>
        <v>#DIV/0!</v>
      </c>
      <c r="BI141" s="60" t="e">
        <f>(Links!J141*Links!AN141+'On-Ramps'!AH141*'On-Ramps'!CJ141)/('On-Ramps'!AH141+Links!J141)</f>
        <v>#DIV/0!</v>
      </c>
      <c r="BJ141" s="60" t="e">
        <f>(Links!K141*Links!AO141+'On-Ramps'!AI141*'On-Ramps'!CK141)/('On-Ramps'!AI141+Links!K141)</f>
        <v>#DIV/0!</v>
      </c>
      <c r="BK141" s="60" t="e">
        <f>(Links!L141*Links!AP141+'On-Ramps'!AJ141*'On-Ramps'!CL141)/(Links!L141+'On-Ramps'!AJ141)</f>
        <v>#DIV/0!</v>
      </c>
      <c r="BL141" s="60" t="e">
        <f>Links!AQ141</f>
        <v>#DIV/0!</v>
      </c>
      <c r="BM141" s="60" t="e">
        <f>(Links!N141*Links!AR141+'On-Ramps'!AL141*'On-Ramps'!CM141)/(Links!N141+'On-Ramps'!AL141)</f>
        <v>#DIV/0!</v>
      </c>
      <c r="BN141" s="60" t="e">
        <f>Links!AS141</f>
        <v>#DIV/0!</v>
      </c>
      <c r="BO141" s="61" t="e">
        <f>(Links!R141^2+'Off-Ramp'!L141^2)/(Links!R141+'Off-Ramp'!L141)</f>
        <v>#DIV/0!</v>
      </c>
      <c r="BP141" s="61" t="e">
        <f>Links!S141</f>
        <v>#DIV/0!</v>
      </c>
      <c r="BQ141" s="61" t="e">
        <f>(Links!S141^2+'Off-Ramp'!C141^2)/(Links!S141+'Off-Ramp'!C141)</f>
        <v>#DIV/0!</v>
      </c>
      <c r="BR141" s="61" t="e">
        <f>Links!T141</f>
        <v>#DIV/0!</v>
      </c>
      <c r="BS141" s="61" t="e">
        <f>(Links!U141^2+'Off-Ramp'!N141^2)/(Links!U141+'Off-Ramp'!N141)</f>
        <v>#DIV/0!</v>
      </c>
      <c r="BT141" s="61" t="e">
        <f>(Links!V141^2+'Off-Ramp'!O141^2)/(Links!V141+'Off-Ramp'!O141)</f>
        <v>#DIV/0!</v>
      </c>
      <c r="BU141" s="61" t="e">
        <f>(Links!W141^2+'Off-Ramp'!P141^2)/(Links!W141+'Off-Ramp'!P141)</f>
        <v>#DIV/0!</v>
      </c>
      <c r="BV141" s="61" t="e">
        <f>(Links!Y141^2+'Off-Ramp'!Q141^2)/(Links!Y141+'Off-Ramp'!Q141)</f>
        <v>#DIV/0!</v>
      </c>
      <c r="BW141" s="61" t="e">
        <f>(Links!Z141^2+'Off-Ramp'!R141^2)/(Links!Z141+'Off-Ramp'!R141)</f>
        <v>#DIV/0!</v>
      </c>
      <c r="BX141" s="61" t="e">
        <f>(Links!AA141+'Off-Ramp'!S141)/(Links!AA141^2+'Off-Ramp'!S141^2)</f>
        <v>#DIV/0!</v>
      </c>
      <c r="BY141" s="61" t="e">
        <f>(Links!AB141^2+'Off-Ramp'!T141^2)/(Links!AB141+'Off-Ramp'!T141)</f>
        <v>#DIV/0!</v>
      </c>
      <c r="BZ141" s="61" t="e">
        <f>Links!AC141</f>
        <v>#DIV/0!</v>
      </c>
      <c r="CA141" s="61" t="e">
        <f>(Links!AD141^2+'Off-Ramp'!U141^2)/(Links!AD141+'Off-Ramp'!U141)</f>
        <v>#DIV/0!</v>
      </c>
    </row>
    <row r="142" spans="1:79" x14ac:dyDescent="0.15">
      <c r="A142" s="59">
        <v>140</v>
      </c>
      <c r="B142" s="60" t="e">
        <f t="shared" si="64"/>
        <v>#DIV/0!</v>
      </c>
      <c r="C142" s="60" t="e">
        <f t="shared" si="65"/>
        <v>#DIV/0!</v>
      </c>
      <c r="D142" s="60" t="e">
        <f t="shared" si="66"/>
        <v>#DIV/0!</v>
      </c>
      <c r="E142" s="60" t="e">
        <f t="shared" si="67"/>
        <v>#DIV/0!</v>
      </c>
      <c r="F142" s="60" t="e">
        <f t="shared" si="68"/>
        <v>#DIV/0!</v>
      </c>
      <c r="G142" s="60" t="e">
        <f t="shared" si="69"/>
        <v>#DIV/0!</v>
      </c>
      <c r="H142" s="60" t="e">
        <f t="shared" si="70"/>
        <v>#DIV/0!</v>
      </c>
      <c r="I142" s="60" t="e">
        <f t="shared" si="71"/>
        <v>#DIV/0!</v>
      </c>
      <c r="J142" s="60" t="e">
        <f t="shared" si="72"/>
        <v>#DIV/0!</v>
      </c>
      <c r="K142" s="60" t="e">
        <f t="shared" si="73"/>
        <v>#DIV/0!</v>
      </c>
      <c r="L142" s="60" t="e">
        <f t="shared" si="74"/>
        <v>#DIV/0!</v>
      </c>
      <c r="M142" s="60" t="e">
        <f t="shared" si="75"/>
        <v>#DIV/0!</v>
      </c>
      <c r="N142" s="60" t="e">
        <f t="shared" si="76"/>
        <v>#DIV/0!</v>
      </c>
      <c r="O142" s="61" t="e">
        <f>Links!B142</f>
        <v>#DIV/0!</v>
      </c>
      <c r="P142" s="61" t="e">
        <f>Links!C142+'On-Ramps'!AC142</f>
        <v>#DIV/0!</v>
      </c>
      <c r="Q142" s="61" t="e">
        <f>Links!D142</f>
        <v>#DIV/0!</v>
      </c>
      <c r="R142" s="61" t="e">
        <f>Links!E142+'On-Ramps'!AD142</f>
        <v>#DIV/0!</v>
      </c>
      <c r="S142" s="61" t="e">
        <f>Links!F142+'On-Ramps'!AE142</f>
        <v>#DIV/0!</v>
      </c>
      <c r="T142" s="61" t="e">
        <f>Links!G142+'On-Ramps'!AF142</f>
        <v>#DIV/0!</v>
      </c>
      <c r="U142" s="61" t="e">
        <f>Links!H142+'On-Ramps'!AG142</f>
        <v>#DIV/0!</v>
      </c>
      <c r="V142" s="61" t="e">
        <f>Links!J142+'On-Ramps'!AH142</f>
        <v>#DIV/0!</v>
      </c>
      <c r="W142" s="61" t="e">
        <f>Links!K142+'On-Ramps'!AI142</f>
        <v>#DIV/0!</v>
      </c>
      <c r="X142" s="61" t="e">
        <f>Links!L142+'On-Ramps'!AJ142</f>
        <v>#DIV/0!</v>
      </c>
      <c r="Y142" s="61" t="e">
        <f>Links!M142</f>
        <v>#DIV/0!</v>
      </c>
      <c r="Z142" s="61" t="e">
        <f>Links!N142+'On-Ramps'!AK142</f>
        <v>#DIV/0!</v>
      </c>
      <c r="AA142" s="61" t="e">
        <f>Links!O142</f>
        <v>#DIV/0!</v>
      </c>
      <c r="AB142" s="60" t="e">
        <f t="shared" si="77"/>
        <v>#DIV/0!</v>
      </c>
      <c r="AC142" s="60" t="e">
        <f t="shared" si="78"/>
        <v>#DIV/0!</v>
      </c>
      <c r="AD142" s="60" t="e">
        <f t="shared" si="79"/>
        <v>#DIV/0!</v>
      </c>
      <c r="AE142" s="60" t="e">
        <f t="shared" si="80"/>
        <v>#DIV/0!</v>
      </c>
      <c r="AF142" s="60" t="e">
        <f t="shared" si="81"/>
        <v>#DIV/0!</v>
      </c>
      <c r="AG142" s="60" t="e">
        <f t="shared" si="82"/>
        <v>#DIV/0!</v>
      </c>
      <c r="AH142" s="60" t="e">
        <f t="shared" si="83"/>
        <v>#DIV/0!</v>
      </c>
      <c r="AI142" s="60" t="e">
        <f t="shared" si="84"/>
        <v>#DIV/0!</v>
      </c>
      <c r="AJ142" s="60" t="e">
        <f t="shared" si="85"/>
        <v>#DIV/0!</v>
      </c>
      <c r="AK142" s="60" t="e">
        <f t="shared" si="86"/>
        <v>#DIV/0!</v>
      </c>
      <c r="AL142" s="60" t="e">
        <f t="shared" si="87"/>
        <v>#DIV/0!</v>
      </c>
      <c r="AM142" s="60" t="e">
        <f t="shared" si="88"/>
        <v>#DIV/0!</v>
      </c>
      <c r="AN142" s="60" t="e">
        <f t="shared" si="60"/>
        <v>#DIV/0!</v>
      </c>
      <c r="AO142" s="61" t="e">
        <f t="shared" si="63"/>
        <v>#DIV/0!</v>
      </c>
      <c r="AP142" s="61" t="e">
        <f t="shared" si="89"/>
        <v>#DIV/0!</v>
      </c>
      <c r="AQ142" s="61" t="e">
        <f t="shared" si="89"/>
        <v>#DIV/0!</v>
      </c>
      <c r="AR142" s="61" t="e">
        <f t="shared" si="89"/>
        <v>#DIV/0!</v>
      </c>
      <c r="AS142" s="61" t="e">
        <f t="shared" si="89"/>
        <v>#DIV/0!</v>
      </c>
      <c r="AT142" s="61" t="e">
        <f t="shared" si="89"/>
        <v>#DIV/0!</v>
      </c>
      <c r="AU142" s="61" t="e">
        <f t="shared" si="89"/>
        <v>#DIV/0!</v>
      </c>
      <c r="AV142" s="61" t="e">
        <f t="shared" si="89"/>
        <v>#DIV/0!</v>
      </c>
      <c r="AW142" s="61" t="e">
        <f t="shared" si="89"/>
        <v>#DIV/0!</v>
      </c>
      <c r="AX142" s="61" t="e">
        <f t="shared" si="89"/>
        <v>#DIV/0!</v>
      </c>
      <c r="AY142" s="61" t="e">
        <f t="shared" si="89"/>
        <v>#DIV/0!</v>
      </c>
      <c r="AZ142" s="61" t="e">
        <f t="shared" si="89"/>
        <v>#DIV/0!</v>
      </c>
      <c r="BA142" s="61" t="e">
        <f t="shared" si="89"/>
        <v>#DIV/0!</v>
      </c>
      <c r="BB142" s="60" t="e">
        <f>Links!AF142</f>
        <v>#DIV/0!</v>
      </c>
      <c r="BC142" s="60" t="e">
        <f>(Links!AG142*Links!C142+'On-Ramps'!AC142*'On-Ramps'!CE142)/('On-Ramps'!AC142+Links!C142)</f>
        <v>#DIV/0!</v>
      </c>
      <c r="BD142" s="60" t="e">
        <f>Links!AH142</f>
        <v>#DIV/0!</v>
      </c>
      <c r="BE142" s="60" t="e">
        <f>(Links!AI142*Links!E142+'On-Ramps'!AD142*'On-Ramps'!CF141)/('On-Ramps'!AD142+Links!E142)</f>
        <v>#DIV/0!</v>
      </c>
      <c r="BF142" s="60" t="e">
        <f>(Links!F142*Links!AJ142+'On-Ramps'!AE142*'On-Ramps'!CG142)/('On-Ramps'!AE142+Links!F142)</f>
        <v>#DIV/0!</v>
      </c>
      <c r="BG142" s="60" t="e">
        <f>(Links!G142*Links!AK142+'On-Ramps'!AF142*'On-Ramps'!CH142)/('On-Ramps'!AF142+Links!G142)</f>
        <v>#DIV/0!</v>
      </c>
      <c r="BH142" s="60" t="e">
        <f>(Links!H142*Links!AL142+'On-Ramps'!AG142*'On-Ramps'!CI142)/('On-Ramps'!AG142+Links!H142)</f>
        <v>#DIV/0!</v>
      </c>
      <c r="BI142" s="60" t="e">
        <f>(Links!J142*Links!AN142+'On-Ramps'!AH142*'On-Ramps'!CJ142)/('On-Ramps'!AH142+Links!J142)</f>
        <v>#DIV/0!</v>
      </c>
      <c r="BJ142" s="60" t="e">
        <f>(Links!K142*Links!AO142+'On-Ramps'!AI142*'On-Ramps'!CK142)/('On-Ramps'!AI142+Links!K142)</f>
        <v>#DIV/0!</v>
      </c>
      <c r="BK142" s="60" t="e">
        <f>(Links!L142*Links!AP142+'On-Ramps'!AJ142*'On-Ramps'!CL142)/(Links!L142+'On-Ramps'!AJ142)</f>
        <v>#DIV/0!</v>
      </c>
      <c r="BL142" s="60" t="e">
        <f>Links!AQ142</f>
        <v>#DIV/0!</v>
      </c>
      <c r="BM142" s="60" t="e">
        <f>(Links!N142*Links!AR142+'On-Ramps'!AL142*'On-Ramps'!CM142)/(Links!N142+'On-Ramps'!AL142)</f>
        <v>#DIV/0!</v>
      </c>
      <c r="BN142" s="60" t="e">
        <f>Links!AS142</f>
        <v>#DIV/0!</v>
      </c>
      <c r="BO142" s="61" t="e">
        <f>(Links!R142^2+'Off-Ramp'!L142^2)/(Links!R142+'Off-Ramp'!L142)</f>
        <v>#DIV/0!</v>
      </c>
      <c r="BP142" s="61" t="e">
        <f>Links!S142</f>
        <v>#DIV/0!</v>
      </c>
      <c r="BQ142" s="61" t="e">
        <f>(Links!S142^2+'Off-Ramp'!C142^2)/(Links!S142+'Off-Ramp'!C142)</f>
        <v>#DIV/0!</v>
      </c>
      <c r="BR142" s="61" t="e">
        <f>Links!T142</f>
        <v>#DIV/0!</v>
      </c>
      <c r="BS142" s="61" t="e">
        <f>(Links!U142^2+'Off-Ramp'!N142^2)/(Links!U142+'Off-Ramp'!N142)</f>
        <v>#DIV/0!</v>
      </c>
      <c r="BT142" s="61" t="e">
        <f>(Links!V142^2+'Off-Ramp'!O142^2)/(Links!V142+'Off-Ramp'!O142)</f>
        <v>#DIV/0!</v>
      </c>
      <c r="BU142" s="61" t="e">
        <f>(Links!W142^2+'Off-Ramp'!P142^2)/(Links!W142+'Off-Ramp'!P142)</f>
        <v>#DIV/0!</v>
      </c>
      <c r="BV142" s="61" t="e">
        <f>(Links!Y142^2+'Off-Ramp'!Q142^2)/(Links!Y142+'Off-Ramp'!Q142)</f>
        <v>#DIV/0!</v>
      </c>
      <c r="BW142" s="61" t="e">
        <f>(Links!Z142^2+'Off-Ramp'!R142^2)/(Links!Z142+'Off-Ramp'!R142)</f>
        <v>#DIV/0!</v>
      </c>
      <c r="BX142" s="61" t="e">
        <f>(Links!AA142+'Off-Ramp'!S142)/(Links!AA142^2+'Off-Ramp'!S142^2)</f>
        <v>#DIV/0!</v>
      </c>
      <c r="BY142" s="61" t="e">
        <f>(Links!AB142^2+'Off-Ramp'!T142^2)/(Links!AB142+'Off-Ramp'!T142)</f>
        <v>#DIV/0!</v>
      </c>
      <c r="BZ142" s="61" t="e">
        <f>Links!AC142</f>
        <v>#DIV/0!</v>
      </c>
      <c r="CA142" s="61" t="e">
        <f>(Links!AD142^2+'Off-Ramp'!U142^2)/(Links!AD142+'Off-Ramp'!U142)</f>
        <v>#DIV/0!</v>
      </c>
    </row>
    <row r="143" spans="1:79" x14ac:dyDescent="0.15">
      <c r="A143" s="59">
        <v>141</v>
      </c>
      <c r="B143" s="60" t="e">
        <f t="shared" si="64"/>
        <v>#DIV/0!</v>
      </c>
      <c r="C143" s="60" t="e">
        <f t="shared" si="65"/>
        <v>#DIV/0!</v>
      </c>
      <c r="D143" s="60" t="e">
        <f t="shared" si="66"/>
        <v>#DIV/0!</v>
      </c>
      <c r="E143" s="60" t="e">
        <f t="shared" si="67"/>
        <v>#DIV/0!</v>
      </c>
      <c r="F143" s="60" t="e">
        <f t="shared" si="68"/>
        <v>#DIV/0!</v>
      </c>
      <c r="G143" s="60" t="e">
        <f t="shared" si="69"/>
        <v>#DIV/0!</v>
      </c>
      <c r="H143" s="60" t="e">
        <f t="shared" si="70"/>
        <v>#DIV/0!</v>
      </c>
      <c r="I143" s="60" t="e">
        <f t="shared" si="71"/>
        <v>#DIV/0!</v>
      </c>
      <c r="J143" s="60" t="e">
        <f t="shared" si="72"/>
        <v>#DIV/0!</v>
      </c>
      <c r="K143" s="60" t="e">
        <f t="shared" si="73"/>
        <v>#DIV/0!</v>
      </c>
      <c r="L143" s="60" t="e">
        <f t="shared" si="74"/>
        <v>#DIV/0!</v>
      </c>
      <c r="M143" s="60" t="e">
        <f t="shared" si="75"/>
        <v>#DIV/0!</v>
      </c>
      <c r="N143" s="60" t="e">
        <f t="shared" si="76"/>
        <v>#DIV/0!</v>
      </c>
      <c r="O143" s="61" t="e">
        <f>Links!B143</f>
        <v>#DIV/0!</v>
      </c>
      <c r="P143" s="61" t="e">
        <f>Links!C143+'On-Ramps'!AC143</f>
        <v>#DIV/0!</v>
      </c>
      <c r="Q143" s="61" t="e">
        <f>Links!D143</f>
        <v>#DIV/0!</v>
      </c>
      <c r="R143" s="61" t="e">
        <f>Links!E143+'On-Ramps'!AD143</f>
        <v>#DIV/0!</v>
      </c>
      <c r="S143" s="61" t="e">
        <f>Links!F143+'On-Ramps'!AE143</f>
        <v>#DIV/0!</v>
      </c>
      <c r="T143" s="61" t="e">
        <f>Links!G143+'On-Ramps'!AF143</f>
        <v>#DIV/0!</v>
      </c>
      <c r="U143" s="61" t="e">
        <f>Links!H143+'On-Ramps'!AG143</f>
        <v>#DIV/0!</v>
      </c>
      <c r="V143" s="61" t="e">
        <f>Links!J143+'On-Ramps'!AH143</f>
        <v>#DIV/0!</v>
      </c>
      <c r="W143" s="61" t="e">
        <f>Links!K143+'On-Ramps'!AI143</f>
        <v>#DIV/0!</v>
      </c>
      <c r="X143" s="61" t="e">
        <f>Links!L143+'On-Ramps'!AJ143</f>
        <v>#DIV/0!</v>
      </c>
      <c r="Y143" s="61" t="e">
        <f>Links!M143</f>
        <v>#DIV/0!</v>
      </c>
      <c r="Z143" s="61" t="e">
        <f>Links!N143+'On-Ramps'!AK143</f>
        <v>#DIV/0!</v>
      </c>
      <c r="AA143" s="61" t="e">
        <f>Links!O143</f>
        <v>#DIV/0!</v>
      </c>
      <c r="AB143" s="60" t="e">
        <f t="shared" si="77"/>
        <v>#DIV/0!</v>
      </c>
      <c r="AC143" s="60" t="e">
        <f t="shared" si="78"/>
        <v>#DIV/0!</v>
      </c>
      <c r="AD143" s="60" t="e">
        <f t="shared" si="79"/>
        <v>#DIV/0!</v>
      </c>
      <c r="AE143" s="60" t="e">
        <f t="shared" si="80"/>
        <v>#DIV/0!</v>
      </c>
      <c r="AF143" s="60" t="e">
        <f t="shared" si="81"/>
        <v>#DIV/0!</v>
      </c>
      <c r="AG143" s="60" t="e">
        <f t="shared" si="82"/>
        <v>#DIV/0!</v>
      </c>
      <c r="AH143" s="60" t="e">
        <f t="shared" si="83"/>
        <v>#DIV/0!</v>
      </c>
      <c r="AI143" s="60" t="e">
        <f t="shared" si="84"/>
        <v>#DIV/0!</v>
      </c>
      <c r="AJ143" s="60" t="e">
        <f t="shared" si="85"/>
        <v>#DIV/0!</v>
      </c>
      <c r="AK143" s="60" t="e">
        <f t="shared" si="86"/>
        <v>#DIV/0!</v>
      </c>
      <c r="AL143" s="60" t="e">
        <f t="shared" si="87"/>
        <v>#DIV/0!</v>
      </c>
      <c r="AM143" s="60" t="e">
        <f t="shared" si="88"/>
        <v>#DIV/0!</v>
      </c>
      <c r="AN143" s="60" t="e">
        <f t="shared" si="60"/>
        <v>#DIV/0!</v>
      </c>
      <c r="AO143" s="61" t="e">
        <f t="shared" si="63"/>
        <v>#DIV/0!</v>
      </c>
      <c r="AP143" s="61" t="e">
        <f t="shared" si="89"/>
        <v>#DIV/0!</v>
      </c>
      <c r="AQ143" s="61" t="e">
        <f t="shared" si="89"/>
        <v>#DIV/0!</v>
      </c>
      <c r="AR143" s="61" t="e">
        <f t="shared" si="89"/>
        <v>#DIV/0!</v>
      </c>
      <c r="AS143" s="61" t="e">
        <f t="shared" si="89"/>
        <v>#DIV/0!</v>
      </c>
      <c r="AT143" s="61" t="e">
        <f t="shared" si="89"/>
        <v>#DIV/0!</v>
      </c>
      <c r="AU143" s="61" t="e">
        <f t="shared" si="89"/>
        <v>#DIV/0!</v>
      </c>
      <c r="AV143" s="61" t="e">
        <f t="shared" si="89"/>
        <v>#DIV/0!</v>
      </c>
      <c r="AW143" s="61" t="e">
        <f t="shared" si="89"/>
        <v>#DIV/0!</v>
      </c>
      <c r="AX143" s="61" t="e">
        <f t="shared" si="89"/>
        <v>#DIV/0!</v>
      </c>
      <c r="AY143" s="61" t="e">
        <f t="shared" si="89"/>
        <v>#DIV/0!</v>
      </c>
      <c r="AZ143" s="61" t="e">
        <f t="shared" si="89"/>
        <v>#DIV/0!</v>
      </c>
      <c r="BA143" s="61" t="e">
        <f t="shared" si="89"/>
        <v>#DIV/0!</v>
      </c>
      <c r="BB143" s="60" t="e">
        <f>Links!AF143</f>
        <v>#DIV/0!</v>
      </c>
      <c r="BC143" s="60" t="e">
        <f>(Links!AG143*Links!C143+'On-Ramps'!AC143*'On-Ramps'!CE143)/('On-Ramps'!AC143+Links!C143)</f>
        <v>#DIV/0!</v>
      </c>
      <c r="BD143" s="60" t="e">
        <f>Links!AH143</f>
        <v>#DIV/0!</v>
      </c>
      <c r="BE143" s="60" t="e">
        <f>(Links!AI143*Links!E143+'On-Ramps'!AD143*'On-Ramps'!CF142)/('On-Ramps'!AD143+Links!E143)</f>
        <v>#DIV/0!</v>
      </c>
      <c r="BF143" s="60" t="e">
        <f>(Links!F143*Links!AJ143+'On-Ramps'!AE143*'On-Ramps'!CG143)/('On-Ramps'!AE143+Links!F143)</f>
        <v>#DIV/0!</v>
      </c>
      <c r="BG143" s="60" t="e">
        <f>(Links!G143*Links!AK143+'On-Ramps'!AF143*'On-Ramps'!CH143)/('On-Ramps'!AF143+Links!G143)</f>
        <v>#DIV/0!</v>
      </c>
      <c r="BH143" s="60" t="e">
        <f>(Links!H143*Links!AL143+'On-Ramps'!AG143*'On-Ramps'!CI143)/('On-Ramps'!AG143+Links!H143)</f>
        <v>#DIV/0!</v>
      </c>
      <c r="BI143" s="60" t="e">
        <f>(Links!J143*Links!AN143+'On-Ramps'!AH143*'On-Ramps'!CJ143)/('On-Ramps'!AH143+Links!J143)</f>
        <v>#DIV/0!</v>
      </c>
      <c r="BJ143" s="60" t="e">
        <f>(Links!K143*Links!AO143+'On-Ramps'!AI143*'On-Ramps'!CK143)/('On-Ramps'!AI143+Links!K143)</f>
        <v>#DIV/0!</v>
      </c>
      <c r="BK143" s="60" t="e">
        <f>(Links!L143*Links!AP143+'On-Ramps'!AJ143*'On-Ramps'!CL143)/(Links!L143+'On-Ramps'!AJ143)</f>
        <v>#DIV/0!</v>
      </c>
      <c r="BL143" s="60" t="e">
        <f>Links!AQ143</f>
        <v>#DIV/0!</v>
      </c>
      <c r="BM143" s="60" t="e">
        <f>(Links!N143*Links!AR143+'On-Ramps'!AL143*'On-Ramps'!CM143)/(Links!N143+'On-Ramps'!AL143)</f>
        <v>#DIV/0!</v>
      </c>
      <c r="BN143" s="60" t="e">
        <f>Links!AS143</f>
        <v>#DIV/0!</v>
      </c>
      <c r="BO143" s="61" t="e">
        <f>(Links!R143^2+'Off-Ramp'!L143^2)/(Links!R143+'Off-Ramp'!L143)</f>
        <v>#DIV/0!</v>
      </c>
      <c r="BP143" s="61" t="e">
        <f>Links!S143</f>
        <v>#DIV/0!</v>
      </c>
      <c r="BQ143" s="61" t="e">
        <f>(Links!S143^2+'Off-Ramp'!C143^2)/(Links!S143+'Off-Ramp'!C143)</f>
        <v>#DIV/0!</v>
      </c>
      <c r="BR143" s="61" t="e">
        <f>Links!T143</f>
        <v>#DIV/0!</v>
      </c>
      <c r="BS143" s="61" t="e">
        <f>(Links!U143^2+'Off-Ramp'!N143^2)/(Links!U143+'Off-Ramp'!N143)</f>
        <v>#DIV/0!</v>
      </c>
      <c r="BT143" s="61" t="e">
        <f>(Links!V143^2+'Off-Ramp'!O143^2)/(Links!V143+'Off-Ramp'!O143)</f>
        <v>#DIV/0!</v>
      </c>
      <c r="BU143" s="61" t="e">
        <f>(Links!W143^2+'Off-Ramp'!P143^2)/(Links!W143+'Off-Ramp'!P143)</f>
        <v>#DIV/0!</v>
      </c>
      <c r="BV143" s="61" t="e">
        <f>(Links!Y143^2+'Off-Ramp'!Q143^2)/(Links!Y143+'Off-Ramp'!Q143)</f>
        <v>#DIV/0!</v>
      </c>
      <c r="BW143" s="61" t="e">
        <f>(Links!Z143^2+'Off-Ramp'!R143^2)/(Links!Z143+'Off-Ramp'!R143)</f>
        <v>#DIV/0!</v>
      </c>
      <c r="BX143" s="61" t="e">
        <f>(Links!AA143+'Off-Ramp'!S143)/(Links!AA143^2+'Off-Ramp'!S143^2)</f>
        <v>#DIV/0!</v>
      </c>
      <c r="BY143" s="61" t="e">
        <f>(Links!AB143^2+'Off-Ramp'!T143^2)/(Links!AB143+'Off-Ramp'!T143)</f>
        <v>#DIV/0!</v>
      </c>
      <c r="BZ143" s="61" t="e">
        <f>Links!AC143</f>
        <v>#DIV/0!</v>
      </c>
      <c r="CA143" s="61" t="e">
        <f>(Links!AD143^2+'Off-Ramp'!U143^2)/(Links!AD143+'Off-Ramp'!U143)</f>
        <v>#DIV/0!</v>
      </c>
    </row>
    <row r="144" spans="1:79" x14ac:dyDescent="0.15">
      <c r="A144" s="59">
        <v>142</v>
      </c>
      <c r="B144" s="60" t="e">
        <f t="shared" si="64"/>
        <v>#DIV/0!</v>
      </c>
      <c r="C144" s="60" t="e">
        <f t="shared" si="65"/>
        <v>#DIV/0!</v>
      </c>
      <c r="D144" s="60" t="e">
        <f t="shared" si="66"/>
        <v>#DIV/0!</v>
      </c>
      <c r="E144" s="60" t="e">
        <f t="shared" si="67"/>
        <v>#DIV/0!</v>
      </c>
      <c r="F144" s="60" t="e">
        <f t="shared" si="68"/>
        <v>#DIV/0!</v>
      </c>
      <c r="G144" s="60" t="e">
        <f t="shared" si="69"/>
        <v>#DIV/0!</v>
      </c>
      <c r="H144" s="60" t="e">
        <f t="shared" si="70"/>
        <v>#DIV/0!</v>
      </c>
      <c r="I144" s="60" t="e">
        <f t="shared" si="71"/>
        <v>#DIV/0!</v>
      </c>
      <c r="J144" s="60" t="e">
        <f t="shared" si="72"/>
        <v>#DIV/0!</v>
      </c>
      <c r="K144" s="60" t="e">
        <f t="shared" si="73"/>
        <v>#DIV/0!</v>
      </c>
      <c r="L144" s="60" t="e">
        <f t="shared" si="74"/>
        <v>#DIV/0!</v>
      </c>
      <c r="M144" s="60" t="e">
        <f t="shared" si="75"/>
        <v>#DIV/0!</v>
      </c>
      <c r="N144" s="60" t="e">
        <f t="shared" si="76"/>
        <v>#DIV/0!</v>
      </c>
      <c r="O144" s="61" t="e">
        <f>Links!B144</f>
        <v>#DIV/0!</v>
      </c>
      <c r="P144" s="61" t="e">
        <f>Links!C144+'On-Ramps'!AC144</f>
        <v>#DIV/0!</v>
      </c>
      <c r="Q144" s="61" t="e">
        <f>Links!D144</f>
        <v>#DIV/0!</v>
      </c>
      <c r="R144" s="61" t="e">
        <f>Links!E144+'On-Ramps'!AD144</f>
        <v>#DIV/0!</v>
      </c>
      <c r="S144" s="61" t="e">
        <f>Links!F144+'On-Ramps'!AE144</f>
        <v>#DIV/0!</v>
      </c>
      <c r="T144" s="61" t="e">
        <f>Links!G144+'On-Ramps'!AF144</f>
        <v>#DIV/0!</v>
      </c>
      <c r="U144" s="61" t="e">
        <f>Links!H144+'On-Ramps'!AG144</f>
        <v>#DIV/0!</v>
      </c>
      <c r="V144" s="61" t="e">
        <f>Links!J144+'On-Ramps'!AH144</f>
        <v>#DIV/0!</v>
      </c>
      <c r="W144" s="61" t="e">
        <f>Links!K144+'On-Ramps'!AI144</f>
        <v>#DIV/0!</v>
      </c>
      <c r="X144" s="61" t="e">
        <f>Links!L144+'On-Ramps'!AJ144</f>
        <v>#DIV/0!</v>
      </c>
      <c r="Y144" s="61" t="e">
        <f>Links!M144</f>
        <v>#DIV/0!</v>
      </c>
      <c r="Z144" s="61" t="e">
        <f>Links!N144+'On-Ramps'!AK144</f>
        <v>#DIV/0!</v>
      </c>
      <c r="AA144" s="61" t="e">
        <f>Links!O144</f>
        <v>#DIV/0!</v>
      </c>
      <c r="AB144" s="60" t="e">
        <f t="shared" si="77"/>
        <v>#DIV/0!</v>
      </c>
      <c r="AC144" s="60" t="e">
        <f t="shared" si="78"/>
        <v>#DIV/0!</v>
      </c>
      <c r="AD144" s="60" t="e">
        <f t="shared" si="79"/>
        <v>#DIV/0!</v>
      </c>
      <c r="AE144" s="60" t="e">
        <f t="shared" si="80"/>
        <v>#DIV/0!</v>
      </c>
      <c r="AF144" s="60" t="e">
        <f t="shared" si="81"/>
        <v>#DIV/0!</v>
      </c>
      <c r="AG144" s="60" t="e">
        <f t="shared" si="82"/>
        <v>#DIV/0!</v>
      </c>
      <c r="AH144" s="60" t="e">
        <f t="shared" si="83"/>
        <v>#DIV/0!</v>
      </c>
      <c r="AI144" s="60" t="e">
        <f t="shared" si="84"/>
        <v>#DIV/0!</v>
      </c>
      <c r="AJ144" s="60" t="e">
        <f t="shared" si="85"/>
        <v>#DIV/0!</v>
      </c>
      <c r="AK144" s="60" t="e">
        <f t="shared" si="86"/>
        <v>#DIV/0!</v>
      </c>
      <c r="AL144" s="60" t="e">
        <f t="shared" si="87"/>
        <v>#DIV/0!</v>
      </c>
      <c r="AM144" s="60" t="e">
        <f t="shared" si="88"/>
        <v>#DIV/0!</v>
      </c>
      <c r="AN144" s="60" t="e">
        <f t="shared" si="60"/>
        <v>#DIV/0!</v>
      </c>
      <c r="AO144" s="61" t="e">
        <f t="shared" si="63"/>
        <v>#DIV/0!</v>
      </c>
      <c r="AP144" s="61" t="e">
        <f t="shared" si="89"/>
        <v>#DIV/0!</v>
      </c>
      <c r="AQ144" s="61" t="e">
        <f t="shared" si="89"/>
        <v>#DIV/0!</v>
      </c>
      <c r="AR144" s="61" t="e">
        <f t="shared" si="89"/>
        <v>#DIV/0!</v>
      </c>
      <c r="AS144" s="61" t="e">
        <f t="shared" si="89"/>
        <v>#DIV/0!</v>
      </c>
      <c r="AT144" s="61" t="e">
        <f t="shared" si="89"/>
        <v>#DIV/0!</v>
      </c>
      <c r="AU144" s="61" t="e">
        <f t="shared" si="89"/>
        <v>#DIV/0!</v>
      </c>
      <c r="AV144" s="61" t="e">
        <f t="shared" si="89"/>
        <v>#DIV/0!</v>
      </c>
      <c r="AW144" s="61" t="e">
        <f t="shared" si="89"/>
        <v>#DIV/0!</v>
      </c>
      <c r="AX144" s="61" t="e">
        <f t="shared" si="89"/>
        <v>#DIV/0!</v>
      </c>
      <c r="AY144" s="61" t="e">
        <f t="shared" si="89"/>
        <v>#DIV/0!</v>
      </c>
      <c r="AZ144" s="61" t="e">
        <f t="shared" si="89"/>
        <v>#DIV/0!</v>
      </c>
      <c r="BA144" s="61" t="e">
        <f t="shared" si="89"/>
        <v>#DIV/0!</v>
      </c>
      <c r="BB144" s="60" t="e">
        <f>Links!AF144</f>
        <v>#DIV/0!</v>
      </c>
      <c r="BC144" s="60" t="e">
        <f>(Links!AG144*Links!C144+'On-Ramps'!AC144*'On-Ramps'!CE144)/('On-Ramps'!AC144+Links!C144)</f>
        <v>#DIV/0!</v>
      </c>
      <c r="BD144" s="60" t="e">
        <f>Links!AH144</f>
        <v>#DIV/0!</v>
      </c>
      <c r="BE144" s="60" t="e">
        <f>(Links!AI144*Links!E144+'On-Ramps'!AD144*'On-Ramps'!CF143)/('On-Ramps'!AD144+Links!E144)</f>
        <v>#DIV/0!</v>
      </c>
      <c r="BF144" s="60" t="e">
        <f>(Links!F144*Links!AJ144+'On-Ramps'!AE144*'On-Ramps'!CG144)/('On-Ramps'!AE144+Links!F144)</f>
        <v>#DIV/0!</v>
      </c>
      <c r="BG144" s="60" t="e">
        <f>(Links!G144*Links!AK144+'On-Ramps'!AF144*'On-Ramps'!CH144)/('On-Ramps'!AF144+Links!G144)</f>
        <v>#DIV/0!</v>
      </c>
      <c r="BH144" s="60" t="e">
        <f>(Links!H144*Links!AL144+'On-Ramps'!AG144*'On-Ramps'!CI144)/('On-Ramps'!AG144+Links!H144)</f>
        <v>#DIV/0!</v>
      </c>
      <c r="BI144" s="60" t="e">
        <f>(Links!J144*Links!AN144+'On-Ramps'!AH144*'On-Ramps'!CJ144)/('On-Ramps'!AH144+Links!J144)</f>
        <v>#DIV/0!</v>
      </c>
      <c r="BJ144" s="60" t="e">
        <f>(Links!K144*Links!AO144+'On-Ramps'!AI144*'On-Ramps'!CK144)/('On-Ramps'!AI144+Links!K144)</f>
        <v>#DIV/0!</v>
      </c>
      <c r="BK144" s="60" t="e">
        <f>(Links!L144*Links!AP144+'On-Ramps'!AJ144*'On-Ramps'!CL144)/(Links!L144+'On-Ramps'!AJ144)</f>
        <v>#DIV/0!</v>
      </c>
      <c r="BL144" s="60" t="e">
        <f>Links!AQ144</f>
        <v>#DIV/0!</v>
      </c>
      <c r="BM144" s="60" t="e">
        <f>(Links!N144*Links!AR144+'On-Ramps'!AL144*'On-Ramps'!CM144)/(Links!N144+'On-Ramps'!AL144)</f>
        <v>#DIV/0!</v>
      </c>
      <c r="BN144" s="60" t="e">
        <f>Links!AS144</f>
        <v>#DIV/0!</v>
      </c>
      <c r="BO144" s="61" t="e">
        <f>(Links!R144^2+'Off-Ramp'!L144^2)/(Links!R144+'Off-Ramp'!L144)</f>
        <v>#DIV/0!</v>
      </c>
      <c r="BP144" s="61" t="e">
        <f>Links!S144</f>
        <v>#DIV/0!</v>
      </c>
      <c r="BQ144" s="61" t="e">
        <f>(Links!S144^2+'Off-Ramp'!C144^2)/(Links!S144+'Off-Ramp'!C144)</f>
        <v>#DIV/0!</v>
      </c>
      <c r="BR144" s="61" t="e">
        <f>Links!T144</f>
        <v>#DIV/0!</v>
      </c>
      <c r="BS144" s="61" t="e">
        <f>(Links!U144^2+'Off-Ramp'!N144^2)/(Links!U144+'Off-Ramp'!N144)</f>
        <v>#DIV/0!</v>
      </c>
      <c r="BT144" s="61" t="e">
        <f>(Links!V144^2+'Off-Ramp'!O144^2)/(Links!V144+'Off-Ramp'!O144)</f>
        <v>#DIV/0!</v>
      </c>
      <c r="BU144" s="61" t="e">
        <f>(Links!W144^2+'Off-Ramp'!P144^2)/(Links!W144+'Off-Ramp'!P144)</f>
        <v>#DIV/0!</v>
      </c>
      <c r="BV144" s="61" t="e">
        <f>(Links!Y144^2+'Off-Ramp'!Q144^2)/(Links!Y144+'Off-Ramp'!Q144)</f>
        <v>#DIV/0!</v>
      </c>
      <c r="BW144" s="61" t="e">
        <f>(Links!Z144^2+'Off-Ramp'!R144^2)/(Links!Z144+'Off-Ramp'!R144)</f>
        <v>#DIV/0!</v>
      </c>
      <c r="BX144" s="61" t="e">
        <f>(Links!AA144+'Off-Ramp'!S144)/(Links!AA144^2+'Off-Ramp'!S144^2)</f>
        <v>#DIV/0!</v>
      </c>
      <c r="BY144" s="61" t="e">
        <f>(Links!AB144^2+'Off-Ramp'!T144^2)/(Links!AB144+'Off-Ramp'!T144)</f>
        <v>#DIV/0!</v>
      </c>
      <c r="BZ144" s="61" t="e">
        <f>Links!AC144</f>
        <v>#DIV/0!</v>
      </c>
      <c r="CA144" s="61" t="e">
        <f>(Links!AD144^2+'Off-Ramp'!U144^2)/(Links!AD144+'Off-Ramp'!U144)</f>
        <v>#DIV/0!</v>
      </c>
    </row>
    <row r="145" spans="1:79" x14ac:dyDescent="0.15">
      <c r="A145" s="59">
        <v>143</v>
      </c>
      <c r="B145" s="60" t="e">
        <f t="shared" si="64"/>
        <v>#DIV/0!</v>
      </c>
      <c r="C145" s="60" t="e">
        <f t="shared" si="65"/>
        <v>#DIV/0!</v>
      </c>
      <c r="D145" s="60" t="e">
        <f t="shared" si="66"/>
        <v>#DIV/0!</v>
      </c>
      <c r="E145" s="60" t="e">
        <f t="shared" si="67"/>
        <v>#DIV/0!</v>
      </c>
      <c r="F145" s="60" t="e">
        <f t="shared" si="68"/>
        <v>#DIV/0!</v>
      </c>
      <c r="G145" s="60" t="e">
        <f t="shared" si="69"/>
        <v>#DIV/0!</v>
      </c>
      <c r="H145" s="60" t="e">
        <f t="shared" si="70"/>
        <v>#DIV/0!</v>
      </c>
      <c r="I145" s="60" t="e">
        <f t="shared" si="71"/>
        <v>#DIV/0!</v>
      </c>
      <c r="J145" s="60" t="e">
        <f t="shared" si="72"/>
        <v>#DIV/0!</v>
      </c>
      <c r="K145" s="60" t="e">
        <f t="shared" si="73"/>
        <v>#DIV/0!</v>
      </c>
      <c r="L145" s="60" t="e">
        <f t="shared" si="74"/>
        <v>#DIV/0!</v>
      </c>
      <c r="M145" s="60" t="e">
        <f t="shared" si="75"/>
        <v>#DIV/0!</v>
      </c>
      <c r="N145" s="60" t="e">
        <f t="shared" si="76"/>
        <v>#DIV/0!</v>
      </c>
      <c r="O145" s="61" t="e">
        <f>Links!B145</f>
        <v>#DIV/0!</v>
      </c>
      <c r="P145" s="61" t="e">
        <f>Links!C145+'On-Ramps'!AC145</f>
        <v>#DIV/0!</v>
      </c>
      <c r="Q145" s="61" t="e">
        <f>Links!D145</f>
        <v>#DIV/0!</v>
      </c>
      <c r="R145" s="61" t="e">
        <f>Links!E145+'On-Ramps'!AD145</f>
        <v>#DIV/0!</v>
      </c>
      <c r="S145" s="61" t="e">
        <f>Links!F145+'On-Ramps'!AE145</f>
        <v>#DIV/0!</v>
      </c>
      <c r="T145" s="61" t="e">
        <f>Links!G145+'On-Ramps'!AF145</f>
        <v>#DIV/0!</v>
      </c>
      <c r="U145" s="61" t="e">
        <f>Links!H145+'On-Ramps'!AG145</f>
        <v>#DIV/0!</v>
      </c>
      <c r="V145" s="61" t="e">
        <f>Links!J145+'On-Ramps'!AH145</f>
        <v>#DIV/0!</v>
      </c>
      <c r="W145" s="61" t="e">
        <f>Links!K145+'On-Ramps'!AI145</f>
        <v>#DIV/0!</v>
      </c>
      <c r="X145" s="61" t="e">
        <f>Links!L145+'On-Ramps'!AJ145</f>
        <v>#DIV/0!</v>
      </c>
      <c r="Y145" s="61" t="e">
        <f>Links!M145</f>
        <v>#DIV/0!</v>
      </c>
      <c r="Z145" s="61" t="e">
        <f>Links!N145+'On-Ramps'!AK145</f>
        <v>#DIV/0!</v>
      </c>
      <c r="AA145" s="61" t="e">
        <f>Links!O145</f>
        <v>#DIV/0!</v>
      </c>
      <c r="AB145" s="60" t="e">
        <f t="shared" si="77"/>
        <v>#DIV/0!</v>
      </c>
      <c r="AC145" s="60" t="e">
        <f t="shared" si="78"/>
        <v>#DIV/0!</v>
      </c>
      <c r="AD145" s="60" t="e">
        <f t="shared" si="79"/>
        <v>#DIV/0!</v>
      </c>
      <c r="AE145" s="60" t="e">
        <f t="shared" si="80"/>
        <v>#DIV/0!</v>
      </c>
      <c r="AF145" s="60" t="e">
        <f t="shared" si="81"/>
        <v>#DIV/0!</v>
      </c>
      <c r="AG145" s="60" t="e">
        <f t="shared" si="82"/>
        <v>#DIV/0!</v>
      </c>
      <c r="AH145" s="60" t="e">
        <f t="shared" si="83"/>
        <v>#DIV/0!</v>
      </c>
      <c r="AI145" s="60" t="e">
        <f t="shared" si="84"/>
        <v>#DIV/0!</v>
      </c>
      <c r="AJ145" s="60" t="e">
        <f t="shared" si="85"/>
        <v>#DIV/0!</v>
      </c>
      <c r="AK145" s="60" t="e">
        <f t="shared" si="86"/>
        <v>#DIV/0!</v>
      </c>
      <c r="AL145" s="60" t="e">
        <f t="shared" si="87"/>
        <v>#DIV/0!</v>
      </c>
      <c r="AM145" s="60" t="e">
        <f t="shared" si="88"/>
        <v>#DIV/0!</v>
      </c>
      <c r="AN145" s="60" t="e">
        <f t="shared" si="60"/>
        <v>#DIV/0!</v>
      </c>
      <c r="AO145" s="61" t="e">
        <f t="shared" si="63"/>
        <v>#DIV/0!</v>
      </c>
      <c r="AP145" s="61" t="e">
        <f t="shared" si="89"/>
        <v>#DIV/0!</v>
      </c>
      <c r="AQ145" s="61" t="e">
        <f t="shared" si="89"/>
        <v>#DIV/0!</v>
      </c>
      <c r="AR145" s="61" t="e">
        <f t="shared" si="89"/>
        <v>#DIV/0!</v>
      </c>
      <c r="AS145" s="61" t="e">
        <f t="shared" si="89"/>
        <v>#DIV/0!</v>
      </c>
      <c r="AT145" s="61" t="e">
        <f t="shared" si="89"/>
        <v>#DIV/0!</v>
      </c>
      <c r="AU145" s="61" t="e">
        <f t="shared" si="89"/>
        <v>#DIV/0!</v>
      </c>
      <c r="AV145" s="61" t="e">
        <f t="shared" si="89"/>
        <v>#DIV/0!</v>
      </c>
      <c r="AW145" s="61" t="e">
        <f t="shared" si="89"/>
        <v>#DIV/0!</v>
      </c>
      <c r="AX145" s="61" t="e">
        <f t="shared" si="89"/>
        <v>#DIV/0!</v>
      </c>
      <c r="AY145" s="61" t="e">
        <f t="shared" si="89"/>
        <v>#DIV/0!</v>
      </c>
      <c r="AZ145" s="61" t="e">
        <f t="shared" si="89"/>
        <v>#DIV/0!</v>
      </c>
      <c r="BA145" s="61" t="e">
        <f t="shared" si="89"/>
        <v>#DIV/0!</v>
      </c>
      <c r="BB145" s="60" t="e">
        <f>Links!AF145</f>
        <v>#DIV/0!</v>
      </c>
      <c r="BC145" s="60" t="e">
        <f>(Links!AG145*Links!C145+'On-Ramps'!AC145*'On-Ramps'!CE145)/('On-Ramps'!AC145+Links!C145)</f>
        <v>#DIV/0!</v>
      </c>
      <c r="BD145" s="60" t="e">
        <f>Links!AH145</f>
        <v>#DIV/0!</v>
      </c>
      <c r="BE145" s="60" t="e">
        <f>(Links!AI145*Links!E145+'On-Ramps'!AD145*'On-Ramps'!CF144)/('On-Ramps'!AD145+Links!E145)</f>
        <v>#DIV/0!</v>
      </c>
      <c r="BF145" s="60" t="e">
        <f>(Links!F145*Links!AJ145+'On-Ramps'!AE145*'On-Ramps'!CG145)/('On-Ramps'!AE145+Links!F145)</f>
        <v>#DIV/0!</v>
      </c>
      <c r="BG145" s="60" t="e">
        <f>(Links!G145*Links!AK145+'On-Ramps'!AF145*'On-Ramps'!CH145)/('On-Ramps'!AF145+Links!G145)</f>
        <v>#DIV/0!</v>
      </c>
      <c r="BH145" s="60" t="e">
        <f>(Links!H145*Links!AL145+'On-Ramps'!AG145*'On-Ramps'!CI145)/('On-Ramps'!AG145+Links!H145)</f>
        <v>#DIV/0!</v>
      </c>
      <c r="BI145" s="60" t="e">
        <f>(Links!J145*Links!AN145+'On-Ramps'!AH145*'On-Ramps'!CJ145)/('On-Ramps'!AH145+Links!J145)</f>
        <v>#DIV/0!</v>
      </c>
      <c r="BJ145" s="60" t="e">
        <f>(Links!K145*Links!AO145+'On-Ramps'!AI145*'On-Ramps'!CK145)/('On-Ramps'!AI145+Links!K145)</f>
        <v>#DIV/0!</v>
      </c>
      <c r="BK145" s="60" t="e">
        <f>(Links!L145*Links!AP145+'On-Ramps'!AJ145*'On-Ramps'!CL145)/(Links!L145+'On-Ramps'!AJ145)</f>
        <v>#DIV/0!</v>
      </c>
      <c r="BL145" s="60" t="e">
        <f>Links!AQ145</f>
        <v>#DIV/0!</v>
      </c>
      <c r="BM145" s="60" t="e">
        <f>(Links!N145*Links!AR145+'On-Ramps'!AL145*'On-Ramps'!CM145)/(Links!N145+'On-Ramps'!AL145)</f>
        <v>#DIV/0!</v>
      </c>
      <c r="BN145" s="60" t="e">
        <f>Links!AS145</f>
        <v>#DIV/0!</v>
      </c>
      <c r="BO145" s="61" t="e">
        <f>(Links!R145^2+'Off-Ramp'!L145^2)/(Links!R145+'Off-Ramp'!L145)</f>
        <v>#DIV/0!</v>
      </c>
      <c r="BP145" s="61" t="e">
        <f>Links!S145</f>
        <v>#DIV/0!</v>
      </c>
      <c r="BQ145" s="61" t="e">
        <f>(Links!S145^2+'Off-Ramp'!C145^2)/(Links!S145+'Off-Ramp'!C145)</f>
        <v>#DIV/0!</v>
      </c>
      <c r="BR145" s="61" t="e">
        <f>Links!T145</f>
        <v>#DIV/0!</v>
      </c>
      <c r="BS145" s="61" t="e">
        <f>(Links!U145^2+'Off-Ramp'!N145^2)/(Links!U145+'Off-Ramp'!N145)</f>
        <v>#DIV/0!</v>
      </c>
      <c r="BT145" s="61" t="e">
        <f>(Links!V145^2+'Off-Ramp'!O145^2)/(Links!V145+'Off-Ramp'!O145)</f>
        <v>#DIV/0!</v>
      </c>
      <c r="BU145" s="61" t="e">
        <f>(Links!W145^2+'Off-Ramp'!P145^2)/(Links!W145+'Off-Ramp'!P145)</f>
        <v>#DIV/0!</v>
      </c>
      <c r="BV145" s="61" t="e">
        <f>(Links!Y145^2+'Off-Ramp'!Q145^2)/(Links!Y145+'Off-Ramp'!Q145)</f>
        <v>#DIV/0!</v>
      </c>
      <c r="BW145" s="61" t="e">
        <f>(Links!Z145^2+'Off-Ramp'!R145^2)/(Links!Z145+'Off-Ramp'!R145)</f>
        <v>#DIV/0!</v>
      </c>
      <c r="BX145" s="61" t="e">
        <f>(Links!AA145+'Off-Ramp'!S145)/(Links!AA145^2+'Off-Ramp'!S145^2)</f>
        <v>#DIV/0!</v>
      </c>
      <c r="BY145" s="61" t="e">
        <f>(Links!AB145^2+'Off-Ramp'!T145^2)/(Links!AB145+'Off-Ramp'!T145)</f>
        <v>#DIV/0!</v>
      </c>
      <c r="BZ145" s="61" t="e">
        <f>Links!AC145</f>
        <v>#DIV/0!</v>
      </c>
      <c r="CA145" s="61" t="e">
        <f>(Links!AD145^2+'Off-Ramp'!U145^2)/(Links!AD145+'Off-Ramp'!U145)</f>
        <v>#DIV/0!</v>
      </c>
    </row>
    <row r="146" spans="1:79" x14ac:dyDescent="0.15">
      <c r="A146" s="59">
        <v>144</v>
      </c>
      <c r="B146" s="60" t="e">
        <f t="shared" si="64"/>
        <v>#DIV/0!</v>
      </c>
      <c r="C146" s="60" t="e">
        <f t="shared" si="65"/>
        <v>#DIV/0!</v>
      </c>
      <c r="D146" s="60" t="e">
        <f t="shared" si="66"/>
        <v>#DIV/0!</v>
      </c>
      <c r="E146" s="60" t="e">
        <f t="shared" si="67"/>
        <v>#DIV/0!</v>
      </c>
      <c r="F146" s="60" t="e">
        <f t="shared" si="68"/>
        <v>#DIV/0!</v>
      </c>
      <c r="G146" s="60" t="e">
        <f t="shared" si="69"/>
        <v>#DIV/0!</v>
      </c>
      <c r="H146" s="60" t="e">
        <f t="shared" si="70"/>
        <v>#DIV/0!</v>
      </c>
      <c r="I146" s="60" t="e">
        <f t="shared" si="71"/>
        <v>#DIV/0!</v>
      </c>
      <c r="J146" s="60" t="e">
        <f t="shared" si="72"/>
        <v>#DIV/0!</v>
      </c>
      <c r="K146" s="60" t="e">
        <f t="shared" si="73"/>
        <v>#DIV/0!</v>
      </c>
      <c r="L146" s="60" t="e">
        <f t="shared" si="74"/>
        <v>#DIV/0!</v>
      </c>
      <c r="M146" s="60" t="e">
        <f t="shared" si="75"/>
        <v>#DIV/0!</v>
      </c>
      <c r="N146" s="60" t="e">
        <f t="shared" si="76"/>
        <v>#DIV/0!</v>
      </c>
      <c r="O146" s="61" t="e">
        <f>Links!B146</f>
        <v>#DIV/0!</v>
      </c>
      <c r="P146" s="61" t="e">
        <f>Links!C146+'On-Ramps'!AC146</f>
        <v>#DIV/0!</v>
      </c>
      <c r="Q146" s="61" t="e">
        <f>Links!D146</f>
        <v>#DIV/0!</v>
      </c>
      <c r="R146" s="61" t="e">
        <f>Links!E146+'On-Ramps'!AD146</f>
        <v>#DIV/0!</v>
      </c>
      <c r="S146" s="61" t="e">
        <f>Links!F146+'On-Ramps'!AE146</f>
        <v>#DIV/0!</v>
      </c>
      <c r="T146" s="61" t="e">
        <f>Links!G146+'On-Ramps'!AF146</f>
        <v>#DIV/0!</v>
      </c>
      <c r="U146" s="61" t="e">
        <f>Links!H146+'On-Ramps'!AG146</f>
        <v>#DIV/0!</v>
      </c>
      <c r="V146" s="61" t="e">
        <f>Links!J146+'On-Ramps'!AH146</f>
        <v>#DIV/0!</v>
      </c>
      <c r="W146" s="61" t="e">
        <f>Links!K146+'On-Ramps'!AI146</f>
        <v>#DIV/0!</v>
      </c>
      <c r="X146" s="61" t="e">
        <f>Links!L146+'On-Ramps'!AJ146</f>
        <v>#DIV/0!</v>
      </c>
      <c r="Y146" s="61" t="e">
        <f>Links!M146</f>
        <v>#DIV/0!</v>
      </c>
      <c r="Z146" s="61" t="e">
        <f>Links!N146+'On-Ramps'!AK146</f>
        <v>#DIV/0!</v>
      </c>
      <c r="AA146" s="61" t="e">
        <f>Links!O146</f>
        <v>#DIV/0!</v>
      </c>
      <c r="AB146" s="60" t="e">
        <f t="shared" si="77"/>
        <v>#DIV/0!</v>
      </c>
      <c r="AC146" s="60" t="e">
        <f t="shared" si="78"/>
        <v>#DIV/0!</v>
      </c>
      <c r="AD146" s="60" t="e">
        <f t="shared" si="79"/>
        <v>#DIV/0!</v>
      </c>
      <c r="AE146" s="60" t="e">
        <f t="shared" si="80"/>
        <v>#DIV/0!</v>
      </c>
      <c r="AF146" s="60" t="e">
        <f t="shared" si="81"/>
        <v>#DIV/0!</v>
      </c>
      <c r="AG146" s="60" t="e">
        <f t="shared" si="82"/>
        <v>#DIV/0!</v>
      </c>
      <c r="AH146" s="60" t="e">
        <f t="shared" si="83"/>
        <v>#DIV/0!</v>
      </c>
      <c r="AI146" s="60" t="e">
        <f t="shared" si="84"/>
        <v>#DIV/0!</v>
      </c>
      <c r="AJ146" s="60" t="e">
        <f t="shared" si="85"/>
        <v>#DIV/0!</v>
      </c>
      <c r="AK146" s="60" t="e">
        <f t="shared" si="86"/>
        <v>#DIV/0!</v>
      </c>
      <c r="AL146" s="60" t="e">
        <f t="shared" si="87"/>
        <v>#DIV/0!</v>
      </c>
      <c r="AM146" s="60" t="e">
        <f t="shared" si="88"/>
        <v>#DIV/0!</v>
      </c>
      <c r="AN146" s="60" t="e">
        <f t="shared" si="60"/>
        <v>#DIV/0!</v>
      </c>
      <c r="AO146" s="61" t="e">
        <f t="shared" si="63"/>
        <v>#DIV/0!</v>
      </c>
      <c r="AP146" s="61" t="e">
        <f t="shared" si="89"/>
        <v>#DIV/0!</v>
      </c>
      <c r="AQ146" s="61" t="e">
        <f t="shared" si="89"/>
        <v>#DIV/0!</v>
      </c>
      <c r="AR146" s="61" t="e">
        <f t="shared" si="89"/>
        <v>#DIV/0!</v>
      </c>
      <c r="AS146" s="61" t="e">
        <f t="shared" si="89"/>
        <v>#DIV/0!</v>
      </c>
      <c r="AT146" s="61" t="e">
        <f t="shared" si="89"/>
        <v>#DIV/0!</v>
      </c>
      <c r="AU146" s="61" t="e">
        <f t="shared" si="89"/>
        <v>#DIV/0!</v>
      </c>
      <c r="AV146" s="61" t="e">
        <f t="shared" si="89"/>
        <v>#DIV/0!</v>
      </c>
      <c r="AW146" s="61" t="e">
        <f t="shared" si="89"/>
        <v>#DIV/0!</v>
      </c>
      <c r="AX146" s="61" t="e">
        <f t="shared" si="89"/>
        <v>#DIV/0!</v>
      </c>
      <c r="AY146" s="61" t="e">
        <f t="shared" si="89"/>
        <v>#DIV/0!</v>
      </c>
      <c r="AZ146" s="61" t="e">
        <f t="shared" si="89"/>
        <v>#DIV/0!</v>
      </c>
      <c r="BA146" s="61" t="e">
        <f t="shared" si="89"/>
        <v>#DIV/0!</v>
      </c>
      <c r="BB146" s="60" t="e">
        <f>Links!AF146</f>
        <v>#DIV/0!</v>
      </c>
      <c r="BC146" s="60" t="e">
        <f>(Links!AG146*Links!C146+'On-Ramps'!AC146*'On-Ramps'!CE146)/('On-Ramps'!AC146+Links!C146)</f>
        <v>#DIV/0!</v>
      </c>
      <c r="BD146" s="60" t="e">
        <f>Links!AH146</f>
        <v>#DIV/0!</v>
      </c>
      <c r="BE146" s="60" t="e">
        <f>(Links!AI146*Links!E146+'On-Ramps'!AD146*'On-Ramps'!CF145)/('On-Ramps'!AD146+Links!E146)</f>
        <v>#DIV/0!</v>
      </c>
      <c r="BF146" s="60" t="e">
        <f>(Links!F146*Links!AJ146+'On-Ramps'!AE146*'On-Ramps'!CG146)/('On-Ramps'!AE146+Links!F146)</f>
        <v>#DIV/0!</v>
      </c>
      <c r="BG146" s="60" t="e">
        <f>(Links!G146*Links!AK146+'On-Ramps'!AF146*'On-Ramps'!CH146)/('On-Ramps'!AF146+Links!G146)</f>
        <v>#DIV/0!</v>
      </c>
      <c r="BH146" s="60" t="e">
        <f>(Links!H146*Links!AL146+'On-Ramps'!AG146*'On-Ramps'!CI146)/('On-Ramps'!AG146+Links!H146)</f>
        <v>#DIV/0!</v>
      </c>
      <c r="BI146" s="60" t="e">
        <f>(Links!J146*Links!AN146+'On-Ramps'!AH146*'On-Ramps'!CJ146)/('On-Ramps'!AH146+Links!J146)</f>
        <v>#DIV/0!</v>
      </c>
      <c r="BJ146" s="60" t="e">
        <f>(Links!K146*Links!AO146+'On-Ramps'!AI146*'On-Ramps'!CK146)/('On-Ramps'!AI146+Links!K146)</f>
        <v>#DIV/0!</v>
      </c>
      <c r="BK146" s="60" t="e">
        <f>(Links!L146*Links!AP146+'On-Ramps'!AJ146*'On-Ramps'!CL146)/(Links!L146+'On-Ramps'!AJ146)</f>
        <v>#DIV/0!</v>
      </c>
      <c r="BL146" s="60" t="e">
        <f>Links!AQ146</f>
        <v>#DIV/0!</v>
      </c>
      <c r="BM146" s="60" t="e">
        <f>(Links!N146*Links!AR146+'On-Ramps'!AL146*'On-Ramps'!CM146)/(Links!N146+'On-Ramps'!AL146)</f>
        <v>#DIV/0!</v>
      </c>
      <c r="BN146" s="60" t="e">
        <f>Links!AS146</f>
        <v>#DIV/0!</v>
      </c>
      <c r="BO146" s="61" t="e">
        <f>(Links!R146^2+'Off-Ramp'!L146^2)/(Links!R146+'Off-Ramp'!L146)</f>
        <v>#DIV/0!</v>
      </c>
      <c r="BP146" s="61" t="e">
        <f>Links!S146</f>
        <v>#DIV/0!</v>
      </c>
      <c r="BQ146" s="61" t="e">
        <f>(Links!S146^2+'Off-Ramp'!C146^2)/(Links!S146+'Off-Ramp'!C146)</f>
        <v>#DIV/0!</v>
      </c>
      <c r="BR146" s="61" t="e">
        <f>Links!T146</f>
        <v>#DIV/0!</v>
      </c>
      <c r="BS146" s="61" t="e">
        <f>(Links!U146^2+'Off-Ramp'!N146^2)/(Links!U146+'Off-Ramp'!N146)</f>
        <v>#DIV/0!</v>
      </c>
      <c r="BT146" s="61" t="e">
        <f>(Links!V146^2+'Off-Ramp'!O146^2)/(Links!V146+'Off-Ramp'!O146)</f>
        <v>#DIV/0!</v>
      </c>
      <c r="BU146" s="61" t="e">
        <f>(Links!W146^2+'Off-Ramp'!P146^2)/(Links!W146+'Off-Ramp'!P146)</f>
        <v>#DIV/0!</v>
      </c>
      <c r="BV146" s="61" t="e">
        <f>(Links!Y146^2+'Off-Ramp'!Q146^2)/(Links!Y146+'Off-Ramp'!Q146)</f>
        <v>#DIV/0!</v>
      </c>
      <c r="BW146" s="61" t="e">
        <f>(Links!Z146^2+'Off-Ramp'!R146^2)/(Links!Z146+'Off-Ramp'!R146)</f>
        <v>#DIV/0!</v>
      </c>
      <c r="BX146" s="61" t="e">
        <f>(Links!AA146+'Off-Ramp'!S146)/(Links!AA146^2+'Off-Ramp'!S146^2)</f>
        <v>#DIV/0!</v>
      </c>
      <c r="BY146" s="61" t="e">
        <f>(Links!AB146^2+'Off-Ramp'!T146^2)/(Links!AB146+'Off-Ramp'!T146)</f>
        <v>#DIV/0!</v>
      </c>
      <c r="BZ146" s="61" t="e">
        <f>Links!AC146</f>
        <v>#DIV/0!</v>
      </c>
      <c r="CA146" s="61" t="e">
        <f>(Links!AD146^2+'Off-Ramp'!U146^2)/(Links!AD146+'Off-Ramp'!U146)</f>
        <v>#DIV/0!</v>
      </c>
    </row>
    <row r="147" spans="1:79" x14ac:dyDescent="0.15">
      <c r="A147" s="59">
        <v>145</v>
      </c>
      <c r="B147" s="60" t="e">
        <f t="shared" si="64"/>
        <v>#DIV/0!</v>
      </c>
      <c r="C147" s="60" t="e">
        <f t="shared" si="65"/>
        <v>#DIV/0!</v>
      </c>
      <c r="D147" s="60" t="e">
        <f t="shared" si="66"/>
        <v>#DIV/0!</v>
      </c>
      <c r="E147" s="60" t="e">
        <f t="shared" si="67"/>
        <v>#DIV/0!</v>
      </c>
      <c r="F147" s="60" t="e">
        <f t="shared" si="68"/>
        <v>#DIV/0!</v>
      </c>
      <c r="G147" s="60" t="e">
        <f t="shared" si="69"/>
        <v>#DIV/0!</v>
      </c>
      <c r="H147" s="60" t="e">
        <f t="shared" si="70"/>
        <v>#DIV/0!</v>
      </c>
      <c r="I147" s="60" t="e">
        <f t="shared" si="71"/>
        <v>#DIV/0!</v>
      </c>
      <c r="J147" s="60" t="e">
        <f t="shared" si="72"/>
        <v>#DIV/0!</v>
      </c>
      <c r="K147" s="60" t="e">
        <f t="shared" si="73"/>
        <v>#DIV/0!</v>
      </c>
      <c r="L147" s="60" t="e">
        <f t="shared" si="74"/>
        <v>#DIV/0!</v>
      </c>
      <c r="M147" s="60" t="e">
        <f t="shared" si="75"/>
        <v>#DIV/0!</v>
      </c>
      <c r="N147" s="60" t="e">
        <f t="shared" si="76"/>
        <v>#DIV/0!</v>
      </c>
      <c r="O147" s="61" t="e">
        <f>Links!B147</f>
        <v>#DIV/0!</v>
      </c>
      <c r="P147" s="61" t="e">
        <f>Links!C147+'On-Ramps'!AC147</f>
        <v>#DIV/0!</v>
      </c>
      <c r="Q147" s="61" t="e">
        <f>Links!D147</f>
        <v>#DIV/0!</v>
      </c>
      <c r="R147" s="61" t="e">
        <f>Links!E147+'On-Ramps'!AD147</f>
        <v>#DIV/0!</v>
      </c>
      <c r="S147" s="61" t="e">
        <f>Links!F147+'On-Ramps'!AE147</f>
        <v>#DIV/0!</v>
      </c>
      <c r="T147" s="61" t="e">
        <f>Links!G147+'On-Ramps'!AF147</f>
        <v>#DIV/0!</v>
      </c>
      <c r="U147" s="61" t="e">
        <f>Links!H147+'On-Ramps'!AG147</f>
        <v>#DIV/0!</v>
      </c>
      <c r="V147" s="61" t="e">
        <f>Links!J147+'On-Ramps'!AH147</f>
        <v>#DIV/0!</v>
      </c>
      <c r="W147" s="61" t="e">
        <f>Links!K147+'On-Ramps'!AI147</f>
        <v>#DIV/0!</v>
      </c>
      <c r="X147" s="61" t="e">
        <f>Links!L147+'On-Ramps'!AJ147</f>
        <v>#DIV/0!</v>
      </c>
      <c r="Y147" s="61" t="e">
        <f>Links!M147</f>
        <v>#DIV/0!</v>
      </c>
      <c r="Z147" s="61" t="e">
        <f>Links!N147+'On-Ramps'!AK147</f>
        <v>#DIV/0!</v>
      </c>
      <c r="AA147" s="61" t="e">
        <f>Links!O147</f>
        <v>#DIV/0!</v>
      </c>
      <c r="AB147" s="60" t="e">
        <f t="shared" si="77"/>
        <v>#DIV/0!</v>
      </c>
      <c r="AC147" s="60" t="e">
        <f t="shared" si="78"/>
        <v>#DIV/0!</v>
      </c>
      <c r="AD147" s="60" t="e">
        <f t="shared" si="79"/>
        <v>#DIV/0!</v>
      </c>
      <c r="AE147" s="60" t="e">
        <f t="shared" si="80"/>
        <v>#DIV/0!</v>
      </c>
      <c r="AF147" s="60" t="e">
        <f t="shared" si="81"/>
        <v>#DIV/0!</v>
      </c>
      <c r="AG147" s="60" t="e">
        <f t="shared" si="82"/>
        <v>#DIV/0!</v>
      </c>
      <c r="AH147" s="60" t="e">
        <f t="shared" si="83"/>
        <v>#DIV/0!</v>
      </c>
      <c r="AI147" s="60" t="e">
        <f t="shared" si="84"/>
        <v>#DIV/0!</v>
      </c>
      <c r="AJ147" s="60" t="e">
        <f t="shared" si="85"/>
        <v>#DIV/0!</v>
      </c>
      <c r="AK147" s="60" t="e">
        <f t="shared" si="86"/>
        <v>#DIV/0!</v>
      </c>
      <c r="AL147" s="60" t="e">
        <f t="shared" si="87"/>
        <v>#DIV/0!</v>
      </c>
      <c r="AM147" s="60" t="e">
        <f t="shared" si="88"/>
        <v>#DIV/0!</v>
      </c>
      <c r="AN147" s="60" t="e">
        <f t="shared" si="60"/>
        <v>#DIV/0!</v>
      </c>
      <c r="AO147" s="61" t="e">
        <f t="shared" si="63"/>
        <v>#DIV/0!</v>
      </c>
      <c r="AP147" s="61" t="e">
        <f t="shared" si="89"/>
        <v>#DIV/0!</v>
      </c>
      <c r="AQ147" s="61" t="e">
        <f t="shared" si="89"/>
        <v>#DIV/0!</v>
      </c>
      <c r="AR147" s="61" t="e">
        <f t="shared" si="89"/>
        <v>#DIV/0!</v>
      </c>
      <c r="AS147" s="61" t="e">
        <f t="shared" si="89"/>
        <v>#DIV/0!</v>
      </c>
      <c r="AT147" s="61" t="e">
        <f t="shared" si="89"/>
        <v>#DIV/0!</v>
      </c>
      <c r="AU147" s="61" t="e">
        <f t="shared" si="89"/>
        <v>#DIV/0!</v>
      </c>
      <c r="AV147" s="61" t="e">
        <f t="shared" si="89"/>
        <v>#DIV/0!</v>
      </c>
      <c r="AW147" s="61" t="e">
        <f t="shared" si="89"/>
        <v>#DIV/0!</v>
      </c>
      <c r="AX147" s="61" t="e">
        <f t="shared" si="89"/>
        <v>#DIV/0!</v>
      </c>
      <c r="AY147" s="61" t="e">
        <f t="shared" si="89"/>
        <v>#DIV/0!</v>
      </c>
      <c r="AZ147" s="61" t="e">
        <f t="shared" si="89"/>
        <v>#DIV/0!</v>
      </c>
      <c r="BA147" s="61" t="e">
        <f t="shared" si="89"/>
        <v>#DIV/0!</v>
      </c>
      <c r="BB147" s="60" t="e">
        <f>Links!AF147</f>
        <v>#DIV/0!</v>
      </c>
      <c r="BC147" s="60" t="e">
        <f>(Links!AG147*Links!C147+'On-Ramps'!AC147*'On-Ramps'!CE147)/('On-Ramps'!AC147+Links!C147)</f>
        <v>#DIV/0!</v>
      </c>
      <c r="BD147" s="60" t="e">
        <f>Links!AH147</f>
        <v>#DIV/0!</v>
      </c>
      <c r="BE147" s="60" t="e">
        <f>(Links!AI147*Links!E147+'On-Ramps'!AD147*'On-Ramps'!CF146)/('On-Ramps'!AD147+Links!E147)</f>
        <v>#DIV/0!</v>
      </c>
      <c r="BF147" s="60" t="e">
        <f>(Links!F147*Links!AJ147+'On-Ramps'!AE147*'On-Ramps'!CG147)/('On-Ramps'!AE147+Links!F147)</f>
        <v>#DIV/0!</v>
      </c>
      <c r="BG147" s="60" t="e">
        <f>(Links!G147*Links!AK147+'On-Ramps'!AF147*'On-Ramps'!CH147)/('On-Ramps'!AF147+Links!G147)</f>
        <v>#DIV/0!</v>
      </c>
      <c r="BH147" s="60" t="e">
        <f>(Links!H147*Links!AL147+'On-Ramps'!AG147*'On-Ramps'!CI147)/('On-Ramps'!AG147+Links!H147)</f>
        <v>#DIV/0!</v>
      </c>
      <c r="BI147" s="60" t="e">
        <f>(Links!J147*Links!AN147+'On-Ramps'!AH147*'On-Ramps'!CJ147)/('On-Ramps'!AH147+Links!J147)</f>
        <v>#DIV/0!</v>
      </c>
      <c r="BJ147" s="60" t="e">
        <f>(Links!K147*Links!AO147+'On-Ramps'!AI147*'On-Ramps'!CK147)/('On-Ramps'!AI147+Links!K147)</f>
        <v>#DIV/0!</v>
      </c>
      <c r="BK147" s="60" t="e">
        <f>(Links!L147*Links!AP147+'On-Ramps'!AJ147*'On-Ramps'!CL147)/(Links!L147+'On-Ramps'!AJ147)</f>
        <v>#DIV/0!</v>
      </c>
      <c r="BL147" s="60" t="e">
        <f>Links!AQ147</f>
        <v>#DIV/0!</v>
      </c>
      <c r="BM147" s="60" t="e">
        <f>(Links!N147*Links!AR147+'On-Ramps'!AL147*'On-Ramps'!CM147)/(Links!N147+'On-Ramps'!AL147)</f>
        <v>#DIV/0!</v>
      </c>
      <c r="BN147" s="60" t="e">
        <f>Links!AS147</f>
        <v>#DIV/0!</v>
      </c>
      <c r="BO147" s="61" t="e">
        <f>(Links!R147^2+'Off-Ramp'!L147^2)/(Links!R147+'Off-Ramp'!L147)</f>
        <v>#DIV/0!</v>
      </c>
      <c r="BP147" s="61" t="e">
        <f>Links!S147</f>
        <v>#DIV/0!</v>
      </c>
      <c r="BQ147" s="61" t="e">
        <f>(Links!S147^2+'Off-Ramp'!C147^2)/(Links!S147+'Off-Ramp'!C147)</f>
        <v>#DIV/0!</v>
      </c>
      <c r="BR147" s="61" t="e">
        <f>Links!T147</f>
        <v>#DIV/0!</v>
      </c>
      <c r="BS147" s="61" t="e">
        <f>(Links!U147^2+'Off-Ramp'!N147^2)/(Links!U147+'Off-Ramp'!N147)</f>
        <v>#DIV/0!</v>
      </c>
      <c r="BT147" s="61" t="e">
        <f>(Links!V147^2+'Off-Ramp'!O147^2)/(Links!V147+'Off-Ramp'!O147)</f>
        <v>#DIV/0!</v>
      </c>
      <c r="BU147" s="61" t="e">
        <f>(Links!W147^2+'Off-Ramp'!P147^2)/(Links!W147+'Off-Ramp'!P147)</f>
        <v>#DIV/0!</v>
      </c>
      <c r="BV147" s="61" t="e">
        <f>(Links!Y147^2+'Off-Ramp'!Q147^2)/(Links!Y147+'Off-Ramp'!Q147)</f>
        <v>#DIV/0!</v>
      </c>
      <c r="BW147" s="61" t="e">
        <f>(Links!Z147^2+'Off-Ramp'!R147^2)/(Links!Z147+'Off-Ramp'!R147)</f>
        <v>#DIV/0!</v>
      </c>
      <c r="BX147" s="61" t="e">
        <f>(Links!AA147+'Off-Ramp'!S147)/(Links!AA147^2+'Off-Ramp'!S147^2)</f>
        <v>#DIV/0!</v>
      </c>
      <c r="BY147" s="61" t="e">
        <f>(Links!AB147^2+'Off-Ramp'!T147^2)/(Links!AB147+'Off-Ramp'!T147)</f>
        <v>#DIV/0!</v>
      </c>
      <c r="BZ147" s="61" t="e">
        <f>Links!AC147</f>
        <v>#DIV/0!</v>
      </c>
      <c r="CA147" s="61" t="e">
        <f>(Links!AD147^2+'Off-Ramp'!U147^2)/(Links!AD147+'Off-Ramp'!U147)</f>
        <v>#DIV/0!</v>
      </c>
    </row>
    <row r="148" spans="1:79" x14ac:dyDescent="0.15">
      <c r="A148" s="59">
        <v>146</v>
      </c>
      <c r="B148" s="60" t="e">
        <f t="shared" si="64"/>
        <v>#DIV/0!</v>
      </c>
      <c r="C148" s="60" t="e">
        <f t="shared" si="65"/>
        <v>#DIV/0!</v>
      </c>
      <c r="D148" s="60" t="e">
        <f t="shared" si="66"/>
        <v>#DIV/0!</v>
      </c>
      <c r="E148" s="60" t="e">
        <f t="shared" si="67"/>
        <v>#DIV/0!</v>
      </c>
      <c r="F148" s="60" t="e">
        <f t="shared" si="68"/>
        <v>#DIV/0!</v>
      </c>
      <c r="G148" s="60" t="e">
        <f t="shared" si="69"/>
        <v>#DIV/0!</v>
      </c>
      <c r="H148" s="60" t="e">
        <f t="shared" si="70"/>
        <v>#DIV/0!</v>
      </c>
      <c r="I148" s="60" t="e">
        <f t="shared" si="71"/>
        <v>#DIV/0!</v>
      </c>
      <c r="J148" s="60" t="e">
        <f t="shared" si="72"/>
        <v>#DIV/0!</v>
      </c>
      <c r="K148" s="60" t="e">
        <f t="shared" si="73"/>
        <v>#DIV/0!</v>
      </c>
      <c r="L148" s="60" t="e">
        <f t="shared" si="74"/>
        <v>#DIV/0!</v>
      </c>
      <c r="M148" s="60" t="e">
        <f t="shared" si="75"/>
        <v>#DIV/0!</v>
      </c>
      <c r="N148" s="60" t="e">
        <f t="shared" si="76"/>
        <v>#DIV/0!</v>
      </c>
      <c r="O148" s="61" t="e">
        <f>Links!B148</f>
        <v>#DIV/0!</v>
      </c>
      <c r="P148" s="61" t="e">
        <f>Links!C148+'On-Ramps'!AC148</f>
        <v>#DIV/0!</v>
      </c>
      <c r="Q148" s="61" t="e">
        <f>Links!D148</f>
        <v>#DIV/0!</v>
      </c>
      <c r="R148" s="61" t="e">
        <f>Links!E148+'On-Ramps'!AD148</f>
        <v>#DIV/0!</v>
      </c>
      <c r="S148" s="61" t="e">
        <f>Links!F148+'On-Ramps'!AE148</f>
        <v>#DIV/0!</v>
      </c>
      <c r="T148" s="61" t="e">
        <f>Links!G148+'On-Ramps'!AF148</f>
        <v>#DIV/0!</v>
      </c>
      <c r="U148" s="61" t="e">
        <f>Links!H148+'On-Ramps'!AG148</f>
        <v>#DIV/0!</v>
      </c>
      <c r="V148" s="61" t="e">
        <f>Links!J148+'On-Ramps'!AH148</f>
        <v>#DIV/0!</v>
      </c>
      <c r="W148" s="61" t="e">
        <f>Links!K148+'On-Ramps'!AI148</f>
        <v>#DIV/0!</v>
      </c>
      <c r="X148" s="61" t="e">
        <f>Links!L148+'On-Ramps'!AJ148</f>
        <v>#DIV/0!</v>
      </c>
      <c r="Y148" s="61" t="e">
        <f>Links!M148</f>
        <v>#DIV/0!</v>
      </c>
      <c r="Z148" s="61" t="e">
        <f>Links!N148+'On-Ramps'!AK148</f>
        <v>#DIV/0!</v>
      </c>
      <c r="AA148" s="61" t="e">
        <f>Links!O148</f>
        <v>#DIV/0!</v>
      </c>
      <c r="AB148" s="60" t="e">
        <f t="shared" si="77"/>
        <v>#DIV/0!</v>
      </c>
      <c r="AC148" s="60" t="e">
        <f t="shared" si="78"/>
        <v>#DIV/0!</v>
      </c>
      <c r="AD148" s="60" t="e">
        <f t="shared" si="79"/>
        <v>#DIV/0!</v>
      </c>
      <c r="AE148" s="60" t="e">
        <f t="shared" si="80"/>
        <v>#DIV/0!</v>
      </c>
      <c r="AF148" s="60" t="e">
        <f t="shared" si="81"/>
        <v>#DIV/0!</v>
      </c>
      <c r="AG148" s="60" t="e">
        <f t="shared" si="82"/>
        <v>#DIV/0!</v>
      </c>
      <c r="AH148" s="60" t="e">
        <f t="shared" si="83"/>
        <v>#DIV/0!</v>
      </c>
      <c r="AI148" s="60" t="e">
        <f t="shared" si="84"/>
        <v>#DIV/0!</v>
      </c>
      <c r="AJ148" s="60" t="e">
        <f t="shared" si="85"/>
        <v>#DIV/0!</v>
      </c>
      <c r="AK148" s="60" t="e">
        <f t="shared" si="86"/>
        <v>#DIV/0!</v>
      </c>
      <c r="AL148" s="60" t="e">
        <f t="shared" si="87"/>
        <v>#DIV/0!</v>
      </c>
      <c r="AM148" s="60" t="e">
        <f t="shared" si="88"/>
        <v>#DIV/0!</v>
      </c>
      <c r="AN148" s="60" t="e">
        <f t="shared" ref="AN148:AN182" si="90">BA148*(1-BA148)*AA148</f>
        <v>#DIV/0!</v>
      </c>
      <c r="AO148" s="61" t="e">
        <f t="shared" si="63"/>
        <v>#DIV/0!</v>
      </c>
      <c r="AP148" s="61" t="e">
        <f t="shared" si="89"/>
        <v>#DIV/0!</v>
      </c>
      <c r="AQ148" s="61" t="e">
        <f t="shared" si="89"/>
        <v>#DIV/0!</v>
      </c>
      <c r="AR148" s="61" t="e">
        <f t="shared" si="89"/>
        <v>#DIV/0!</v>
      </c>
      <c r="AS148" s="61" t="e">
        <f t="shared" si="89"/>
        <v>#DIV/0!</v>
      </c>
      <c r="AT148" s="61" t="e">
        <f t="shared" si="89"/>
        <v>#DIV/0!</v>
      </c>
      <c r="AU148" s="61" t="e">
        <f t="shared" si="89"/>
        <v>#DIV/0!</v>
      </c>
      <c r="AV148" s="61" t="e">
        <f t="shared" si="89"/>
        <v>#DIV/0!</v>
      </c>
      <c r="AW148" s="61" t="e">
        <f t="shared" si="89"/>
        <v>#DIV/0!</v>
      </c>
      <c r="AX148" s="61" t="e">
        <f t="shared" si="89"/>
        <v>#DIV/0!</v>
      </c>
      <c r="AY148" s="61" t="e">
        <f t="shared" si="89"/>
        <v>#DIV/0!</v>
      </c>
      <c r="AZ148" s="61" t="e">
        <f t="shared" si="89"/>
        <v>#DIV/0!</v>
      </c>
      <c r="BA148" s="61" t="e">
        <f t="shared" si="89"/>
        <v>#DIV/0!</v>
      </c>
      <c r="BB148" s="60" t="e">
        <f>Links!AF148</f>
        <v>#DIV/0!</v>
      </c>
      <c r="BC148" s="60" t="e">
        <f>(Links!AG148*Links!C148+'On-Ramps'!AC148*'On-Ramps'!CE148)/('On-Ramps'!AC148+Links!C148)</f>
        <v>#DIV/0!</v>
      </c>
      <c r="BD148" s="60" t="e">
        <f>Links!AH148</f>
        <v>#DIV/0!</v>
      </c>
      <c r="BE148" s="60" t="e">
        <f>(Links!AI148*Links!E148+'On-Ramps'!AD148*'On-Ramps'!CF147)/('On-Ramps'!AD148+Links!E148)</f>
        <v>#DIV/0!</v>
      </c>
      <c r="BF148" s="60" t="e">
        <f>(Links!F148*Links!AJ148+'On-Ramps'!AE148*'On-Ramps'!CG148)/('On-Ramps'!AE148+Links!F148)</f>
        <v>#DIV/0!</v>
      </c>
      <c r="BG148" s="60" t="e">
        <f>(Links!G148*Links!AK148+'On-Ramps'!AF148*'On-Ramps'!CH148)/('On-Ramps'!AF148+Links!G148)</f>
        <v>#DIV/0!</v>
      </c>
      <c r="BH148" s="60" t="e">
        <f>(Links!H148*Links!AL148+'On-Ramps'!AG148*'On-Ramps'!CI148)/('On-Ramps'!AG148+Links!H148)</f>
        <v>#DIV/0!</v>
      </c>
      <c r="BI148" s="60" t="e">
        <f>(Links!J148*Links!AN148+'On-Ramps'!AH148*'On-Ramps'!CJ148)/('On-Ramps'!AH148+Links!J148)</f>
        <v>#DIV/0!</v>
      </c>
      <c r="BJ148" s="60" t="e">
        <f>(Links!K148*Links!AO148+'On-Ramps'!AI148*'On-Ramps'!CK148)/('On-Ramps'!AI148+Links!K148)</f>
        <v>#DIV/0!</v>
      </c>
      <c r="BK148" s="60" t="e">
        <f>(Links!L148*Links!AP148+'On-Ramps'!AJ148*'On-Ramps'!CL148)/(Links!L148+'On-Ramps'!AJ148)</f>
        <v>#DIV/0!</v>
      </c>
      <c r="BL148" s="60" t="e">
        <f>Links!AQ148</f>
        <v>#DIV/0!</v>
      </c>
      <c r="BM148" s="60" t="e">
        <f>(Links!N148*Links!AR148+'On-Ramps'!AL148*'On-Ramps'!CM148)/(Links!N148+'On-Ramps'!AL148)</f>
        <v>#DIV/0!</v>
      </c>
      <c r="BN148" s="60" t="e">
        <f>Links!AS148</f>
        <v>#DIV/0!</v>
      </c>
      <c r="BO148" s="61" t="e">
        <f>(Links!R148^2+'Off-Ramp'!L148^2)/(Links!R148+'Off-Ramp'!L148)</f>
        <v>#DIV/0!</v>
      </c>
      <c r="BP148" s="61" t="e">
        <f>Links!S148</f>
        <v>#DIV/0!</v>
      </c>
      <c r="BQ148" s="61" t="e">
        <f>(Links!S148^2+'Off-Ramp'!C148^2)/(Links!S148+'Off-Ramp'!C148)</f>
        <v>#DIV/0!</v>
      </c>
      <c r="BR148" s="61" t="e">
        <f>Links!T148</f>
        <v>#DIV/0!</v>
      </c>
      <c r="BS148" s="61" t="e">
        <f>(Links!U148^2+'Off-Ramp'!N148^2)/(Links!U148+'Off-Ramp'!N148)</f>
        <v>#DIV/0!</v>
      </c>
      <c r="BT148" s="61" t="e">
        <f>(Links!V148^2+'Off-Ramp'!O148^2)/(Links!V148+'Off-Ramp'!O148)</f>
        <v>#DIV/0!</v>
      </c>
      <c r="BU148" s="61" t="e">
        <f>(Links!W148^2+'Off-Ramp'!P148^2)/(Links!W148+'Off-Ramp'!P148)</f>
        <v>#DIV/0!</v>
      </c>
      <c r="BV148" s="61" t="e">
        <f>(Links!Y148^2+'Off-Ramp'!Q148^2)/(Links!Y148+'Off-Ramp'!Q148)</f>
        <v>#DIV/0!</v>
      </c>
      <c r="BW148" s="61" t="e">
        <f>(Links!Z148^2+'Off-Ramp'!R148^2)/(Links!Z148+'Off-Ramp'!R148)</f>
        <v>#DIV/0!</v>
      </c>
      <c r="BX148" s="61" t="e">
        <f>(Links!AA148+'Off-Ramp'!S148)/(Links!AA148^2+'Off-Ramp'!S148^2)</f>
        <v>#DIV/0!</v>
      </c>
      <c r="BY148" s="61" t="e">
        <f>(Links!AB148^2+'Off-Ramp'!T148^2)/(Links!AB148+'Off-Ramp'!T148)</f>
        <v>#DIV/0!</v>
      </c>
      <c r="BZ148" s="61" t="e">
        <f>Links!AC148</f>
        <v>#DIV/0!</v>
      </c>
      <c r="CA148" s="61" t="e">
        <f>(Links!AD148^2+'Off-Ramp'!U148^2)/(Links!AD148+'Off-Ramp'!U148)</f>
        <v>#DIV/0!</v>
      </c>
    </row>
    <row r="149" spans="1:79" x14ac:dyDescent="0.15">
      <c r="A149" s="59">
        <v>147</v>
      </c>
      <c r="B149" s="60" t="e">
        <f t="shared" si="64"/>
        <v>#DIV/0!</v>
      </c>
      <c r="C149" s="60" t="e">
        <f t="shared" si="65"/>
        <v>#DIV/0!</v>
      </c>
      <c r="D149" s="60" t="e">
        <f t="shared" si="66"/>
        <v>#DIV/0!</v>
      </c>
      <c r="E149" s="60" t="e">
        <f t="shared" si="67"/>
        <v>#DIV/0!</v>
      </c>
      <c r="F149" s="60" t="e">
        <f t="shared" si="68"/>
        <v>#DIV/0!</v>
      </c>
      <c r="G149" s="60" t="e">
        <f t="shared" si="69"/>
        <v>#DIV/0!</v>
      </c>
      <c r="H149" s="60" t="e">
        <f t="shared" si="70"/>
        <v>#DIV/0!</v>
      </c>
      <c r="I149" s="60" t="e">
        <f t="shared" si="71"/>
        <v>#DIV/0!</v>
      </c>
      <c r="J149" s="60" t="e">
        <f t="shared" si="72"/>
        <v>#DIV/0!</v>
      </c>
      <c r="K149" s="60" t="e">
        <f t="shared" si="73"/>
        <v>#DIV/0!</v>
      </c>
      <c r="L149" s="60" t="e">
        <f t="shared" si="74"/>
        <v>#DIV/0!</v>
      </c>
      <c r="M149" s="60" t="e">
        <f t="shared" si="75"/>
        <v>#DIV/0!</v>
      </c>
      <c r="N149" s="60" t="e">
        <f t="shared" si="76"/>
        <v>#DIV/0!</v>
      </c>
      <c r="O149" s="61" t="e">
        <f>Links!B149</f>
        <v>#DIV/0!</v>
      </c>
      <c r="P149" s="61" t="e">
        <f>Links!C149+'On-Ramps'!AC149</f>
        <v>#DIV/0!</v>
      </c>
      <c r="Q149" s="61" t="e">
        <f>Links!D149</f>
        <v>#DIV/0!</v>
      </c>
      <c r="R149" s="61" t="e">
        <f>Links!E149+'On-Ramps'!AD149</f>
        <v>#DIV/0!</v>
      </c>
      <c r="S149" s="61" t="e">
        <f>Links!F149+'On-Ramps'!AE149</f>
        <v>#DIV/0!</v>
      </c>
      <c r="T149" s="61" t="e">
        <f>Links!G149+'On-Ramps'!AF149</f>
        <v>#DIV/0!</v>
      </c>
      <c r="U149" s="61" t="e">
        <f>Links!H149+'On-Ramps'!AG149</f>
        <v>#DIV/0!</v>
      </c>
      <c r="V149" s="61" t="e">
        <f>Links!J149+'On-Ramps'!AH149</f>
        <v>#DIV/0!</v>
      </c>
      <c r="W149" s="61" t="e">
        <f>Links!K149+'On-Ramps'!AI149</f>
        <v>#DIV/0!</v>
      </c>
      <c r="X149" s="61" t="e">
        <f>Links!L149+'On-Ramps'!AJ149</f>
        <v>#DIV/0!</v>
      </c>
      <c r="Y149" s="61" t="e">
        <f>Links!M149</f>
        <v>#DIV/0!</v>
      </c>
      <c r="Z149" s="61" t="e">
        <f>Links!N149+'On-Ramps'!AK149</f>
        <v>#DIV/0!</v>
      </c>
      <c r="AA149" s="61" t="e">
        <f>Links!O149</f>
        <v>#DIV/0!</v>
      </c>
      <c r="AB149" s="60" t="e">
        <f t="shared" si="77"/>
        <v>#DIV/0!</v>
      </c>
      <c r="AC149" s="60" t="e">
        <f t="shared" si="78"/>
        <v>#DIV/0!</v>
      </c>
      <c r="AD149" s="60" t="e">
        <f t="shared" si="79"/>
        <v>#DIV/0!</v>
      </c>
      <c r="AE149" s="60" t="e">
        <f t="shared" si="80"/>
        <v>#DIV/0!</v>
      </c>
      <c r="AF149" s="60" t="e">
        <f t="shared" si="81"/>
        <v>#DIV/0!</v>
      </c>
      <c r="AG149" s="60" t="e">
        <f t="shared" si="82"/>
        <v>#DIV/0!</v>
      </c>
      <c r="AH149" s="60" t="e">
        <f t="shared" si="83"/>
        <v>#DIV/0!</v>
      </c>
      <c r="AI149" s="60" t="e">
        <f t="shared" si="84"/>
        <v>#DIV/0!</v>
      </c>
      <c r="AJ149" s="60" t="e">
        <f t="shared" si="85"/>
        <v>#DIV/0!</v>
      </c>
      <c r="AK149" s="60" t="e">
        <f t="shared" si="86"/>
        <v>#DIV/0!</v>
      </c>
      <c r="AL149" s="60" t="e">
        <f t="shared" si="87"/>
        <v>#DIV/0!</v>
      </c>
      <c r="AM149" s="60" t="e">
        <f t="shared" si="88"/>
        <v>#DIV/0!</v>
      </c>
      <c r="AN149" s="60" t="e">
        <f t="shared" si="90"/>
        <v>#DIV/0!</v>
      </c>
      <c r="AO149" s="61" t="e">
        <f t="shared" si="63"/>
        <v>#DIV/0!</v>
      </c>
      <c r="AP149" s="61" t="e">
        <f t="shared" si="89"/>
        <v>#DIV/0!</v>
      </c>
      <c r="AQ149" s="61" t="e">
        <f t="shared" si="89"/>
        <v>#DIV/0!</v>
      </c>
      <c r="AR149" s="61" t="e">
        <f t="shared" si="89"/>
        <v>#DIV/0!</v>
      </c>
      <c r="AS149" s="61" t="e">
        <f t="shared" si="89"/>
        <v>#DIV/0!</v>
      </c>
      <c r="AT149" s="61" t="e">
        <f t="shared" si="89"/>
        <v>#DIV/0!</v>
      </c>
      <c r="AU149" s="61" t="e">
        <f t="shared" si="89"/>
        <v>#DIV/0!</v>
      </c>
      <c r="AV149" s="61" t="e">
        <f t="shared" si="89"/>
        <v>#DIV/0!</v>
      </c>
      <c r="AW149" s="61" t="e">
        <f t="shared" si="89"/>
        <v>#DIV/0!</v>
      </c>
      <c r="AX149" s="61" t="e">
        <f t="shared" si="89"/>
        <v>#DIV/0!</v>
      </c>
      <c r="AY149" s="61" t="e">
        <f t="shared" si="89"/>
        <v>#DIV/0!</v>
      </c>
      <c r="AZ149" s="61" t="e">
        <f t="shared" si="89"/>
        <v>#DIV/0!</v>
      </c>
      <c r="BA149" s="61" t="e">
        <f t="shared" si="89"/>
        <v>#DIV/0!</v>
      </c>
      <c r="BB149" s="60" t="e">
        <f>Links!AF149</f>
        <v>#DIV/0!</v>
      </c>
      <c r="BC149" s="60" t="e">
        <f>(Links!AG149*Links!C149+'On-Ramps'!AC149*'On-Ramps'!CE149)/('On-Ramps'!AC149+Links!C149)</f>
        <v>#DIV/0!</v>
      </c>
      <c r="BD149" s="60" t="e">
        <f>Links!AH149</f>
        <v>#DIV/0!</v>
      </c>
      <c r="BE149" s="60" t="e">
        <f>(Links!AI149*Links!E149+'On-Ramps'!AD149*'On-Ramps'!CF148)/('On-Ramps'!AD149+Links!E149)</f>
        <v>#DIV/0!</v>
      </c>
      <c r="BF149" s="60" t="e">
        <f>(Links!F149*Links!AJ149+'On-Ramps'!AE149*'On-Ramps'!CG149)/('On-Ramps'!AE149+Links!F149)</f>
        <v>#DIV/0!</v>
      </c>
      <c r="BG149" s="60" t="e">
        <f>(Links!G149*Links!AK149+'On-Ramps'!AF149*'On-Ramps'!CH149)/('On-Ramps'!AF149+Links!G149)</f>
        <v>#DIV/0!</v>
      </c>
      <c r="BH149" s="60" t="e">
        <f>(Links!H149*Links!AL149+'On-Ramps'!AG149*'On-Ramps'!CI149)/('On-Ramps'!AG149+Links!H149)</f>
        <v>#DIV/0!</v>
      </c>
      <c r="BI149" s="60" t="e">
        <f>(Links!J149*Links!AN149+'On-Ramps'!AH149*'On-Ramps'!CJ149)/('On-Ramps'!AH149+Links!J149)</f>
        <v>#DIV/0!</v>
      </c>
      <c r="BJ149" s="60" t="e">
        <f>(Links!K149*Links!AO149+'On-Ramps'!AI149*'On-Ramps'!CK149)/('On-Ramps'!AI149+Links!K149)</f>
        <v>#DIV/0!</v>
      </c>
      <c r="BK149" s="60" t="e">
        <f>(Links!L149*Links!AP149+'On-Ramps'!AJ149*'On-Ramps'!CL149)/(Links!L149+'On-Ramps'!AJ149)</f>
        <v>#DIV/0!</v>
      </c>
      <c r="BL149" s="60" t="e">
        <f>Links!AQ149</f>
        <v>#DIV/0!</v>
      </c>
      <c r="BM149" s="60" t="e">
        <f>(Links!N149*Links!AR149+'On-Ramps'!AL149*'On-Ramps'!CM149)/(Links!N149+'On-Ramps'!AL149)</f>
        <v>#DIV/0!</v>
      </c>
      <c r="BN149" s="60" t="e">
        <f>Links!AS149</f>
        <v>#DIV/0!</v>
      </c>
      <c r="BO149" s="61" t="e">
        <f>(Links!R149^2+'Off-Ramp'!L149^2)/(Links!R149+'Off-Ramp'!L149)</f>
        <v>#DIV/0!</v>
      </c>
      <c r="BP149" s="61" t="e">
        <f>Links!S149</f>
        <v>#DIV/0!</v>
      </c>
      <c r="BQ149" s="61" t="e">
        <f>(Links!S149^2+'Off-Ramp'!C149^2)/(Links!S149+'Off-Ramp'!C149)</f>
        <v>#DIV/0!</v>
      </c>
      <c r="BR149" s="61" t="e">
        <f>Links!T149</f>
        <v>#DIV/0!</v>
      </c>
      <c r="BS149" s="61" t="e">
        <f>(Links!U149^2+'Off-Ramp'!N149^2)/(Links!U149+'Off-Ramp'!N149)</f>
        <v>#DIV/0!</v>
      </c>
      <c r="BT149" s="61" t="e">
        <f>(Links!V149^2+'Off-Ramp'!O149^2)/(Links!V149+'Off-Ramp'!O149)</f>
        <v>#DIV/0!</v>
      </c>
      <c r="BU149" s="61" t="e">
        <f>(Links!W149^2+'Off-Ramp'!P149^2)/(Links!W149+'Off-Ramp'!P149)</f>
        <v>#DIV/0!</v>
      </c>
      <c r="BV149" s="61" t="e">
        <f>(Links!Y149^2+'Off-Ramp'!Q149^2)/(Links!Y149+'Off-Ramp'!Q149)</f>
        <v>#DIV/0!</v>
      </c>
      <c r="BW149" s="61" t="e">
        <f>(Links!Z149^2+'Off-Ramp'!R149^2)/(Links!Z149+'Off-Ramp'!R149)</f>
        <v>#DIV/0!</v>
      </c>
      <c r="BX149" s="61" t="e">
        <f>(Links!AA149+'Off-Ramp'!S149)/(Links!AA149^2+'Off-Ramp'!S149^2)</f>
        <v>#DIV/0!</v>
      </c>
      <c r="BY149" s="61" t="e">
        <f>(Links!AB149^2+'Off-Ramp'!T149^2)/(Links!AB149+'Off-Ramp'!T149)</f>
        <v>#DIV/0!</v>
      </c>
      <c r="BZ149" s="61" t="e">
        <f>Links!AC149</f>
        <v>#DIV/0!</v>
      </c>
      <c r="CA149" s="61" t="e">
        <f>(Links!AD149^2+'Off-Ramp'!U149^2)/(Links!AD149+'Off-Ramp'!U149)</f>
        <v>#DIV/0!</v>
      </c>
    </row>
    <row r="150" spans="1:79" x14ac:dyDescent="0.15">
      <c r="A150" s="59">
        <v>148</v>
      </c>
      <c r="B150" s="60" t="e">
        <f t="shared" si="64"/>
        <v>#DIV/0!</v>
      </c>
      <c r="C150" s="60" t="e">
        <f t="shared" si="65"/>
        <v>#DIV/0!</v>
      </c>
      <c r="D150" s="60" t="e">
        <f t="shared" si="66"/>
        <v>#DIV/0!</v>
      </c>
      <c r="E150" s="60" t="e">
        <f t="shared" si="67"/>
        <v>#DIV/0!</v>
      </c>
      <c r="F150" s="60" t="e">
        <f t="shared" si="68"/>
        <v>#DIV/0!</v>
      </c>
      <c r="G150" s="60" t="e">
        <f t="shared" si="69"/>
        <v>#DIV/0!</v>
      </c>
      <c r="H150" s="60" t="e">
        <f t="shared" si="70"/>
        <v>#DIV/0!</v>
      </c>
      <c r="I150" s="60" t="e">
        <f t="shared" si="71"/>
        <v>#DIV/0!</v>
      </c>
      <c r="J150" s="60" t="e">
        <f t="shared" si="72"/>
        <v>#DIV/0!</v>
      </c>
      <c r="K150" s="60" t="e">
        <f t="shared" si="73"/>
        <v>#DIV/0!</v>
      </c>
      <c r="L150" s="60" t="e">
        <f t="shared" si="74"/>
        <v>#DIV/0!</v>
      </c>
      <c r="M150" s="60" t="e">
        <f t="shared" si="75"/>
        <v>#DIV/0!</v>
      </c>
      <c r="N150" s="60" t="e">
        <f t="shared" si="76"/>
        <v>#DIV/0!</v>
      </c>
      <c r="O150" s="61" t="e">
        <f>Links!B150</f>
        <v>#DIV/0!</v>
      </c>
      <c r="P150" s="61" t="e">
        <f>Links!C150+'On-Ramps'!AC150</f>
        <v>#DIV/0!</v>
      </c>
      <c r="Q150" s="61" t="e">
        <f>Links!D150</f>
        <v>#DIV/0!</v>
      </c>
      <c r="R150" s="61" t="e">
        <f>Links!E150+'On-Ramps'!AD150</f>
        <v>#DIV/0!</v>
      </c>
      <c r="S150" s="61" t="e">
        <f>Links!F150+'On-Ramps'!AE150</f>
        <v>#DIV/0!</v>
      </c>
      <c r="T150" s="61" t="e">
        <f>Links!G150+'On-Ramps'!AF150</f>
        <v>#DIV/0!</v>
      </c>
      <c r="U150" s="61" t="e">
        <f>Links!H150+'On-Ramps'!AG150</f>
        <v>#DIV/0!</v>
      </c>
      <c r="V150" s="61" t="e">
        <f>Links!J150+'On-Ramps'!AH150</f>
        <v>#DIV/0!</v>
      </c>
      <c r="W150" s="61" t="e">
        <f>Links!K150+'On-Ramps'!AI150</f>
        <v>#DIV/0!</v>
      </c>
      <c r="X150" s="61" t="e">
        <f>Links!L150+'On-Ramps'!AJ150</f>
        <v>#DIV/0!</v>
      </c>
      <c r="Y150" s="61" t="e">
        <f>Links!M150</f>
        <v>#DIV/0!</v>
      </c>
      <c r="Z150" s="61" t="e">
        <f>Links!N150+'On-Ramps'!AK150</f>
        <v>#DIV/0!</v>
      </c>
      <c r="AA150" s="61" t="e">
        <f>Links!O150</f>
        <v>#DIV/0!</v>
      </c>
      <c r="AB150" s="60" t="e">
        <f t="shared" si="77"/>
        <v>#DIV/0!</v>
      </c>
      <c r="AC150" s="60" t="e">
        <f t="shared" si="78"/>
        <v>#DIV/0!</v>
      </c>
      <c r="AD150" s="60" t="e">
        <f t="shared" si="79"/>
        <v>#DIV/0!</v>
      </c>
      <c r="AE150" s="60" t="e">
        <f t="shared" si="80"/>
        <v>#DIV/0!</v>
      </c>
      <c r="AF150" s="60" t="e">
        <f t="shared" si="81"/>
        <v>#DIV/0!</v>
      </c>
      <c r="AG150" s="60" t="e">
        <f t="shared" si="82"/>
        <v>#DIV/0!</v>
      </c>
      <c r="AH150" s="60" t="e">
        <f t="shared" si="83"/>
        <v>#DIV/0!</v>
      </c>
      <c r="AI150" s="60" t="e">
        <f t="shared" si="84"/>
        <v>#DIV/0!</v>
      </c>
      <c r="AJ150" s="60" t="e">
        <f t="shared" si="85"/>
        <v>#DIV/0!</v>
      </c>
      <c r="AK150" s="60" t="e">
        <f t="shared" si="86"/>
        <v>#DIV/0!</v>
      </c>
      <c r="AL150" s="60" t="e">
        <f t="shared" si="87"/>
        <v>#DIV/0!</v>
      </c>
      <c r="AM150" s="60" t="e">
        <f t="shared" si="88"/>
        <v>#DIV/0!</v>
      </c>
      <c r="AN150" s="60" t="e">
        <f t="shared" si="90"/>
        <v>#DIV/0!</v>
      </c>
      <c r="AO150" s="61" t="e">
        <f t="shared" si="63"/>
        <v>#DIV/0!</v>
      </c>
      <c r="AP150" s="61" t="e">
        <f t="shared" si="89"/>
        <v>#DIV/0!</v>
      </c>
      <c r="AQ150" s="61" t="e">
        <f t="shared" si="89"/>
        <v>#DIV/0!</v>
      </c>
      <c r="AR150" s="61" t="e">
        <f t="shared" si="89"/>
        <v>#DIV/0!</v>
      </c>
      <c r="AS150" s="61" t="e">
        <f t="shared" si="89"/>
        <v>#DIV/0!</v>
      </c>
      <c r="AT150" s="61" t="e">
        <f t="shared" si="89"/>
        <v>#DIV/0!</v>
      </c>
      <c r="AU150" s="61" t="e">
        <f t="shared" si="89"/>
        <v>#DIV/0!</v>
      </c>
      <c r="AV150" s="61" t="e">
        <f t="shared" si="89"/>
        <v>#DIV/0!</v>
      </c>
      <c r="AW150" s="61" t="e">
        <f t="shared" si="89"/>
        <v>#DIV/0!</v>
      </c>
      <c r="AX150" s="61" t="e">
        <f t="shared" si="89"/>
        <v>#DIV/0!</v>
      </c>
      <c r="AY150" s="61" t="e">
        <f t="shared" si="89"/>
        <v>#DIV/0!</v>
      </c>
      <c r="AZ150" s="61" t="e">
        <f t="shared" si="89"/>
        <v>#DIV/0!</v>
      </c>
      <c r="BA150" s="61" t="e">
        <f t="shared" si="89"/>
        <v>#DIV/0!</v>
      </c>
      <c r="BB150" s="60" t="e">
        <f>Links!AF150</f>
        <v>#DIV/0!</v>
      </c>
      <c r="BC150" s="60" t="e">
        <f>(Links!AG150*Links!C150+'On-Ramps'!AC150*'On-Ramps'!CE150)/('On-Ramps'!AC150+Links!C150)</f>
        <v>#DIV/0!</v>
      </c>
      <c r="BD150" s="60" t="e">
        <f>Links!AH150</f>
        <v>#DIV/0!</v>
      </c>
      <c r="BE150" s="60" t="e">
        <f>(Links!AI150*Links!E150+'On-Ramps'!AD150*'On-Ramps'!CF149)/('On-Ramps'!AD150+Links!E150)</f>
        <v>#DIV/0!</v>
      </c>
      <c r="BF150" s="60" t="e">
        <f>(Links!F150*Links!AJ150+'On-Ramps'!AE150*'On-Ramps'!CG150)/('On-Ramps'!AE150+Links!F150)</f>
        <v>#DIV/0!</v>
      </c>
      <c r="BG150" s="60" t="e">
        <f>(Links!G150*Links!AK150+'On-Ramps'!AF150*'On-Ramps'!CH150)/('On-Ramps'!AF150+Links!G150)</f>
        <v>#DIV/0!</v>
      </c>
      <c r="BH150" s="60" t="e">
        <f>(Links!H150*Links!AL150+'On-Ramps'!AG150*'On-Ramps'!CI150)/('On-Ramps'!AG150+Links!H150)</f>
        <v>#DIV/0!</v>
      </c>
      <c r="BI150" s="60" t="e">
        <f>(Links!J150*Links!AN150+'On-Ramps'!AH150*'On-Ramps'!CJ150)/('On-Ramps'!AH150+Links!J150)</f>
        <v>#DIV/0!</v>
      </c>
      <c r="BJ150" s="60" t="e">
        <f>(Links!K150*Links!AO150+'On-Ramps'!AI150*'On-Ramps'!CK150)/('On-Ramps'!AI150+Links!K150)</f>
        <v>#DIV/0!</v>
      </c>
      <c r="BK150" s="60" t="e">
        <f>(Links!L150*Links!AP150+'On-Ramps'!AJ150*'On-Ramps'!CL150)/(Links!L150+'On-Ramps'!AJ150)</f>
        <v>#DIV/0!</v>
      </c>
      <c r="BL150" s="60" t="e">
        <f>Links!AQ150</f>
        <v>#DIV/0!</v>
      </c>
      <c r="BM150" s="60" t="e">
        <f>(Links!N150*Links!AR150+'On-Ramps'!AL150*'On-Ramps'!CM150)/(Links!N150+'On-Ramps'!AL150)</f>
        <v>#DIV/0!</v>
      </c>
      <c r="BN150" s="60" t="e">
        <f>Links!AS150</f>
        <v>#DIV/0!</v>
      </c>
      <c r="BO150" s="61" t="e">
        <f>(Links!R150^2+'Off-Ramp'!L150^2)/(Links!R150+'Off-Ramp'!L150)</f>
        <v>#DIV/0!</v>
      </c>
      <c r="BP150" s="61" t="e">
        <f>Links!S150</f>
        <v>#DIV/0!</v>
      </c>
      <c r="BQ150" s="61" t="e">
        <f>(Links!S150^2+'Off-Ramp'!C150^2)/(Links!S150+'Off-Ramp'!C150)</f>
        <v>#DIV/0!</v>
      </c>
      <c r="BR150" s="61" t="e">
        <f>Links!T150</f>
        <v>#DIV/0!</v>
      </c>
      <c r="BS150" s="61" t="e">
        <f>(Links!U150^2+'Off-Ramp'!N150^2)/(Links!U150+'Off-Ramp'!N150)</f>
        <v>#DIV/0!</v>
      </c>
      <c r="BT150" s="61" t="e">
        <f>(Links!V150^2+'Off-Ramp'!O150^2)/(Links!V150+'Off-Ramp'!O150)</f>
        <v>#DIV/0!</v>
      </c>
      <c r="BU150" s="61" t="e">
        <f>(Links!W150^2+'Off-Ramp'!P150^2)/(Links!W150+'Off-Ramp'!P150)</f>
        <v>#DIV/0!</v>
      </c>
      <c r="BV150" s="61" t="e">
        <f>(Links!Y150^2+'Off-Ramp'!Q150^2)/(Links!Y150+'Off-Ramp'!Q150)</f>
        <v>#DIV/0!</v>
      </c>
      <c r="BW150" s="61" t="e">
        <f>(Links!Z150^2+'Off-Ramp'!R150^2)/(Links!Z150+'Off-Ramp'!R150)</f>
        <v>#DIV/0!</v>
      </c>
      <c r="BX150" s="61" t="e">
        <f>(Links!AA150+'Off-Ramp'!S150)/(Links!AA150^2+'Off-Ramp'!S150^2)</f>
        <v>#DIV/0!</v>
      </c>
      <c r="BY150" s="61" t="e">
        <f>(Links!AB150^2+'Off-Ramp'!T150^2)/(Links!AB150+'Off-Ramp'!T150)</f>
        <v>#DIV/0!</v>
      </c>
      <c r="BZ150" s="61" t="e">
        <f>Links!AC150</f>
        <v>#DIV/0!</v>
      </c>
      <c r="CA150" s="61" t="e">
        <f>(Links!AD150^2+'Off-Ramp'!U150^2)/(Links!AD150+'Off-Ramp'!U150)</f>
        <v>#DIV/0!</v>
      </c>
    </row>
    <row r="151" spans="1:79" x14ac:dyDescent="0.15">
      <c r="A151" s="59">
        <v>149</v>
      </c>
      <c r="B151" s="60" t="e">
        <f t="shared" si="64"/>
        <v>#DIV/0!</v>
      </c>
      <c r="C151" s="60" t="e">
        <f t="shared" si="65"/>
        <v>#DIV/0!</v>
      </c>
      <c r="D151" s="60" t="e">
        <f t="shared" si="66"/>
        <v>#DIV/0!</v>
      </c>
      <c r="E151" s="60" t="e">
        <f t="shared" si="67"/>
        <v>#DIV/0!</v>
      </c>
      <c r="F151" s="60" t="e">
        <f t="shared" si="68"/>
        <v>#DIV/0!</v>
      </c>
      <c r="G151" s="60" t="e">
        <f t="shared" si="69"/>
        <v>#DIV/0!</v>
      </c>
      <c r="H151" s="60" t="e">
        <f t="shared" si="70"/>
        <v>#DIV/0!</v>
      </c>
      <c r="I151" s="60" t="e">
        <f t="shared" si="71"/>
        <v>#DIV/0!</v>
      </c>
      <c r="J151" s="60" t="e">
        <f t="shared" si="72"/>
        <v>#DIV/0!</v>
      </c>
      <c r="K151" s="60" t="e">
        <f t="shared" si="73"/>
        <v>#DIV/0!</v>
      </c>
      <c r="L151" s="60" t="e">
        <f t="shared" si="74"/>
        <v>#DIV/0!</v>
      </c>
      <c r="M151" s="60" t="e">
        <f t="shared" si="75"/>
        <v>#DIV/0!</v>
      </c>
      <c r="N151" s="60" t="e">
        <f t="shared" si="76"/>
        <v>#DIV/0!</v>
      </c>
      <c r="O151" s="61" t="e">
        <f>Links!B151</f>
        <v>#DIV/0!</v>
      </c>
      <c r="P151" s="61" t="e">
        <f>Links!C151+'On-Ramps'!AC151</f>
        <v>#DIV/0!</v>
      </c>
      <c r="Q151" s="61" t="e">
        <f>Links!D151</f>
        <v>#DIV/0!</v>
      </c>
      <c r="R151" s="61" t="e">
        <f>Links!E151+'On-Ramps'!AD151</f>
        <v>#DIV/0!</v>
      </c>
      <c r="S151" s="61" t="e">
        <f>Links!F151+'On-Ramps'!AE151</f>
        <v>#DIV/0!</v>
      </c>
      <c r="T151" s="61" t="e">
        <f>Links!G151+'On-Ramps'!AF151</f>
        <v>#DIV/0!</v>
      </c>
      <c r="U151" s="61" t="e">
        <f>Links!H151+'On-Ramps'!AG151</f>
        <v>#DIV/0!</v>
      </c>
      <c r="V151" s="61" t="e">
        <f>Links!J151+'On-Ramps'!AH151</f>
        <v>#DIV/0!</v>
      </c>
      <c r="W151" s="61" t="e">
        <f>Links!K151+'On-Ramps'!AI151</f>
        <v>#DIV/0!</v>
      </c>
      <c r="X151" s="61" t="e">
        <f>Links!L151+'On-Ramps'!AJ151</f>
        <v>#DIV/0!</v>
      </c>
      <c r="Y151" s="61" t="e">
        <f>Links!M151</f>
        <v>#DIV/0!</v>
      </c>
      <c r="Z151" s="61" t="e">
        <f>Links!N151+'On-Ramps'!AK151</f>
        <v>#DIV/0!</v>
      </c>
      <c r="AA151" s="61" t="e">
        <f>Links!O151</f>
        <v>#DIV/0!</v>
      </c>
      <c r="AB151" s="60" t="e">
        <f t="shared" si="77"/>
        <v>#DIV/0!</v>
      </c>
      <c r="AC151" s="60" t="e">
        <f t="shared" si="78"/>
        <v>#DIV/0!</v>
      </c>
      <c r="AD151" s="60" t="e">
        <f t="shared" si="79"/>
        <v>#DIV/0!</v>
      </c>
      <c r="AE151" s="60" t="e">
        <f t="shared" si="80"/>
        <v>#DIV/0!</v>
      </c>
      <c r="AF151" s="60" t="e">
        <f t="shared" si="81"/>
        <v>#DIV/0!</v>
      </c>
      <c r="AG151" s="60" t="e">
        <f t="shared" si="82"/>
        <v>#DIV/0!</v>
      </c>
      <c r="AH151" s="60" t="e">
        <f t="shared" si="83"/>
        <v>#DIV/0!</v>
      </c>
      <c r="AI151" s="60" t="e">
        <f t="shared" si="84"/>
        <v>#DIV/0!</v>
      </c>
      <c r="AJ151" s="60" t="e">
        <f t="shared" si="85"/>
        <v>#DIV/0!</v>
      </c>
      <c r="AK151" s="60" t="e">
        <f t="shared" si="86"/>
        <v>#DIV/0!</v>
      </c>
      <c r="AL151" s="60" t="e">
        <f t="shared" si="87"/>
        <v>#DIV/0!</v>
      </c>
      <c r="AM151" s="60" t="e">
        <f t="shared" si="88"/>
        <v>#DIV/0!</v>
      </c>
      <c r="AN151" s="60" t="e">
        <f t="shared" si="90"/>
        <v>#DIV/0!</v>
      </c>
      <c r="AO151" s="61" t="e">
        <f t="shared" si="63"/>
        <v>#DIV/0!</v>
      </c>
      <c r="AP151" s="61" t="e">
        <f t="shared" si="89"/>
        <v>#DIV/0!</v>
      </c>
      <c r="AQ151" s="61" t="e">
        <f t="shared" si="89"/>
        <v>#DIV/0!</v>
      </c>
      <c r="AR151" s="61" t="e">
        <f t="shared" si="89"/>
        <v>#DIV/0!</v>
      </c>
      <c r="AS151" s="61" t="e">
        <f t="shared" si="89"/>
        <v>#DIV/0!</v>
      </c>
      <c r="AT151" s="61" t="e">
        <f t="shared" si="89"/>
        <v>#DIV/0!</v>
      </c>
      <c r="AU151" s="61" t="e">
        <f t="shared" si="89"/>
        <v>#DIV/0!</v>
      </c>
      <c r="AV151" s="61" t="e">
        <f t="shared" si="89"/>
        <v>#DIV/0!</v>
      </c>
      <c r="AW151" s="61" t="e">
        <f t="shared" si="89"/>
        <v>#DIV/0!</v>
      </c>
      <c r="AX151" s="61" t="e">
        <f t="shared" si="89"/>
        <v>#DIV/0!</v>
      </c>
      <c r="AY151" s="61" t="e">
        <f t="shared" si="89"/>
        <v>#DIV/0!</v>
      </c>
      <c r="AZ151" s="61" t="e">
        <f t="shared" si="89"/>
        <v>#DIV/0!</v>
      </c>
      <c r="BA151" s="61" t="e">
        <f t="shared" si="89"/>
        <v>#DIV/0!</v>
      </c>
      <c r="BB151" s="60" t="e">
        <f>Links!AF151</f>
        <v>#DIV/0!</v>
      </c>
      <c r="BC151" s="60" t="e">
        <f>(Links!AG151*Links!C151+'On-Ramps'!AC151*'On-Ramps'!CE151)/('On-Ramps'!AC151+Links!C151)</f>
        <v>#DIV/0!</v>
      </c>
      <c r="BD151" s="60" t="e">
        <f>Links!AH151</f>
        <v>#DIV/0!</v>
      </c>
      <c r="BE151" s="60" t="e">
        <f>(Links!AI151*Links!E151+'On-Ramps'!AD151*'On-Ramps'!CF150)/('On-Ramps'!AD151+Links!E151)</f>
        <v>#DIV/0!</v>
      </c>
      <c r="BF151" s="60" t="e">
        <f>(Links!F151*Links!AJ151+'On-Ramps'!AE151*'On-Ramps'!CG151)/('On-Ramps'!AE151+Links!F151)</f>
        <v>#DIV/0!</v>
      </c>
      <c r="BG151" s="60" t="e">
        <f>(Links!G151*Links!AK151+'On-Ramps'!AF151*'On-Ramps'!CH151)/('On-Ramps'!AF151+Links!G151)</f>
        <v>#DIV/0!</v>
      </c>
      <c r="BH151" s="60" t="e">
        <f>(Links!H151*Links!AL151+'On-Ramps'!AG151*'On-Ramps'!CI151)/('On-Ramps'!AG151+Links!H151)</f>
        <v>#DIV/0!</v>
      </c>
      <c r="BI151" s="60" t="e">
        <f>(Links!J151*Links!AN151+'On-Ramps'!AH151*'On-Ramps'!CJ151)/('On-Ramps'!AH151+Links!J151)</f>
        <v>#DIV/0!</v>
      </c>
      <c r="BJ151" s="60" t="e">
        <f>(Links!K151*Links!AO151+'On-Ramps'!AI151*'On-Ramps'!CK151)/('On-Ramps'!AI151+Links!K151)</f>
        <v>#DIV/0!</v>
      </c>
      <c r="BK151" s="60" t="e">
        <f>(Links!L151*Links!AP151+'On-Ramps'!AJ151*'On-Ramps'!CL151)/(Links!L151+'On-Ramps'!AJ151)</f>
        <v>#DIV/0!</v>
      </c>
      <c r="BL151" s="60" t="e">
        <f>Links!AQ151</f>
        <v>#DIV/0!</v>
      </c>
      <c r="BM151" s="60" t="e">
        <f>(Links!N151*Links!AR151+'On-Ramps'!AL151*'On-Ramps'!CM151)/(Links!N151+'On-Ramps'!AL151)</f>
        <v>#DIV/0!</v>
      </c>
      <c r="BN151" s="60" t="e">
        <f>Links!AS151</f>
        <v>#DIV/0!</v>
      </c>
      <c r="BO151" s="61" t="e">
        <f>(Links!R151^2+'Off-Ramp'!L151^2)/(Links!R151+'Off-Ramp'!L151)</f>
        <v>#DIV/0!</v>
      </c>
      <c r="BP151" s="61" t="e">
        <f>Links!S151</f>
        <v>#DIV/0!</v>
      </c>
      <c r="BQ151" s="61" t="e">
        <f>(Links!S151^2+'Off-Ramp'!C151^2)/(Links!S151+'Off-Ramp'!C151)</f>
        <v>#DIV/0!</v>
      </c>
      <c r="BR151" s="61" t="e">
        <f>Links!T151</f>
        <v>#DIV/0!</v>
      </c>
      <c r="BS151" s="61" t="e">
        <f>(Links!U151^2+'Off-Ramp'!N151^2)/(Links!U151+'Off-Ramp'!N151)</f>
        <v>#DIV/0!</v>
      </c>
      <c r="BT151" s="61" t="e">
        <f>(Links!V151^2+'Off-Ramp'!O151^2)/(Links!V151+'Off-Ramp'!O151)</f>
        <v>#DIV/0!</v>
      </c>
      <c r="BU151" s="61" t="e">
        <f>(Links!W151^2+'Off-Ramp'!P151^2)/(Links!W151+'Off-Ramp'!P151)</f>
        <v>#DIV/0!</v>
      </c>
      <c r="BV151" s="61" t="e">
        <f>(Links!Y151^2+'Off-Ramp'!Q151^2)/(Links!Y151+'Off-Ramp'!Q151)</f>
        <v>#DIV/0!</v>
      </c>
      <c r="BW151" s="61" t="e">
        <f>(Links!Z151^2+'Off-Ramp'!R151^2)/(Links!Z151+'Off-Ramp'!R151)</f>
        <v>#DIV/0!</v>
      </c>
      <c r="BX151" s="61" t="e">
        <f>(Links!AA151+'Off-Ramp'!S151)/(Links!AA151^2+'Off-Ramp'!S151^2)</f>
        <v>#DIV/0!</v>
      </c>
      <c r="BY151" s="61" t="e">
        <f>(Links!AB151^2+'Off-Ramp'!T151^2)/(Links!AB151+'Off-Ramp'!T151)</f>
        <v>#DIV/0!</v>
      </c>
      <c r="BZ151" s="61" t="e">
        <f>Links!AC151</f>
        <v>#DIV/0!</v>
      </c>
      <c r="CA151" s="61" t="e">
        <f>(Links!AD151^2+'Off-Ramp'!U151^2)/(Links!AD151+'Off-Ramp'!U151)</f>
        <v>#DIV/0!</v>
      </c>
    </row>
    <row r="152" spans="1:79" x14ac:dyDescent="0.15">
      <c r="A152" s="59">
        <v>150</v>
      </c>
      <c r="B152" s="60" t="e">
        <f t="shared" si="64"/>
        <v>#DIV/0!</v>
      </c>
      <c r="C152" s="60" t="e">
        <f t="shared" si="65"/>
        <v>#DIV/0!</v>
      </c>
      <c r="D152" s="60" t="e">
        <f t="shared" si="66"/>
        <v>#DIV/0!</v>
      </c>
      <c r="E152" s="60" t="e">
        <f t="shared" si="67"/>
        <v>#DIV/0!</v>
      </c>
      <c r="F152" s="60" t="e">
        <f t="shared" si="68"/>
        <v>#DIV/0!</v>
      </c>
      <c r="G152" s="60" t="e">
        <f t="shared" si="69"/>
        <v>#DIV/0!</v>
      </c>
      <c r="H152" s="60" t="e">
        <f t="shared" si="70"/>
        <v>#DIV/0!</v>
      </c>
      <c r="I152" s="60" t="e">
        <f t="shared" si="71"/>
        <v>#DIV/0!</v>
      </c>
      <c r="J152" s="60" t="e">
        <f t="shared" si="72"/>
        <v>#DIV/0!</v>
      </c>
      <c r="K152" s="60" t="e">
        <f t="shared" si="73"/>
        <v>#DIV/0!</v>
      </c>
      <c r="L152" s="60" t="e">
        <f t="shared" si="74"/>
        <v>#DIV/0!</v>
      </c>
      <c r="M152" s="60" t="e">
        <f t="shared" si="75"/>
        <v>#DIV/0!</v>
      </c>
      <c r="N152" s="60" t="e">
        <f t="shared" si="76"/>
        <v>#DIV/0!</v>
      </c>
      <c r="O152" s="61" t="e">
        <f>Links!B152</f>
        <v>#DIV/0!</v>
      </c>
      <c r="P152" s="61" t="e">
        <f>Links!C152+'On-Ramps'!AC152</f>
        <v>#DIV/0!</v>
      </c>
      <c r="Q152" s="61" t="e">
        <f>Links!D152</f>
        <v>#DIV/0!</v>
      </c>
      <c r="R152" s="61" t="e">
        <f>Links!E152+'On-Ramps'!AD152</f>
        <v>#DIV/0!</v>
      </c>
      <c r="S152" s="61" t="e">
        <f>Links!F152+'On-Ramps'!AE152</f>
        <v>#DIV/0!</v>
      </c>
      <c r="T152" s="61" t="e">
        <f>Links!G152+'On-Ramps'!AF152</f>
        <v>#DIV/0!</v>
      </c>
      <c r="U152" s="61" t="e">
        <f>Links!H152+'On-Ramps'!AG152</f>
        <v>#DIV/0!</v>
      </c>
      <c r="V152" s="61" t="e">
        <f>Links!J152+'On-Ramps'!AH152</f>
        <v>#DIV/0!</v>
      </c>
      <c r="W152" s="61" t="e">
        <f>Links!K152+'On-Ramps'!AI152</f>
        <v>#DIV/0!</v>
      </c>
      <c r="X152" s="61" t="e">
        <f>Links!L152+'On-Ramps'!AJ152</f>
        <v>#DIV/0!</v>
      </c>
      <c r="Y152" s="61" t="e">
        <f>Links!M152</f>
        <v>#DIV/0!</v>
      </c>
      <c r="Z152" s="61" t="e">
        <f>Links!N152+'On-Ramps'!AK152</f>
        <v>#DIV/0!</v>
      </c>
      <c r="AA152" s="61" t="e">
        <f>Links!O152</f>
        <v>#DIV/0!</v>
      </c>
      <c r="AB152" s="60" t="e">
        <f t="shared" si="77"/>
        <v>#DIV/0!</v>
      </c>
      <c r="AC152" s="60" t="e">
        <f t="shared" si="78"/>
        <v>#DIV/0!</v>
      </c>
      <c r="AD152" s="60" t="e">
        <f t="shared" si="79"/>
        <v>#DIV/0!</v>
      </c>
      <c r="AE152" s="60" t="e">
        <f t="shared" si="80"/>
        <v>#DIV/0!</v>
      </c>
      <c r="AF152" s="60" t="e">
        <f t="shared" si="81"/>
        <v>#DIV/0!</v>
      </c>
      <c r="AG152" s="60" t="e">
        <f t="shared" si="82"/>
        <v>#DIV/0!</v>
      </c>
      <c r="AH152" s="60" t="e">
        <f t="shared" si="83"/>
        <v>#DIV/0!</v>
      </c>
      <c r="AI152" s="60" t="e">
        <f t="shared" si="84"/>
        <v>#DIV/0!</v>
      </c>
      <c r="AJ152" s="60" t="e">
        <f t="shared" si="85"/>
        <v>#DIV/0!</v>
      </c>
      <c r="AK152" s="60" t="e">
        <f t="shared" si="86"/>
        <v>#DIV/0!</v>
      </c>
      <c r="AL152" s="60" t="e">
        <f t="shared" si="87"/>
        <v>#DIV/0!</v>
      </c>
      <c r="AM152" s="60" t="e">
        <f t="shared" si="88"/>
        <v>#DIV/0!</v>
      </c>
      <c r="AN152" s="60" t="e">
        <f t="shared" si="90"/>
        <v>#DIV/0!</v>
      </c>
      <c r="AO152" s="61" t="e">
        <f t="shared" si="63"/>
        <v>#DIV/0!</v>
      </c>
      <c r="AP152" s="61" t="e">
        <f t="shared" si="89"/>
        <v>#DIV/0!</v>
      </c>
      <c r="AQ152" s="61" t="e">
        <f t="shared" si="89"/>
        <v>#DIV/0!</v>
      </c>
      <c r="AR152" s="61" t="e">
        <f t="shared" si="89"/>
        <v>#DIV/0!</v>
      </c>
      <c r="AS152" s="61" t="e">
        <f t="shared" si="89"/>
        <v>#DIV/0!</v>
      </c>
      <c r="AT152" s="61" t="e">
        <f t="shared" si="89"/>
        <v>#DIV/0!</v>
      </c>
      <c r="AU152" s="61" t="e">
        <f t="shared" si="89"/>
        <v>#DIV/0!</v>
      </c>
      <c r="AV152" s="61" t="e">
        <f t="shared" si="89"/>
        <v>#DIV/0!</v>
      </c>
      <c r="AW152" s="61" t="e">
        <f t="shared" si="89"/>
        <v>#DIV/0!</v>
      </c>
      <c r="AX152" s="61" t="e">
        <f t="shared" si="89"/>
        <v>#DIV/0!</v>
      </c>
      <c r="AY152" s="61" t="e">
        <f t="shared" si="89"/>
        <v>#DIV/0!</v>
      </c>
      <c r="AZ152" s="61" t="e">
        <f t="shared" si="89"/>
        <v>#DIV/0!</v>
      </c>
      <c r="BA152" s="61" t="e">
        <f t="shared" si="89"/>
        <v>#DIV/0!</v>
      </c>
      <c r="BB152" s="60" t="e">
        <f>Links!AF152</f>
        <v>#DIV/0!</v>
      </c>
      <c r="BC152" s="60" t="e">
        <f>(Links!AG152*Links!C152+'On-Ramps'!AC152*'On-Ramps'!CE152)/('On-Ramps'!AC152+Links!C152)</f>
        <v>#DIV/0!</v>
      </c>
      <c r="BD152" s="60" t="e">
        <f>Links!AH152</f>
        <v>#DIV/0!</v>
      </c>
      <c r="BE152" s="60" t="e">
        <f>(Links!AI152*Links!E152+'On-Ramps'!AD152*'On-Ramps'!CF151)/('On-Ramps'!AD152+Links!E152)</f>
        <v>#DIV/0!</v>
      </c>
      <c r="BF152" s="60" t="e">
        <f>(Links!F152*Links!AJ152+'On-Ramps'!AE152*'On-Ramps'!CG152)/('On-Ramps'!AE152+Links!F152)</f>
        <v>#DIV/0!</v>
      </c>
      <c r="BG152" s="60" t="e">
        <f>(Links!G152*Links!AK152+'On-Ramps'!AF152*'On-Ramps'!CH152)/('On-Ramps'!AF152+Links!G152)</f>
        <v>#DIV/0!</v>
      </c>
      <c r="BH152" s="60" t="e">
        <f>(Links!H152*Links!AL152+'On-Ramps'!AG152*'On-Ramps'!CI152)/('On-Ramps'!AG152+Links!H152)</f>
        <v>#DIV/0!</v>
      </c>
      <c r="BI152" s="60" t="e">
        <f>(Links!J152*Links!AN152+'On-Ramps'!AH152*'On-Ramps'!CJ152)/('On-Ramps'!AH152+Links!J152)</f>
        <v>#DIV/0!</v>
      </c>
      <c r="BJ152" s="60" t="e">
        <f>(Links!K152*Links!AO152+'On-Ramps'!AI152*'On-Ramps'!CK152)/('On-Ramps'!AI152+Links!K152)</f>
        <v>#DIV/0!</v>
      </c>
      <c r="BK152" s="60" t="e">
        <f>(Links!L152*Links!AP152+'On-Ramps'!AJ152*'On-Ramps'!CL152)/(Links!L152+'On-Ramps'!AJ152)</f>
        <v>#DIV/0!</v>
      </c>
      <c r="BL152" s="60" t="e">
        <f>Links!AQ152</f>
        <v>#DIV/0!</v>
      </c>
      <c r="BM152" s="60" t="e">
        <f>(Links!N152*Links!AR152+'On-Ramps'!AL152*'On-Ramps'!CM152)/(Links!N152+'On-Ramps'!AL152)</f>
        <v>#DIV/0!</v>
      </c>
      <c r="BN152" s="60" t="e">
        <f>Links!AS152</f>
        <v>#DIV/0!</v>
      </c>
      <c r="BO152" s="61" t="e">
        <f>(Links!R152^2+'Off-Ramp'!L152^2)/(Links!R152+'Off-Ramp'!L152)</f>
        <v>#DIV/0!</v>
      </c>
      <c r="BP152" s="61" t="e">
        <f>Links!S152</f>
        <v>#DIV/0!</v>
      </c>
      <c r="BQ152" s="61" t="e">
        <f>(Links!S152^2+'Off-Ramp'!C152^2)/(Links!S152+'Off-Ramp'!C152)</f>
        <v>#DIV/0!</v>
      </c>
      <c r="BR152" s="61" t="e">
        <f>Links!T152</f>
        <v>#DIV/0!</v>
      </c>
      <c r="BS152" s="61" t="e">
        <f>(Links!U152^2+'Off-Ramp'!N152^2)/(Links!U152+'Off-Ramp'!N152)</f>
        <v>#DIV/0!</v>
      </c>
      <c r="BT152" s="61" t="e">
        <f>(Links!V152^2+'Off-Ramp'!O152^2)/(Links!V152+'Off-Ramp'!O152)</f>
        <v>#DIV/0!</v>
      </c>
      <c r="BU152" s="61" t="e">
        <f>(Links!W152^2+'Off-Ramp'!P152^2)/(Links!W152+'Off-Ramp'!P152)</f>
        <v>#DIV/0!</v>
      </c>
      <c r="BV152" s="61" t="e">
        <f>(Links!Y152^2+'Off-Ramp'!Q152^2)/(Links!Y152+'Off-Ramp'!Q152)</f>
        <v>#DIV/0!</v>
      </c>
      <c r="BW152" s="61" t="e">
        <f>(Links!Z152^2+'Off-Ramp'!R152^2)/(Links!Z152+'Off-Ramp'!R152)</f>
        <v>#DIV/0!</v>
      </c>
      <c r="BX152" s="61" t="e">
        <f>(Links!AA152+'Off-Ramp'!S152)/(Links!AA152^2+'Off-Ramp'!S152^2)</f>
        <v>#DIV/0!</v>
      </c>
      <c r="BY152" s="61" t="e">
        <f>(Links!AB152^2+'Off-Ramp'!T152^2)/(Links!AB152+'Off-Ramp'!T152)</f>
        <v>#DIV/0!</v>
      </c>
      <c r="BZ152" s="61" t="e">
        <f>Links!AC152</f>
        <v>#DIV/0!</v>
      </c>
      <c r="CA152" s="61" t="e">
        <f>(Links!AD152^2+'Off-Ramp'!U152^2)/(Links!AD152+'Off-Ramp'!U152)</f>
        <v>#DIV/0!</v>
      </c>
    </row>
    <row r="153" spans="1:79" x14ac:dyDescent="0.15">
      <c r="A153" s="59">
        <v>151</v>
      </c>
      <c r="B153" s="60" t="e">
        <f t="shared" si="64"/>
        <v>#DIV/0!</v>
      </c>
      <c r="C153" s="60" t="e">
        <f t="shared" si="65"/>
        <v>#DIV/0!</v>
      </c>
      <c r="D153" s="60" t="e">
        <f t="shared" si="66"/>
        <v>#DIV/0!</v>
      </c>
      <c r="E153" s="60" t="e">
        <f t="shared" si="67"/>
        <v>#DIV/0!</v>
      </c>
      <c r="F153" s="60" t="e">
        <f t="shared" si="68"/>
        <v>#DIV/0!</v>
      </c>
      <c r="G153" s="60" t="e">
        <f t="shared" si="69"/>
        <v>#DIV/0!</v>
      </c>
      <c r="H153" s="60" t="e">
        <f t="shared" si="70"/>
        <v>#DIV/0!</v>
      </c>
      <c r="I153" s="60" t="e">
        <f t="shared" si="71"/>
        <v>#DIV/0!</v>
      </c>
      <c r="J153" s="60" t="e">
        <f t="shared" si="72"/>
        <v>#DIV/0!</v>
      </c>
      <c r="K153" s="60" t="e">
        <f t="shared" si="73"/>
        <v>#DIV/0!</v>
      </c>
      <c r="L153" s="60" t="e">
        <f t="shared" si="74"/>
        <v>#DIV/0!</v>
      </c>
      <c r="M153" s="60" t="e">
        <f t="shared" si="75"/>
        <v>#DIV/0!</v>
      </c>
      <c r="N153" s="60" t="e">
        <f t="shared" si="76"/>
        <v>#DIV/0!</v>
      </c>
      <c r="O153" s="61" t="e">
        <f>Links!B153</f>
        <v>#DIV/0!</v>
      </c>
      <c r="P153" s="61" t="e">
        <f>Links!C153+'On-Ramps'!AC153</f>
        <v>#DIV/0!</v>
      </c>
      <c r="Q153" s="61" t="e">
        <f>Links!D153</f>
        <v>#DIV/0!</v>
      </c>
      <c r="R153" s="61" t="e">
        <f>Links!E153+'On-Ramps'!AD153</f>
        <v>#DIV/0!</v>
      </c>
      <c r="S153" s="61" t="e">
        <f>Links!F153+'On-Ramps'!AE153</f>
        <v>#DIV/0!</v>
      </c>
      <c r="T153" s="61" t="e">
        <f>Links!G153+'On-Ramps'!AF153</f>
        <v>#DIV/0!</v>
      </c>
      <c r="U153" s="61" t="e">
        <f>Links!H153+'On-Ramps'!AG153</f>
        <v>#DIV/0!</v>
      </c>
      <c r="V153" s="61" t="e">
        <f>Links!J153+'On-Ramps'!AH153</f>
        <v>#DIV/0!</v>
      </c>
      <c r="W153" s="61" t="e">
        <f>Links!K153+'On-Ramps'!AI153</f>
        <v>#DIV/0!</v>
      </c>
      <c r="X153" s="61" t="e">
        <f>Links!L153+'On-Ramps'!AJ153</f>
        <v>#DIV/0!</v>
      </c>
      <c r="Y153" s="61" t="e">
        <f>Links!M153</f>
        <v>#DIV/0!</v>
      </c>
      <c r="Z153" s="61" t="e">
        <f>Links!N153+'On-Ramps'!AK153</f>
        <v>#DIV/0!</v>
      </c>
      <c r="AA153" s="61" t="e">
        <f>Links!O153</f>
        <v>#DIV/0!</v>
      </c>
      <c r="AB153" s="60" t="e">
        <f t="shared" si="77"/>
        <v>#DIV/0!</v>
      </c>
      <c r="AC153" s="60" t="e">
        <f t="shared" si="78"/>
        <v>#DIV/0!</v>
      </c>
      <c r="AD153" s="60" t="e">
        <f t="shared" si="79"/>
        <v>#DIV/0!</v>
      </c>
      <c r="AE153" s="60" t="e">
        <f t="shared" si="80"/>
        <v>#DIV/0!</v>
      </c>
      <c r="AF153" s="60" t="e">
        <f t="shared" si="81"/>
        <v>#DIV/0!</v>
      </c>
      <c r="AG153" s="60" t="e">
        <f t="shared" si="82"/>
        <v>#DIV/0!</v>
      </c>
      <c r="AH153" s="60" t="e">
        <f t="shared" si="83"/>
        <v>#DIV/0!</v>
      </c>
      <c r="AI153" s="60" t="e">
        <f t="shared" si="84"/>
        <v>#DIV/0!</v>
      </c>
      <c r="AJ153" s="60" t="e">
        <f t="shared" si="85"/>
        <v>#DIV/0!</v>
      </c>
      <c r="AK153" s="60" t="e">
        <f t="shared" si="86"/>
        <v>#DIV/0!</v>
      </c>
      <c r="AL153" s="60" t="e">
        <f t="shared" si="87"/>
        <v>#DIV/0!</v>
      </c>
      <c r="AM153" s="60" t="e">
        <f t="shared" si="88"/>
        <v>#DIV/0!</v>
      </c>
      <c r="AN153" s="60" t="e">
        <f t="shared" si="90"/>
        <v>#DIV/0!</v>
      </c>
      <c r="AO153" s="61" t="e">
        <f t="shared" si="63"/>
        <v>#DIV/0!</v>
      </c>
      <c r="AP153" s="61" t="e">
        <f t="shared" si="89"/>
        <v>#DIV/0!</v>
      </c>
      <c r="AQ153" s="61" t="e">
        <f t="shared" si="89"/>
        <v>#DIV/0!</v>
      </c>
      <c r="AR153" s="61" t="e">
        <f t="shared" si="89"/>
        <v>#DIV/0!</v>
      </c>
      <c r="AS153" s="61" t="e">
        <f t="shared" si="89"/>
        <v>#DIV/0!</v>
      </c>
      <c r="AT153" s="61" t="e">
        <f t="shared" si="89"/>
        <v>#DIV/0!</v>
      </c>
      <c r="AU153" s="61" t="e">
        <f t="shared" si="89"/>
        <v>#DIV/0!</v>
      </c>
      <c r="AV153" s="61" t="e">
        <f t="shared" si="89"/>
        <v>#DIV/0!</v>
      </c>
      <c r="AW153" s="61" t="e">
        <f t="shared" si="89"/>
        <v>#DIV/0!</v>
      </c>
      <c r="AX153" s="61" t="e">
        <f t="shared" si="89"/>
        <v>#DIV/0!</v>
      </c>
      <c r="AY153" s="61" t="e">
        <f t="shared" si="89"/>
        <v>#DIV/0!</v>
      </c>
      <c r="AZ153" s="61" t="e">
        <f t="shared" si="89"/>
        <v>#DIV/0!</v>
      </c>
      <c r="BA153" s="61" t="e">
        <f t="shared" si="89"/>
        <v>#DIV/0!</v>
      </c>
      <c r="BB153" s="60" t="e">
        <f>Links!AF153</f>
        <v>#DIV/0!</v>
      </c>
      <c r="BC153" s="60" t="e">
        <f>(Links!AG153*Links!C153+'On-Ramps'!AC153*'On-Ramps'!CE153)/('On-Ramps'!AC153+Links!C153)</f>
        <v>#DIV/0!</v>
      </c>
      <c r="BD153" s="60" t="e">
        <f>Links!AH153</f>
        <v>#DIV/0!</v>
      </c>
      <c r="BE153" s="60" t="e">
        <f>(Links!AI153*Links!E153+'On-Ramps'!AD153*'On-Ramps'!CF152)/('On-Ramps'!AD153+Links!E153)</f>
        <v>#DIV/0!</v>
      </c>
      <c r="BF153" s="60" t="e">
        <f>(Links!F153*Links!AJ153+'On-Ramps'!AE153*'On-Ramps'!CG153)/('On-Ramps'!AE153+Links!F153)</f>
        <v>#DIV/0!</v>
      </c>
      <c r="BG153" s="60" t="e">
        <f>(Links!G153*Links!AK153+'On-Ramps'!AF153*'On-Ramps'!CH153)/('On-Ramps'!AF153+Links!G153)</f>
        <v>#DIV/0!</v>
      </c>
      <c r="BH153" s="60" t="e">
        <f>(Links!H153*Links!AL153+'On-Ramps'!AG153*'On-Ramps'!CI153)/('On-Ramps'!AG153+Links!H153)</f>
        <v>#DIV/0!</v>
      </c>
      <c r="BI153" s="60" t="e">
        <f>(Links!J153*Links!AN153+'On-Ramps'!AH153*'On-Ramps'!CJ153)/('On-Ramps'!AH153+Links!J153)</f>
        <v>#DIV/0!</v>
      </c>
      <c r="BJ153" s="60" t="e">
        <f>(Links!K153*Links!AO153+'On-Ramps'!AI153*'On-Ramps'!CK153)/('On-Ramps'!AI153+Links!K153)</f>
        <v>#DIV/0!</v>
      </c>
      <c r="BK153" s="60" t="e">
        <f>(Links!L153*Links!AP153+'On-Ramps'!AJ153*'On-Ramps'!CL153)/(Links!L153+'On-Ramps'!AJ153)</f>
        <v>#DIV/0!</v>
      </c>
      <c r="BL153" s="60" t="e">
        <f>Links!AQ153</f>
        <v>#DIV/0!</v>
      </c>
      <c r="BM153" s="60" t="e">
        <f>(Links!N153*Links!AR153+'On-Ramps'!AL153*'On-Ramps'!CM153)/(Links!N153+'On-Ramps'!AL153)</f>
        <v>#DIV/0!</v>
      </c>
      <c r="BN153" s="60" t="e">
        <f>Links!AS153</f>
        <v>#DIV/0!</v>
      </c>
      <c r="BO153" s="61" t="e">
        <f>(Links!R153^2+'Off-Ramp'!L153^2)/(Links!R153+'Off-Ramp'!L153)</f>
        <v>#DIV/0!</v>
      </c>
      <c r="BP153" s="61" t="e">
        <f>Links!S153</f>
        <v>#DIV/0!</v>
      </c>
      <c r="BQ153" s="61" t="e">
        <f>(Links!S153^2+'Off-Ramp'!C153^2)/(Links!S153+'Off-Ramp'!C153)</f>
        <v>#DIV/0!</v>
      </c>
      <c r="BR153" s="61" t="e">
        <f>Links!T153</f>
        <v>#DIV/0!</v>
      </c>
      <c r="BS153" s="61" t="e">
        <f>(Links!U153^2+'Off-Ramp'!N153^2)/(Links!U153+'Off-Ramp'!N153)</f>
        <v>#DIV/0!</v>
      </c>
      <c r="BT153" s="61" t="e">
        <f>(Links!V153^2+'Off-Ramp'!O153^2)/(Links!V153+'Off-Ramp'!O153)</f>
        <v>#DIV/0!</v>
      </c>
      <c r="BU153" s="61" t="e">
        <f>(Links!W153^2+'Off-Ramp'!P153^2)/(Links!W153+'Off-Ramp'!P153)</f>
        <v>#DIV/0!</v>
      </c>
      <c r="BV153" s="61" t="e">
        <f>(Links!Y153^2+'Off-Ramp'!Q153^2)/(Links!Y153+'Off-Ramp'!Q153)</f>
        <v>#DIV/0!</v>
      </c>
      <c r="BW153" s="61" t="e">
        <f>(Links!Z153^2+'Off-Ramp'!R153^2)/(Links!Z153+'Off-Ramp'!R153)</f>
        <v>#DIV/0!</v>
      </c>
      <c r="BX153" s="61" t="e">
        <f>(Links!AA153+'Off-Ramp'!S153)/(Links!AA153^2+'Off-Ramp'!S153^2)</f>
        <v>#DIV/0!</v>
      </c>
      <c r="BY153" s="61" t="e">
        <f>(Links!AB153^2+'Off-Ramp'!T153^2)/(Links!AB153+'Off-Ramp'!T153)</f>
        <v>#DIV/0!</v>
      </c>
      <c r="BZ153" s="61" t="e">
        <f>Links!AC153</f>
        <v>#DIV/0!</v>
      </c>
      <c r="CA153" s="61" t="e">
        <f>(Links!AD153^2+'Off-Ramp'!U153^2)/(Links!AD153+'Off-Ramp'!U153)</f>
        <v>#DIV/0!</v>
      </c>
    </row>
    <row r="154" spans="1:79" x14ac:dyDescent="0.15">
      <c r="A154" s="59">
        <v>152</v>
      </c>
      <c r="B154" s="60" t="e">
        <f t="shared" si="64"/>
        <v>#DIV/0!</v>
      </c>
      <c r="C154" s="60" t="e">
        <f t="shared" si="65"/>
        <v>#DIV/0!</v>
      </c>
      <c r="D154" s="60" t="e">
        <f t="shared" si="66"/>
        <v>#DIV/0!</v>
      </c>
      <c r="E154" s="60" t="e">
        <f t="shared" si="67"/>
        <v>#DIV/0!</v>
      </c>
      <c r="F154" s="60" t="e">
        <f t="shared" si="68"/>
        <v>#DIV/0!</v>
      </c>
      <c r="G154" s="60" t="e">
        <f t="shared" si="69"/>
        <v>#DIV/0!</v>
      </c>
      <c r="H154" s="60" t="e">
        <f t="shared" si="70"/>
        <v>#DIV/0!</v>
      </c>
      <c r="I154" s="60" t="e">
        <f t="shared" si="71"/>
        <v>#DIV/0!</v>
      </c>
      <c r="J154" s="60" t="e">
        <f t="shared" si="72"/>
        <v>#DIV/0!</v>
      </c>
      <c r="K154" s="60" t="e">
        <f t="shared" si="73"/>
        <v>#DIV/0!</v>
      </c>
      <c r="L154" s="60" t="e">
        <f t="shared" si="74"/>
        <v>#DIV/0!</v>
      </c>
      <c r="M154" s="60" t="e">
        <f t="shared" si="75"/>
        <v>#DIV/0!</v>
      </c>
      <c r="N154" s="60" t="e">
        <f t="shared" si="76"/>
        <v>#DIV/0!</v>
      </c>
      <c r="O154" s="61" t="e">
        <f>Links!B154</f>
        <v>#DIV/0!</v>
      </c>
      <c r="P154" s="61" t="e">
        <f>Links!C154+'On-Ramps'!AC154</f>
        <v>#DIV/0!</v>
      </c>
      <c r="Q154" s="61" t="e">
        <f>Links!D154</f>
        <v>#DIV/0!</v>
      </c>
      <c r="R154" s="61" t="e">
        <f>Links!E154+'On-Ramps'!AD154</f>
        <v>#DIV/0!</v>
      </c>
      <c r="S154" s="61" t="e">
        <f>Links!F154+'On-Ramps'!AE154</f>
        <v>#DIV/0!</v>
      </c>
      <c r="T154" s="61" t="e">
        <f>Links!G154+'On-Ramps'!AF154</f>
        <v>#DIV/0!</v>
      </c>
      <c r="U154" s="61" t="e">
        <f>Links!H154+'On-Ramps'!AG154</f>
        <v>#DIV/0!</v>
      </c>
      <c r="V154" s="61" t="e">
        <f>Links!J154+'On-Ramps'!AH154</f>
        <v>#DIV/0!</v>
      </c>
      <c r="W154" s="61" t="e">
        <f>Links!K154+'On-Ramps'!AI154</f>
        <v>#DIV/0!</v>
      </c>
      <c r="X154" s="61" t="e">
        <f>Links!L154+'On-Ramps'!AJ154</f>
        <v>#DIV/0!</v>
      </c>
      <c r="Y154" s="61" t="e">
        <f>Links!M154</f>
        <v>#DIV/0!</v>
      </c>
      <c r="Z154" s="61" t="e">
        <f>Links!N154+'On-Ramps'!AK154</f>
        <v>#DIV/0!</v>
      </c>
      <c r="AA154" s="61" t="e">
        <f>Links!O154</f>
        <v>#DIV/0!</v>
      </c>
      <c r="AB154" s="60" t="e">
        <f t="shared" si="77"/>
        <v>#DIV/0!</v>
      </c>
      <c r="AC154" s="60" t="e">
        <f t="shared" si="78"/>
        <v>#DIV/0!</v>
      </c>
      <c r="AD154" s="60" t="e">
        <f t="shared" si="79"/>
        <v>#DIV/0!</v>
      </c>
      <c r="AE154" s="60" t="e">
        <f t="shared" si="80"/>
        <v>#DIV/0!</v>
      </c>
      <c r="AF154" s="60" t="e">
        <f t="shared" si="81"/>
        <v>#DIV/0!</v>
      </c>
      <c r="AG154" s="60" t="e">
        <f t="shared" si="82"/>
        <v>#DIV/0!</v>
      </c>
      <c r="AH154" s="60" t="e">
        <f t="shared" si="83"/>
        <v>#DIV/0!</v>
      </c>
      <c r="AI154" s="60" t="e">
        <f t="shared" si="84"/>
        <v>#DIV/0!</v>
      </c>
      <c r="AJ154" s="60" t="e">
        <f t="shared" si="85"/>
        <v>#DIV/0!</v>
      </c>
      <c r="AK154" s="60" t="e">
        <f t="shared" si="86"/>
        <v>#DIV/0!</v>
      </c>
      <c r="AL154" s="60" t="e">
        <f t="shared" si="87"/>
        <v>#DIV/0!</v>
      </c>
      <c r="AM154" s="60" t="e">
        <f t="shared" si="88"/>
        <v>#DIV/0!</v>
      </c>
      <c r="AN154" s="60" t="e">
        <f t="shared" si="90"/>
        <v>#DIV/0!</v>
      </c>
      <c r="AO154" s="61" t="e">
        <f t="shared" si="63"/>
        <v>#DIV/0!</v>
      </c>
      <c r="AP154" s="61" t="e">
        <f t="shared" si="89"/>
        <v>#DIV/0!</v>
      </c>
      <c r="AQ154" s="61" t="e">
        <f t="shared" si="89"/>
        <v>#DIV/0!</v>
      </c>
      <c r="AR154" s="61" t="e">
        <f t="shared" si="89"/>
        <v>#DIV/0!</v>
      </c>
      <c r="AS154" s="61" t="e">
        <f t="shared" si="89"/>
        <v>#DIV/0!</v>
      </c>
      <c r="AT154" s="61" t="e">
        <f t="shared" si="89"/>
        <v>#DIV/0!</v>
      </c>
      <c r="AU154" s="61" t="e">
        <f t="shared" si="89"/>
        <v>#DIV/0!</v>
      </c>
      <c r="AV154" s="61" t="e">
        <f t="shared" si="89"/>
        <v>#DIV/0!</v>
      </c>
      <c r="AW154" s="61" t="e">
        <f t="shared" si="89"/>
        <v>#DIV/0!</v>
      </c>
      <c r="AX154" s="61" t="e">
        <f t="shared" si="89"/>
        <v>#DIV/0!</v>
      </c>
      <c r="AY154" s="61" t="e">
        <f t="shared" si="89"/>
        <v>#DIV/0!</v>
      </c>
      <c r="AZ154" s="61" t="e">
        <f t="shared" si="89"/>
        <v>#DIV/0!</v>
      </c>
      <c r="BA154" s="61" t="e">
        <f t="shared" si="89"/>
        <v>#DIV/0!</v>
      </c>
      <c r="BB154" s="60" t="e">
        <f>Links!AF154</f>
        <v>#DIV/0!</v>
      </c>
      <c r="BC154" s="60" t="e">
        <f>(Links!AG154*Links!C154+'On-Ramps'!AC154*'On-Ramps'!CE154)/('On-Ramps'!AC154+Links!C154)</f>
        <v>#DIV/0!</v>
      </c>
      <c r="BD154" s="60" t="e">
        <f>Links!AH154</f>
        <v>#DIV/0!</v>
      </c>
      <c r="BE154" s="60" t="e">
        <f>(Links!AI154*Links!E154+'On-Ramps'!AD154*'On-Ramps'!CF153)/('On-Ramps'!AD154+Links!E154)</f>
        <v>#DIV/0!</v>
      </c>
      <c r="BF154" s="60" t="e">
        <f>(Links!F154*Links!AJ154+'On-Ramps'!AE154*'On-Ramps'!CG154)/('On-Ramps'!AE154+Links!F154)</f>
        <v>#DIV/0!</v>
      </c>
      <c r="BG154" s="60" t="e">
        <f>(Links!G154*Links!AK154+'On-Ramps'!AF154*'On-Ramps'!CH154)/('On-Ramps'!AF154+Links!G154)</f>
        <v>#DIV/0!</v>
      </c>
      <c r="BH154" s="60" t="e">
        <f>(Links!H154*Links!AL154+'On-Ramps'!AG154*'On-Ramps'!CI154)/('On-Ramps'!AG154+Links!H154)</f>
        <v>#DIV/0!</v>
      </c>
      <c r="BI154" s="60" t="e">
        <f>(Links!J154*Links!AN154+'On-Ramps'!AH154*'On-Ramps'!CJ154)/('On-Ramps'!AH154+Links!J154)</f>
        <v>#DIV/0!</v>
      </c>
      <c r="BJ154" s="60" t="e">
        <f>(Links!K154*Links!AO154+'On-Ramps'!AI154*'On-Ramps'!CK154)/('On-Ramps'!AI154+Links!K154)</f>
        <v>#DIV/0!</v>
      </c>
      <c r="BK154" s="60" t="e">
        <f>(Links!L154*Links!AP154+'On-Ramps'!AJ154*'On-Ramps'!CL154)/(Links!L154+'On-Ramps'!AJ154)</f>
        <v>#DIV/0!</v>
      </c>
      <c r="BL154" s="60" t="e">
        <f>Links!AQ154</f>
        <v>#DIV/0!</v>
      </c>
      <c r="BM154" s="60" t="e">
        <f>(Links!N154*Links!AR154+'On-Ramps'!AL154*'On-Ramps'!CM154)/(Links!N154+'On-Ramps'!AL154)</f>
        <v>#DIV/0!</v>
      </c>
      <c r="BN154" s="60" t="e">
        <f>Links!AS154</f>
        <v>#DIV/0!</v>
      </c>
      <c r="BO154" s="61" t="e">
        <f>(Links!R154^2+'Off-Ramp'!L154^2)/(Links!R154+'Off-Ramp'!L154)</f>
        <v>#DIV/0!</v>
      </c>
      <c r="BP154" s="61" t="e">
        <f>Links!S154</f>
        <v>#DIV/0!</v>
      </c>
      <c r="BQ154" s="61" t="e">
        <f>(Links!S154^2+'Off-Ramp'!C154^2)/(Links!S154+'Off-Ramp'!C154)</f>
        <v>#DIV/0!</v>
      </c>
      <c r="BR154" s="61" t="e">
        <f>Links!T154</f>
        <v>#DIV/0!</v>
      </c>
      <c r="BS154" s="61" t="e">
        <f>(Links!U154^2+'Off-Ramp'!N154^2)/(Links!U154+'Off-Ramp'!N154)</f>
        <v>#DIV/0!</v>
      </c>
      <c r="BT154" s="61" t="e">
        <f>(Links!V154^2+'Off-Ramp'!O154^2)/(Links!V154+'Off-Ramp'!O154)</f>
        <v>#DIV/0!</v>
      </c>
      <c r="BU154" s="61" t="e">
        <f>(Links!W154^2+'Off-Ramp'!P154^2)/(Links!W154+'Off-Ramp'!P154)</f>
        <v>#DIV/0!</v>
      </c>
      <c r="BV154" s="61" t="e">
        <f>(Links!Y154^2+'Off-Ramp'!Q154^2)/(Links!Y154+'Off-Ramp'!Q154)</f>
        <v>#DIV/0!</v>
      </c>
      <c r="BW154" s="61" t="e">
        <f>(Links!Z154^2+'Off-Ramp'!R154^2)/(Links!Z154+'Off-Ramp'!R154)</f>
        <v>#DIV/0!</v>
      </c>
      <c r="BX154" s="61" t="e">
        <f>(Links!AA154+'Off-Ramp'!S154)/(Links!AA154^2+'Off-Ramp'!S154^2)</f>
        <v>#DIV/0!</v>
      </c>
      <c r="BY154" s="61" t="e">
        <f>(Links!AB154^2+'Off-Ramp'!T154^2)/(Links!AB154+'Off-Ramp'!T154)</f>
        <v>#DIV/0!</v>
      </c>
      <c r="BZ154" s="61" t="e">
        <f>Links!AC154</f>
        <v>#DIV/0!</v>
      </c>
      <c r="CA154" s="61" t="e">
        <f>(Links!AD154^2+'Off-Ramp'!U154^2)/(Links!AD154+'Off-Ramp'!U154)</f>
        <v>#DIV/0!</v>
      </c>
    </row>
    <row r="155" spans="1:79" x14ac:dyDescent="0.15">
      <c r="A155" s="59">
        <v>153</v>
      </c>
      <c r="B155" s="60" t="e">
        <f t="shared" si="64"/>
        <v>#DIV/0!</v>
      </c>
      <c r="C155" s="60" t="e">
        <f t="shared" si="65"/>
        <v>#DIV/0!</v>
      </c>
      <c r="D155" s="60" t="e">
        <f t="shared" si="66"/>
        <v>#DIV/0!</v>
      </c>
      <c r="E155" s="60" t="e">
        <f t="shared" si="67"/>
        <v>#DIV/0!</v>
      </c>
      <c r="F155" s="60" t="e">
        <f t="shared" si="68"/>
        <v>#DIV/0!</v>
      </c>
      <c r="G155" s="60" t="e">
        <f t="shared" si="69"/>
        <v>#DIV/0!</v>
      </c>
      <c r="H155" s="60" t="e">
        <f t="shared" si="70"/>
        <v>#DIV/0!</v>
      </c>
      <c r="I155" s="60" t="e">
        <f t="shared" si="71"/>
        <v>#DIV/0!</v>
      </c>
      <c r="J155" s="60" t="e">
        <f t="shared" si="72"/>
        <v>#DIV/0!</v>
      </c>
      <c r="K155" s="60" t="e">
        <f t="shared" si="73"/>
        <v>#DIV/0!</v>
      </c>
      <c r="L155" s="60" t="e">
        <f t="shared" si="74"/>
        <v>#DIV/0!</v>
      </c>
      <c r="M155" s="60" t="e">
        <f t="shared" si="75"/>
        <v>#DIV/0!</v>
      </c>
      <c r="N155" s="60" t="e">
        <f t="shared" si="76"/>
        <v>#DIV/0!</v>
      </c>
      <c r="O155" s="61" t="e">
        <f>Links!B155</f>
        <v>#DIV/0!</v>
      </c>
      <c r="P155" s="61" t="e">
        <f>Links!C155+'On-Ramps'!AC155</f>
        <v>#DIV/0!</v>
      </c>
      <c r="Q155" s="61" t="e">
        <f>Links!D155</f>
        <v>#DIV/0!</v>
      </c>
      <c r="R155" s="61" t="e">
        <f>Links!E155+'On-Ramps'!AD155</f>
        <v>#DIV/0!</v>
      </c>
      <c r="S155" s="61" t="e">
        <f>Links!F155+'On-Ramps'!AE155</f>
        <v>#DIV/0!</v>
      </c>
      <c r="T155" s="61" t="e">
        <f>Links!G155+'On-Ramps'!AF155</f>
        <v>#DIV/0!</v>
      </c>
      <c r="U155" s="61" t="e">
        <f>Links!H155+'On-Ramps'!AG155</f>
        <v>#DIV/0!</v>
      </c>
      <c r="V155" s="61" t="e">
        <f>Links!J155+'On-Ramps'!AH155</f>
        <v>#DIV/0!</v>
      </c>
      <c r="W155" s="61" t="e">
        <f>Links!K155+'On-Ramps'!AI155</f>
        <v>#DIV/0!</v>
      </c>
      <c r="X155" s="61" t="e">
        <f>Links!L155+'On-Ramps'!AJ155</f>
        <v>#DIV/0!</v>
      </c>
      <c r="Y155" s="61" t="e">
        <f>Links!M155</f>
        <v>#DIV/0!</v>
      </c>
      <c r="Z155" s="61" t="e">
        <f>Links!N155+'On-Ramps'!AK155</f>
        <v>#DIV/0!</v>
      </c>
      <c r="AA155" s="61" t="e">
        <f>Links!O155</f>
        <v>#DIV/0!</v>
      </c>
      <c r="AB155" s="60" t="e">
        <f t="shared" si="77"/>
        <v>#DIV/0!</v>
      </c>
      <c r="AC155" s="60" t="e">
        <f t="shared" si="78"/>
        <v>#DIV/0!</v>
      </c>
      <c r="AD155" s="60" t="e">
        <f t="shared" si="79"/>
        <v>#DIV/0!</v>
      </c>
      <c r="AE155" s="60" t="e">
        <f t="shared" si="80"/>
        <v>#DIV/0!</v>
      </c>
      <c r="AF155" s="60" t="e">
        <f t="shared" si="81"/>
        <v>#DIV/0!</v>
      </c>
      <c r="AG155" s="60" t="e">
        <f t="shared" si="82"/>
        <v>#DIV/0!</v>
      </c>
      <c r="AH155" s="60" t="e">
        <f t="shared" si="83"/>
        <v>#DIV/0!</v>
      </c>
      <c r="AI155" s="60" t="e">
        <f t="shared" si="84"/>
        <v>#DIV/0!</v>
      </c>
      <c r="AJ155" s="60" t="e">
        <f t="shared" si="85"/>
        <v>#DIV/0!</v>
      </c>
      <c r="AK155" s="60" t="e">
        <f t="shared" si="86"/>
        <v>#DIV/0!</v>
      </c>
      <c r="AL155" s="60" t="e">
        <f t="shared" si="87"/>
        <v>#DIV/0!</v>
      </c>
      <c r="AM155" s="60" t="e">
        <f t="shared" si="88"/>
        <v>#DIV/0!</v>
      </c>
      <c r="AN155" s="60" t="e">
        <f t="shared" si="90"/>
        <v>#DIV/0!</v>
      </c>
      <c r="AO155" s="61" t="e">
        <f t="shared" si="63"/>
        <v>#DIV/0!</v>
      </c>
      <c r="AP155" s="61" t="e">
        <f t="shared" si="89"/>
        <v>#DIV/0!</v>
      </c>
      <c r="AQ155" s="61" t="e">
        <f t="shared" si="89"/>
        <v>#DIV/0!</v>
      </c>
      <c r="AR155" s="61" t="e">
        <f t="shared" si="89"/>
        <v>#DIV/0!</v>
      </c>
      <c r="AS155" s="61" t="e">
        <f t="shared" si="89"/>
        <v>#DIV/0!</v>
      </c>
      <c r="AT155" s="61" t="e">
        <f t="shared" si="89"/>
        <v>#DIV/0!</v>
      </c>
      <c r="AU155" s="61" t="e">
        <f t="shared" si="89"/>
        <v>#DIV/0!</v>
      </c>
      <c r="AV155" s="61" t="e">
        <f t="shared" si="89"/>
        <v>#DIV/0!</v>
      </c>
      <c r="AW155" s="61" t="e">
        <f t="shared" si="89"/>
        <v>#DIV/0!</v>
      </c>
      <c r="AX155" s="61" t="e">
        <f t="shared" si="89"/>
        <v>#DIV/0!</v>
      </c>
      <c r="AY155" s="61" t="e">
        <f t="shared" si="89"/>
        <v>#DIV/0!</v>
      </c>
      <c r="AZ155" s="61" t="e">
        <f t="shared" si="89"/>
        <v>#DIV/0!</v>
      </c>
      <c r="BA155" s="61" t="e">
        <f t="shared" si="89"/>
        <v>#DIV/0!</v>
      </c>
      <c r="BB155" s="60" t="e">
        <f>Links!AF155</f>
        <v>#DIV/0!</v>
      </c>
      <c r="BC155" s="60" t="e">
        <f>(Links!AG155*Links!C155+'On-Ramps'!AC155*'On-Ramps'!CE155)/('On-Ramps'!AC155+Links!C155)</f>
        <v>#DIV/0!</v>
      </c>
      <c r="BD155" s="60" t="e">
        <f>Links!AH155</f>
        <v>#DIV/0!</v>
      </c>
      <c r="BE155" s="60" t="e">
        <f>(Links!AI155*Links!E155+'On-Ramps'!AD155*'On-Ramps'!CF154)/('On-Ramps'!AD155+Links!E155)</f>
        <v>#DIV/0!</v>
      </c>
      <c r="BF155" s="60" t="e">
        <f>(Links!F155*Links!AJ155+'On-Ramps'!AE155*'On-Ramps'!CG155)/('On-Ramps'!AE155+Links!F155)</f>
        <v>#DIV/0!</v>
      </c>
      <c r="BG155" s="60" t="e">
        <f>(Links!G155*Links!AK155+'On-Ramps'!AF155*'On-Ramps'!CH155)/('On-Ramps'!AF155+Links!G155)</f>
        <v>#DIV/0!</v>
      </c>
      <c r="BH155" s="60" t="e">
        <f>(Links!H155*Links!AL155+'On-Ramps'!AG155*'On-Ramps'!CI155)/('On-Ramps'!AG155+Links!H155)</f>
        <v>#DIV/0!</v>
      </c>
      <c r="BI155" s="60" t="e">
        <f>(Links!J155*Links!AN155+'On-Ramps'!AH155*'On-Ramps'!CJ155)/('On-Ramps'!AH155+Links!J155)</f>
        <v>#DIV/0!</v>
      </c>
      <c r="BJ155" s="60" t="e">
        <f>(Links!K155*Links!AO155+'On-Ramps'!AI155*'On-Ramps'!CK155)/('On-Ramps'!AI155+Links!K155)</f>
        <v>#DIV/0!</v>
      </c>
      <c r="BK155" s="60" t="e">
        <f>(Links!L155*Links!AP155+'On-Ramps'!AJ155*'On-Ramps'!CL155)/(Links!L155+'On-Ramps'!AJ155)</f>
        <v>#DIV/0!</v>
      </c>
      <c r="BL155" s="60" t="e">
        <f>Links!AQ155</f>
        <v>#DIV/0!</v>
      </c>
      <c r="BM155" s="60" t="e">
        <f>(Links!N155*Links!AR155+'On-Ramps'!AL155*'On-Ramps'!CM155)/(Links!N155+'On-Ramps'!AL155)</f>
        <v>#DIV/0!</v>
      </c>
      <c r="BN155" s="60" t="e">
        <f>Links!AS155</f>
        <v>#DIV/0!</v>
      </c>
      <c r="BO155" s="61" t="e">
        <f>(Links!R155^2+'Off-Ramp'!L155^2)/(Links!R155+'Off-Ramp'!L155)</f>
        <v>#DIV/0!</v>
      </c>
      <c r="BP155" s="61" t="e">
        <f>Links!S155</f>
        <v>#DIV/0!</v>
      </c>
      <c r="BQ155" s="61" t="e">
        <f>(Links!S155^2+'Off-Ramp'!C155^2)/(Links!S155+'Off-Ramp'!C155)</f>
        <v>#DIV/0!</v>
      </c>
      <c r="BR155" s="61" t="e">
        <f>Links!T155</f>
        <v>#DIV/0!</v>
      </c>
      <c r="BS155" s="61" t="e">
        <f>(Links!U155^2+'Off-Ramp'!N155^2)/(Links!U155+'Off-Ramp'!N155)</f>
        <v>#DIV/0!</v>
      </c>
      <c r="BT155" s="61" t="e">
        <f>(Links!V155^2+'Off-Ramp'!O155^2)/(Links!V155+'Off-Ramp'!O155)</f>
        <v>#DIV/0!</v>
      </c>
      <c r="BU155" s="61" t="e">
        <f>(Links!W155^2+'Off-Ramp'!P155^2)/(Links!W155+'Off-Ramp'!P155)</f>
        <v>#DIV/0!</v>
      </c>
      <c r="BV155" s="61" t="e">
        <f>(Links!Y155^2+'Off-Ramp'!Q155^2)/(Links!Y155+'Off-Ramp'!Q155)</f>
        <v>#DIV/0!</v>
      </c>
      <c r="BW155" s="61" t="e">
        <f>(Links!Z155^2+'Off-Ramp'!R155^2)/(Links!Z155+'Off-Ramp'!R155)</f>
        <v>#DIV/0!</v>
      </c>
      <c r="BX155" s="61" t="e">
        <f>(Links!AA155+'Off-Ramp'!S155)/(Links!AA155^2+'Off-Ramp'!S155^2)</f>
        <v>#DIV/0!</v>
      </c>
      <c r="BY155" s="61" t="e">
        <f>(Links!AB155^2+'Off-Ramp'!T155^2)/(Links!AB155+'Off-Ramp'!T155)</f>
        <v>#DIV/0!</v>
      </c>
      <c r="BZ155" s="61" t="e">
        <f>Links!AC155</f>
        <v>#DIV/0!</v>
      </c>
      <c r="CA155" s="61" t="e">
        <f>(Links!AD155^2+'Off-Ramp'!U155^2)/(Links!AD155+'Off-Ramp'!U155)</f>
        <v>#DIV/0!</v>
      </c>
    </row>
    <row r="156" spans="1:79" x14ac:dyDescent="0.15">
      <c r="A156" s="59">
        <v>154</v>
      </c>
      <c r="B156" s="60" t="e">
        <f t="shared" si="64"/>
        <v>#DIV/0!</v>
      </c>
      <c r="C156" s="60" t="e">
        <f t="shared" si="65"/>
        <v>#DIV/0!</v>
      </c>
      <c r="D156" s="60" t="e">
        <f t="shared" si="66"/>
        <v>#DIV/0!</v>
      </c>
      <c r="E156" s="60" t="e">
        <f t="shared" si="67"/>
        <v>#DIV/0!</v>
      </c>
      <c r="F156" s="60" t="e">
        <f t="shared" si="68"/>
        <v>#DIV/0!</v>
      </c>
      <c r="G156" s="60" t="e">
        <f t="shared" si="69"/>
        <v>#DIV/0!</v>
      </c>
      <c r="H156" s="60" t="e">
        <f t="shared" si="70"/>
        <v>#DIV/0!</v>
      </c>
      <c r="I156" s="60" t="e">
        <f t="shared" si="71"/>
        <v>#DIV/0!</v>
      </c>
      <c r="J156" s="60" t="e">
        <f t="shared" si="72"/>
        <v>#DIV/0!</v>
      </c>
      <c r="K156" s="60" t="e">
        <f t="shared" si="73"/>
        <v>#DIV/0!</v>
      </c>
      <c r="L156" s="60" t="e">
        <f t="shared" si="74"/>
        <v>#DIV/0!</v>
      </c>
      <c r="M156" s="60" t="e">
        <f t="shared" si="75"/>
        <v>#DIV/0!</v>
      </c>
      <c r="N156" s="60" t="e">
        <f t="shared" si="76"/>
        <v>#DIV/0!</v>
      </c>
      <c r="O156" s="61" t="e">
        <f>Links!B156</f>
        <v>#DIV/0!</v>
      </c>
      <c r="P156" s="61" t="e">
        <f>Links!C156+'On-Ramps'!AC156</f>
        <v>#DIV/0!</v>
      </c>
      <c r="Q156" s="61" t="e">
        <f>Links!D156</f>
        <v>#DIV/0!</v>
      </c>
      <c r="R156" s="61" t="e">
        <f>Links!E156+'On-Ramps'!AD156</f>
        <v>#DIV/0!</v>
      </c>
      <c r="S156" s="61" t="e">
        <f>Links!F156+'On-Ramps'!AE156</f>
        <v>#DIV/0!</v>
      </c>
      <c r="T156" s="61" t="e">
        <f>Links!G156+'On-Ramps'!AF156</f>
        <v>#DIV/0!</v>
      </c>
      <c r="U156" s="61" t="e">
        <f>Links!H156+'On-Ramps'!AG156</f>
        <v>#DIV/0!</v>
      </c>
      <c r="V156" s="61" t="e">
        <f>Links!J156+'On-Ramps'!AH156</f>
        <v>#DIV/0!</v>
      </c>
      <c r="W156" s="61" t="e">
        <f>Links!K156+'On-Ramps'!AI156</f>
        <v>#DIV/0!</v>
      </c>
      <c r="X156" s="61" t="e">
        <f>Links!L156+'On-Ramps'!AJ156</f>
        <v>#DIV/0!</v>
      </c>
      <c r="Y156" s="61" t="e">
        <f>Links!M156</f>
        <v>#DIV/0!</v>
      </c>
      <c r="Z156" s="61" t="e">
        <f>Links!N156+'On-Ramps'!AK156</f>
        <v>#DIV/0!</v>
      </c>
      <c r="AA156" s="61" t="e">
        <f>Links!O156</f>
        <v>#DIV/0!</v>
      </c>
      <c r="AB156" s="60" t="e">
        <f t="shared" si="77"/>
        <v>#DIV/0!</v>
      </c>
      <c r="AC156" s="60" t="e">
        <f t="shared" si="78"/>
        <v>#DIV/0!</v>
      </c>
      <c r="AD156" s="60" t="e">
        <f t="shared" si="79"/>
        <v>#DIV/0!</v>
      </c>
      <c r="AE156" s="60" t="e">
        <f t="shared" si="80"/>
        <v>#DIV/0!</v>
      </c>
      <c r="AF156" s="60" t="e">
        <f t="shared" si="81"/>
        <v>#DIV/0!</v>
      </c>
      <c r="AG156" s="60" t="e">
        <f t="shared" si="82"/>
        <v>#DIV/0!</v>
      </c>
      <c r="AH156" s="60" t="e">
        <f t="shared" si="83"/>
        <v>#DIV/0!</v>
      </c>
      <c r="AI156" s="60" t="e">
        <f t="shared" si="84"/>
        <v>#DIV/0!</v>
      </c>
      <c r="AJ156" s="60" t="e">
        <f t="shared" si="85"/>
        <v>#DIV/0!</v>
      </c>
      <c r="AK156" s="60" t="e">
        <f t="shared" si="86"/>
        <v>#DIV/0!</v>
      </c>
      <c r="AL156" s="60" t="e">
        <f t="shared" si="87"/>
        <v>#DIV/0!</v>
      </c>
      <c r="AM156" s="60" t="e">
        <f t="shared" si="88"/>
        <v>#DIV/0!</v>
      </c>
      <c r="AN156" s="60" t="e">
        <f t="shared" si="90"/>
        <v>#DIV/0!</v>
      </c>
      <c r="AO156" s="61" t="e">
        <f t="shared" si="63"/>
        <v>#DIV/0!</v>
      </c>
      <c r="AP156" s="61" t="e">
        <f t="shared" si="89"/>
        <v>#DIV/0!</v>
      </c>
      <c r="AQ156" s="61" t="e">
        <f t="shared" si="89"/>
        <v>#DIV/0!</v>
      </c>
      <c r="AR156" s="61" t="e">
        <f t="shared" si="89"/>
        <v>#DIV/0!</v>
      </c>
      <c r="AS156" s="61" t="e">
        <f t="shared" si="89"/>
        <v>#DIV/0!</v>
      </c>
      <c r="AT156" s="61" t="e">
        <f t="shared" si="89"/>
        <v>#DIV/0!</v>
      </c>
      <c r="AU156" s="61" t="e">
        <f t="shared" si="89"/>
        <v>#DIV/0!</v>
      </c>
      <c r="AV156" s="61" t="e">
        <f t="shared" si="89"/>
        <v>#DIV/0!</v>
      </c>
      <c r="AW156" s="61" t="e">
        <f t="shared" si="89"/>
        <v>#DIV/0!</v>
      </c>
      <c r="AX156" s="61" t="e">
        <f t="shared" si="89"/>
        <v>#DIV/0!</v>
      </c>
      <c r="AY156" s="61" t="e">
        <f t="shared" si="89"/>
        <v>#DIV/0!</v>
      </c>
      <c r="AZ156" s="61" t="e">
        <f t="shared" si="89"/>
        <v>#DIV/0!</v>
      </c>
      <c r="BA156" s="61" t="e">
        <f t="shared" si="89"/>
        <v>#DIV/0!</v>
      </c>
      <c r="BB156" s="60" t="e">
        <f>Links!AF156</f>
        <v>#DIV/0!</v>
      </c>
      <c r="BC156" s="60" t="e">
        <f>(Links!AG156*Links!C156+'On-Ramps'!AC156*'On-Ramps'!CE156)/('On-Ramps'!AC156+Links!C156)</f>
        <v>#DIV/0!</v>
      </c>
      <c r="BD156" s="60" t="e">
        <f>Links!AH156</f>
        <v>#DIV/0!</v>
      </c>
      <c r="BE156" s="60" t="e">
        <f>(Links!AI156*Links!E156+'On-Ramps'!AD156*'On-Ramps'!CF155)/('On-Ramps'!AD156+Links!E156)</f>
        <v>#DIV/0!</v>
      </c>
      <c r="BF156" s="60" t="e">
        <f>(Links!F156*Links!AJ156+'On-Ramps'!AE156*'On-Ramps'!CG156)/('On-Ramps'!AE156+Links!F156)</f>
        <v>#DIV/0!</v>
      </c>
      <c r="BG156" s="60" t="e">
        <f>(Links!G156*Links!AK156+'On-Ramps'!AF156*'On-Ramps'!CH156)/('On-Ramps'!AF156+Links!G156)</f>
        <v>#DIV/0!</v>
      </c>
      <c r="BH156" s="60" t="e">
        <f>(Links!H156*Links!AL156+'On-Ramps'!AG156*'On-Ramps'!CI156)/('On-Ramps'!AG156+Links!H156)</f>
        <v>#DIV/0!</v>
      </c>
      <c r="BI156" s="60" t="e">
        <f>(Links!J156*Links!AN156+'On-Ramps'!AH156*'On-Ramps'!CJ156)/('On-Ramps'!AH156+Links!J156)</f>
        <v>#DIV/0!</v>
      </c>
      <c r="BJ156" s="60" t="e">
        <f>(Links!K156*Links!AO156+'On-Ramps'!AI156*'On-Ramps'!CK156)/('On-Ramps'!AI156+Links!K156)</f>
        <v>#DIV/0!</v>
      </c>
      <c r="BK156" s="60" t="e">
        <f>(Links!L156*Links!AP156+'On-Ramps'!AJ156*'On-Ramps'!CL156)/(Links!L156+'On-Ramps'!AJ156)</f>
        <v>#DIV/0!</v>
      </c>
      <c r="BL156" s="60" t="e">
        <f>Links!AQ156</f>
        <v>#DIV/0!</v>
      </c>
      <c r="BM156" s="60" t="e">
        <f>(Links!N156*Links!AR156+'On-Ramps'!AL156*'On-Ramps'!CM156)/(Links!N156+'On-Ramps'!AL156)</f>
        <v>#DIV/0!</v>
      </c>
      <c r="BN156" s="60" t="e">
        <f>Links!AS156</f>
        <v>#DIV/0!</v>
      </c>
      <c r="BO156" s="61" t="e">
        <f>(Links!R156^2+'Off-Ramp'!L156^2)/(Links!R156+'Off-Ramp'!L156)</f>
        <v>#DIV/0!</v>
      </c>
      <c r="BP156" s="61" t="e">
        <f>Links!S156</f>
        <v>#DIV/0!</v>
      </c>
      <c r="BQ156" s="61" t="e">
        <f>(Links!S156^2+'Off-Ramp'!C156^2)/(Links!S156+'Off-Ramp'!C156)</f>
        <v>#DIV/0!</v>
      </c>
      <c r="BR156" s="61" t="e">
        <f>Links!T156</f>
        <v>#DIV/0!</v>
      </c>
      <c r="BS156" s="61" t="e">
        <f>(Links!U156^2+'Off-Ramp'!N156^2)/(Links!U156+'Off-Ramp'!N156)</f>
        <v>#DIV/0!</v>
      </c>
      <c r="BT156" s="61" t="e">
        <f>(Links!V156^2+'Off-Ramp'!O156^2)/(Links!V156+'Off-Ramp'!O156)</f>
        <v>#DIV/0!</v>
      </c>
      <c r="BU156" s="61" t="e">
        <f>(Links!W156^2+'Off-Ramp'!P156^2)/(Links!W156+'Off-Ramp'!P156)</f>
        <v>#DIV/0!</v>
      </c>
      <c r="BV156" s="61" t="e">
        <f>(Links!Y156^2+'Off-Ramp'!Q156^2)/(Links!Y156+'Off-Ramp'!Q156)</f>
        <v>#DIV/0!</v>
      </c>
      <c r="BW156" s="61" t="e">
        <f>(Links!Z156^2+'Off-Ramp'!R156^2)/(Links!Z156+'Off-Ramp'!R156)</f>
        <v>#DIV/0!</v>
      </c>
      <c r="BX156" s="61" t="e">
        <f>(Links!AA156+'Off-Ramp'!S156)/(Links!AA156^2+'Off-Ramp'!S156^2)</f>
        <v>#DIV/0!</v>
      </c>
      <c r="BY156" s="61" t="e">
        <f>(Links!AB156^2+'Off-Ramp'!T156^2)/(Links!AB156+'Off-Ramp'!T156)</f>
        <v>#DIV/0!</v>
      </c>
      <c r="BZ156" s="61" t="e">
        <f>Links!AC156</f>
        <v>#DIV/0!</v>
      </c>
      <c r="CA156" s="61" t="e">
        <f>(Links!AD156^2+'Off-Ramp'!U156^2)/(Links!AD156+'Off-Ramp'!U156)</f>
        <v>#DIV/0!</v>
      </c>
    </row>
    <row r="157" spans="1:79" x14ac:dyDescent="0.15">
      <c r="A157" s="59">
        <v>155</v>
      </c>
      <c r="B157" s="60" t="e">
        <f t="shared" si="64"/>
        <v>#DIV/0!</v>
      </c>
      <c r="C157" s="60" t="e">
        <f t="shared" si="65"/>
        <v>#DIV/0!</v>
      </c>
      <c r="D157" s="60" t="e">
        <f t="shared" si="66"/>
        <v>#DIV/0!</v>
      </c>
      <c r="E157" s="60" t="e">
        <f t="shared" si="67"/>
        <v>#DIV/0!</v>
      </c>
      <c r="F157" s="60" t="e">
        <f t="shared" si="68"/>
        <v>#DIV/0!</v>
      </c>
      <c r="G157" s="60" t="e">
        <f t="shared" si="69"/>
        <v>#DIV/0!</v>
      </c>
      <c r="H157" s="60" t="e">
        <f t="shared" si="70"/>
        <v>#DIV/0!</v>
      </c>
      <c r="I157" s="60" t="e">
        <f t="shared" si="71"/>
        <v>#DIV/0!</v>
      </c>
      <c r="J157" s="60" t="e">
        <f t="shared" si="72"/>
        <v>#DIV/0!</v>
      </c>
      <c r="K157" s="60" t="e">
        <f t="shared" si="73"/>
        <v>#DIV/0!</v>
      </c>
      <c r="L157" s="60" t="e">
        <f t="shared" si="74"/>
        <v>#DIV/0!</v>
      </c>
      <c r="M157" s="60" t="e">
        <f t="shared" si="75"/>
        <v>#DIV/0!</v>
      </c>
      <c r="N157" s="60" t="e">
        <f t="shared" si="76"/>
        <v>#DIV/0!</v>
      </c>
      <c r="O157" s="61" t="e">
        <f>Links!B157</f>
        <v>#DIV/0!</v>
      </c>
      <c r="P157" s="61" t="e">
        <f>Links!C157+'On-Ramps'!AC157</f>
        <v>#DIV/0!</v>
      </c>
      <c r="Q157" s="61" t="e">
        <f>Links!D157</f>
        <v>#DIV/0!</v>
      </c>
      <c r="R157" s="61" t="e">
        <f>Links!E157+'On-Ramps'!AD157</f>
        <v>#DIV/0!</v>
      </c>
      <c r="S157" s="61" t="e">
        <f>Links!F157+'On-Ramps'!AE157</f>
        <v>#DIV/0!</v>
      </c>
      <c r="T157" s="61" t="e">
        <f>Links!G157+'On-Ramps'!AF157</f>
        <v>#DIV/0!</v>
      </c>
      <c r="U157" s="61" t="e">
        <f>Links!H157+'On-Ramps'!AG157</f>
        <v>#DIV/0!</v>
      </c>
      <c r="V157" s="61" t="e">
        <f>Links!J157+'On-Ramps'!AH157</f>
        <v>#DIV/0!</v>
      </c>
      <c r="W157" s="61" t="e">
        <f>Links!K157+'On-Ramps'!AI157</f>
        <v>#DIV/0!</v>
      </c>
      <c r="X157" s="61" t="e">
        <f>Links!L157+'On-Ramps'!AJ157</f>
        <v>#DIV/0!</v>
      </c>
      <c r="Y157" s="61" t="e">
        <f>Links!M157</f>
        <v>#DIV/0!</v>
      </c>
      <c r="Z157" s="61" t="e">
        <f>Links!N157+'On-Ramps'!AK157</f>
        <v>#DIV/0!</v>
      </c>
      <c r="AA157" s="61" t="e">
        <f>Links!O157</f>
        <v>#DIV/0!</v>
      </c>
      <c r="AB157" s="60" t="e">
        <f t="shared" si="77"/>
        <v>#DIV/0!</v>
      </c>
      <c r="AC157" s="60" t="e">
        <f t="shared" si="78"/>
        <v>#DIV/0!</v>
      </c>
      <c r="AD157" s="60" t="e">
        <f t="shared" si="79"/>
        <v>#DIV/0!</v>
      </c>
      <c r="AE157" s="60" t="e">
        <f t="shared" si="80"/>
        <v>#DIV/0!</v>
      </c>
      <c r="AF157" s="60" t="e">
        <f t="shared" si="81"/>
        <v>#DIV/0!</v>
      </c>
      <c r="AG157" s="60" t="e">
        <f t="shared" si="82"/>
        <v>#DIV/0!</v>
      </c>
      <c r="AH157" s="60" t="e">
        <f t="shared" si="83"/>
        <v>#DIV/0!</v>
      </c>
      <c r="AI157" s="60" t="e">
        <f t="shared" si="84"/>
        <v>#DIV/0!</v>
      </c>
      <c r="AJ157" s="60" t="e">
        <f t="shared" si="85"/>
        <v>#DIV/0!</v>
      </c>
      <c r="AK157" s="60" t="e">
        <f t="shared" si="86"/>
        <v>#DIV/0!</v>
      </c>
      <c r="AL157" s="60" t="e">
        <f t="shared" si="87"/>
        <v>#DIV/0!</v>
      </c>
      <c r="AM157" s="60" t="e">
        <f t="shared" si="88"/>
        <v>#DIV/0!</v>
      </c>
      <c r="AN157" s="60" t="e">
        <f t="shared" si="90"/>
        <v>#DIV/0!</v>
      </c>
      <c r="AO157" s="61" t="e">
        <f t="shared" si="63"/>
        <v>#DIV/0!</v>
      </c>
      <c r="AP157" s="61" t="e">
        <f t="shared" si="89"/>
        <v>#DIV/0!</v>
      </c>
      <c r="AQ157" s="61" t="e">
        <f t="shared" si="89"/>
        <v>#DIV/0!</v>
      </c>
      <c r="AR157" s="61" t="e">
        <f t="shared" si="89"/>
        <v>#DIV/0!</v>
      </c>
      <c r="AS157" s="61" t="e">
        <f t="shared" si="89"/>
        <v>#DIV/0!</v>
      </c>
      <c r="AT157" s="61" t="e">
        <f t="shared" si="89"/>
        <v>#DIV/0!</v>
      </c>
      <c r="AU157" s="61" t="e">
        <f t="shared" si="89"/>
        <v>#DIV/0!</v>
      </c>
      <c r="AV157" s="61" t="e">
        <f t="shared" si="89"/>
        <v>#DIV/0!</v>
      </c>
      <c r="AW157" s="61" t="e">
        <f t="shared" si="89"/>
        <v>#DIV/0!</v>
      </c>
      <c r="AX157" s="61" t="e">
        <f t="shared" si="89"/>
        <v>#DIV/0!</v>
      </c>
      <c r="AY157" s="61" t="e">
        <f t="shared" si="89"/>
        <v>#DIV/0!</v>
      </c>
      <c r="AZ157" s="61" t="e">
        <f t="shared" si="89"/>
        <v>#DIV/0!</v>
      </c>
      <c r="BA157" s="61" t="e">
        <f t="shared" si="89"/>
        <v>#DIV/0!</v>
      </c>
      <c r="BB157" s="60" t="e">
        <f>Links!AF157</f>
        <v>#DIV/0!</v>
      </c>
      <c r="BC157" s="60" t="e">
        <f>(Links!AG157*Links!C157+'On-Ramps'!AC157*'On-Ramps'!CE157)/('On-Ramps'!AC157+Links!C157)</f>
        <v>#DIV/0!</v>
      </c>
      <c r="BD157" s="60" t="e">
        <f>Links!AH157</f>
        <v>#DIV/0!</v>
      </c>
      <c r="BE157" s="60" t="e">
        <f>(Links!AI157*Links!E157+'On-Ramps'!AD157*'On-Ramps'!CF156)/('On-Ramps'!AD157+Links!E157)</f>
        <v>#DIV/0!</v>
      </c>
      <c r="BF157" s="60" t="e">
        <f>(Links!F157*Links!AJ157+'On-Ramps'!AE157*'On-Ramps'!CG157)/('On-Ramps'!AE157+Links!F157)</f>
        <v>#DIV/0!</v>
      </c>
      <c r="BG157" s="60" t="e">
        <f>(Links!G157*Links!AK157+'On-Ramps'!AF157*'On-Ramps'!CH157)/('On-Ramps'!AF157+Links!G157)</f>
        <v>#DIV/0!</v>
      </c>
      <c r="BH157" s="60" t="e">
        <f>(Links!H157*Links!AL157+'On-Ramps'!AG157*'On-Ramps'!CI157)/('On-Ramps'!AG157+Links!H157)</f>
        <v>#DIV/0!</v>
      </c>
      <c r="BI157" s="60" t="e">
        <f>(Links!J157*Links!AN157+'On-Ramps'!AH157*'On-Ramps'!CJ157)/('On-Ramps'!AH157+Links!J157)</f>
        <v>#DIV/0!</v>
      </c>
      <c r="BJ157" s="60" t="e">
        <f>(Links!K157*Links!AO157+'On-Ramps'!AI157*'On-Ramps'!CK157)/('On-Ramps'!AI157+Links!K157)</f>
        <v>#DIV/0!</v>
      </c>
      <c r="BK157" s="60" t="e">
        <f>(Links!L157*Links!AP157+'On-Ramps'!AJ157*'On-Ramps'!CL157)/(Links!L157+'On-Ramps'!AJ157)</f>
        <v>#DIV/0!</v>
      </c>
      <c r="BL157" s="60" t="e">
        <f>Links!AQ157</f>
        <v>#DIV/0!</v>
      </c>
      <c r="BM157" s="60" t="e">
        <f>(Links!N157*Links!AR157+'On-Ramps'!AL157*'On-Ramps'!CM157)/(Links!N157+'On-Ramps'!AL157)</f>
        <v>#DIV/0!</v>
      </c>
      <c r="BN157" s="60" t="e">
        <f>Links!AS157</f>
        <v>#DIV/0!</v>
      </c>
      <c r="BO157" s="61" t="e">
        <f>(Links!R157^2+'Off-Ramp'!L157^2)/(Links!R157+'Off-Ramp'!L157)</f>
        <v>#DIV/0!</v>
      </c>
      <c r="BP157" s="61" t="e">
        <f>Links!S157</f>
        <v>#DIV/0!</v>
      </c>
      <c r="BQ157" s="61" t="e">
        <f>(Links!S157^2+'Off-Ramp'!C157^2)/(Links!S157+'Off-Ramp'!C157)</f>
        <v>#DIV/0!</v>
      </c>
      <c r="BR157" s="61" t="e">
        <f>Links!T157</f>
        <v>#DIV/0!</v>
      </c>
      <c r="BS157" s="61" t="e">
        <f>(Links!U157^2+'Off-Ramp'!N157^2)/(Links!U157+'Off-Ramp'!N157)</f>
        <v>#DIV/0!</v>
      </c>
      <c r="BT157" s="61" t="e">
        <f>(Links!V157^2+'Off-Ramp'!O157^2)/(Links!V157+'Off-Ramp'!O157)</f>
        <v>#DIV/0!</v>
      </c>
      <c r="BU157" s="61" t="e">
        <f>(Links!W157^2+'Off-Ramp'!P157^2)/(Links!W157+'Off-Ramp'!P157)</f>
        <v>#DIV/0!</v>
      </c>
      <c r="BV157" s="61" t="e">
        <f>(Links!Y157^2+'Off-Ramp'!Q157^2)/(Links!Y157+'Off-Ramp'!Q157)</f>
        <v>#DIV/0!</v>
      </c>
      <c r="BW157" s="61" t="e">
        <f>(Links!Z157^2+'Off-Ramp'!R157^2)/(Links!Z157+'Off-Ramp'!R157)</f>
        <v>#DIV/0!</v>
      </c>
      <c r="BX157" s="61" t="e">
        <f>(Links!AA157+'Off-Ramp'!S157)/(Links!AA157^2+'Off-Ramp'!S157^2)</f>
        <v>#DIV/0!</v>
      </c>
      <c r="BY157" s="61" t="e">
        <f>(Links!AB157^2+'Off-Ramp'!T157^2)/(Links!AB157+'Off-Ramp'!T157)</f>
        <v>#DIV/0!</v>
      </c>
      <c r="BZ157" s="61" t="e">
        <f>Links!AC157</f>
        <v>#DIV/0!</v>
      </c>
      <c r="CA157" s="61" t="e">
        <f>(Links!AD157^2+'Off-Ramp'!U157^2)/(Links!AD157+'Off-Ramp'!U157)</f>
        <v>#DIV/0!</v>
      </c>
    </row>
    <row r="158" spans="1:79" x14ac:dyDescent="0.15">
      <c r="A158" s="59">
        <v>156</v>
      </c>
      <c r="B158" s="60" t="e">
        <f t="shared" si="64"/>
        <v>#DIV/0!</v>
      </c>
      <c r="C158" s="60" t="e">
        <f t="shared" si="65"/>
        <v>#DIV/0!</v>
      </c>
      <c r="D158" s="60" t="e">
        <f t="shared" si="66"/>
        <v>#DIV/0!</v>
      </c>
      <c r="E158" s="60" t="e">
        <f t="shared" si="67"/>
        <v>#DIV/0!</v>
      </c>
      <c r="F158" s="60" t="e">
        <f t="shared" si="68"/>
        <v>#DIV/0!</v>
      </c>
      <c r="G158" s="60" t="e">
        <f t="shared" si="69"/>
        <v>#DIV/0!</v>
      </c>
      <c r="H158" s="60" t="e">
        <f t="shared" si="70"/>
        <v>#DIV/0!</v>
      </c>
      <c r="I158" s="60" t="e">
        <f t="shared" si="71"/>
        <v>#DIV/0!</v>
      </c>
      <c r="J158" s="60" t="e">
        <f t="shared" si="72"/>
        <v>#DIV/0!</v>
      </c>
      <c r="K158" s="60" t="e">
        <f t="shared" si="73"/>
        <v>#DIV/0!</v>
      </c>
      <c r="L158" s="60" t="e">
        <f t="shared" si="74"/>
        <v>#DIV/0!</v>
      </c>
      <c r="M158" s="60" t="e">
        <f t="shared" si="75"/>
        <v>#DIV/0!</v>
      </c>
      <c r="N158" s="60" t="e">
        <f t="shared" si="76"/>
        <v>#DIV/0!</v>
      </c>
      <c r="O158" s="61" t="e">
        <f>Links!B158</f>
        <v>#DIV/0!</v>
      </c>
      <c r="P158" s="61" t="e">
        <f>Links!C158+'On-Ramps'!AC158</f>
        <v>#DIV/0!</v>
      </c>
      <c r="Q158" s="61" t="e">
        <f>Links!D158</f>
        <v>#DIV/0!</v>
      </c>
      <c r="R158" s="61" t="e">
        <f>Links!E158+'On-Ramps'!AD158</f>
        <v>#DIV/0!</v>
      </c>
      <c r="S158" s="61" t="e">
        <f>Links!F158+'On-Ramps'!AE158</f>
        <v>#DIV/0!</v>
      </c>
      <c r="T158" s="61" t="e">
        <f>Links!G158+'On-Ramps'!AF158</f>
        <v>#DIV/0!</v>
      </c>
      <c r="U158" s="61" t="e">
        <f>Links!H158+'On-Ramps'!AG158</f>
        <v>#DIV/0!</v>
      </c>
      <c r="V158" s="61" t="e">
        <f>Links!J158+'On-Ramps'!AH158</f>
        <v>#DIV/0!</v>
      </c>
      <c r="W158" s="61" t="e">
        <f>Links!K158+'On-Ramps'!AI158</f>
        <v>#DIV/0!</v>
      </c>
      <c r="X158" s="61" t="e">
        <f>Links!L158+'On-Ramps'!AJ158</f>
        <v>#DIV/0!</v>
      </c>
      <c r="Y158" s="61" t="e">
        <f>Links!M158</f>
        <v>#DIV/0!</v>
      </c>
      <c r="Z158" s="61" t="e">
        <f>Links!N158+'On-Ramps'!AK158</f>
        <v>#DIV/0!</v>
      </c>
      <c r="AA158" s="61" t="e">
        <f>Links!O158</f>
        <v>#DIV/0!</v>
      </c>
      <c r="AB158" s="60" t="e">
        <f t="shared" si="77"/>
        <v>#DIV/0!</v>
      </c>
      <c r="AC158" s="60" t="e">
        <f t="shared" si="78"/>
        <v>#DIV/0!</v>
      </c>
      <c r="AD158" s="60" t="e">
        <f t="shared" si="79"/>
        <v>#DIV/0!</v>
      </c>
      <c r="AE158" s="60" t="e">
        <f t="shared" si="80"/>
        <v>#DIV/0!</v>
      </c>
      <c r="AF158" s="60" t="e">
        <f t="shared" si="81"/>
        <v>#DIV/0!</v>
      </c>
      <c r="AG158" s="60" t="e">
        <f t="shared" si="82"/>
        <v>#DIV/0!</v>
      </c>
      <c r="AH158" s="60" t="e">
        <f t="shared" si="83"/>
        <v>#DIV/0!</v>
      </c>
      <c r="AI158" s="60" t="e">
        <f t="shared" si="84"/>
        <v>#DIV/0!</v>
      </c>
      <c r="AJ158" s="60" t="e">
        <f t="shared" si="85"/>
        <v>#DIV/0!</v>
      </c>
      <c r="AK158" s="60" t="e">
        <f t="shared" si="86"/>
        <v>#DIV/0!</v>
      </c>
      <c r="AL158" s="60" t="e">
        <f t="shared" si="87"/>
        <v>#DIV/0!</v>
      </c>
      <c r="AM158" s="60" t="e">
        <f t="shared" si="88"/>
        <v>#DIV/0!</v>
      </c>
      <c r="AN158" s="60" t="e">
        <f t="shared" si="90"/>
        <v>#DIV/0!</v>
      </c>
      <c r="AO158" s="61" t="e">
        <f t="shared" si="63"/>
        <v>#DIV/0!</v>
      </c>
      <c r="AP158" s="61" t="e">
        <f t="shared" si="89"/>
        <v>#DIV/0!</v>
      </c>
      <c r="AQ158" s="61" t="e">
        <f t="shared" si="89"/>
        <v>#DIV/0!</v>
      </c>
      <c r="AR158" s="61" t="e">
        <f t="shared" si="89"/>
        <v>#DIV/0!</v>
      </c>
      <c r="AS158" s="61" t="e">
        <f t="shared" si="89"/>
        <v>#DIV/0!</v>
      </c>
      <c r="AT158" s="61" t="e">
        <f t="shared" si="89"/>
        <v>#DIV/0!</v>
      </c>
      <c r="AU158" s="61" t="e">
        <f t="shared" si="89"/>
        <v>#DIV/0!</v>
      </c>
      <c r="AV158" s="61" t="e">
        <f t="shared" si="89"/>
        <v>#DIV/0!</v>
      </c>
      <c r="AW158" s="61" t="e">
        <f t="shared" si="89"/>
        <v>#DIV/0!</v>
      </c>
      <c r="AX158" s="61" t="e">
        <f t="shared" si="89"/>
        <v>#DIV/0!</v>
      </c>
      <c r="AY158" s="61" t="e">
        <f t="shared" si="89"/>
        <v>#DIV/0!</v>
      </c>
      <c r="AZ158" s="61" t="e">
        <f t="shared" si="89"/>
        <v>#DIV/0!</v>
      </c>
      <c r="BA158" s="61" t="e">
        <f t="shared" si="89"/>
        <v>#DIV/0!</v>
      </c>
      <c r="BB158" s="60" t="e">
        <f>Links!AF158</f>
        <v>#DIV/0!</v>
      </c>
      <c r="BC158" s="60" t="e">
        <f>(Links!AG158*Links!C158+'On-Ramps'!AC158*'On-Ramps'!CE158)/('On-Ramps'!AC158+Links!C158)</f>
        <v>#DIV/0!</v>
      </c>
      <c r="BD158" s="60" t="e">
        <f>Links!AH158</f>
        <v>#DIV/0!</v>
      </c>
      <c r="BE158" s="60" t="e">
        <f>(Links!AI158*Links!E158+'On-Ramps'!AD158*'On-Ramps'!CF157)/('On-Ramps'!AD158+Links!E158)</f>
        <v>#DIV/0!</v>
      </c>
      <c r="BF158" s="60" t="e">
        <f>(Links!F158*Links!AJ158+'On-Ramps'!AE158*'On-Ramps'!CG158)/('On-Ramps'!AE158+Links!F158)</f>
        <v>#DIV/0!</v>
      </c>
      <c r="BG158" s="60" t="e">
        <f>(Links!G158*Links!AK158+'On-Ramps'!AF158*'On-Ramps'!CH158)/('On-Ramps'!AF158+Links!G158)</f>
        <v>#DIV/0!</v>
      </c>
      <c r="BH158" s="60" t="e">
        <f>(Links!H158*Links!AL158+'On-Ramps'!AG158*'On-Ramps'!CI158)/('On-Ramps'!AG158+Links!H158)</f>
        <v>#DIV/0!</v>
      </c>
      <c r="BI158" s="60" t="e">
        <f>(Links!J158*Links!AN158+'On-Ramps'!AH158*'On-Ramps'!CJ158)/('On-Ramps'!AH158+Links!J158)</f>
        <v>#DIV/0!</v>
      </c>
      <c r="BJ158" s="60" t="e">
        <f>(Links!K158*Links!AO158+'On-Ramps'!AI158*'On-Ramps'!CK158)/('On-Ramps'!AI158+Links!K158)</f>
        <v>#DIV/0!</v>
      </c>
      <c r="BK158" s="60" t="e">
        <f>(Links!L158*Links!AP158+'On-Ramps'!AJ158*'On-Ramps'!CL158)/(Links!L158+'On-Ramps'!AJ158)</f>
        <v>#DIV/0!</v>
      </c>
      <c r="BL158" s="60" t="e">
        <f>Links!AQ158</f>
        <v>#DIV/0!</v>
      </c>
      <c r="BM158" s="60" t="e">
        <f>(Links!N158*Links!AR158+'On-Ramps'!AL158*'On-Ramps'!CM158)/(Links!N158+'On-Ramps'!AL158)</f>
        <v>#DIV/0!</v>
      </c>
      <c r="BN158" s="60" t="e">
        <f>Links!AS158</f>
        <v>#DIV/0!</v>
      </c>
      <c r="BO158" s="61" t="e">
        <f>(Links!R158^2+'Off-Ramp'!L158^2)/(Links!R158+'Off-Ramp'!L158)</f>
        <v>#DIV/0!</v>
      </c>
      <c r="BP158" s="61" t="e">
        <f>Links!S158</f>
        <v>#DIV/0!</v>
      </c>
      <c r="BQ158" s="61" t="e">
        <f>(Links!S158^2+'Off-Ramp'!C158^2)/(Links!S158+'Off-Ramp'!C158)</f>
        <v>#DIV/0!</v>
      </c>
      <c r="BR158" s="61" t="e">
        <f>Links!T158</f>
        <v>#DIV/0!</v>
      </c>
      <c r="BS158" s="61" t="e">
        <f>(Links!U158^2+'Off-Ramp'!N158^2)/(Links!U158+'Off-Ramp'!N158)</f>
        <v>#DIV/0!</v>
      </c>
      <c r="BT158" s="61" t="e">
        <f>(Links!V158^2+'Off-Ramp'!O158^2)/(Links!V158+'Off-Ramp'!O158)</f>
        <v>#DIV/0!</v>
      </c>
      <c r="BU158" s="61" t="e">
        <f>(Links!W158^2+'Off-Ramp'!P158^2)/(Links!W158+'Off-Ramp'!P158)</f>
        <v>#DIV/0!</v>
      </c>
      <c r="BV158" s="61" t="e">
        <f>(Links!Y158^2+'Off-Ramp'!Q158^2)/(Links!Y158+'Off-Ramp'!Q158)</f>
        <v>#DIV/0!</v>
      </c>
      <c r="BW158" s="61" t="e">
        <f>(Links!Z158^2+'Off-Ramp'!R158^2)/(Links!Z158+'Off-Ramp'!R158)</f>
        <v>#DIV/0!</v>
      </c>
      <c r="BX158" s="61" t="e">
        <f>(Links!AA158+'Off-Ramp'!S158)/(Links!AA158^2+'Off-Ramp'!S158^2)</f>
        <v>#DIV/0!</v>
      </c>
      <c r="BY158" s="61" t="e">
        <f>(Links!AB158^2+'Off-Ramp'!T158^2)/(Links!AB158+'Off-Ramp'!T158)</f>
        <v>#DIV/0!</v>
      </c>
      <c r="BZ158" s="61" t="e">
        <f>Links!AC158</f>
        <v>#DIV/0!</v>
      </c>
      <c r="CA158" s="61" t="e">
        <f>(Links!AD158^2+'Off-Ramp'!U158^2)/(Links!AD158+'Off-Ramp'!U158)</f>
        <v>#DIV/0!</v>
      </c>
    </row>
    <row r="159" spans="1:79" x14ac:dyDescent="0.15">
      <c r="A159" s="59">
        <v>157</v>
      </c>
      <c r="B159" s="60" t="e">
        <f t="shared" si="64"/>
        <v>#DIV/0!</v>
      </c>
      <c r="C159" s="60" t="e">
        <f t="shared" si="65"/>
        <v>#DIV/0!</v>
      </c>
      <c r="D159" s="60" t="e">
        <f t="shared" si="66"/>
        <v>#DIV/0!</v>
      </c>
      <c r="E159" s="60" t="e">
        <f t="shared" si="67"/>
        <v>#DIV/0!</v>
      </c>
      <c r="F159" s="60" t="e">
        <f t="shared" si="68"/>
        <v>#DIV/0!</v>
      </c>
      <c r="G159" s="60" t="e">
        <f t="shared" si="69"/>
        <v>#DIV/0!</v>
      </c>
      <c r="H159" s="60" t="e">
        <f t="shared" si="70"/>
        <v>#DIV/0!</v>
      </c>
      <c r="I159" s="60" t="e">
        <f t="shared" si="71"/>
        <v>#DIV/0!</v>
      </c>
      <c r="J159" s="60" t="e">
        <f t="shared" si="72"/>
        <v>#DIV/0!</v>
      </c>
      <c r="K159" s="60" t="e">
        <f t="shared" si="73"/>
        <v>#DIV/0!</v>
      </c>
      <c r="L159" s="60" t="e">
        <f t="shared" si="74"/>
        <v>#DIV/0!</v>
      </c>
      <c r="M159" s="60" t="e">
        <f t="shared" si="75"/>
        <v>#DIV/0!</v>
      </c>
      <c r="N159" s="60" t="e">
        <f t="shared" si="76"/>
        <v>#DIV/0!</v>
      </c>
      <c r="O159" s="61" t="e">
        <f>Links!B159</f>
        <v>#DIV/0!</v>
      </c>
      <c r="P159" s="61" t="e">
        <f>Links!C159+'On-Ramps'!AC159</f>
        <v>#DIV/0!</v>
      </c>
      <c r="Q159" s="61" t="e">
        <f>Links!D159</f>
        <v>#DIV/0!</v>
      </c>
      <c r="R159" s="61" t="e">
        <f>Links!E159+'On-Ramps'!AD159</f>
        <v>#DIV/0!</v>
      </c>
      <c r="S159" s="61" t="e">
        <f>Links!F159+'On-Ramps'!AE159</f>
        <v>#DIV/0!</v>
      </c>
      <c r="T159" s="61" t="e">
        <f>Links!G159+'On-Ramps'!AF159</f>
        <v>#DIV/0!</v>
      </c>
      <c r="U159" s="61" t="e">
        <f>Links!H159+'On-Ramps'!AG159</f>
        <v>#DIV/0!</v>
      </c>
      <c r="V159" s="61" t="e">
        <f>Links!J159+'On-Ramps'!AH159</f>
        <v>#DIV/0!</v>
      </c>
      <c r="W159" s="61" t="e">
        <f>Links!K159+'On-Ramps'!AI159</f>
        <v>#DIV/0!</v>
      </c>
      <c r="X159" s="61" t="e">
        <f>Links!L159+'On-Ramps'!AJ159</f>
        <v>#DIV/0!</v>
      </c>
      <c r="Y159" s="61" t="e">
        <f>Links!M159</f>
        <v>#DIV/0!</v>
      </c>
      <c r="Z159" s="61" t="e">
        <f>Links!N159+'On-Ramps'!AK159</f>
        <v>#DIV/0!</v>
      </c>
      <c r="AA159" s="61" t="e">
        <f>Links!O159</f>
        <v>#DIV/0!</v>
      </c>
      <c r="AB159" s="60" t="e">
        <f t="shared" si="77"/>
        <v>#DIV/0!</v>
      </c>
      <c r="AC159" s="60" t="e">
        <f t="shared" si="78"/>
        <v>#DIV/0!</v>
      </c>
      <c r="AD159" s="60" t="e">
        <f t="shared" si="79"/>
        <v>#DIV/0!</v>
      </c>
      <c r="AE159" s="60" t="e">
        <f t="shared" si="80"/>
        <v>#DIV/0!</v>
      </c>
      <c r="AF159" s="60" t="e">
        <f t="shared" si="81"/>
        <v>#DIV/0!</v>
      </c>
      <c r="AG159" s="60" t="e">
        <f t="shared" si="82"/>
        <v>#DIV/0!</v>
      </c>
      <c r="AH159" s="60" t="e">
        <f t="shared" si="83"/>
        <v>#DIV/0!</v>
      </c>
      <c r="AI159" s="60" t="e">
        <f t="shared" si="84"/>
        <v>#DIV/0!</v>
      </c>
      <c r="AJ159" s="60" t="e">
        <f t="shared" si="85"/>
        <v>#DIV/0!</v>
      </c>
      <c r="AK159" s="60" t="e">
        <f t="shared" si="86"/>
        <v>#DIV/0!</v>
      </c>
      <c r="AL159" s="60" t="e">
        <f t="shared" si="87"/>
        <v>#DIV/0!</v>
      </c>
      <c r="AM159" s="60" t="e">
        <f t="shared" si="88"/>
        <v>#DIV/0!</v>
      </c>
      <c r="AN159" s="60" t="e">
        <f t="shared" si="90"/>
        <v>#DIV/0!</v>
      </c>
      <c r="AO159" s="61" t="e">
        <f t="shared" si="63"/>
        <v>#DIV/0!</v>
      </c>
      <c r="AP159" s="61" t="e">
        <f t="shared" si="89"/>
        <v>#DIV/0!</v>
      </c>
      <c r="AQ159" s="61" t="e">
        <f t="shared" si="89"/>
        <v>#DIV/0!</v>
      </c>
      <c r="AR159" s="61" t="e">
        <f t="shared" si="89"/>
        <v>#DIV/0!</v>
      </c>
      <c r="AS159" s="61" t="e">
        <f t="shared" si="89"/>
        <v>#DIV/0!</v>
      </c>
      <c r="AT159" s="61" t="e">
        <f t="shared" si="89"/>
        <v>#DIV/0!</v>
      </c>
      <c r="AU159" s="61" t="e">
        <f t="shared" si="89"/>
        <v>#DIV/0!</v>
      </c>
      <c r="AV159" s="61" t="e">
        <f t="shared" si="89"/>
        <v>#DIV/0!</v>
      </c>
      <c r="AW159" s="61" t="e">
        <f t="shared" si="89"/>
        <v>#DIV/0!</v>
      </c>
      <c r="AX159" s="61" t="e">
        <f t="shared" si="89"/>
        <v>#DIV/0!</v>
      </c>
      <c r="AY159" s="61" t="e">
        <f t="shared" si="89"/>
        <v>#DIV/0!</v>
      </c>
      <c r="AZ159" s="61" t="e">
        <f t="shared" si="89"/>
        <v>#DIV/0!</v>
      </c>
      <c r="BA159" s="61" t="e">
        <f t="shared" si="89"/>
        <v>#DIV/0!</v>
      </c>
      <c r="BB159" s="60" t="e">
        <f>Links!AF159</f>
        <v>#DIV/0!</v>
      </c>
      <c r="BC159" s="60" t="e">
        <f>(Links!AG159*Links!C159+'On-Ramps'!AC159*'On-Ramps'!CE159)/('On-Ramps'!AC159+Links!C159)</f>
        <v>#DIV/0!</v>
      </c>
      <c r="BD159" s="60" t="e">
        <f>Links!AH159</f>
        <v>#DIV/0!</v>
      </c>
      <c r="BE159" s="60" t="e">
        <f>(Links!AI159*Links!E159+'On-Ramps'!AD159*'On-Ramps'!CF158)/('On-Ramps'!AD159+Links!E159)</f>
        <v>#DIV/0!</v>
      </c>
      <c r="BF159" s="60" t="e">
        <f>(Links!F159*Links!AJ159+'On-Ramps'!AE159*'On-Ramps'!CG159)/('On-Ramps'!AE159+Links!F159)</f>
        <v>#DIV/0!</v>
      </c>
      <c r="BG159" s="60" t="e">
        <f>(Links!G159*Links!AK159+'On-Ramps'!AF159*'On-Ramps'!CH159)/('On-Ramps'!AF159+Links!G159)</f>
        <v>#DIV/0!</v>
      </c>
      <c r="BH159" s="60" t="e">
        <f>(Links!H159*Links!AL159+'On-Ramps'!AG159*'On-Ramps'!CI159)/('On-Ramps'!AG159+Links!H159)</f>
        <v>#DIV/0!</v>
      </c>
      <c r="BI159" s="60" t="e">
        <f>(Links!J159*Links!AN159+'On-Ramps'!AH159*'On-Ramps'!CJ159)/('On-Ramps'!AH159+Links!J159)</f>
        <v>#DIV/0!</v>
      </c>
      <c r="BJ159" s="60" t="e">
        <f>(Links!K159*Links!AO159+'On-Ramps'!AI159*'On-Ramps'!CK159)/('On-Ramps'!AI159+Links!K159)</f>
        <v>#DIV/0!</v>
      </c>
      <c r="BK159" s="60" t="e">
        <f>(Links!L159*Links!AP159+'On-Ramps'!AJ159*'On-Ramps'!CL159)/(Links!L159+'On-Ramps'!AJ159)</f>
        <v>#DIV/0!</v>
      </c>
      <c r="BL159" s="60" t="e">
        <f>Links!AQ159</f>
        <v>#DIV/0!</v>
      </c>
      <c r="BM159" s="60" t="e">
        <f>(Links!N159*Links!AR159+'On-Ramps'!AL159*'On-Ramps'!CM159)/(Links!N159+'On-Ramps'!AL159)</f>
        <v>#DIV/0!</v>
      </c>
      <c r="BN159" s="60" t="e">
        <f>Links!AS159</f>
        <v>#DIV/0!</v>
      </c>
      <c r="BO159" s="61" t="e">
        <f>(Links!R159^2+'Off-Ramp'!L159^2)/(Links!R159+'Off-Ramp'!L159)</f>
        <v>#DIV/0!</v>
      </c>
      <c r="BP159" s="61" t="e">
        <f>Links!S159</f>
        <v>#DIV/0!</v>
      </c>
      <c r="BQ159" s="61" t="e">
        <f>(Links!S159^2+'Off-Ramp'!C159^2)/(Links!S159+'Off-Ramp'!C159)</f>
        <v>#DIV/0!</v>
      </c>
      <c r="BR159" s="61" t="e">
        <f>Links!T159</f>
        <v>#DIV/0!</v>
      </c>
      <c r="BS159" s="61" t="e">
        <f>(Links!U159^2+'Off-Ramp'!N159^2)/(Links!U159+'Off-Ramp'!N159)</f>
        <v>#DIV/0!</v>
      </c>
      <c r="BT159" s="61" t="e">
        <f>(Links!V159^2+'Off-Ramp'!O159^2)/(Links!V159+'Off-Ramp'!O159)</f>
        <v>#DIV/0!</v>
      </c>
      <c r="BU159" s="61" t="e">
        <f>(Links!W159^2+'Off-Ramp'!P159^2)/(Links!W159+'Off-Ramp'!P159)</f>
        <v>#DIV/0!</v>
      </c>
      <c r="BV159" s="61" t="e">
        <f>(Links!Y159^2+'Off-Ramp'!Q159^2)/(Links!Y159+'Off-Ramp'!Q159)</f>
        <v>#DIV/0!</v>
      </c>
      <c r="BW159" s="61" t="e">
        <f>(Links!Z159^2+'Off-Ramp'!R159^2)/(Links!Z159+'Off-Ramp'!R159)</f>
        <v>#DIV/0!</v>
      </c>
      <c r="BX159" s="61" t="e">
        <f>(Links!AA159+'Off-Ramp'!S159)/(Links!AA159^2+'Off-Ramp'!S159^2)</f>
        <v>#DIV/0!</v>
      </c>
      <c r="BY159" s="61" t="e">
        <f>(Links!AB159^2+'Off-Ramp'!T159^2)/(Links!AB159+'Off-Ramp'!T159)</f>
        <v>#DIV/0!</v>
      </c>
      <c r="BZ159" s="61" t="e">
        <f>Links!AC159</f>
        <v>#DIV/0!</v>
      </c>
      <c r="CA159" s="61" t="e">
        <f>(Links!AD159^2+'Off-Ramp'!U159^2)/(Links!AD159+'Off-Ramp'!U159)</f>
        <v>#DIV/0!</v>
      </c>
    </row>
    <row r="160" spans="1:79" x14ac:dyDescent="0.15">
      <c r="A160" s="59">
        <v>158</v>
      </c>
      <c r="B160" s="60" t="e">
        <f t="shared" si="64"/>
        <v>#DIV/0!</v>
      </c>
      <c r="C160" s="60" t="e">
        <f t="shared" si="65"/>
        <v>#DIV/0!</v>
      </c>
      <c r="D160" s="60" t="e">
        <f t="shared" si="66"/>
        <v>#DIV/0!</v>
      </c>
      <c r="E160" s="60" t="e">
        <f t="shared" si="67"/>
        <v>#DIV/0!</v>
      </c>
      <c r="F160" s="60" t="e">
        <f t="shared" si="68"/>
        <v>#DIV/0!</v>
      </c>
      <c r="G160" s="60" t="e">
        <f t="shared" si="69"/>
        <v>#DIV/0!</v>
      </c>
      <c r="H160" s="60" t="e">
        <f t="shared" si="70"/>
        <v>#DIV/0!</v>
      </c>
      <c r="I160" s="60" t="e">
        <f t="shared" si="71"/>
        <v>#DIV/0!</v>
      </c>
      <c r="J160" s="60" t="e">
        <f t="shared" si="72"/>
        <v>#DIV/0!</v>
      </c>
      <c r="K160" s="60" t="e">
        <f t="shared" si="73"/>
        <v>#DIV/0!</v>
      </c>
      <c r="L160" s="60" t="e">
        <f t="shared" si="74"/>
        <v>#DIV/0!</v>
      </c>
      <c r="M160" s="60" t="e">
        <f t="shared" si="75"/>
        <v>#DIV/0!</v>
      </c>
      <c r="N160" s="60" t="e">
        <f t="shared" si="76"/>
        <v>#DIV/0!</v>
      </c>
      <c r="O160" s="61" t="e">
        <f>Links!B160</f>
        <v>#DIV/0!</v>
      </c>
      <c r="P160" s="61" t="e">
        <f>Links!C160+'On-Ramps'!AC160</f>
        <v>#DIV/0!</v>
      </c>
      <c r="Q160" s="61" t="e">
        <f>Links!D160</f>
        <v>#DIV/0!</v>
      </c>
      <c r="R160" s="61" t="e">
        <f>Links!E160+'On-Ramps'!AD160</f>
        <v>#DIV/0!</v>
      </c>
      <c r="S160" s="61" t="e">
        <f>Links!F160+'On-Ramps'!AE160</f>
        <v>#DIV/0!</v>
      </c>
      <c r="T160" s="61" t="e">
        <f>Links!G160+'On-Ramps'!AF160</f>
        <v>#DIV/0!</v>
      </c>
      <c r="U160" s="61" t="e">
        <f>Links!H160+'On-Ramps'!AG160</f>
        <v>#DIV/0!</v>
      </c>
      <c r="V160" s="61" t="e">
        <f>Links!J160+'On-Ramps'!AH160</f>
        <v>#DIV/0!</v>
      </c>
      <c r="W160" s="61" t="e">
        <f>Links!K160+'On-Ramps'!AI160</f>
        <v>#DIV/0!</v>
      </c>
      <c r="X160" s="61" t="e">
        <f>Links!L160+'On-Ramps'!AJ160</f>
        <v>#DIV/0!</v>
      </c>
      <c r="Y160" s="61" t="e">
        <f>Links!M160</f>
        <v>#DIV/0!</v>
      </c>
      <c r="Z160" s="61" t="e">
        <f>Links!N160+'On-Ramps'!AK160</f>
        <v>#DIV/0!</v>
      </c>
      <c r="AA160" s="61" t="e">
        <f>Links!O160</f>
        <v>#DIV/0!</v>
      </c>
      <c r="AB160" s="60" t="e">
        <f t="shared" si="77"/>
        <v>#DIV/0!</v>
      </c>
      <c r="AC160" s="60" t="e">
        <f t="shared" si="78"/>
        <v>#DIV/0!</v>
      </c>
      <c r="AD160" s="60" t="e">
        <f t="shared" si="79"/>
        <v>#DIV/0!</v>
      </c>
      <c r="AE160" s="60" t="e">
        <f t="shared" si="80"/>
        <v>#DIV/0!</v>
      </c>
      <c r="AF160" s="60" t="e">
        <f t="shared" si="81"/>
        <v>#DIV/0!</v>
      </c>
      <c r="AG160" s="60" t="e">
        <f t="shared" si="82"/>
        <v>#DIV/0!</v>
      </c>
      <c r="AH160" s="60" t="e">
        <f t="shared" si="83"/>
        <v>#DIV/0!</v>
      </c>
      <c r="AI160" s="60" t="e">
        <f t="shared" si="84"/>
        <v>#DIV/0!</v>
      </c>
      <c r="AJ160" s="60" t="e">
        <f t="shared" si="85"/>
        <v>#DIV/0!</v>
      </c>
      <c r="AK160" s="60" t="e">
        <f t="shared" si="86"/>
        <v>#DIV/0!</v>
      </c>
      <c r="AL160" s="60" t="e">
        <f t="shared" si="87"/>
        <v>#DIV/0!</v>
      </c>
      <c r="AM160" s="60" t="e">
        <f t="shared" si="88"/>
        <v>#DIV/0!</v>
      </c>
      <c r="AN160" s="60" t="e">
        <f t="shared" si="90"/>
        <v>#DIV/0!</v>
      </c>
      <c r="AO160" s="61" t="e">
        <f t="shared" si="63"/>
        <v>#DIV/0!</v>
      </c>
      <c r="AP160" s="61" t="e">
        <f t="shared" si="89"/>
        <v>#DIV/0!</v>
      </c>
      <c r="AQ160" s="61" t="e">
        <f t="shared" si="89"/>
        <v>#DIV/0!</v>
      </c>
      <c r="AR160" s="61" t="e">
        <f t="shared" si="89"/>
        <v>#DIV/0!</v>
      </c>
      <c r="AS160" s="61" t="e">
        <f t="shared" si="89"/>
        <v>#DIV/0!</v>
      </c>
      <c r="AT160" s="61" t="e">
        <f t="shared" si="89"/>
        <v>#DIV/0!</v>
      </c>
      <c r="AU160" s="61" t="e">
        <f t="shared" si="89"/>
        <v>#DIV/0!</v>
      </c>
      <c r="AV160" s="61" t="e">
        <f t="shared" si="89"/>
        <v>#DIV/0!</v>
      </c>
      <c r="AW160" s="61" t="e">
        <f t="shared" si="89"/>
        <v>#DIV/0!</v>
      </c>
      <c r="AX160" s="61" t="e">
        <f t="shared" si="89"/>
        <v>#DIV/0!</v>
      </c>
      <c r="AY160" s="61" t="e">
        <f t="shared" si="89"/>
        <v>#DIV/0!</v>
      </c>
      <c r="AZ160" s="61" t="e">
        <f t="shared" si="89"/>
        <v>#DIV/0!</v>
      </c>
      <c r="BA160" s="61" t="e">
        <f t="shared" si="89"/>
        <v>#DIV/0!</v>
      </c>
      <c r="BB160" s="60" t="e">
        <f>Links!AF160</f>
        <v>#DIV/0!</v>
      </c>
      <c r="BC160" s="60" t="e">
        <f>(Links!AG160*Links!C160+'On-Ramps'!AC160*'On-Ramps'!CE160)/('On-Ramps'!AC160+Links!C160)</f>
        <v>#DIV/0!</v>
      </c>
      <c r="BD160" s="60" t="e">
        <f>Links!AH160</f>
        <v>#DIV/0!</v>
      </c>
      <c r="BE160" s="60" t="e">
        <f>(Links!AI160*Links!E160+'On-Ramps'!AD160*'On-Ramps'!CF159)/('On-Ramps'!AD160+Links!E160)</f>
        <v>#DIV/0!</v>
      </c>
      <c r="BF160" s="60" t="e">
        <f>(Links!F160*Links!AJ160+'On-Ramps'!AE160*'On-Ramps'!CG160)/('On-Ramps'!AE160+Links!F160)</f>
        <v>#DIV/0!</v>
      </c>
      <c r="BG160" s="60" t="e">
        <f>(Links!G160*Links!AK160+'On-Ramps'!AF160*'On-Ramps'!CH160)/('On-Ramps'!AF160+Links!G160)</f>
        <v>#DIV/0!</v>
      </c>
      <c r="BH160" s="60" t="e">
        <f>(Links!H160*Links!AL160+'On-Ramps'!AG160*'On-Ramps'!CI160)/('On-Ramps'!AG160+Links!H160)</f>
        <v>#DIV/0!</v>
      </c>
      <c r="BI160" s="60" t="e">
        <f>(Links!J160*Links!AN160+'On-Ramps'!AH160*'On-Ramps'!CJ160)/('On-Ramps'!AH160+Links!J160)</f>
        <v>#DIV/0!</v>
      </c>
      <c r="BJ160" s="60" t="e">
        <f>(Links!K160*Links!AO160+'On-Ramps'!AI160*'On-Ramps'!CK160)/('On-Ramps'!AI160+Links!K160)</f>
        <v>#DIV/0!</v>
      </c>
      <c r="BK160" s="60" t="e">
        <f>(Links!L160*Links!AP160+'On-Ramps'!AJ160*'On-Ramps'!CL160)/(Links!L160+'On-Ramps'!AJ160)</f>
        <v>#DIV/0!</v>
      </c>
      <c r="BL160" s="60" t="e">
        <f>Links!AQ160</f>
        <v>#DIV/0!</v>
      </c>
      <c r="BM160" s="60" t="e">
        <f>(Links!N160*Links!AR160+'On-Ramps'!AL160*'On-Ramps'!CM160)/(Links!N160+'On-Ramps'!AL160)</f>
        <v>#DIV/0!</v>
      </c>
      <c r="BN160" s="60" t="e">
        <f>Links!AS160</f>
        <v>#DIV/0!</v>
      </c>
      <c r="BO160" s="61" t="e">
        <f>(Links!R160^2+'Off-Ramp'!L160^2)/(Links!R160+'Off-Ramp'!L160)</f>
        <v>#DIV/0!</v>
      </c>
      <c r="BP160" s="61" t="e">
        <f>Links!S160</f>
        <v>#DIV/0!</v>
      </c>
      <c r="BQ160" s="61" t="e">
        <f>(Links!S160^2+'Off-Ramp'!C160^2)/(Links!S160+'Off-Ramp'!C160)</f>
        <v>#DIV/0!</v>
      </c>
      <c r="BR160" s="61" t="e">
        <f>Links!T160</f>
        <v>#DIV/0!</v>
      </c>
      <c r="BS160" s="61" t="e">
        <f>(Links!U160^2+'Off-Ramp'!N160^2)/(Links!U160+'Off-Ramp'!N160)</f>
        <v>#DIV/0!</v>
      </c>
      <c r="BT160" s="61" t="e">
        <f>(Links!V160^2+'Off-Ramp'!O160^2)/(Links!V160+'Off-Ramp'!O160)</f>
        <v>#DIV/0!</v>
      </c>
      <c r="BU160" s="61" t="e">
        <f>(Links!W160^2+'Off-Ramp'!P160^2)/(Links!W160+'Off-Ramp'!P160)</f>
        <v>#DIV/0!</v>
      </c>
      <c r="BV160" s="61" t="e">
        <f>(Links!Y160^2+'Off-Ramp'!Q160^2)/(Links!Y160+'Off-Ramp'!Q160)</f>
        <v>#DIV/0!</v>
      </c>
      <c r="BW160" s="61" t="e">
        <f>(Links!Z160^2+'Off-Ramp'!R160^2)/(Links!Z160+'Off-Ramp'!R160)</f>
        <v>#DIV/0!</v>
      </c>
      <c r="BX160" s="61" t="e">
        <f>(Links!AA160+'Off-Ramp'!S160)/(Links!AA160^2+'Off-Ramp'!S160^2)</f>
        <v>#DIV/0!</v>
      </c>
      <c r="BY160" s="61" t="e">
        <f>(Links!AB160^2+'Off-Ramp'!T160^2)/(Links!AB160+'Off-Ramp'!T160)</f>
        <v>#DIV/0!</v>
      </c>
      <c r="BZ160" s="61" t="e">
        <f>Links!AC160</f>
        <v>#DIV/0!</v>
      </c>
      <c r="CA160" s="61" t="e">
        <f>(Links!AD160^2+'Off-Ramp'!U160^2)/(Links!AD160+'Off-Ramp'!U160)</f>
        <v>#DIV/0!</v>
      </c>
    </row>
    <row r="161" spans="1:79" x14ac:dyDescent="0.15">
      <c r="A161" s="59">
        <v>159</v>
      </c>
      <c r="B161" s="60" t="e">
        <f t="shared" si="64"/>
        <v>#DIV/0!</v>
      </c>
      <c r="C161" s="60" t="e">
        <f t="shared" si="65"/>
        <v>#DIV/0!</v>
      </c>
      <c r="D161" s="60" t="e">
        <f t="shared" si="66"/>
        <v>#DIV/0!</v>
      </c>
      <c r="E161" s="60" t="e">
        <f t="shared" si="67"/>
        <v>#DIV/0!</v>
      </c>
      <c r="F161" s="60" t="e">
        <f t="shared" si="68"/>
        <v>#DIV/0!</v>
      </c>
      <c r="G161" s="60" t="e">
        <f t="shared" si="69"/>
        <v>#DIV/0!</v>
      </c>
      <c r="H161" s="60" t="e">
        <f t="shared" si="70"/>
        <v>#DIV/0!</v>
      </c>
      <c r="I161" s="60" t="e">
        <f t="shared" si="71"/>
        <v>#DIV/0!</v>
      </c>
      <c r="J161" s="60" t="e">
        <f t="shared" si="72"/>
        <v>#DIV/0!</v>
      </c>
      <c r="K161" s="60" t="e">
        <f t="shared" si="73"/>
        <v>#DIV/0!</v>
      </c>
      <c r="L161" s="60" t="e">
        <f t="shared" si="74"/>
        <v>#DIV/0!</v>
      </c>
      <c r="M161" s="60" t="e">
        <f t="shared" si="75"/>
        <v>#DIV/0!</v>
      </c>
      <c r="N161" s="60" t="e">
        <f t="shared" si="76"/>
        <v>#DIV/0!</v>
      </c>
      <c r="O161" s="61" t="e">
        <f>Links!B161</f>
        <v>#DIV/0!</v>
      </c>
      <c r="P161" s="61" t="e">
        <f>Links!C161+'On-Ramps'!AC161</f>
        <v>#DIV/0!</v>
      </c>
      <c r="Q161" s="61" t="e">
        <f>Links!D161</f>
        <v>#DIV/0!</v>
      </c>
      <c r="R161" s="61" t="e">
        <f>Links!E161+'On-Ramps'!AD161</f>
        <v>#DIV/0!</v>
      </c>
      <c r="S161" s="61" t="e">
        <f>Links!F161+'On-Ramps'!AE161</f>
        <v>#DIV/0!</v>
      </c>
      <c r="T161" s="61" t="e">
        <f>Links!G161+'On-Ramps'!AF161</f>
        <v>#DIV/0!</v>
      </c>
      <c r="U161" s="61" t="e">
        <f>Links!H161+'On-Ramps'!AG161</f>
        <v>#DIV/0!</v>
      </c>
      <c r="V161" s="61" t="e">
        <f>Links!J161+'On-Ramps'!AH161</f>
        <v>#DIV/0!</v>
      </c>
      <c r="W161" s="61" t="e">
        <f>Links!K161+'On-Ramps'!AI161</f>
        <v>#DIV/0!</v>
      </c>
      <c r="X161" s="61" t="e">
        <f>Links!L161+'On-Ramps'!AJ161</f>
        <v>#DIV/0!</v>
      </c>
      <c r="Y161" s="61" t="e">
        <f>Links!M161</f>
        <v>#DIV/0!</v>
      </c>
      <c r="Z161" s="61" t="e">
        <f>Links!N161+'On-Ramps'!AK161</f>
        <v>#DIV/0!</v>
      </c>
      <c r="AA161" s="61" t="e">
        <f>Links!O161</f>
        <v>#DIV/0!</v>
      </c>
      <c r="AB161" s="60" t="e">
        <f t="shared" si="77"/>
        <v>#DIV/0!</v>
      </c>
      <c r="AC161" s="60" t="e">
        <f t="shared" si="78"/>
        <v>#DIV/0!</v>
      </c>
      <c r="AD161" s="60" t="e">
        <f t="shared" si="79"/>
        <v>#DIV/0!</v>
      </c>
      <c r="AE161" s="60" t="e">
        <f t="shared" si="80"/>
        <v>#DIV/0!</v>
      </c>
      <c r="AF161" s="60" t="e">
        <f t="shared" si="81"/>
        <v>#DIV/0!</v>
      </c>
      <c r="AG161" s="60" t="e">
        <f t="shared" si="82"/>
        <v>#DIV/0!</v>
      </c>
      <c r="AH161" s="60" t="e">
        <f t="shared" si="83"/>
        <v>#DIV/0!</v>
      </c>
      <c r="AI161" s="60" t="e">
        <f t="shared" si="84"/>
        <v>#DIV/0!</v>
      </c>
      <c r="AJ161" s="60" t="e">
        <f t="shared" si="85"/>
        <v>#DIV/0!</v>
      </c>
      <c r="AK161" s="60" t="e">
        <f t="shared" si="86"/>
        <v>#DIV/0!</v>
      </c>
      <c r="AL161" s="60" t="e">
        <f t="shared" si="87"/>
        <v>#DIV/0!</v>
      </c>
      <c r="AM161" s="60" t="e">
        <f t="shared" si="88"/>
        <v>#DIV/0!</v>
      </c>
      <c r="AN161" s="60" t="e">
        <f t="shared" si="90"/>
        <v>#DIV/0!</v>
      </c>
      <c r="AO161" s="61" t="e">
        <f t="shared" si="63"/>
        <v>#DIV/0!</v>
      </c>
      <c r="AP161" s="61" t="e">
        <f t="shared" si="89"/>
        <v>#DIV/0!</v>
      </c>
      <c r="AQ161" s="61" t="e">
        <f t="shared" si="89"/>
        <v>#DIV/0!</v>
      </c>
      <c r="AR161" s="61" t="e">
        <f t="shared" si="89"/>
        <v>#DIV/0!</v>
      </c>
      <c r="AS161" s="61" t="e">
        <f t="shared" si="89"/>
        <v>#DIV/0!</v>
      </c>
      <c r="AT161" s="61" t="e">
        <f t="shared" si="89"/>
        <v>#DIV/0!</v>
      </c>
      <c r="AU161" s="61" t="e">
        <f t="shared" si="89"/>
        <v>#DIV/0!</v>
      </c>
      <c r="AV161" s="61" t="e">
        <f t="shared" si="89"/>
        <v>#DIV/0!</v>
      </c>
      <c r="AW161" s="61" t="e">
        <f t="shared" si="89"/>
        <v>#DIV/0!</v>
      </c>
      <c r="AX161" s="61" t="e">
        <f t="shared" si="89"/>
        <v>#DIV/0!</v>
      </c>
      <c r="AY161" s="61" t="e">
        <f t="shared" si="89"/>
        <v>#DIV/0!</v>
      </c>
      <c r="AZ161" s="61" t="e">
        <f t="shared" si="89"/>
        <v>#DIV/0!</v>
      </c>
      <c r="BA161" s="61" t="e">
        <f t="shared" si="89"/>
        <v>#DIV/0!</v>
      </c>
      <c r="BB161" s="60" t="e">
        <f>Links!AF161</f>
        <v>#DIV/0!</v>
      </c>
      <c r="BC161" s="60" t="e">
        <f>(Links!AG161*Links!C161+'On-Ramps'!AC161*'On-Ramps'!CE161)/('On-Ramps'!AC161+Links!C161)</f>
        <v>#DIV/0!</v>
      </c>
      <c r="BD161" s="60" t="e">
        <f>Links!AH161</f>
        <v>#DIV/0!</v>
      </c>
      <c r="BE161" s="60" t="e">
        <f>(Links!AI161*Links!E161+'On-Ramps'!AD161*'On-Ramps'!CF160)/('On-Ramps'!AD161+Links!E161)</f>
        <v>#DIV/0!</v>
      </c>
      <c r="BF161" s="60" t="e">
        <f>(Links!F161*Links!AJ161+'On-Ramps'!AE161*'On-Ramps'!CG161)/('On-Ramps'!AE161+Links!F161)</f>
        <v>#DIV/0!</v>
      </c>
      <c r="BG161" s="60" t="e">
        <f>(Links!G161*Links!AK161+'On-Ramps'!AF161*'On-Ramps'!CH161)/('On-Ramps'!AF161+Links!G161)</f>
        <v>#DIV/0!</v>
      </c>
      <c r="BH161" s="60" t="e">
        <f>(Links!H161*Links!AL161+'On-Ramps'!AG161*'On-Ramps'!CI161)/('On-Ramps'!AG161+Links!H161)</f>
        <v>#DIV/0!</v>
      </c>
      <c r="BI161" s="60" t="e">
        <f>(Links!J161*Links!AN161+'On-Ramps'!AH161*'On-Ramps'!CJ161)/('On-Ramps'!AH161+Links!J161)</f>
        <v>#DIV/0!</v>
      </c>
      <c r="BJ161" s="60" t="e">
        <f>(Links!K161*Links!AO161+'On-Ramps'!AI161*'On-Ramps'!CK161)/('On-Ramps'!AI161+Links!K161)</f>
        <v>#DIV/0!</v>
      </c>
      <c r="BK161" s="60" t="e">
        <f>(Links!L161*Links!AP161+'On-Ramps'!AJ161*'On-Ramps'!CL161)/(Links!L161+'On-Ramps'!AJ161)</f>
        <v>#DIV/0!</v>
      </c>
      <c r="BL161" s="60" t="e">
        <f>Links!AQ161</f>
        <v>#DIV/0!</v>
      </c>
      <c r="BM161" s="60" t="e">
        <f>(Links!N161*Links!AR161+'On-Ramps'!AL161*'On-Ramps'!CM161)/(Links!N161+'On-Ramps'!AL161)</f>
        <v>#DIV/0!</v>
      </c>
      <c r="BN161" s="60" t="e">
        <f>Links!AS161</f>
        <v>#DIV/0!</v>
      </c>
      <c r="BO161" s="61" t="e">
        <f>(Links!R161^2+'Off-Ramp'!L161^2)/(Links!R161+'Off-Ramp'!L161)</f>
        <v>#DIV/0!</v>
      </c>
      <c r="BP161" s="61" t="e">
        <f>Links!S161</f>
        <v>#DIV/0!</v>
      </c>
      <c r="BQ161" s="61" t="e">
        <f>(Links!S161^2+'Off-Ramp'!C161^2)/(Links!S161+'Off-Ramp'!C161)</f>
        <v>#DIV/0!</v>
      </c>
      <c r="BR161" s="61" t="e">
        <f>Links!T161</f>
        <v>#DIV/0!</v>
      </c>
      <c r="BS161" s="61" t="e">
        <f>(Links!U161^2+'Off-Ramp'!N161^2)/(Links!U161+'Off-Ramp'!N161)</f>
        <v>#DIV/0!</v>
      </c>
      <c r="BT161" s="61" t="e">
        <f>(Links!V161^2+'Off-Ramp'!O161^2)/(Links!V161+'Off-Ramp'!O161)</f>
        <v>#DIV/0!</v>
      </c>
      <c r="BU161" s="61" t="e">
        <f>(Links!W161^2+'Off-Ramp'!P161^2)/(Links!W161+'Off-Ramp'!P161)</f>
        <v>#DIV/0!</v>
      </c>
      <c r="BV161" s="61" t="e">
        <f>(Links!Y161^2+'Off-Ramp'!Q161^2)/(Links!Y161+'Off-Ramp'!Q161)</f>
        <v>#DIV/0!</v>
      </c>
      <c r="BW161" s="61" t="e">
        <f>(Links!Z161^2+'Off-Ramp'!R161^2)/(Links!Z161+'Off-Ramp'!R161)</f>
        <v>#DIV/0!</v>
      </c>
      <c r="BX161" s="61" t="e">
        <f>(Links!AA161+'Off-Ramp'!S161)/(Links!AA161^2+'Off-Ramp'!S161^2)</f>
        <v>#DIV/0!</v>
      </c>
      <c r="BY161" s="61" t="e">
        <f>(Links!AB161^2+'Off-Ramp'!T161^2)/(Links!AB161+'Off-Ramp'!T161)</f>
        <v>#DIV/0!</v>
      </c>
      <c r="BZ161" s="61" t="e">
        <f>Links!AC161</f>
        <v>#DIV/0!</v>
      </c>
      <c r="CA161" s="61" t="e">
        <f>(Links!AD161^2+'Off-Ramp'!U161^2)/(Links!AD161+'Off-Ramp'!U161)</f>
        <v>#DIV/0!</v>
      </c>
    </row>
    <row r="162" spans="1:79" x14ac:dyDescent="0.15">
      <c r="A162" s="59">
        <v>160</v>
      </c>
      <c r="B162" s="60" t="e">
        <f t="shared" si="64"/>
        <v>#DIV/0!</v>
      </c>
      <c r="C162" s="60" t="e">
        <f t="shared" si="65"/>
        <v>#DIV/0!</v>
      </c>
      <c r="D162" s="60" t="e">
        <f t="shared" si="66"/>
        <v>#DIV/0!</v>
      </c>
      <c r="E162" s="60" t="e">
        <f t="shared" si="67"/>
        <v>#DIV/0!</v>
      </c>
      <c r="F162" s="60" t="e">
        <f t="shared" si="68"/>
        <v>#DIV/0!</v>
      </c>
      <c r="G162" s="60" t="e">
        <f t="shared" si="69"/>
        <v>#DIV/0!</v>
      </c>
      <c r="H162" s="60" t="e">
        <f t="shared" si="70"/>
        <v>#DIV/0!</v>
      </c>
      <c r="I162" s="60" t="e">
        <f t="shared" si="71"/>
        <v>#DIV/0!</v>
      </c>
      <c r="J162" s="60" t="e">
        <f t="shared" si="72"/>
        <v>#DIV/0!</v>
      </c>
      <c r="K162" s="60" t="e">
        <f t="shared" si="73"/>
        <v>#DIV/0!</v>
      </c>
      <c r="L162" s="60" t="e">
        <f t="shared" si="74"/>
        <v>#DIV/0!</v>
      </c>
      <c r="M162" s="60" t="e">
        <f t="shared" si="75"/>
        <v>#DIV/0!</v>
      </c>
      <c r="N162" s="60" t="e">
        <f t="shared" si="76"/>
        <v>#DIV/0!</v>
      </c>
      <c r="O162" s="61" t="e">
        <f>Links!B162</f>
        <v>#DIV/0!</v>
      </c>
      <c r="P162" s="61" t="e">
        <f>Links!C162+'On-Ramps'!AC162</f>
        <v>#DIV/0!</v>
      </c>
      <c r="Q162" s="61" t="e">
        <f>Links!D162</f>
        <v>#DIV/0!</v>
      </c>
      <c r="R162" s="61" t="e">
        <f>Links!E162+'On-Ramps'!AD162</f>
        <v>#DIV/0!</v>
      </c>
      <c r="S162" s="61" t="e">
        <f>Links!F162+'On-Ramps'!AE162</f>
        <v>#DIV/0!</v>
      </c>
      <c r="T162" s="61" t="e">
        <f>Links!G162+'On-Ramps'!AF162</f>
        <v>#DIV/0!</v>
      </c>
      <c r="U162" s="61" t="e">
        <f>Links!H162+'On-Ramps'!AG162</f>
        <v>#DIV/0!</v>
      </c>
      <c r="V162" s="61" t="e">
        <f>Links!J162+'On-Ramps'!AH162</f>
        <v>#DIV/0!</v>
      </c>
      <c r="W162" s="61" t="e">
        <f>Links!K162+'On-Ramps'!AI162</f>
        <v>#DIV/0!</v>
      </c>
      <c r="X162" s="61" t="e">
        <f>Links!L162+'On-Ramps'!AJ162</f>
        <v>#DIV/0!</v>
      </c>
      <c r="Y162" s="61" t="e">
        <f>Links!M162</f>
        <v>#DIV/0!</v>
      </c>
      <c r="Z162" s="61" t="e">
        <f>Links!N162+'On-Ramps'!AK162</f>
        <v>#DIV/0!</v>
      </c>
      <c r="AA162" s="61" t="e">
        <f>Links!O162</f>
        <v>#DIV/0!</v>
      </c>
      <c r="AB162" s="60" t="e">
        <f t="shared" si="77"/>
        <v>#DIV/0!</v>
      </c>
      <c r="AC162" s="60" t="e">
        <f t="shared" si="78"/>
        <v>#DIV/0!</v>
      </c>
      <c r="AD162" s="60" t="e">
        <f t="shared" si="79"/>
        <v>#DIV/0!</v>
      </c>
      <c r="AE162" s="60" t="e">
        <f t="shared" si="80"/>
        <v>#DIV/0!</v>
      </c>
      <c r="AF162" s="60" t="e">
        <f t="shared" si="81"/>
        <v>#DIV/0!</v>
      </c>
      <c r="AG162" s="60" t="e">
        <f t="shared" si="82"/>
        <v>#DIV/0!</v>
      </c>
      <c r="AH162" s="60" t="e">
        <f t="shared" si="83"/>
        <v>#DIV/0!</v>
      </c>
      <c r="AI162" s="60" t="e">
        <f t="shared" si="84"/>
        <v>#DIV/0!</v>
      </c>
      <c r="AJ162" s="60" t="e">
        <f t="shared" si="85"/>
        <v>#DIV/0!</v>
      </c>
      <c r="AK162" s="60" t="e">
        <f t="shared" si="86"/>
        <v>#DIV/0!</v>
      </c>
      <c r="AL162" s="60" t="e">
        <f t="shared" si="87"/>
        <v>#DIV/0!</v>
      </c>
      <c r="AM162" s="60" t="e">
        <f t="shared" si="88"/>
        <v>#DIV/0!</v>
      </c>
      <c r="AN162" s="60" t="e">
        <f t="shared" si="90"/>
        <v>#DIV/0!</v>
      </c>
      <c r="AO162" s="61" t="e">
        <f t="shared" si="63"/>
        <v>#DIV/0!</v>
      </c>
      <c r="AP162" s="61" t="e">
        <f t="shared" si="89"/>
        <v>#DIV/0!</v>
      </c>
      <c r="AQ162" s="61" t="e">
        <f t="shared" si="89"/>
        <v>#DIV/0!</v>
      </c>
      <c r="AR162" s="61" t="e">
        <f t="shared" si="89"/>
        <v>#DIV/0!</v>
      </c>
      <c r="AS162" s="61" t="e">
        <f t="shared" si="89"/>
        <v>#DIV/0!</v>
      </c>
      <c r="AT162" s="61" t="e">
        <f t="shared" si="89"/>
        <v>#DIV/0!</v>
      </c>
      <c r="AU162" s="61" t="e">
        <f t="shared" si="89"/>
        <v>#DIV/0!</v>
      </c>
      <c r="AV162" s="61" t="e">
        <f t="shared" si="89"/>
        <v>#DIV/0!</v>
      </c>
      <c r="AW162" s="61" t="e">
        <f t="shared" si="89"/>
        <v>#DIV/0!</v>
      </c>
      <c r="AX162" s="61" t="e">
        <f t="shared" si="89"/>
        <v>#DIV/0!</v>
      </c>
      <c r="AY162" s="61" t="e">
        <f t="shared" si="89"/>
        <v>#DIV/0!</v>
      </c>
      <c r="AZ162" s="61" t="e">
        <f t="shared" ref="AP162:BA182" si="91">AZ$3</f>
        <v>#DIV/0!</v>
      </c>
      <c r="BA162" s="61" t="e">
        <f t="shared" si="91"/>
        <v>#DIV/0!</v>
      </c>
      <c r="BB162" s="60" t="e">
        <f>Links!AF162</f>
        <v>#DIV/0!</v>
      </c>
      <c r="BC162" s="60" t="e">
        <f>(Links!AG162*Links!C162+'On-Ramps'!AC162*'On-Ramps'!CE162)/('On-Ramps'!AC162+Links!C162)</f>
        <v>#DIV/0!</v>
      </c>
      <c r="BD162" s="60" t="e">
        <f>Links!AH162</f>
        <v>#DIV/0!</v>
      </c>
      <c r="BE162" s="60" t="e">
        <f>(Links!AI162*Links!E162+'On-Ramps'!AD162*'On-Ramps'!CF161)/('On-Ramps'!AD162+Links!E162)</f>
        <v>#DIV/0!</v>
      </c>
      <c r="BF162" s="60" t="e">
        <f>(Links!F162*Links!AJ162+'On-Ramps'!AE162*'On-Ramps'!CG162)/('On-Ramps'!AE162+Links!F162)</f>
        <v>#DIV/0!</v>
      </c>
      <c r="BG162" s="60" t="e">
        <f>(Links!G162*Links!AK162+'On-Ramps'!AF162*'On-Ramps'!CH162)/('On-Ramps'!AF162+Links!G162)</f>
        <v>#DIV/0!</v>
      </c>
      <c r="BH162" s="60" t="e">
        <f>(Links!H162*Links!AL162+'On-Ramps'!AG162*'On-Ramps'!CI162)/('On-Ramps'!AG162+Links!H162)</f>
        <v>#DIV/0!</v>
      </c>
      <c r="BI162" s="60" t="e">
        <f>(Links!J162*Links!AN162+'On-Ramps'!AH162*'On-Ramps'!CJ162)/('On-Ramps'!AH162+Links!J162)</f>
        <v>#DIV/0!</v>
      </c>
      <c r="BJ162" s="60" t="e">
        <f>(Links!K162*Links!AO162+'On-Ramps'!AI162*'On-Ramps'!CK162)/('On-Ramps'!AI162+Links!K162)</f>
        <v>#DIV/0!</v>
      </c>
      <c r="BK162" s="60" t="e">
        <f>(Links!L162*Links!AP162+'On-Ramps'!AJ162*'On-Ramps'!CL162)/(Links!L162+'On-Ramps'!AJ162)</f>
        <v>#DIV/0!</v>
      </c>
      <c r="BL162" s="60" t="e">
        <f>Links!AQ162</f>
        <v>#DIV/0!</v>
      </c>
      <c r="BM162" s="60" t="e">
        <f>(Links!N162*Links!AR162+'On-Ramps'!AL162*'On-Ramps'!CM162)/(Links!N162+'On-Ramps'!AL162)</f>
        <v>#DIV/0!</v>
      </c>
      <c r="BN162" s="60" t="e">
        <f>Links!AS162</f>
        <v>#DIV/0!</v>
      </c>
      <c r="BO162" s="61" t="e">
        <f>(Links!R162^2+'Off-Ramp'!L162^2)/(Links!R162+'Off-Ramp'!L162)</f>
        <v>#DIV/0!</v>
      </c>
      <c r="BP162" s="61" t="e">
        <f>Links!S162</f>
        <v>#DIV/0!</v>
      </c>
      <c r="BQ162" s="61" t="e">
        <f>(Links!S162^2+'Off-Ramp'!C162^2)/(Links!S162+'Off-Ramp'!C162)</f>
        <v>#DIV/0!</v>
      </c>
      <c r="BR162" s="61" t="e">
        <f>Links!T162</f>
        <v>#DIV/0!</v>
      </c>
      <c r="BS162" s="61" t="e">
        <f>(Links!U162^2+'Off-Ramp'!N162^2)/(Links!U162+'Off-Ramp'!N162)</f>
        <v>#DIV/0!</v>
      </c>
      <c r="BT162" s="61" t="e">
        <f>(Links!V162^2+'Off-Ramp'!O162^2)/(Links!V162+'Off-Ramp'!O162)</f>
        <v>#DIV/0!</v>
      </c>
      <c r="BU162" s="61" t="e">
        <f>(Links!W162^2+'Off-Ramp'!P162^2)/(Links!W162+'Off-Ramp'!P162)</f>
        <v>#DIV/0!</v>
      </c>
      <c r="BV162" s="61" t="e">
        <f>(Links!Y162^2+'Off-Ramp'!Q162^2)/(Links!Y162+'Off-Ramp'!Q162)</f>
        <v>#DIV/0!</v>
      </c>
      <c r="BW162" s="61" t="e">
        <f>(Links!Z162^2+'Off-Ramp'!R162^2)/(Links!Z162+'Off-Ramp'!R162)</f>
        <v>#DIV/0!</v>
      </c>
      <c r="BX162" s="61" t="e">
        <f>(Links!AA162+'Off-Ramp'!S162)/(Links!AA162^2+'Off-Ramp'!S162^2)</f>
        <v>#DIV/0!</v>
      </c>
      <c r="BY162" s="61" t="e">
        <f>(Links!AB162^2+'Off-Ramp'!T162^2)/(Links!AB162+'Off-Ramp'!T162)</f>
        <v>#DIV/0!</v>
      </c>
      <c r="BZ162" s="61" t="e">
        <f>Links!AC162</f>
        <v>#DIV/0!</v>
      </c>
      <c r="CA162" s="61" t="e">
        <f>(Links!AD162^2+'Off-Ramp'!U162^2)/(Links!AD162+'Off-Ramp'!U162)</f>
        <v>#DIV/0!</v>
      </c>
    </row>
    <row r="163" spans="1:79" x14ac:dyDescent="0.15">
      <c r="A163" s="59">
        <v>161</v>
      </c>
      <c r="B163" s="60" t="e">
        <f t="shared" si="64"/>
        <v>#DIV/0!</v>
      </c>
      <c r="C163" s="60" t="e">
        <f t="shared" si="65"/>
        <v>#DIV/0!</v>
      </c>
      <c r="D163" s="60" t="e">
        <f t="shared" si="66"/>
        <v>#DIV/0!</v>
      </c>
      <c r="E163" s="60" t="e">
        <f t="shared" si="67"/>
        <v>#DIV/0!</v>
      </c>
      <c r="F163" s="60" t="e">
        <f t="shared" si="68"/>
        <v>#DIV/0!</v>
      </c>
      <c r="G163" s="60" t="e">
        <f t="shared" si="69"/>
        <v>#DIV/0!</v>
      </c>
      <c r="H163" s="60" t="e">
        <f t="shared" si="70"/>
        <v>#DIV/0!</v>
      </c>
      <c r="I163" s="60" t="e">
        <f t="shared" si="71"/>
        <v>#DIV/0!</v>
      </c>
      <c r="J163" s="60" t="e">
        <f t="shared" si="72"/>
        <v>#DIV/0!</v>
      </c>
      <c r="K163" s="60" t="e">
        <f t="shared" si="73"/>
        <v>#DIV/0!</v>
      </c>
      <c r="L163" s="60" t="e">
        <f t="shared" si="74"/>
        <v>#DIV/0!</v>
      </c>
      <c r="M163" s="60" t="e">
        <f t="shared" si="75"/>
        <v>#DIV/0!</v>
      </c>
      <c r="N163" s="60" t="e">
        <f t="shared" si="76"/>
        <v>#DIV/0!</v>
      </c>
      <c r="O163" s="61" t="e">
        <f>Links!B163</f>
        <v>#DIV/0!</v>
      </c>
      <c r="P163" s="61" t="e">
        <f>Links!C163+'On-Ramps'!AC163</f>
        <v>#DIV/0!</v>
      </c>
      <c r="Q163" s="61" t="e">
        <f>Links!D163</f>
        <v>#DIV/0!</v>
      </c>
      <c r="R163" s="61" t="e">
        <f>Links!E163+'On-Ramps'!AD163</f>
        <v>#DIV/0!</v>
      </c>
      <c r="S163" s="61" t="e">
        <f>Links!F163+'On-Ramps'!AE163</f>
        <v>#DIV/0!</v>
      </c>
      <c r="T163" s="61" t="e">
        <f>Links!G163+'On-Ramps'!AF163</f>
        <v>#DIV/0!</v>
      </c>
      <c r="U163" s="61" t="e">
        <f>Links!H163+'On-Ramps'!AG163</f>
        <v>#DIV/0!</v>
      </c>
      <c r="V163" s="61" t="e">
        <f>Links!J163+'On-Ramps'!AH163</f>
        <v>#DIV/0!</v>
      </c>
      <c r="W163" s="61" t="e">
        <f>Links!K163+'On-Ramps'!AI163</f>
        <v>#DIV/0!</v>
      </c>
      <c r="X163" s="61" t="e">
        <f>Links!L163+'On-Ramps'!AJ163</f>
        <v>#DIV/0!</v>
      </c>
      <c r="Y163" s="61" t="e">
        <f>Links!M163</f>
        <v>#DIV/0!</v>
      </c>
      <c r="Z163" s="61" t="e">
        <f>Links!N163+'On-Ramps'!AK163</f>
        <v>#DIV/0!</v>
      </c>
      <c r="AA163" s="61" t="e">
        <f>Links!O163</f>
        <v>#DIV/0!</v>
      </c>
      <c r="AB163" s="60" t="e">
        <f t="shared" si="77"/>
        <v>#DIV/0!</v>
      </c>
      <c r="AC163" s="60" t="e">
        <f t="shared" si="78"/>
        <v>#DIV/0!</v>
      </c>
      <c r="AD163" s="60" t="e">
        <f t="shared" si="79"/>
        <v>#DIV/0!</v>
      </c>
      <c r="AE163" s="60" t="e">
        <f t="shared" si="80"/>
        <v>#DIV/0!</v>
      </c>
      <c r="AF163" s="60" t="e">
        <f t="shared" si="81"/>
        <v>#DIV/0!</v>
      </c>
      <c r="AG163" s="60" t="e">
        <f t="shared" si="82"/>
        <v>#DIV/0!</v>
      </c>
      <c r="AH163" s="60" t="e">
        <f t="shared" si="83"/>
        <v>#DIV/0!</v>
      </c>
      <c r="AI163" s="60" t="e">
        <f t="shared" si="84"/>
        <v>#DIV/0!</v>
      </c>
      <c r="AJ163" s="60" t="e">
        <f t="shared" si="85"/>
        <v>#DIV/0!</v>
      </c>
      <c r="AK163" s="60" t="e">
        <f t="shared" si="86"/>
        <v>#DIV/0!</v>
      </c>
      <c r="AL163" s="60" t="e">
        <f t="shared" si="87"/>
        <v>#DIV/0!</v>
      </c>
      <c r="AM163" s="60" t="e">
        <f t="shared" si="88"/>
        <v>#DIV/0!</v>
      </c>
      <c r="AN163" s="60" t="e">
        <f t="shared" si="90"/>
        <v>#DIV/0!</v>
      </c>
      <c r="AO163" s="61" t="e">
        <f t="shared" si="63"/>
        <v>#DIV/0!</v>
      </c>
      <c r="AP163" s="61" t="e">
        <f t="shared" si="91"/>
        <v>#DIV/0!</v>
      </c>
      <c r="AQ163" s="61" t="e">
        <f t="shared" si="91"/>
        <v>#DIV/0!</v>
      </c>
      <c r="AR163" s="61" t="e">
        <f t="shared" si="91"/>
        <v>#DIV/0!</v>
      </c>
      <c r="AS163" s="61" t="e">
        <f t="shared" si="91"/>
        <v>#DIV/0!</v>
      </c>
      <c r="AT163" s="61" t="e">
        <f t="shared" si="91"/>
        <v>#DIV/0!</v>
      </c>
      <c r="AU163" s="61" t="e">
        <f t="shared" si="91"/>
        <v>#DIV/0!</v>
      </c>
      <c r="AV163" s="61" t="e">
        <f t="shared" si="91"/>
        <v>#DIV/0!</v>
      </c>
      <c r="AW163" s="61" t="e">
        <f t="shared" si="91"/>
        <v>#DIV/0!</v>
      </c>
      <c r="AX163" s="61" t="e">
        <f t="shared" si="91"/>
        <v>#DIV/0!</v>
      </c>
      <c r="AY163" s="61" t="e">
        <f t="shared" si="91"/>
        <v>#DIV/0!</v>
      </c>
      <c r="AZ163" s="61" t="e">
        <f t="shared" si="91"/>
        <v>#DIV/0!</v>
      </c>
      <c r="BA163" s="61" t="e">
        <f t="shared" si="91"/>
        <v>#DIV/0!</v>
      </c>
      <c r="BB163" s="60" t="e">
        <f>Links!AF163</f>
        <v>#DIV/0!</v>
      </c>
      <c r="BC163" s="60" t="e">
        <f>(Links!AG163*Links!C163+'On-Ramps'!AC163*'On-Ramps'!CE163)/('On-Ramps'!AC163+Links!C163)</f>
        <v>#DIV/0!</v>
      </c>
      <c r="BD163" s="60" t="e">
        <f>Links!AH163</f>
        <v>#DIV/0!</v>
      </c>
      <c r="BE163" s="60" t="e">
        <f>(Links!AI163*Links!E163+'On-Ramps'!AD163*'On-Ramps'!CF162)/('On-Ramps'!AD163+Links!E163)</f>
        <v>#DIV/0!</v>
      </c>
      <c r="BF163" s="60" t="e">
        <f>(Links!F163*Links!AJ163+'On-Ramps'!AE163*'On-Ramps'!CG163)/('On-Ramps'!AE163+Links!F163)</f>
        <v>#DIV/0!</v>
      </c>
      <c r="BG163" s="60" t="e">
        <f>(Links!G163*Links!AK163+'On-Ramps'!AF163*'On-Ramps'!CH163)/('On-Ramps'!AF163+Links!G163)</f>
        <v>#DIV/0!</v>
      </c>
      <c r="BH163" s="60" t="e">
        <f>(Links!H163*Links!AL163+'On-Ramps'!AG163*'On-Ramps'!CI163)/('On-Ramps'!AG163+Links!H163)</f>
        <v>#DIV/0!</v>
      </c>
      <c r="BI163" s="60" t="e">
        <f>(Links!J163*Links!AN163+'On-Ramps'!AH163*'On-Ramps'!CJ163)/('On-Ramps'!AH163+Links!J163)</f>
        <v>#DIV/0!</v>
      </c>
      <c r="BJ163" s="60" t="e">
        <f>(Links!K163*Links!AO163+'On-Ramps'!AI163*'On-Ramps'!CK163)/('On-Ramps'!AI163+Links!K163)</f>
        <v>#DIV/0!</v>
      </c>
      <c r="BK163" s="60" t="e">
        <f>(Links!L163*Links!AP163+'On-Ramps'!AJ163*'On-Ramps'!CL163)/(Links!L163+'On-Ramps'!AJ163)</f>
        <v>#DIV/0!</v>
      </c>
      <c r="BL163" s="60" t="e">
        <f>Links!AQ163</f>
        <v>#DIV/0!</v>
      </c>
      <c r="BM163" s="60" t="e">
        <f>(Links!N163*Links!AR163+'On-Ramps'!AL163*'On-Ramps'!CM163)/(Links!N163+'On-Ramps'!AL163)</f>
        <v>#DIV/0!</v>
      </c>
      <c r="BN163" s="60" t="e">
        <f>Links!AS163</f>
        <v>#DIV/0!</v>
      </c>
      <c r="BO163" s="61" t="e">
        <f>(Links!R163^2+'Off-Ramp'!L163^2)/(Links!R163+'Off-Ramp'!L163)</f>
        <v>#DIV/0!</v>
      </c>
      <c r="BP163" s="61" t="e">
        <f>Links!S163</f>
        <v>#DIV/0!</v>
      </c>
      <c r="BQ163" s="61" t="e">
        <f>(Links!S163^2+'Off-Ramp'!C163^2)/(Links!S163+'Off-Ramp'!C163)</f>
        <v>#DIV/0!</v>
      </c>
      <c r="BR163" s="61" t="e">
        <f>Links!T163</f>
        <v>#DIV/0!</v>
      </c>
      <c r="BS163" s="61" t="e">
        <f>(Links!U163^2+'Off-Ramp'!N163^2)/(Links!U163+'Off-Ramp'!N163)</f>
        <v>#DIV/0!</v>
      </c>
      <c r="BT163" s="61" t="e">
        <f>(Links!V163^2+'Off-Ramp'!O163^2)/(Links!V163+'Off-Ramp'!O163)</f>
        <v>#DIV/0!</v>
      </c>
      <c r="BU163" s="61" t="e">
        <f>(Links!W163^2+'Off-Ramp'!P163^2)/(Links!W163+'Off-Ramp'!P163)</f>
        <v>#DIV/0!</v>
      </c>
      <c r="BV163" s="61" t="e">
        <f>(Links!Y163^2+'Off-Ramp'!Q163^2)/(Links!Y163+'Off-Ramp'!Q163)</f>
        <v>#DIV/0!</v>
      </c>
      <c r="BW163" s="61" t="e">
        <f>(Links!Z163^2+'Off-Ramp'!R163^2)/(Links!Z163+'Off-Ramp'!R163)</f>
        <v>#DIV/0!</v>
      </c>
      <c r="BX163" s="61" t="e">
        <f>(Links!AA163+'Off-Ramp'!S163)/(Links!AA163^2+'Off-Ramp'!S163^2)</f>
        <v>#DIV/0!</v>
      </c>
      <c r="BY163" s="61" t="e">
        <f>(Links!AB163^2+'Off-Ramp'!T163^2)/(Links!AB163+'Off-Ramp'!T163)</f>
        <v>#DIV/0!</v>
      </c>
      <c r="BZ163" s="61" t="e">
        <f>Links!AC163</f>
        <v>#DIV/0!</v>
      </c>
      <c r="CA163" s="61" t="e">
        <f>(Links!AD163^2+'Off-Ramp'!U163^2)/(Links!AD163+'Off-Ramp'!U163)</f>
        <v>#DIV/0!</v>
      </c>
    </row>
    <row r="164" spans="1:79" x14ac:dyDescent="0.15">
      <c r="A164" s="59">
        <v>162</v>
      </c>
      <c r="B164" s="60" t="e">
        <f t="shared" si="64"/>
        <v>#DIV/0!</v>
      </c>
      <c r="C164" s="60" t="e">
        <f t="shared" si="65"/>
        <v>#DIV/0!</v>
      </c>
      <c r="D164" s="60" t="e">
        <f t="shared" si="66"/>
        <v>#DIV/0!</v>
      </c>
      <c r="E164" s="60" t="e">
        <f t="shared" si="67"/>
        <v>#DIV/0!</v>
      </c>
      <c r="F164" s="60" t="e">
        <f t="shared" si="68"/>
        <v>#DIV/0!</v>
      </c>
      <c r="G164" s="60" t="e">
        <f t="shared" si="69"/>
        <v>#DIV/0!</v>
      </c>
      <c r="H164" s="60" t="e">
        <f t="shared" si="70"/>
        <v>#DIV/0!</v>
      </c>
      <c r="I164" s="60" t="e">
        <f t="shared" si="71"/>
        <v>#DIV/0!</v>
      </c>
      <c r="J164" s="60" t="e">
        <f t="shared" si="72"/>
        <v>#DIV/0!</v>
      </c>
      <c r="K164" s="60" t="e">
        <f t="shared" si="73"/>
        <v>#DIV/0!</v>
      </c>
      <c r="L164" s="60" t="e">
        <f t="shared" si="74"/>
        <v>#DIV/0!</v>
      </c>
      <c r="M164" s="60" t="e">
        <f t="shared" si="75"/>
        <v>#DIV/0!</v>
      </c>
      <c r="N164" s="60" t="e">
        <f t="shared" si="76"/>
        <v>#DIV/0!</v>
      </c>
      <c r="O164" s="61" t="e">
        <f>Links!B164</f>
        <v>#DIV/0!</v>
      </c>
      <c r="P164" s="61" t="e">
        <f>Links!C164+'On-Ramps'!AC164</f>
        <v>#DIV/0!</v>
      </c>
      <c r="Q164" s="61" t="e">
        <f>Links!D164</f>
        <v>#DIV/0!</v>
      </c>
      <c r="R164" s="61" t="e">
        <f>Links!E164+'On-Ramps'!AD164</f>
        <v>#DIV/0!</v>
      </c>
      <c r="S164" s="61" t="e">
        <f>Links!F164+'On-Ramps'!AE164</f>
        <v>#DIV/0!</v>
      </c>
      <c r="T164" s="61" t="e">
        <f>Links!G164+'On-Ramps'!AF164</f>
        <v>#DIV/0!</v>
      </c>
      <c r="U164" s="61" t="e">
        <f>Links!H164+'On-Ramps'!AG164</f>
        <v>#DIV/0!</v>
      </c>
      <c r="V164" s="61" t="e">
        <f>Links!J164+'On-Ramps'!AH164</f>
        <v>#DIV/0!</v>
      </c>
      <c r="W164" s="61" t="e">
        <f>Links!K164+'On-Ramps'!AI164</f>
        <v>#DIV/0!</v>
      </c>
      <c r="X164" s="61" t="e">
        <f>Links!L164+'On-Ramps'!AJ164</f>
        <v>#DIV/0!</v>
      </c>
      <c r="Y164" s="61" t="e">
        <f>Links!M164</f>
        <v>#DIV/0!</v>
      </c>
      <c r="Z164" s="61" t="e">
        <f>Links!N164+'On-Ramps'!AK164</f>
        <v>#DIV/0!</v>
      </c>
      <c r="AA164" s="61" t="e">
        <f>Links!O164</f>
        <v>#DIV/0!</v>
      </c>
      <c r="AB164" s="60" t="e">
        <f t="shared" si="77"/>
        <v>#DIV/0!</v>
      </c>
      <c r="AC164" s="60" t="e">
        <f t="shared" si="78"/>
        <v>#DIV/0!</v>
      </c>
      <c r="AD164" s="60" t="e">
        <f t="shared" si="79"/>
        <v>#DIV/0!</v>
      </c>
      <c r="AE164" s="60" t="e">
        <f t="shared" si="80"/>
        <v>#DIV/0!</v>
      </c>
      <c r="AF164" s="60" t="e">
        <f t="shared" si="81"/>
        <v>#DIV/0!</v>
      </c>
      <c r="AG164" s="60" t="e">
        <f t="shared" si="82"/>
        <v>#DIV/0!</v>
      </c>
      <c r="AH164" s="60" t="e">
        <f t="shared" si="83"/>
        <v>#DIV/0!</v>
      </c>
      <c r="AI164" s="60" t="e">
        <f t="shared" si="84"/>
        <v>#DIV/0!</v>
      </c>
      <c r="AJ164" s="60" t="e">
        <f t="shared" si="85"/>
        <v>#DIV/0!</v>
      </c>
      <c r="AK164" s="60" t="e">
        <f t="shared" si="86"/>
        <v>#DIV/0!</v>
      </c>
      <c r="AL164" s="60" t="e">
        <f t="shared" si="87"/>
        <v>#DIV/0!</v>
      </c>
      <c r="AM164" s="60" t="e">
        <f t="shared" si="88"/>
        <v>#DIV/0!</v>
      </c>
      <c r="AN164" s="60" t="e">
        <f t="shared" si="90"/>
        <v>#DIV/0!</v>
      </c>
      <c r="AO164" s="61" t="e">
        <f t="shared" si="63"/>
        <v>#DIV/0!</v>
      </c>
      <c r="AP164" s="61" t="e">
        <f t="shared" si="91"/>
        <v>#DIV/0!</v>
      </c>
      <c r="AQ164" s="61" t="e">
        <f t="shared" si="91"/>
        <v>#DIV/0!</v>
      </c>
      <c r="AR164" s="61" t="e">
        <f t="shared" si="91"/>
        <v>#DIV/0!</v>
      </c>
      <c r="AS164" s="61" t="e">
        <f t="shared" si="91"/>
        <v>#DIV/0!</v>
      </c>
      <c r="AT164" s="61" t="e">
        <f t="shared" si="91"/>
        <v>#DIV/0!</v>
      </c>
      <c r="AU164" s="61" t="e">
        <f t="shared" si="91"/>
        <v>#DIV/0!</v>
      </c>
      <c r="AV164" s="61" t="e">
        <f t="shared" si="91"/>
        <v>#DIV/0!</v>
      </c>
      <c r="AW164" s="61" t="e">
        <f t="shared" si="91"/>
        <v>#DIV/0!</v>
      </c>
      <c r="AX164" s="61" t="e">
        <f t="shared" si="91"/>
        <v>#DIV/0!</v>
      </c>
      <c r="AY164" s="61" t="e">
        <f t="shared" si="91"/>
        <v>#DIV/0!</v>
      </c>
      <c r="AZ164" s="61" t="e">
        <f t="shared" si="91"/>
        <v>#DIV/0!</v>
      </c>
      <c r="BA164" s="61" t="e">
        <f t="shared" si="91"/>
        <v>#DIV/0!</v>
      </c>
      <c r="BB164" s="60" t="e">
        <f>Links!AF164</f>
        <v>#DIV/0!</v>
      </c>
      <c r="BC164" s="60" t="e">
        <f>(Links!AG164*Links!C164+'On-Ramps'!AC164*'On-Ramps'!CE164)/('On-Ramps'!AC164+Links!C164)</f>
        <v>#DIV/0!</v>
      </c>
      <c r="BD164" s="60" t="e">
        <f>Links!AH164</f>
        <v>#DIV/0!</v>
      </c>
      <c r="BE164" s="60" t="e">
        <f>(Links!AI164*Links!E164+'On-Ramps'!AD164*'On-Ramps'!CF163)/('On-Ramps'!AD164+Links!E164)</f>
        <v>#DIV/0!</v>
      </c>
      <c r="BF164" s="60" t="e">
        <f>(Links!F164*Links!AJ164+'On-Ramps'!AE164*'On-Ramps'!CG164)/('On-Ramps'!AE164+Links!F164)</f>
        <v>#DIV/0!</v>
      </c>
      <c r="BG164" s="60" t="e">
        <f>(Links!G164*Links!AK164+'On-Ramps'!AF164*'On-Ramps'!CH164)/('On-Ramps'!AF164+Links!G164)</f>
        <v>#DIV/0!</v>
      </c>
      <c r="BH164" s="60" t="e">
        <f>(Links!H164*Links!AL164+'On-Ramps'!AG164*'On-Ramps'!CI164)/('On-Ramps'!AG164+Links!H164)</f>
        <v>#DIV/0!</v>
      </c>
      <c r="BI164" s="60" t="e">
        <f>(Links!J164*Links!AN164+'On-Ramps'!AH164*'On-Ramps'!CJ164)/('On-Ramps'!AH164+Links!J164)</f>
        <v>#DIV/0!</v>
      </c>
      <c r="BJ164" s="60" t="e">
        <f>(Links!K164*Links!AO164+'On-Ramps'!AI164*'On-Ramps'!CK164)/('On-Ramps'!AI164+Links!K164)</f>
        <v>#DIV/0!</v>
      </c>
      <c r="BK164" s="60" t="e">
        <f>(Links!L164*Links!AP164+'On-Ramps'!AJ164*'On-Ramps'!CL164)/(Links!L164+'On-Ramps'!AJ164)</f>
        <v>#DIV/0!</v>
      </c>
      <c r="BL164" s="60" t="e">
        <f>Links!AQ164</f>
        <v>#DIV/0!</v>
      </c>
      <c r="BM164" s="60" t="e">
        <f>(Links!N164*Links!AR164+'On-Ramps'!AL164*'On-Ramps'!CM164)/(Links!N164+'On-Ramps'!AL164)</f>
        <v>#DIV/0!</v>
      </c>
      <c r="BN164" s="60" t="e">
        <f>Links!AS164</f>
        <v>#DIV/0!</v>
      </c>
      <c r="BO164" s="61" t="e">
        <f>(Links!R164^2+'Off-Ramp'!L164^2)/(Links!R164+'Off-Ramp'!L164)</f>
        <v>#DIV/0!</v>
      </c>
      <c r="BP164" s="61" t="e">
        <f>Links!S164</f>
        <v>#DIV/0!</v>
      </c>
      <c r="BQ164" s="61" t="e">
        <f>(Links!S164^2+'Off-Ramp'!C164^2)/(Links!S164+'Off-Ramp'!C164)</f>
        <v>#DIV/0!</v>
      </c>
      <c r="BR164" s="61" t="e">
        <f>Links!T164</f>
        <v>#DIV/0!</v>
      </c>
      <c r="BS164" s="61" t="e">
        <f>(Links!U164^2+'Off-Ramp'!N164^2)/(Links!U164+'Off-Ramp'!N164)</f>
        <v>#DIV/0!</v>
      </c>
      <c r="BT164" s="61" t="e">
        <f>(Links!V164^2+'Off-Ramp'!O164^2)/(Links!V164+'Off-Ramp'!O164)</f>
        <v>#DIV/0!</v>
      </c>
      <c r="BU164" s="61" t="e">
        <f>(Links!W164^2+'Off-Ramp'!P164^2)/(Links!W164+'Off-Ramp'!P164)</f>
        <v>#DIV/0!</v>
      </c>
      <c r="BV164" s="61" t="e">
        <f>(Links!Y164^2+'Off-Ramp'!Q164^2)/(Links!Y164+'Off-Ramp'!Q164)</f>
        <v>#DIV/0!</v>
      </c>
      <c r="BW164" s="61" t="e">
        <f>(Links!Z164^2+'Off-Ramp'!R164^2)/(Links!Z164+'Off-Ramp'!R164)</f>
        <v>#DIV/0!</v>
      </c>
      <c r="BX164" s="61" t="e">
        <f>(Links!AA164+'Off-Ramp'!S164)/(Links!AA164^2+'Off-Ramp'!S164^2)</f>
        <v>#DIV/0!</v>
      </c>
      <c r="BY164" s="61" t="e">
        <f>(Links!AB164^2+'Off-Ramp'!T164^2)/(Links!AB164+'Off-Ramp'!T164)</f>
        <v>#DIV/0!</v>
      </c>
      <c r="BZ164" s="61" t="e">
        <f>Links!AC164</f>
        <v>#DIV/0!</v>
      </c>
      <c r="CA164" s="61" t="e">
        <f>(Links!AD164^2+'Off-Ramp'!U164^2)/(Links!AD164+'Off-Ramp'!U164)</f>
        <v>#DIV/0!</v>
      </c>
    </row>
    <row r="165" spans="1:79" x14ac:dyDescent="0.15">
      <c r="A165" s="59">
        <v>163</v>
      </c>
      <c r="B165" s="60" t="e">
        <f t="shared" si="64"/>
        <v>#DIV/0!</v>
      </c>
      <c r="C165" s="60" t="e">
        <f t="shared" si="65"/>
        <v>#DIV/0!</v>
      </c>
      <c r="D165" s="60" t="e">
        <f t="shared" si="66"/>
        <v>#DIV/0!</v>
      </c>
      <c r="E165" s="60" t="e">
        <f t="shared" si="67"/>
        <v>#DIV/0!</v>
      </c>
      <c r="F165" s="60" t="e">
        <f t="shared" si="68"/>
        <v>#DIV/0!</v>
      </c>
      <c r="G165" s="60" t="e">
        <f t="shared" si="69"/>
        <v>#DIV/0!</v>
      </c>
      <c r="H165" s="60" t="e">
        <f t="shared" si="70"/>
        <v>#DIV/0!</v>
      </c>
      <c r="I165" s="60" t="e">
        <f t="shared" si="71"/>
        <v>#DIV/0!</v>
      </c>
      <c r="J165" s="60" t="e">
        <f t="shared" si="72"/>
        <v>#DIV/0!</v>
      </c>
      <c r="K165" s="60" t="e">
        <f t="shared" si="73"/>
        <v>#DIV/0!</v>
      </c>
      <c r="L165" s="60" t="e">
        <f t="shared" si="74"/>
        <v>#DIV/0!</v>
      </c>
      <c r="M165" s="60" t="e">
        <f t="shared" si="75"/>
        <v>#DIV/0!</v>
      </c>
      <c r="N165" s="60" t="e">
        <f t="shared" si="76"/>
        <v>#DIV/0!</v>
      </c>
      <c r="O165" s="61" t="e">
        <f>Links!B165</f>
        <v>#DIV/0!</v>
      </c>
      <c r="P165" s="61" t="e">
        <f>Links!C165+'On-Ramps'!AC165</f>
        <v>#DIV/0!</v>
      </c>
      <c r="Q165" s="61" t="e">
        <f>Links!D165</f>
        <v>#DIV/0!</v>
      </c>
      <c r="R165" s="61" t="e">
        <f>Links!E165+'On-Ramps'!AD165</f>
        <v>#DIV/0!</v>
      </c>
      <c r="S165" s="61" t="e">
        <f>Links!F165+'On-Ramps'!AE165</f>
        <v>#DIV/0!</v>
      </c>
      <c r="T165" s="61" t="e">
        <f>Links!G165+'On-Ramps'!AF165</f>
        <v>#DIV/0!</v>
      </c>
      <c r="U165" s="61" t="e">
        <f>Links!H165+'On-Ramps'!AG165</f>
        <v>#DIV/0!</v>
      </c>
      <c r="V165" s="61" t="e">
        <f>Links!J165+'On-Ramps'!AH165</f>
        <v>#DIV/0!</v>
      </c>
      <c r="W165" s="61" t="e">
        <f>Links!K165+'On-Ramps'!AI165</f>
        <v>#DIV/0!</v>
      </c>
      <c r="X165" s="61" t="e">
        <f>Links!L165+'On-Ramps'!AJ165</f>
        <v>#DIV/0!</v>
      </c>
      <c r="Y165" s="61" t="e">
        <f>Links!M165</f>
        <v>#DIV/0!</v>
      </c>
      <c r="Z165" s="61" t="e">
        <f>Links!N165+'On-Ramps'!AK165</f>
        <v>#DIV/0!</v>
      </c>
      <c r="AA165" s="61" t="e">
        <f>Links!O165</f>
        <v>#DIV/0!</v>
      </c>
      <c r="AB165" s="60" t="e">
        <f t="shared" si="77"/>
        <v>#DIV/0!</v>
      </c>
      <c r="AC165" s="60" t="e">
        <f t="shared" si="78"/>
        <v>#DIV/0!</v>
      </c>
      <c r="AD165" s="60" t="e">
        <f t="shared" si="79"/>
        <v>#DIV/0!</v>
      </c>
      <c r="AE165" s="60" t="e">
        <f t="shared" si="80"/>
        <v>#DIV/0!</v>
      </c>
      <c r="AF165" s="60" t="e">
        <f t="shared" si="81"/>
        <v>#DIV/0!</v>
      </c>
      <c r="AG165" s="60" t="e">
        <f t="shared" si="82"/>
        <v>#DIV/0!</v>
      </c>
      <c r="AH165" s="60" t="e">
        <f t="shared" si="83"/>
        <v>#DIV/0!</v>
      </c>
      <c r="AI165" s="60" t="e">
        <f t="shared" si="84"/>
        <v>#DIV/0!</v>
      </c>
      <c r="AJ165" s="60" t="e">
        <f t="shared" si="85"/>
        <v>#DIV/0!</v>
      </c>
      <c r="AK165" s="60" t="e">
        <f t="shared" si="86"/>
        <v>#DIV/0!</v>
      </c>
      <c r="AL165" s="60" t="e">
        <f t="shared" si="87"/>
        <v>#DIV/0!</v>
      </c>
      <c r="AM165" s="60" t="e">
        <f t="shared" si="88"/>
        <v>#DIV/0!</v>
      </c>
      <c r="AN165" s="60" t="e">
        <f t="shared" si="90"/>
        <v>#DIV/0!</v>
      </c>
      <c r="AO165" s="61" t="e">
        <f t="shared" si="63"/>
        <v>#DIV/0!</v>
      </c>
      <c r="AP165" s="61" t="e">
        <f t="shared" si="91"/>
        <v>#DIV/0!</v>
      </c>
      <c r="AQ165" s="61" t="e">
        <f t="shared" si="91"/>
        <v>#DIV/0!</v>
      </c>
      <c r="AR165" s="61" t="e">
        <f t="shared" si="91"/>
        <v>#DIV/0!</v>
      </c>
      <c r="AS165" s="61" t="e">
        <f t="shared" si="91"/>
        <v>#DIV/0!</v>
      </c>
      <c r="AT165" s="61" t="e">
        <f t="shared" si="91"/>
        <v>#DIV/0!</v>
      </c>
      <c r="AU165" s="61" t="e">
        <f t="shared" si="91"/>
        <v>#DIV/0!</v>
      </c>
      <c r="AV165" s="61" t="e">
        <f t="shared" si="91"/>
        <v>#DIV/0!</v>
      </c>
      <c r="AW165" s="61" t="e">
        <f t="shared" si="91"/>
        <v>#DIV/0!</v>
      </c>
      <c r="AX165" s="61" t="e">
        <f t="shared" si="91"/>
        <v>#DIV/0!</v>
      </c>
      <c r="AY165" s="61" t="e">
        <f t="shared" si="91"/>
        <v>#DIV/0!</v>
      </c>
      <c r="AZ165" s="61" t="e">
        <f t="shared" si="91"/>
        <v>#DIV/0!</v>
      </c>
      <c r="BA165" s="61" t="e">
        <f t="shared" si="91"/>
        <v>#DIV/0!</v>
      </c>
      <c r="BB165" s="60" t="e">
        <f>Links!AF165</f>
        <v>#DIV/0!</v>
      </c>
      <c r="BC165" s="60" t="e">
        <f>(Links!AG165*Links!C165+'On-Ramps'!AC165*'On-Ramps'!CE165)/('On-Ramps'!AC165+Links!C165)</f>
        <v>#DIV/0!</v>
      </c>
      <c r="BD165" s="60" t="e">
        <f>Links!AH165</f>
        <v>#DIV/0!</v>
      </c>
      <c r="BE165" s="60" t="e">
        <f>(Links!AI165*Links!E165+'On-Ramps'!AD165*'On-Ramps'!CF164)/('On-Ramps'!AD165+Links!E165)</f>
        <v>#DIV/0!</v>
      </c>
      <c r="BF165" s="60" t="e">
        <f>(Links!F165*Links!AJ165+'On-Ramps'!AE165*'On-Ramps'!CG165)/('On-Ramps'!AE165+Links!F165)</f>
        <v>#DIV/0!</v>
      </c>
      <c r="BG165" s="60" t="e">
        <f>(Links!G165*Links!AK165+'On-Ramps'!AF165*'On-Ramps'!CH165)/('On-Ramps'!AF165+Links!G165)</f>
        <v>#DIV/0!</v>
      </c>
      <c r="BH165" s="60" t="e">
        <f>(Links!H165*Links!AL165+'On-Ramps'!AG165*'On-Ramps'!CI165)/('On-Ramps'!AG165+Links!H165)</f>
        <v>#DIV/0!</v>
      </c>
      <c r="BI165" s="60" t="e">
        <f>(Links!J165*Links!AN165+'On-Ramps'!AH165*'On-Ramps'!CJ165)/('On-Ramps'!AH165+Links!J165)</f>
        <v>#DIV/0!</v>
      </c>
      <c r="BJ165" s="60" t="e">
        <f>(Links!K165*Links!AO165+'On-Ramps'!AI165*'On-Ramps'!CK165)/('On-Ramps'!AI165+Links!K165)</f>
        <v>#DIV/0!</v>
      </c>
      <c r="BK165" s="60" t="e">
        <f>(Links!L165*Links!AP165+'On-Ramps'!AJ165*'On-Ramps'!CL165)/(Links!L165+'On-Ramps'!AJ165)</f>
        <v>#DIV/0!</v>
      </c>
      <c r="BL165" s="60" t="e">
        <f>Links!AQ165</f>
        <v>#DIV/0!</v>
      </c>
      <c r="BM165" s="60" t="e">
        <f>(Links!N165*Links!AR165+'On-Ramps'!AL165*'On-Ramps'!CM165)/(Links!N165+'On-Ramps'!AL165)</f>
        <v>#DIV/0!</v>
      </c>
      <c r="BN165" s="60" t="e">
        <f>Links!AS165</f>
        <v>#DIV/0!</v>
      </c>
      <c r="BO165" s="61" t="e">
        <f>(Links!R165^2+'Off-Ramp'!L165^2)/(Links!R165+'Off-Ramp'!L165)</f>
        <v>#DIV/0!</v>
      </c>
      <c r="BP165" s="61" t="e">
        <f>Links!S165</f>
        <v>#DIV/0!</v>
      </c>
      <c r="BQ165" s="61" t="e">
        <f>(Links!S165^2+'Off-Ramp'!C165^2)/(Links!S165+'Off-Ramp'!C165)</f>
        <v>#DIV/0!</v>
      </c>
      <c r="BR165" s="61" t="e">
        <f>Links!T165</f>
        <v>#DIV/0!</v>
      </c>
      <c r="BS165" s="61" t="e">
        <f>(Links!U165^2+'Off-Ramp'!N165^2)/(Links!U165+'Off-Ramp'!N165)</f>
        <v>#DIV/0!</v>
      </c>
      <c r="BT165" s="61" t="e">
        <f>(Links!V165^2+'Off-Ramp'!O165^2)/(Links!V165+'Off-Ramp'!O165)</f>
        <v>#DIV/0!</v>
      </c>
      <c r="BU165" s="61" t="e">
        <f>(Links!W165^2+'Off-Ramp'!P165^2)/(Links!W165+'Off-Ramp'!P165)</f>
        <v>#DIV/0!</v>
      </c>
      <c r="BV165" s="61" t="e">
        <f>(Links!Y165^2+'Off-Ramp'!Q165^2)/(Links!Y165+'Off-Ramp'!Q165)</f>
        <v>#DIV/0!</v>
      </c>
      <c r="BW165" s="61" t="e">
        <f>(Links!Z165^2+'Off-Ramp'!R165^2)/(Links!Z165+'Off-Ramp'!R165)</f>
        <v>#DIV/0!</v>
      </c>
      <c r="BX165" s="61" t="e">
        <f>(Links!AA165+'Off-Ramp'!S165)/(Links!AA165^2+'Off-Ramp'!S165^2)</f>
        <v>#DIV/0!</v>
      </c>
      <c r="BY165" s="61" t="e">
        <f>(Links!AB165^2+'Off-Ramp'!T165^2)/(Links!AB165+'Off-Ramp'!T165)</f>
        <v>#DIV/0!</v>
      </c>
      <c r="BZ165" s="61" t="e">
        <f>Links!AC165</f>
        <v>#DIV/0!</v>
      </c>
      <c r="CA165" s="61" t="e">
        <f>(Links!AD165^2+'Off-Ramp'!U165^2)/(Links!AD165+'Off-Ramp'!U165)</f>
        <v>#DIV/0!</v>
      </c>
    </row>
    <row r="166" spans="1:79" x14ac:dyDescent="0.15">
      <c r="A166" s="59">
        <v>164</v>
      </c>
      <c r="B166" s="60" t="e">
        <f t="shared" si="64"/>
        <v>#DIV/0!</v>
      </c>
      <c r="C166" s="60" t="e">
        <f t="shared" si="65"/>
        <v>#DIV/0!</v>
      </c>
      <c r="D166" s="60" t="e">
        <f t="shared" si="66"/>
        <v>#DIV/0!</v>
      </c>
      <c r="E166" s="60" t="e">
        <f t="shared" si="67"/>
        <v>#DIV/0!</v>
      </c>
      <c r="F166" s="60" t="e">
        <f t="shared" si="68"/>
        <v>#DIV/0!</v>
      </c>
      <c r="G166" s="60" t="e">
        <f t="shared" si="69"/>
        <v>#DIV/0!</v>
      </c>
      <c r="H166" s="60" t="e">
        <f t="shared" si="70"/>
        <v>#DIV/0!</v>
      </c>
      <c r="I166" s="60" t="e">
        <f t="shared" si="71"/>
        <v>#DIV/0!</v>
      </c>
      <c r="J166" s="60" t="e">
        <f t="shared" si="72"/>
        <v>#DIV/0!</v>
      </c>
      <c r="K166" s="60" t="e">
        <f t="shared" si="73"/>
        <v>#DIV/0!</v>
      </c>
      <c r="L166" s="60" t="e">
        <f t="shared" si="74"/>
        <v>#DIV/0!</v>
      </c>
      <c r="M166" s="60" t="e">
        <f t="shared" si="75"/>
        <v>#DIV/0!</v>
      </c>
      <c r="N166" s="60" t="e">
        <f t="shared" si="76"/>
        <v>#DIV/0!</v>
      </c>
      <c r="O166" s="61" t="e">
        <f>Links!B166</f>
        <v>#DIV/0!</v>
      </c>
      <c r="P166" s="61" t="e">
        <f>Links!C166+'On-Ramps'!AC166</f>
        <v>#DIV/0!</v>
      </c>
      <c r="Q166" s="61" t="e">
        <f>Links!D166</f>
        <v>#DIV/0!</v>
      </c>
      <c r="R166" s="61" t="e">
        <f>Links!E166+'On-Ramps'!AD166</f>
        <v>#DIV/0!</v>
      </c>
      <c r="S166" s="61" t="e">
        <f>Links!F166+'On-Ramps'!AE166</f>
        <v>#DIV/0!</v>
      </c>
      <c r="T166" s="61" t="e">
        <f>Links!G166+'On-Ramps'!AF166</f>
        <v>#DIV/0!</v>
      </c>
      <c r="U166" s="61" t="e">
        <f>Links!H166+'On-Ramps'!AG166</f>
        <v>#DIV/0!</v>
      </c>
      <c r="V166" s="61" t="e">
        <f>Links!J166+'On-Ramps'!AH166</f>
        <v>#DIV/0!</v>
      </c>
      <c r="W166" s="61" t="e">
        <f>Links!K166+'On-Ramps'!AI166</f>
        <v>#DIV/0!</v>
      </c>
      <c r="X166" s="61" t="e">
        <f>Links!L166+'On-Ramps'!AJ166</f>
        <v>#DIV/0!</v>
      </c>
      <c r="Y166" s="61" t="e">
        <f>Links!M166</f>
        <v>#DIV/0!</v>
      </c>
      <c r="Z166" s="61" t="e">
        <f>Links!N166+'On-Ramps'!AK166</f>
        <v>#DIV/0!</v>
      </c>
      <c r="AA166" s="61" t="e">
        <f>Links!O166</f>
        <v>#DIV/0!</v>
      </c>
      <c r="AB166" s="60" t="e">
        <f t="shared" si="77"/>
        <v>#DIV/0!</v>
      </c>
      <c r="AC166" s="60" t="e">
        <f t="shared" si="78"/>
        <v>#DIV/0!</v>
      </c>
      <c r="AD166" s="60" t="e">
        <f t="shared" si="79"/>
        <v>#DIV/0!</v>
      </c>
      <c r="AE166" s="60" t="e">
        <f t="shared" si="80"/>
        <v>#DIV/0!</v>
      </c>
      <c r="AF166" s="60" t="e">
        <f t="shared" si="81"/>
        <v>#DIV/0!</v>
      </c>
      <c r="AG166" s="60" t="e">
        <f t="shared" si="82"/>
        <v>#DIV/0!</v>
      </c>
      <c r="AH166" s="60" t="e">
        <f t="shared" si="83"/>
        <v>#DIV/0!</v>
      </c>
      <c r="AI166" s="60" t="e">
        <f t="shared" si="84"/>
        <v>#DIV/0!</v>
      </c>
      <c r="AJ166" s="60" t="e">
        <f t="shared" si="85"/>
        <v>#DIV/0!</v>
      </c>
      <c r="AK166" s="60" t="e">
        <f t="shared" si="86"/>
        <v>#DIV/0!</v>
      </c>
      <c r="AL166" s="60" t="e">
        <f t="shared" si="87"/>
        <v>#DIV/0!</v>
      </c>
      <c r="AM166" s="60" t="e">
        <f t="shared" si="88"/>
        <v>#DIV/0!</v>
      </c>
      <c r="AN166" s="60" t="e">
        <f t="shared" si="90"/>
        <v>#DIV/0!</v>
      </c>
      <c r="AO166" s="61" t="e">
        <f t="shared" si="63"/>
        <v>#DIV/0!</v>
      </c>
      <c r="AP166" s="61" t="e">
        <f t="shared" si="91"/>
        <v>#DIV/0!</v>
      </c>
      <c r="AQ166" s="61" t="e">
        <f t="shared" si="91"/>
        <v>#DIV/0!</v>
      </c>
      <c r="AR166" s="61" t="e">
        <f t="shared" si="91"/>
        <v>#DIV/0!</v>
      </c>
      <c r="AS166" s="61" t="e">
        <f t="shared" si="91"/>
        <v>#DIV/0!</v>
      </c>
      <c r="AT166" s="61" t="e">
        <f t="shared" si="91"/>
        <v>#DIV/0!</v>
      </c>
      <c r="AU166" s="61" t="e">
        <f t="shared" si="91"/>
        <v>#DIV/0!</v>
      </c>
      <c r="AV166" s="61" t="e">
        <f t="shared" si="91"/>
        <v>#DIV/0!</v>
      </c>
      <c r="AW166" s="61" t="e">
        <f t="shared" si="91"/>
        <v>#DIV/0!</v>
      </c>
      <c r="AX166" s="61" t="e">
        <f t="shared" si="91"/>
        <v>#DIV/0!</v>
      </c>
      <c r="AY166" s="61" t="e">
        <f t="shared" si="91"/>
        <v>#DIV/0!</v>
      </c>
      <c r="AZ166" s="61" t="e">
        <f t="shared" si="91"/>
        <v>#DIV/0!</v>
      </c>
      <c r="BA166" s="61" t="e">
        <f t="shared" si="91"/>
        <v>#DIV/0!</v>
      </c>
      <c r="BB166" s="60" t="e">
        <f>Links!AF166</f>
        <v>#DIV/0!</v>
      </c>
      <c r="BC166" s="60" t="e">
        <f>(Links!AG166*Links!C166+'On-Ramps'!AC166*'On-Ramps'!CE166)/('On-Ramps'!AC166+Links!C166)</f>
        <v>#DIV/0!</v>
      </c>
      <c r="BD166" s="60" t="e">
        <f>Links!AH166</f>
        <v>#DIV/0!</v>
      </c>
      <c r="BE166" s="60" t="e">
        <f>(Links!AI166*Links!E166+'On-Ramps'!AD166*'On-Ramps'!CF165)/('On-Ramps'!AD166+Links!E166)</f>
        <v>#DIV/0!</v>
      </c>
      <c r="BF166" s="60" t="e">
        <f>(Links!F166*Links!AJ166+'On-Ramps'!AE166*'On-Ramps'!CG166)/('On-Ramps'!AE166+Links!F166)</f>
        <v>#DIV/0!</v>
      </c>
      <c r="BG166" s="60" t="e">
        <f>(Links!G166*Links!AK166+'On-Ramps'!AF166*'On-Ramps'!CH166)/('On-Ramps'!AF166+Links!G166)</f>
        <v>#DIV/0!</v>
      </c>
      <c r="BH166" s="60" t="e">
        <f>(Links!H166*Links!AL166+'On-Ramps'!AG166*'On-Ramps'!CI166)/('On-Ramps'!AG166+Links!H166)</f>
        <v>#DIV/0!</v>
      </c>
      <c r="BI166" s="60" t="e">
        <f>(Links!J166*Links!AN166+'On-Ramps'!AH166*'On-Ramps'!CJ166)/('On-Ramps'!AH166+Links!J166)</f>
        <v>#DIV/0!</v>
      </c>
      <c r="BJ166" s="60" t="e">
        <f>(Links!K166*Links!AO166+'On-Ramps'!AI166*'On-Ramps'!CK166)/('On-Ramps'!AI166+Links!K166)</f>
        <v>#DIV/0!</v>
      </c>
      <c r="BK166" s="60" t="e">
        <f>(Links!L166*Links!AP166+'On-Ramps'!AJ166*'On-Ramps'!CL166)/(Links!L166+'On-Ramps'!AJ166)</f>
        <v>#DIV/0!</v>
      </c>
      <c r="BL166" s="60" t="e">
        <f>Links!AQ166</f>
        <v>#DIV/0!</v>
      </c>
      <c r="BM166" s="60" t="e">
        <f>(Links!N166*Links!AR166+'On-Ramps'!AL166*'On-Ramps'!CM166)/(Links!N166+'On-Ramps'!AL166)</f>
        <v>#DIV/0!</v>
      </c>
      <c r="BN166" s="60" t="e">
        <f>Links!AS166</f>
        <v>#DIV/0!</v>
      </c>
      <c r="BO166" s="61" t="e">
        <f>(Links!R166^2+'Off-Ramp'!L166^2)/(Links!R166+'Off-Ramp'!L166)</f>
        <v>#DIV/0!</v>
      </c>
      <c r="BP166" s="61" t="e">
        <f>Links!S166</f>
        <v>#DIV/0!</v>
      </c>
      <c r="BQ166" s="61" t="e">
        <f>(Links!S166^2+'Off-Ramp'!C166^2)/(Links!S166+'Off-Ramp'!C166)</f>
        <v>#DIV/0!</v>
      </c>
      <c r="BR166" s="61" t="e">
        <f>Links!T166</f>
        <v>#DIV/0!</v>
      </c>
      <c r="BS166" s="61" t="e">
        <f>(Links!U166^2+'Off-Ramp'!N166^2)/(Links!U166+'Off-Ramp'!N166)</f>
        <v>#DIV/0!</v>
      </c>
      <c r="BT166" s="61" t="e">
        <f>(Links!V166^2+'Off-Ramp'!O166^2)/(Links!V166+'Off-Ramp'!O166)</f>
        <v>#DIV/0!</v>
      </c>
      <c r="BU166" s="61" t="e">
        <f>(Links!W166^2+'Off-Ramp'!P166^2)/(Links!W166+'Off-Ramp'!P166)</f>
        <v>#DIV/0!</v>
      </c>
      <c r="BV166" s="61" t="e">
        <f>(Links!Y166^2+'Off-Ramp'!Q166^2)/(Links!Y166+'Off-Ramp'!Q166)</f>
        <v>#DIV/0!</v>
      </c>
      <c r="BW166" s="61" t="e">
        <f>(Links!Z166^2+'Off-Ramp'!R166^2)/(Links!Z166+'Off-Ramp'!R166)</f>
        <v>#DIV/0!</v>
      </c>
      <c r="BX166" s="61" t="e">
        <f>(Links!AA166+'Off-Ramp'!S166)/(Links!AA166^2+'Off-Ramp'!S166^2)</f>
        <v>#DIV/0!</v>
      </c>
      <c r="BY166" s="61" t="e">
        <f>(Links!AB166^2+'Off-Ramp'!T166^2)/(Links!AB166+'Off-Ramp'!T166)</f>
        <v>#DIV/0!</v>
      </c>
      <c r="BZ166" s="61" t="e">
        <f>Links!AC166</f>
        <v>#DIV/0!</v>
      </c>
      <c r="CA166" s="61" t="e">
        <f>(Links!AD166^2+'Off-Ramp'!U166^2)/(Links!AD166+'Off-Ramp'!U166)</f>
        <v>#DIV/0!</v>
      </c>
    </row>
    <row r="167" spans="1:79" x14ac:dyDescent="0.15">
      <c r="A167" s="59">
        <v>165</v>
      </c>
      <c r="B167" s="60" t="e">
        <f t="shared" si="64"/>
        <v>#DIV/0!</v>
      </c>
      <c r="C167" s="60" t="e">
        <f t="shared" si="65"/>
        <v>#DIV/0!</v>
      </c>
      <c r="D167" s="60" t="e">
        <f t="shared" si="66"/>
        <v>#DIV/0!</v>
      </c>
      <c r="E167" s="60" t="e">
        <f t="shared" si="67"/>
        <v>#DIV/0!</v>
      </c>
      <c r="F167" s="60" t="e">
        <f t="shared" si="68"/>
        <v>#DIV/0!</v>
      </c>
      <c r="G167" s="60" t="e">
        <f t="shared" si="69"/>
        <v>#DIV/0!</v>
      </c>
      <c r="H167" s="60" t="e">
        <f t="shared" si="70"/>
        <v>#DIV/0!</v>
      </c>
      <c r="I167" s="60" t="e">
        <f t="shared" si="71"/>
        <v>#DIV/0!</v>
      </c>
      <c r="J167" s="60" t="e">
        <f t="shared" si="72"/>
        <v>#DIV/0!</v>
      </c>
      <c r="K167" s="60" t="e">
        <f t="shared" si="73"/>
        <v>#DIV/0!</v>
      </c>
      <c r="L167" s="60" t="e">
        <f t="shared" si="74"/>
        <v>#DIV/0!</v>
      </c>
      <c r="M167" s="60" t="e">
        <f t="shared" si="75"/>
        <v>#DIV/0!</v>
      </c>
      <c r="N167" s="60" t="e">
        <f t="shared" si="76"/>
        <v>#DIV/0!</v>
      </c>
      <c r="O167" s="61" t="e">
        <f>Links!B167</f>
        <v>#DIV/0!</v>
      </c>
      <c r="P167" s="61" t="e">
        <f>Links!C167+'On-Ramps'!AC167</f>
        <v>#DIV/0!</v>
      </c>
      <c r="Q167" s="61" t="e">
        <f>Links!D167</f>
        <v>#DIV/0!</v>
      </c>
      <c r="R167" s="61" t="e">
        <f>Links!E167+'On-Ramps'!AD167</f>
        <v>#DIV/0!</v>
      </c>
      <c r="S167" s="61" t="e">
        <f>Links!F167+'On-Ramps'!AE167</f>
        <v>#DIV/0!</v>
      </c>
      <c r="T167" s="61" t="e">
        <f>Links!G167+'On-Ramps'!AF167</f>
        <v>#DIV/0!</v>
      </c>
      <c r="U167" s="61" t="e">
        <f>Links!H167+'On-Ramps'!AG167</f>
        <v>#DIV/0!</v>
      </c>
      <c r="V167" s="61" t="e">
        <f>Links!J167+'On-Ramps'!AH167</f>
        <v>#DIV/0!</v>
      </c>
      <c r="W167" s="61" t="e">
        <f>Links!K167+'On-Ramps'!AI167</f>
        <v>#DIV/0!</v>
      </c>
      <c r="X167" s="61" t="e">
        <f>Links!L167+'On-Ramps'!AJ167</f>
        <v>#DIV/0!</v>
      </c>
      <c r="Y167" s="61" t="e">
        <f>Links!M167</f>
        <v>#DIV/0!</v>
      </c>
      <c r="Z167" s="61" t="e">
        <f>Links!N167+'On-Ramps'!AK167</f>
        <v>#DIV/0!</v>
      </c>
      <c r="AA167" s="61" t="e">
        <f>Links!O167</f>
        <v>#DIV/0!</v>
      </c>
      <c r="AB167" s="60" t="e">
        <f t="shared" si="77"/>
        <v>#DIV/0!</v>
      </c>
      <c r="AC167" s="60" t="e">
        <f t="shared" si="78"/>
        <v>#DIV/0!</v>
      </c>
      <c r="AD167" s="60" t="e">
        <f t="shared" si="79"/>
        <v>#DIV/0!</v>
      </c>
      <c r="AE167" s="60" t="e">
        <f t="shared" si="80"/>
        <v>#DIV/0!</v>
      </c>
      <c r="AF167" s="60" t="e">
        <f t="shared" si="81"/>
        <v>#DIV/0!</v>
      </c>
      <c r="AG167" s="60" t="e">
        <f t="shared" si="82"/>
        <v>#DIV/0!</v>
      </c>
      <c r="AH167" s="60" t="e">
        <f t="shared" si="83"/>
        <v>#DIV/0!</v>
      </c>
      <c r="AI167" s="60" t="e">
        <f t="shared" si="84"/>
        <v>#DIV/0!</v>
      </c>
      <c r="AJ167" s="60" t="e">
        <f t="shared" si="85"/>
        <v>#DIV/0!</v>
      </c>
      <c r="AK167" s="60" t="e">
        <f t="shared" si="86"/>
        <v>#DIV/0!</v>
      </c>
      <c r="AL167" s="60" t="e">
        <f t="shared" si="87"/>
        <v>#DIV/0!</v>
      </c>
      <c r="AM167" s="60" t="e">
        <f t="shared" si="88"/>
        <v>#DIV/0!</v>
      </c>
      <c r="AN167" s="60" t="e">
        <f t="shared" si="90"/>
        <v>#DIV/0!</v>
      </c>
      <c r="AO167" s="61" t="e">
        <f t="shared" si="63"/>
        <v>#DIV/0!</v>
      </c>
      <c r="AP167" s="61" t="e">
        <f t="shared" si="91"/>
        <v>#DIV/0!</v>
      </c>
      <c r="AQ167" s="61" t="e">
        <f t="shared" si="91"/>
        <v>#DIV/0!</v>
      </c>
      <c r="AR167" s="61" t="e">
        <f t="shared" si="91"/>
        <v>#DIV/0!</v>
      </c>
      <c r="AS167" s="61" t="e">
        <f t="shared" si="91"/>
        <v>#DIV/0!</v>
      </c>
      <c r="AT167" s="61" t="e">
        <f t="shared" si="91"/>
        <v>#DIV/0!</v>
      </c>
      <c r="AU167" s="61" t="e">
        <f t="shared" si="91"/>
        <v>#DIV/0!</v>
      </c>
      <c r="AV167" s="61" t="e">
        <f t="shared" si="91"/>
        <v>#DIV/0!</v>
      </c>
      <c r="AW167" s="61" t="e">
        <f t="shared" si="91"/>
        <v>#DIV/0!</v>
      </c>
      <c r="AX167" s="61" t="e">
        <f t="shared" si="91"/>
        <v>#DIV/0!</v>
      </c>
      <c r="AY167" s="61" t="e">
        <f t="shared" si="91"/>
        <v>#DIV/0!</v>
      </c>
      <c r="AZ167" s="61" t="e">
        <f t="shared" si="91"/>
        <v>#DIV/0!</v>
      </c>
      <c r="BA167" s="61" t="e">
        <f t="shared" si="91"/>
        <v>#DIV/0!</v>
      </c>
      <c r="BB167" s="60" t="e">
        <f>Links!AF167</f>
        <v>#DIV/0!</v>
      </c>
      <c r="BC167" s="60" t="e">
        <f>(Links!AG167*Links!C167+'On-Ramps'!AC167*'On-Ramps'!CE167)/('On-Ramps'!AC167+Links!C167)</f>
        <v>#DIV/0!</v>
      </c>
      <c r="BD167" s="60" t="e">
        <f>Links!AH167</f>
        <v>#DIV/0!</v>
      </c>
      <c r="BE167" s="60" t="e">
        <f>(Links!AI167*Links!E167+'On-Ramps'!AD167*'On-Ramps'!CF166)/('On-Ramps'!AD167+Links!E167)</f>
        <v>#DIV/0!</v>
      </c>
      <c r="BF167" s="60" t="e">
        <f>(Links!F167*Links!AJ167+'On-Ramps'!AE167*'On-Ramps'!CG167)/('On-Ramps'!AE167+Links!F167)</f>
        <v>#DIV/0!</v>
      </c>
      <c r="BG167" s="60" t="e">
        <f>(Links!G167*Links!AK167+'On-Ramps'!AF167*'On-Ramps'!CH167)/('On-Ramps'!AF167+Links!G167)</f>
        <v>#DIV/0!</v>
      </c>
      <c r="BH167" s="60" t="e">
        <f>(Links!H167*Links!AL167+'On-Ramps'!AG167*'On-Ramps'!CI167)/('On-Ramps'!AG167+Links!H167)</f>
        <v>#DIV/0!</v>
      </c>
      <c r="BI167" s="60" t="e">
        <f>(Links!J167*Links!AN167+'On-Ramps'!AH167*'On-Ramps'!CJ167)/('On-Ramps'!AH167+Links!J167)</f>
        <v>#DIV/0!</v>
      </c>
      <c r="BJ167" s="60" t="e">
        <f>(Links!K167*Links!AO167+'On-Ramps'!AI167*'On-Ramps'!CK167)/('On-Ramps'!AI167+Links!K167)</f>
        <v>#DIV/0!</v>
      </c>
      <c r="BK167" s="60" t="e">
        <f>(Links!L167*Links!AP167+'On-Ramps'!AJ167*'On-Ramps'!CL167)/(Links!L167+'On-Ramps'!AJ167)</f>
        <v>#DIV/0!</v>
      </c>
      <c r="BL167" s="60" t="e">
        <f>Links!AQ167</f>
        <v>#DIV/0!</v>
      </c>
      <c r="BM167" s="60" t="e">
        <f>(Links!N167*Links!AR167+'On-Ramps'!AL167*'On-Ramps'!CM167)/(Links!N167+'On-Ramps'!AL167)</f>
        <v>#DIV/0!</v>
      </c>
      <c r="BN167" s="60" t="e">
        <f>Links!AS167</f>
        <v>#DIV/0!</v>
      </c>
      <c r="BO167" s="61" t="e">
        <f>(Links!R167^2+'Off-Ramp'!L167^2)/(Links!R167+'Off-Ramp'!L167)</f>
        <v>#DIV/0!</v>
      </c>
      <c r="BP167" s="61" t="e">
        <f>Links!S167</f>
        <v>#DIV/0!</v>
      </c>
      <c r="BQ167" s="61" t="e">
        <f>(Links!S167^2+'Off-Ramp'!C167^2)/(Links!S167+'Off-Ramp'!C167)</f>
        <v>#DIV/0!</v>
      </c>
      <c r="BR167" s="61" t="e">
        <f>Links!T167</f>
        <v>#DIV/0!</v>
      </c>
      <c r="BS167" s="61" t="e">
        <f>(Links!U167^2+'Off-Ramp'!N167^2)/(Links!U167+'Off-Ramp'!N167)</f>
        <v>#DIV/0!</v>
      </c>
      <c r="BT167" s="61" t="e">
        <f>(Links!V167^2+'Off-Ramp'!O167^2)/(Links!V167+'Off-Ramp'!O167)</f>
        <v>#DIV/0!</v>
      </c>
      <c r="BU167" s="61" t="e">
        <f>(Links!W167^2+'Off-Ramp'!P167^2)/(Links!W167+'Off-Ramp'!P167)</f>
        <v>#DIV/0!</v>
      </c>
      <c r="BV167" s="61" t="e">
        <f>(Links!Y167^2+'Off-Ramp'!Q167^2)/(Links!Y167+'Off-Ramp'!Q167)</f>
        <v>#DIV/0!</v>
      </c>
      <c r="BW167" s="61" t="e">
        <f>(Links!Z167^2+'Off-Ramp'!R167^2)/(Links!Z167+'Off-Ramp'!R167)</f>
        <v>#DIV/0!</v>
      </c>
      <c r="BX167" s="61" t="e">
        <f>(Links!AA167+'Off-Ramp'!S167)/(Links!AA167^2+'Off-Ramp'!S167^2)</f>
        <v>#DIV/0!</v>
      </c>
      <c r="BY167" s="61" t="e">
        <f>(Links!AB167^2+'Off-Ramp'!T167^2)/(Links!AB167+'Off-Ramp'!T167)</f>
        <v>#DIV/0!</v>
      </c>
      <c r="BZ167" s="61" t="e">
        <f>Links!AC167</f>
        <v>#DIV/0!</v>
      </c>
      <c r="CA167" s="61" t="e">
        <f>(Links!AD167^2+'Off-Ramp'!U167^2)/(Links!AD167+'Off-Ramp'!U167)</f>
        <v>#DIV/0!</v>
      </c>
    </row>
    <row r="168" spans="1:79" x14ac:dyDescent="0.15">
      <c r="A168" s="59">
        <v>166</v>
      </c>
      <c r="B168" s="60" t="e">
        <f t="shared" si="64"/>
        <v>#DIV/0!</v>
      </c>
      <c r="C168" s="60" t="e">
        <f t="shared" si="65"/>
        <v>#DIV/0!</v>
      </c>
      <c r="D168" s="60" t="e">
        <f t="shared" si="66"/>
        <v>#DIV/0!</v>
      </c>
      <c r="E168" s="60" t="e">
        <f t="shared" si="67"/>
        <v>#DIV/0!</v>
      </c>
      <c r="F168" s="60" t="e">
        <f t="shared" si="68"/>
        <v>#DIV/0!</v>
      </c>
      <c r="G168" s="60" t="e">
        <f t="shared" si="69"/>
        <v>#DIV/0!</v>
      </c>
      <c r="H168" s="60" t="e">
        <f t="shared" si="70"/>
        <v>#DIV/0!</v>
      </c>
      <c r="I168" s="60" t="e">
        <f t="shared" si="71"/>
        <v>#DIV/0!</v>
      </c>
      <c r="J168" s="60" t="e">
        <f t="shared" si="72"/>
        <v>#DIV/0!</v>
      </c>
      <c r="K168" s="60" t="e">
        <f t="shared" si="73"/>
        <v>#DIV/0!</v>
      </c>
      <c r="L168" s="60" t="e">
        <f t="shared" si="74"/>
        <v>#DIV/0!</v>
      </c>
      <c r="M168" s="60" t="e">
        <f t="shared" si="75"/>
        <v>#DIV/0!</v>
      </c>
      <c r="N168" s="60" t="e">
        <f t="shared" si="76"/>
        <v>#DIV/0!</v>
      </c>
      <c r="O168" s="61" t="e">
        <f>Links!B168</f>
        <v>#DIV/0!</v>
      </c>
      <c r="P168" s="61" t="e">
        <f>Links!C168+'On-Ramps'!AC168</f>
        <v>#DIV/0!</v>
      </c>
      <c r="Q168" s="61" t="e">
        <f>Links!D168</f>
        <v>#DIV/0!</v>
      </c>
      <c r="R168" s="61" t="e">
        <f>Links!E168+'On-Ramps'!AD168</f>
        <v>#DIV/0!</v>
      </c>
      <c r="S168" s="61" t="e">
        <f>Links!F168+'On-Ramps'!AE168</f>
        <v>#DIV/0!</v>
      </c>
      <c r="T168" s="61" t="e">
        <f>Links!G168+'On-Ramps'!AF168</f>
        <v>#DIV/0!</v>
      </c>
      <c r="U168" s="61" t="e">
        <f>Links!H168+'On-Ramps'!AG168</f>
        <v>#DIV/0!</v>
      </c>
      <c r="V168" s="61" t="e">
        <f>Links!J168+'On-Ramps'!AH168</f>
        <v>#DIV/0!</v>
      </c>
      <c r="W168" s="61" t="e">
        <f>Links!K168+'On-Ramps'!AI168</f>
        <v>#DIV/0!</v>
      </c>
      <c r="X168" s="61" t="e">
        <f>Links!L168+'On-Ramps'!AJ168</f>
        <v>#DIV/0!</v>
      </c>
      <c r="Y168" s="61" t="e">
        <f>Links!M168</f>
        <v>#DIV/0!</v>
      </c>
      <c r="Z168" s="61" t="e">
        <f>Links!N168+'On-Ramps'!AK168</f>
        <v>#DIV/0!</v>
      </c>
      <c r="AA168" s="61" t="e">
        <f>Links!O168</f>
        <v>#DIV/0!</v>
      </c>
      <c r="AB168" s="60" t="e">
        <f t="shared" si="77"/>
        <v>#DIV/0!</v>
      </c>
      <c r="AC168" s="60" t="e">
        <f t="shared" si="78"/>
        <v>#DIV/0!</v>
      </c>
      <c r="AD168" s="60" t="e">
        <f t="shared" si="79"/>
        <v>#DIV/0!</v>
      </c>
      <c r="AE168" s="60" t="e">
        <f t="shared" si="80"/>
        <v>#DIV/0!</v>
      </c>
      <c r="AF168" s="60" t="e">
        <f t="shared" si="81"/>
        <v>#DIV/0!</v>
      </c>
      <c r="AG168" s="60" t="e">
        <f t="shared" si="82"/>
        <v>#DIV/0!</v>
      </c>
      <c r="AH168" s="60" t="e">
        <f t="shared" si="83"/>
        <v>#DIV/0!</v>
      </c>
      <c r="AI168" s="60" t="e">
        <f t="shared" si="84"/>
        <v>#DIV/0!</v>
      </c>
      <c r="AJ168" s="60" t="e">
        <f t="shared" si="85"/>
        <v>#DIV/0!</v>
      </c>
      <c r="AK168" s="60" t="e">
        <f t="shared" si="86"/>
        <v>#DIV/0!</v>
      </c>
      <c r="AL168" s="60" t="e">
        <f t="shared" si="87"/>
        <v>#DIV/0!</v>
      </c>
      <c r="AM168" s="60" t="e">
        <f t="shared" si="88"/>
        <v>#DIV/0!</v>
      </c>
      <c r="AN168" s="60" t="e">
        <f t="shared" si="90"/>
        <v>#DIV/0!</v>
      </c>
      <c r="AO168" s="61" t="e">
        <f t="shared" si="63"/>
        <v>#DIV/0!</v>
      </c>
      <c r="AP168" s="61" t="e">
        <f t="shared" si="91"/>
        <v>#DIV/0!</v>
      </c>
      <c r="AQ168" s="61" t="e">
        <f t="shared" si="91"/>
        <v>#DIV/0!</v>
      </c>
      <c r="AR168" s="61" t="e">
        <f t="shared" si="91"/>
        <v>#DIV/0!</v>
      </c>
      <c r="AS168" s="61" t="e">
        <f t="shared" si="91"/>
        <v>#DIV/0!</v>
      </c>
      <c r="AT168" s="61" t="e">
        <f t="shared" si="91"/>
        <v>#DIV/0!</v>
      </c>
      <c r="AU168" s="61" t="e">
        <f t="shared" si="91"/>
        <v>#DIV/0!</v>
      </c>
      <c r="AV168" s="61" t="e">
        <f t="shared" si="91"/>
        <v>#DIV/0!</v>
      </c>
      <c r="AW168" s="61" t="e">
        <f t="shared" si="91"/>
        <v>#DIV/0!</v>
      </c>
      <c r="AX168" s="61" t="e">
        <f t="shared" si="91"/>
        <v>#DIV/0!</v>
      </c>
      <c r="AY168" s="61" t="e">
        <f t="shared" si="91"/>
        <v>#DIV/0!</v>
      </c>
      <c r="AZ168" s="61" t="e">
        <f t="shared" si="91"/>
        <v>#DIV/0!</v>
      </c>
      <c r="BA168" s="61" t="e">
        <f t="shared" si="91"/>
        <v>#DIV/0!</v>
      </c>
      <c r="BB168" s="60" t="e">
        <f>Links!AF168</f>
        <v>#DIV/0!</v>
      </c>
      <c r="BC168" s="60" t="e">
        <f>(Links!AG168*Links!C168+'On-Ramps'!AC168*'On-Ramps'!CE168)/('On-Ramps'!AC168+Links!C168)</f>
        <v>#DIV/0!</v>
      </c>
      <c r="BD168" s="60" t="e">
        <f>Links!AH168</f>
        <v>#DIV/0!</v>
      </c>
      <c r="BE168" s="60" t="e">
        <f>(Links!AI168*Links!E168+'On-Ramps'!AD168*'On-Ramps'!CF167)/('On-Ramps'!AD168+Links!E168)</f>
        <v>#DIV/0!</v>
      </c>
      <c r="BF168" s="60" t="e">
        <f>(Links!F168*Links!AJ168+'On-Ramps'!AE168*'On-Ramps'!CG168)/('On-Ramps'!AE168+Links!F168)</f>
        <v>#DIV/0!</v>
      </c>
      <c r="BG168" s="60" t="e">
        <f>(Links!G168*Links!AK168+'On-Ramps'!AF168*'On-Ramps'!CH168)/('On-Ramps'!AF168+Links!G168)</f>
        <v>#DIV/0!</v>
      </c>
      <c r="BH168" s="60" t="e">
        <f>(Links!H168*Links!AL168+'On-Ramps'!AG168*'On-Ramps'!CI168)/('On-Ramps'!AG168+Links!H168)</f>
        <v>#DIV/0!</v>
      </c>
      <c r="BI168" s="60" t="e">
        <f>(Links!J168*Links!AN168+'On-Ramps'!AH168*'On-Ramps'!CJ168)/('On-Ramps'!AH168+Links!J168)</f>
        <v>#DIV/0!</v>
      </c>
      <c r="BJ168" s="60" t="e">
        <f>(Links!K168*Links!AO168+'On-Ramps'!AI168*'On-Ramps'!CK168)/('On-Ramps'!AI168+Links!K168)</f>
        <v>#DIV/0!</v>
      </c>
      <c r="BK168" s="60" t="e">
        <f>(Links!L168*Links!AP168+'On-Ramps'!AJ168*'On-Ramps'!CL168)/(Links!L168+'On-Ramps'!AJ168)</f>
        <v>#DIV/0!</v>
      </c>
      <c r="BL168" s="60" t="e">
        <f>Links!AQ168</f>
        <v>#DIV/0!</v>
      </c>
      <c r="BM168" s="60" t="e">
        <f>(Links!N168*Links!AR168+'On-Ramps'!AL168*'On-Ramps'!CM168)/(Links!N168+'On-Ramps'!AL168)</f>
        <v>#DIV/0!</v>
      </c>
      <c r="BN168" s="60" t="e">
        <f>Links!AS168</f>
        <v>#DIV/0!</v>
      </c>
      <c r="BO168" s="61" t="e">
        <f>(Links!R168^2+'Off-Ramp'!L168^2)/(Links!R168+'Off-Ramp'!L168)</f>
        <v>#DIV/0!</v>
      </c>
      <c r="BP168" s="61" t="e">
        <f>Links!S168</f>
        <v>#DIV/0!</v>
      </c>
      <c r="BQ168" s="61" t="e">
        <f>(Links!S168^2+'Off-Ramp'!C168^2)/(Links!S168+'Off-Ramp'!C168)</f>
        <v>#DIV/0!</v>
      </c>
      <c r="BR168" s="61" t="e">
        <f>Links!T168</f>
        <v>#DIV/0!</v>
      </c>
      <c r="BS168" s="61" t="e">
        <f>(Links!U168^2+'Off-Ramp'!N168^2)/(Links!U168+'Off-Ramp'!N168)</f>
        <v>#DIV/0!</v>
      </c>
      <c r="BT168" s="61" t="e">
        <f>(Links!V168^2+'Off-Ramp'!O168^2)/(Links!V168+'Off-Ramp'!O168)</f>
        <v>#DIV/0!</v>
      </c>
      <c r="BU168" s="61" t="e">
        <f>(Links!W168^2+'Off-Ramp'!P168^2)/(Links!W168+'Off-Ramp'!P168)</f>
        <v>#DIV/0!</v>
      </c>
      <c r="BV168" s="61" t="e">
        <f>(Links!Y168^2+'Off-Ramp'!Q168^2)/(Links!Y168+'Off-Ramp'!Q168)</f>
        <v>#DIV/0!</v>
      </c>
      <c r="BW168" s="61" t="e">
        <f>(Links!Z168^2+'Off-Ramp'!R168^2)/(Links!Z168+'Off-Ramp'!R168)</f>
        <v>#DIV/0!</v>
      </c>
      <c r="BX168" s="61" t="e">
        <f>(Links!AA168+'Off-Ramp'!S168)/(Links!AA168^2+'Off-Ramp'!S168^2)</f>
        <v>#DIV/0!</v>
      </c>
      <c r="BY168" s="61" t="e">
        <f>(Links!AB168^2+'Off-Ramp'!T168^2)/(Links!AB168+'Off-Ramp'!T168)</f>
        <v>#DIV/0!</v>
      </c>
      <c r="BZ168" s="61" t="e">
        <f>Links!AC168</f>
        <v>#DIV/0!</v>
      </c>
      <c r="CA168" s="61" t="e">
        <f>(Links!AD168^2+'Off-Ramp'!U168^2)/(Links!AD168+'Off-Ramp'!U168)</f>
        <v>#DIV/0!</v>
      </c>
    </row>
    <row r="169" spans="1:79" x14ac:dyDescent="0.15">
      <c r="A169" s="59">
        <v>167</v>
      </c>
      <c r="B169" s="60" t="e">
        <f t="shared" si="64"/>
        <v>#DIV/0!</v>
      </c>
      <c r="C169" s="60" t="e">
        <f t="shared" si="65"/>
        <v>#DIV/0!</v>
      </c>
      <c r="D169" s="60" t="e">
        <f t="shared" si="66"/>
        <v>#DIV/0!</v>
      </c>
      <c r="E169" s="60" t="e">
        <f t="shared" si="67"/>
        <v>#DIV/0!</v>
      </c>
      <c r="F169" s="60" t="e">
        <f t="shared" si="68"/>
        <v>#DIV/0!</v>
      </c>
      <c r="G169" s="60" t="e">
        <f t="shared" si="69"/>
        <v>#DIV/0!</v>
      </c>
      <c r="H169" s="60" t="e">
        <f t="shared" si="70"/>
        <v>#DIV/0!</v>
      </c>
      <c r="I169" s="60" t="e">
        <f t="shared" si="71"/>
        <v>#DIV/0!</v>
      </c>
      <c r="J169" s="60" t="e">
        <f t="shared" si="72"/>
        <v>#DIV/0!</v>
      </c>
      <c r="K169" s="60" t="e">
        <f t="shared" si="73"/>
        <v>#DIV/0!</v>
      </c>
      <c r="L169" s="60" t="e">
        <f t="shared" si="74"/>
        <v>#DIV/0!</v>
      </c>
      <c r="M169" s="60" t="e">
        <f t="shared" si="75"/>
        <v>#DIV/0!</v>
      </c>
      <c r="N169" s="60" t="e">
        <f t="shared" si="76"/>
        <v>#DIV/0!</v>
      </c>
      <c r="O169" s="61" t="e">
        <f>Links!B169</f>
        <v>#DIV/0!</v>
      </c>
      <c r="P169" s="61" t="e">
        <f>Links!C169+'On-Ramps'!AC169</f>
        <v>#DIV/0!</v>
      </c>
      <c r="Q169" s="61" t="e">
        <f>Links!D169</f>
        <v>#DIV/0!</v>
      </c>
      <c r="R169" s="61" t="e">
        <f>Links!E169+'On-Ramps'!AD169</f>
        <v>#DIV/0!</v>
      </c>
      <c r="S169" s="61" t="e">
        <f>Links!F169+'On-Ramps'!AE169</f>
        <v>#DIV/0!</v>
      </c>
      <c r="T169" s="61" t="e">
        <f>Links!G169+'On-Ramps'!AF169</f>
        <v>#DIV/0!</v>
      </c>
      <c r="U169" s="61" t="e">
        <f>Links!H169+'On-Ramps'!AG169</f>
        <v>#DIV/0!</v>
      </c>
      <c r="V169" s="61" t="e">
        <f>Links!J169+'On-Ramps'!AH169</f>
        <v>#DIV/0!</v>
      </c>
      <c r="W169" s="61" t="e">
        <f>Links!K169+'On-Ramps'!AI169</f>
        <v>#DIV/0!</v>
      </c>
      <c r="X169" s="61" t="e">
        <f>Links!L169+'On-Ramps'!AJ169</f>
        <v>#DIV/0!</v>
      </c>
      <c r="Y169" s="61" t="e">
        <f>Links!M169</f>
        <v>#DIV/0!</v>
      </c>
      <c r="Z169" s="61" t="e">
        <f>Links!N169+'On-Ramps'!AK169</f>
        <v>#DIV/0!</v>
      </c>
      <c r="AA169" s="61" t="e">
        <f>Links!O169</f>
        <v>#DIV/0!</v>
      </c>
      <c r="AB169" s="60" t="e">
        <f t="shared" si="77"/>
        <v>#DIV/0!</v>
      </c>
      <c r="AC169" s="60" t="e">
        <f t="shared" si="78"/>
        <v>#DIV/0!</v>
      </c>
      <c r="AD169" s="60" t="e">
        <f t="shared" si="79"/>
        <v>#DIV/0!</v>
      </c>
      <c r="AE169" s="60" t="e">
        <f t="shared" si="80"/>
        <v>#DIV/0!</v>
      </c>
      <c r="AF169" s="60" t="e">
        <f t="shared" si="81"/>
        <v>#DIV/0!</v>
      </c>
      <c r="AG169" s="60" t="e">
        <f t="shared" si="82"/>
        <v>#DIV/0!</v>
      </c>
      <c r="AH169" s="60" t="e">
        <f t="shared" si="83"/>
        <v>#DIV/0!</v>
      </c>
      <c r="AI169" s="60" t="e">
        <f t="shared" si="84"/>
        <v>#DIV/0!</v>
      </c>
      <c r="AJ169" s="60" t="e">
        <f t="shared" si="85"/>
        <v>#DIV/0!</v>
      </c>
      <c r="AK169" s="60" t="e">
        <f t="shared" si="86"/>
        <v>#DIV/0!</v>
      </c>
      <c r="AL169" s="60" t="e">
        <f t="shared" si="87"/>
        <v>#DIV/0!</v>
      </c>
      <c r="AM169" s="60" t="e">
        <f t="shared" si="88"/>
        <v>#DIV/0!</v>
      </c>
      <c r="AN169" s="60" t="e">
        <f t="shared" si="90"/>
        <v>#DIV/0!</v>
      </c>
      <c r="AO169" s="61" t="e">
        <f t="shared" si="63"/>
        <v>#DIV/0!</v>
      </c>
      <c r="AP169" s="61" t="e">
        <f t="shared" si="91"/>
        <v>#DIV/0!</v>
      </c>
      <c r="AQ169" s="61" t="e">
        <f t="shared" si="91"/>
        <v>#DIV/0!</v>
      </c>
      <c r="AR169" s="61" t="e">
        <f t="shared" si="91"/>
        <v>#DIV/0!</v>
      </c>
      <c r="AS169" s="61" t="e">
        <f t="shared" si="91"/>
        <v>#DIV/0!</v>
      </c>
      <c r="AT169" s="61" t="e">
        <f t="shared" si="91"/>
        <v>#DIV/0!</v>
      </c>
      <c r="AU169" s="61" t="e">
        <f t="shared" si="91"/>
        <v>#DIV/0!</v>
      </c>
      <c r="AV169" s="61" t="e">
        <f t="shared" si="91"/>
        <v>#DIV/0!</v>
      </c>
      <c r="AW169" s="61" t="e">
        <f t="shared" si="91"/>
        <v>#DIV/0!</v>
      </c>
      <c r="AX169" s="61" t="e">
        <f t="shared" si="91"/>
        <v>#DIV/0!</v>
      </c>
      <c r="AY169" s="61" t="e">
        <f t="shared" si="91"/>
        <v>#DIV/0!</v>
      </c>
      <c r="AZ169" s="61" t="e">
        <f t="shared" si="91"/>
        <v>#DIV/0!</v>
      </c>
      <c r="BA169" s="61" t="e">
        <f t="shared" si="91"/>
        <v>#DIV/0!</v>
      </c>
      <c r="BB169" s="60" t="e">
        <f>Links!AF169</f>
        <v>#DIV/0!</v>
      </c>
      <c r="BC169" s="60" t="e">
        <f>(Links!AG169*Links!C169+'On-Ramps'!AC169*'On-Ramps'!CE169)/('On-Ramps'!AC169+Links!C169)</f>
        <v>#DIV/0!</v>
      </c>
      <c r="BD169" s="60" t="e">
        <f>Links!AH169</f>
        <v>#DIV/0!</v>
      </c>
      <c r="BE169" s="60" t="e">
        <f>(Links!AI169*Links!E169+'On-Ramps'!AD169*'On-Ramps'!CF168)/('On-Ramps'!AD169+Links!E169)</f>
        <v>#DIV/0!</v>
      </c>
      <c r="BF169" s="60" t="e">
        <f>(Links!F169*Links!AJ169+'On-Ramps'!AE169*'On-Ramps'!CG169)/('On-Ramps'!AE169+Links!F169)</f>
        <v>#DIV/0!</v>
      </c>
      <c r="BG169" s="60" t="e">
        <f>(Links!G169*Links!AK169+'On-Ramps'!AF169*'On-Ramps'!CH169)/('On-Ramps'!AF169+Links!G169)</f>
        <v>#DIV/0!</v>
      </c>
      <c r="BH169" s="60" t="e">
        <f>(Links!H169*Links!AL169+'On-Ramps'!AG169*'On-Ramps'!CI169)/('On-Ramps'!AG169+Links!H169)</f>
        <v>#DIV/0!</v>
      </c>
      <c r="BI169" s="60" t="e">
        <f>(Links!J169*Links!AN169+'On-Ramps'!AH169*'On-Ramps'!CJ169)/('On-Ramps'!AH169+Links!J169)</f>
        <v>#DIV/0!</v>
      </c>
      <c r="BJ169" s="60" t="e">
        <f>(Links!K169*Links!AO169+'On-Ramps'!AI169*'On-Ramps'!CK169)/('On-Ramps'!AI169+Links!K169)</f>
        <v>#DIV/0!</v>
      </c>
      <c r="BK169" s="60" t="e">
        <f>(Links!L169*Links!AP169+'On-Ramps'!AJ169*'On-Ramps'!CL169)/(Links!L169+'On-Ramps'!AJ169)</f>
        <v>#DIV/0!</v>
      </c>
      <c r="BL169" s="60" t="e">
        <f>Links!AQ169</f>
        <v>#DIV/0!</v>
      </c>
      <c r="BM169" s="60" t="e">
        <f>(Links!N169*Links!AR169+'On-Ramps'!AL169*'On-Ramps'!CM169)/(Links!N169+'On-Ramps'!AL169)</f>
        <v>#DIV/0!</v>
      </c>
      <c r="BN169" s="60" t="e">
        <f>Links!AS169</f>
        <v>#DIV/0!</v>
      </c>
      <c r="BO169" s="61" t="e">
        <f>(Links!R169^2+'Off-Ramp'!L169^2)/(Links!R169+'Off-Ramp'!L169)</f>
        <v>#DIV/0!</v>
      </c>
      <c r="BP169" s="61" t="e">
        <f>Links!S169</f>
        <v>#DIV/0!</v>
      </c>
      <c r="BQ169" s="61" t="e">
        <f>(Links!S169^2+'Off-Ramp'!C169^2)/(Links!S169+'Off-Ramp'!C169)</f>
        <v>#DIV/0!</v>
      </c>
      <c r="BR169" s="61" t="e">
        <f>Links!T169</f>
        <v>#DIV/0!</v>
      </c>
      <c r="BS169" s="61" t="e">
        <f>(Links!U169^2+'Off-Ramp'!N169^2)/(Links!U169+'Off-Ramp'!N169)</f>
        <v>#DIV/0!</v>
      </c>
      <c r="BT169" s="61" t="e">
        <f>(Links!V169^2+'Off-Ramp'!O169^2)/(Links!V169+'Off-Ramp'!O169)</f>
        <v>#DIV/0!</v>
      </c>
      <c r="BU169" s="61" t="e">
        <f>(Links!W169^2+'Off-Ramp'!P169^2)/(Links!W169+'Off-Ramp'!P169)</f>
        <v>#DIV/0!</v>
      </c>
      <c r="BV169" s="61" t="e">
        <f>(Links!Y169^2+'Off-Ramp'!Q169^2)/(Links!Y169+'Off-Ramp'!Q169)</f>
        <v>#DIV/0!</v>
      </c>
      <c r="BW169" s="61" t="e">
        <f>(Links!Z169^2+'Off-Ramp'!R169^2)/(Links!Z169+'Off-Ramp'!R169)</f>
        <v>#DIV/0!</v>
      </c>
      <c r="BX169" s="61" t="e">
        <f>(Links!AA169+'Off-Ramp'!S169)/(Links!AA169^2+'Off-Ramp'!S169^2)</f>
        <v>#DIV/0!</v>
      </c>
      <c r="BY169" s="61" t="e">
        <f>(Links!AB169^2+'Off-Ramp'!T169^2)/(Links!AB169+'Off-Ramp'!T169)</f>
        <v>#DIV/0!</v>
      </c>
      <c r="BZ169" s="61" t="e">
        <f>Links!AC169</f>
        <v>#DIV/0!</v>
      </c>
      <c r="CA169" s="61" t="e">
        <f>(Links!AD169^2+'Off-Ramp'!U169^2)/(Links!AD169+'Off-Ramp'!U169)</f>
        <v>#DIV/0!</v>
      </c>
    </row>
    <row r="170" spans="1:79" x14ac:dyDescent="0.15">
      <c r="A170" s="59">
        <v>168</v>
      </c>
      <c r="B170" s="60" t="e">
        <f t="shared" si="64"/>
        <v>#DIV/0!</v>
      </c>
      <c r="C170" s="60" t="e">
        <f t="shared" si="65"/>
        <v>#DIV/0!</v>
      </c>
      <c r="D170" s="60" t="e">
        <f t="shared" si="66"/>
        <v>#DIV/0!</v>
      </c>
      <c r="E170" s="60" t="e">
        <f t="shared" si="67"/>
        <v>#DIV/0!</v>
      </c>
      <c r="F170" s="60" t="e">
        <f t="shared" si="68"/>
        <v>#DIV/0!</v>
      </c>
      <c r="G170" s="60" t="e">
        <f t="shared" si="69"/>
        <v>#DIV/0!</v>
      </c>
      <c r="H170" s="60" t="e">
        <f t="shared" si="70"/>
        <v>#DIV/0!</v>
      </c>
      <c r="I170" s="60" t="e">
        <f t="shared" si="71"/>
        <v>#DIV/0!</v>
      </c>
      <c r="J170" s="60" t="e">
        <f t="shared" si="72"/>
        <v>#DIV/0!</v>
      </c>
      <c r="K170" s="60" t="e">
        <f t="shared" si="73"/>
        <v>#DIV/0!</v>
      </c>
      <c r="L170" s="60" t="e">
        <f t="shared" si="74"/>
        <v>#DIV/0!</v>
      </c>
      <c r="M170" s="60" t="e">
        <f t="shared" si="75"/>
        <v>#DIV/0!</v>
      </c>
      <c r="N170" s="60" t="e">
        <f t="shared" si="76"/>
        <v>#DIV/0!</v>
      </c>
      <c r="O170" s="61" t="e">
        <f>Links!B170</f>
        <v>#DIV/0!</v>
      </c>
      <c r="P170" s="61" t="e">
        <f>Links!C170+'On-Ramps'!AC170</f>
        <v>#DIV/0!</v>
      </c>
      <c r="Q170" s="61" t="e">
        <f>Links!D170</f>
        <v>#DIV/0!</v>
      </c>
      <c r="R170" s="61" t="e">
        <f>Links!E170+'On-Ramps'!AD170</f>
        <v>#DIV/0!</v>
      </c>
      <c r="S170" s="61" t="e">
        <f>Links!F170+'On-Ramps'!AE170</f>
        <v>#DIV/0!</v>
      </c>
      <c r="T170" s="61" t="e">
        <f>Links!G170+'On-Ramps'!AF170</f>
        <v>#DIV/0!</v>
      </c>
      <c r="U170" s="61" t="e">
        <f>Links!H170+'On-Ramps'!AG170</f>
        <v>#DIV/0!</v>
      </c>
      <c r="V170" s="61" t="e">
        <f>Links!J170+'On-Ramps'!AH170</f>
        <v>#DIV/0!</v>
      </c>
      <c r="W170" s="61" t="e">
        <f>Links!K170+'On-Ramps'!AI170</f>
        <v>#DIV/0!</v>
      </c>
      <c r="X170" s="61" t="e">
        <f>Links!L170+'On-Ramps'!AJ170</f>
        <v>#DIV/0!</v>
      </c>
      <c r="Y170" s="61" t="e">
        <f>Links!M170</f>
        <v>#DIV/0!</v>
      </c>
      <c r="Z170" s="61" t="e">
        <f>Links!N170+'On-Ramps'!AK170</f>
        <v>#DIV/0!</v>
      </c>
      <c r="AA170" s="61" t="e">
        <f>Links!O170</f>
        <v>#DIV/0!</v>
      </c>
      <c r="AB170" s="60" t="e">
        <f t="shared" si="77"/>
        <v>#DIV/0!</v>
      </c>
      <c r="AC170" s="60" t="e">
        <f t="shared" si="78"/>
        <v>#DIV/0!</v>
      </c>
      <c r="AD170" s="60" t="e">
        <f t="shared" si="79"/>
        <v>#DIV/0!</v>
      </c>
      <c r="AE170" s="60" t="e">
        <f t="shared" si="80"/>
        <v>#DIV/0!</v>
      </c>
      <c r="AF170" s="60" t="e">
        <f t="shared" si="81"/>
        <v>#DIV/0!</v>
      </c>
      <c r="AG170" s="60" t="e">
        <f t="shared" si="82"/>
        <v>#DIV/0!</v>
      </c>
      <c r="AH170" s="60" t="e">
        <f t="shared" si="83"/>
        <v>#DIV/0!</v>
      </c>
      <c r="AI170" s="60" t="e">
        <f t="shared" si="84"/>
        <v>#DIV/0!</v>
      </c>
      <c r="AJ170" s="60" t="e">
        <f t="shared" si="85"/>
        <v>#DIV/0!</v>
      </c>
      <c r="AK170" s="60" t="e">
        <f t="shared" si="86"/>
        <v>#DIV/0!</v>
      </c>
      <c r="AL170" s="60" t="e">
        <f t="shared" si="87"/>
        <v>#DIV/0!</v>
      </c>
      <c r="AM170" s="60" t="e">
        <f t="shared" si="88"/>
        <v>#DIV/0!</v>
      </c>
      <c r="AN170" s="60" t="e">
        <f t="shared" si="90"/>
        <v>#DIV/0!</v>
      </c>
      <c r="AO170" s="61" t="e">
        <f t="shared" si="63"/>
        <v>#DIV/0!</v>
      </c>
      <c r="AP170" s="61" t="e">
        <f t="shared" si="91"/>
        <v>#DIV/0!</v>
      </c>
      <c r="AQ170" s="61" t="e">
        <f t="shared" si="91"/>
        <v>#DIV/0!</v>
      </c>
      <c r="AR170" s="61" t="e">
        <f t="shared" si="91"/>
        <v>#DIV/0!</v>
      </c>
      <c r="AS170" s="61" t="e">
        <f t="shared" si="91"/>
        <v>#DIV/0!</v>
      </c>
      <c r="AT170" s="61" t="e">
        <f t="shared" si="91"/>
        <v>#DIV/0!</v>
      </c>
      <c r="AU170" s="61" t="e">
        <f t="shared" si="91"/>
        <v>#DIV/0!</v>
      </c>
      <c r="AV170" s="61" t="e">
        <f t="shared" si="91"/>
        <v>#DIV/0!</v>
      </c>
      <c r="AW170" s="61" t="e">
        <f t="shared" si="91"/>
        <v>#DIV/0!</v>
      </c>
      <c r="AX170" s="61" t="e">
        <f t="shared" si="91"/>
        <v>#DIV/0!</v>
      </c>
      <c r="AY170" s="61" t="e">
        <f t="shared" si="91"/>
        <v>#DIV/0!</v>
      </c>
      <c r="AZ170" s="61" t="e">
        <f t="shared" si="91"/>
        <v>#DIV/0!</v>
      </c>
      <c r="BA170" s="61" t="e">
        <f t="shared" si="91"/>
        <v>#DIV/0!</v>
      </c>
      <c r="BB170" s="60" t="e">
        <f>Links!AF170</f>
        <v>#DIV/0!</v>
      </c>
      <c r="BC170" s="60" t="e">
        <f>(Links!AG170*Links!C170+'On-Ramps'!AC170*'On-Ramps'!CE170)/('On-Ramps'!AC170+Links!C170)</f>
        <v>#DIV/0!</v>
      </c>
      <c r="BD170" s="60" t="e">
        <f>Links!AH170</f>
        <v>#DIV/0!</v>
      </c>
      <c r="BE170" s="60" t="e">
        <f>(Links!AI170*Links!E170+'On-Ramps'!AD170*'On-Ramps'!CF169)/('On-Ramps'!AD170+Links!E170)</f>
        <v>#DIV/0!</v>
      </c>
      <c r="BF170" s="60" t="e">
        <f>(Links!F170*Links!AJ170+'On-Ramps'!AE170*'On-Ramps'!CG170)/('On-Ramps'!AE170+Links!F170)</f>
        <v>#DIV/0!</v>
      </c>
      <c r="BG170" s="60" t="e">
        <f>(Links!G170*Links!AK170+'On-Ramps'!AF170*'On-Ramps'!CH170)/('On-Ramps'!AF170+Links!G170)</f>
        <v>#DIV/0!</v>
      </c>
      <c r="BH170" s="60" t="e">
        <f>(Links!H170*Links!AL170+'On-Ramps'!AG170*'On-Ramps'!CI170)/('On-Ramps'!AG170+Links!H170)</f>
        <v>#DIV/0!</v>
      </c>
      <c r="BI170" s="60" t="e">
        <f>(Links!J170*Links!AN170+'On-Ramps'!AH170*'On-Ramps'!CJ170)/('On-Ramps'!AH170+Links!J170)</f>
        <v>#DIV/0!</v>
      </c>
      <c r="BJ170" s="60" t="e">
        <f>(Links!K170*Links!AO170+'On-Ramps'!AI170*'On-Ramps'!CK170)/('On-Ramps'!AI170+Links!K170)</f>
        <v>#DIV/0!</v>
      </c>
      <c r="BK170" s="60" t="e">
        <f>(Links!L170*Links!AP170+'On-Ramps'!AJ170*'On-Ramps'!CL170)/(Links!L170+'On-Ramps'!AJ170)</f>
        <v>#DIV/0!</v>
      </c>
      <c r="BL170" s="60" t="e">
        <f>Links!AQ170</f>
        <v>#DIV/0!</v>
      </c>
      <c r="BM170" s="60" t="e">
        <f>(Links!N170*Links!AR170+'On-Ramps'!AL170*'On-Ramps'!CM170)/(Links!N170+'On-Ramps'!AL170)</f>
        <v>#DIV/0!</v>
      </c>
      <c r="BN170" s="60" t="e">
        <f>Links!AS170</f>
        <v>#DIV/0!</v>
      </c>
      <c r="BO170" s="61" t="e">
        <f>(Links!R170^2+'Off-Ramp'!L170^2)/(Links!R170+'Off-Ramp'!L170)</f>
        <v>#DIV/0!</v>
      </c>
      <c r="BP170" s="61" t="e">
        <f>Links!S170</f>
        <v>#DIV/0!</v>
      </c>
      <c r="BQ170" s="61" t="e">
        <f>(Links!S170^2+'Off-Ramp'!C170^2)/(Links!S170+'Off-Ramp'!C170)</f>
        <v>#DIV/0!</v>
      </c>
      <c r="BR170" s="61" t="e">
        <f>Links!T170</f>
        <v>#DIV/0!</v>
      </c>
      <c r="BS170" s="61" t="e">
        <f>(Links!U170^2+'Off-Ramp'!N170^2)/(Links!U170+'Off-Ramp'!N170)</f>
        <v>#DIV/0!</v>
      </c>
      <c r="BT170" s="61" t="e">
        <f>(Links!V170^2+'Off-Ramp'!O170^2)/(Links!V170+'Off-Ramp'!O170)</f>
        <v>#DIV/0!</v>
      </c>
      <c r="BU170" s="61" t="e">
        <f>(Links!W170^2+'Off-Ramp'!P170^2)/(Links!W170+'Off-Ramp'!P170)</f>
        <v>#DIV/0!</v>
      </c>
      <c r="BV170" s="61" t="e">
        <f>(Links!Y170^2+'Off-Ramp'!Q170^2)/(Links!Y170+'Off-Ramp'!Q170)</f>
        <v>#DIV/0!</v>
      </c>
      <c r="BW170" s="61" t="e">
        <f>(Links!Z170^2+'Off-Ramp'!R170^2)/(Links!Z170+'Off-Ramp'!R170)</f>
        <v>#DIV/0!</v>
      </c>
      <c r="BX170" s="61" t="e">
        <f>(Links!AA170+'Off-Ramp'!S170)/(Links!AA170^2+'Off-Ramp'!S170^2)</f>
        <v>#DIV/0!</v>
      </c>
      <c r="BY170" s="61" t="e">
        <f>(Links!AB170^2+'Off-Ramp'!T170^2)/(Links!AB170+'Off-Ramp'!T170)</f>
        <v>#DIV/0!</v>
      </c>
      <c r="BZ170" s="61" t="e">
        <f>Links!AC170</f>
        <v>#DIV/0!</v>
      </c>
      <c r="CA170" s="61" t="e">
        <f>(Links!AD170^2+'Off-Ramp'!U170^2)/(Links!AD170+'Off-Ramp'!U170)</f>
        <v>#DIV/0!</v>
      </c>
    </row>
    <row r="171" spans="1:79" x14ac:dyDescent="0.15">
      <c r="A171" s="59">
        <v>169</v>
      </c>
      <c r="B171" s="60" t="e">
        <f t="shared" si="64"/>
        <v>#DIV/0!</v>
      </c>
      <c r="C171" s="60" t="e">
        <f t="shared" si="65"/>
        <v>#DIV/0!</v>
      </c>
      <c r="D171" s="60" t="e">
        <f t="shared" si="66"/>
        <v>#DIV/0!</v>
      </c>
      <c r="E171" s="60" t="e">
        <f t="shared" si="67"/>
        <v>#DIV/0!</v>
      </c>
      <c r="F171" s="60" t="e">
        <f t="shared" si="68"/>
        <v>#DIV/0!</v>
      </c>
      <c r="G171" s="60" t="e">
        <f t="shared" si="69"/>
        <v>#DIV/0!</v>
      </c>
      <c r="H171" s="60" t="e">
        <f t="shared" si="70"/>
        <v>#DIV/0!</v>
      </c>
      <c r="I171" s="60" t="e">
        <f t="shared" si="71"/>
        <v>#DIV/0!</v>
      </c>
      <c r="J171" s="60" t="e">
        <f t="shared" si="72"/>
        <v>#DIV/0!</v>
      </c>
      <c r="K171" s="60" t="e">
        <f t="shared" si="73"/>
        <v>#DIV/0!</v>
      </c>
      <c r="L171" s="60" t="e">
        <f t="shared" si="74"/>
        <v>#DIV/0!</v>
      </c>
      <c r="M171" s="60" t="e">
        <f t="shared" si="75"/>
        <v>#DIV/0!</v>
      </c>
      <c r="N171" s="60" t="e">
        <f t="shared" si="76"/>
        <v>#DIV/0!</v>
      </c>
      <c r="O171" s="61" t="e">
        <f>Links!B171</f>
        <v>#DIV/0!</v>
      </c>
      <c r="P171" s="61" t="e">
        <f>Links!C171+'On-Ramps'!AC171</f>
        <v>#DIV/0!</v>
      </c>
      <c r="Q171" s="61" t="e">
        <f>Links!D171</f>
        <v>#DIV/0!</v>
      </c>
      <c r="R171" s="61" t="e">
        <f>Links!E171+'On-Ramps'!AD171</f>
        <v>#DIV/0!</v>
      </c>
      <c r="S171" s="61" t="e">
        <f>Links!F171+'On-Ramps'!AE171</f>
        <v>#DIV/0!</v>
      </c>
      <c r="T171" s="61" t="e">
        <f>Links!G171+'On-Ramps'!AF171</f>
        <v>#DIV/0!</v>
      </c>
      <c r="U171" s="61" t="e">
        <f>Links!H171+'On-Ramps'!AG171</f>
        <v>#DIV/0!</v>
      </c>
      <c r="V171" s="61" t="e">
        <f>Links!J171+'On-Ramps'!AH171</f>
        <v>#DIV/0!</v>
      </c>
      <c r="W171" s="61" t="e">
        <f>Links!K171+'On-Ramps'!AI171</f>
        <v>#DIV/0!</v>
      </c>
      <c r="X171" s="61" t="e">
        <f>Links!L171+'On-Ramps'!AJ171</f>
        <v>#DIV/0!</v>
      </c>
      <c r="Y171" s="61" t="e">
        <f>Links!M171</f>
        <v>#DIV/0!</v>
      </c>
      <c r="Z171" s="61" t="e">
        <f>Links!N171+'On-Ramps'!AK171</f>
        <v>#DIV/0!</v>
      </c>
      <c r="AA171" s="61" t="e">
        <f>Links!O171</f>
        <v>#DIV/0!</v>
      </c>
      <c r="AB171" s="60" t="e">
        <f t="shared" si="77"/>
        <v>#DIV/0!</v>
      </c>
      <c r="AC171" s="60" t="e">
        <f t="shared" si="78"/>
        <v>#DIV/0!</v>
      </c>
      <c r="AD171" s="60" t="e">
        <f t="shared" si="79"/>
        <v>#DIV/0!</v>
      </c>
      <c r="AE171" s="60" t="e">
        <f t="shared" si="80"/>
        <v>#DIV/0!</v>
      </c>
      <c r="AF171" s="60" t="e">
        <f t="shared" si="81"/>
        <v>#DIV/0!</v>
      </c>
      <c r="AG171" s="60" t="e">
        <f t="shared" si="82"/>
        <v>#DIV/0!</v>
      </c>
      <c r="AH171" s="60" t="e">
        <f t="shared" si="83"/>
        <v>#DIV/0!</v>
      </c>
      <c r="AI171" s="60" t="e">
        <f t="shared" si="84"/>
        <v>#DIV/0!</v>
      </c>
      <c r="AJ171" s="60" t="e">
        <f t="shared" si="85"/>
        <v>#DIV/0!</v>
      </c>
      <c r="AK171" s="60" t="e">
        <f t="shared" si="86"/>
        <v>#DIV/0!</v>
      </c>
      <c r="AL171" s="60" t="e">
        <f t="shared" si="87"/>
        <v>#DIV/0!</v>
      </c>
      <c r="AM171" s="60" t="e">
        <f t="shared" si="88"/>
        <v>#DIV/0!</v>
      </c>
      <c r="AN171" s="60" t="e">
        <f t="shared" si="90"/>
        <v>#DIV/0!</v>
      </c>
      <c r="AO171" s="61" t="e">
        <f t="shared" si="63"/>
        <v>#DIV/0!</v>
      </c>
      <c r="AP171" s="61" t="e">
        <f t="shared" si="91"/>
        <v>#DIV/0!</v>
      </c>
      <c r="AQ171" s="61" t="e">
        <f t="shared" si="91"/>
        <v>#DIV/0!</v>
      </c>
      <c r="AR171" s="61" t="e">
        <f t="shared" si="91"/>
        <v>#DIV/0!</v>
      </c>
      <c r="AS171" s="61" t="e">
        <f t="shared" si="91"/>
        <v>#DIV/0!</v>
      </c>
      <c r="AT171" s="61" t="e">
        <f t="shared" si="91"/>
        <v>#DIV/0!</v>
      </c>
      <c r="AU171" s="61" t="e">
        <f t="shared" si="91"/>
        <v>#DIV/0!</v>
      </c>
      <c r="AV171" s="61" t="e">
        <f t="shared" si="91"/>
        <v>#DIV/0!</v>
      </c>
      <c r="AW171" s="61" t="e">
        <f t="shared" si="91"/>
        <v>#DIV/0!</v>
      </c>
      <c r="AX171" s="61" t="e">
        <f t="shared" si="91"/>
        <v>#DIV/0!</v>
      </c>
      <c r="AY171" s="61" t="e">
        <f t="shared" si="91"/>
        <v>#DIV/0!</v>
      </c>
      <c r="AZ171" s="61" t="e">
        <f t="shared" si="91"/>
        <v>#DIV/0!</v>
      </c>
      <c r="BA171" s="61" t="e">
        <f t="shared" si="91"/>
        <v>#DIV/0!</v>
      </c>
      <c r="BB171" s="60" t="e">
        <f>Links!AF171</f>
        <v>#DIV/0!</v>
      </c>
      <c r="BC171" s="60" t="e">
        <f>(Links!AG171*Links!C171+'On-Ramps'!AC171*'On-Ramps'!CE171)/('On-Ramps'!AC171+Links!C171)</f>
        <v>#DIV/0!</v>
      </c>
      <c r="BD171" s="60" t="e">
        <f>Links!AH171</f>
        <v>#DIV/0!</v>
      </c>
      <c r="BE171" s="60" t="e">
        <f>(Links!AI171*Links!E171+'On-Ramps'!AD171*'On-Ramps'!CF170)/('On-Ramps'!AD171+Links!E171)</f>
        <v>#DIV/0!</v>
      </c>
      <c r="BF171" s="60" t="e">
        <f>(Links!F171*Links!AJ171+'On-Ramps'!AE171*'On-Ramps'!CG171)/('On-Ramps'!AE171+Links!F171)</f>
        <v>#DIV/0!</v>
      </c>
      <c r="BG171" s="60" t="e">
        <f>(Links!G171*Links!AK171+'On-Ramps'!AF171*'On-Ramps'!CH171)/('On-Ramps'!AF171+Links!G171)</f>
        <v>#DIV/0!</v>
      </c>
      <c r="BH171" s="60" t="e">
        <f>(Links!H171*Links!AL171+'On-Ramps'!AG171*'On-Ramps'!CI171)/('On-Ramps'!AG171+Links!H171)</f>
        <v>#DIV/0!</v>
      </c>
      <c r="BI171" s="60" t="e">
        <f>(Links!J171*Links!AN171+'On-Ramps'!AH171*'On-Ramps'!CJ171)/('On-Ramps'!AH171+Links!J171)</f>
        <v>#DIV/0!</v>
      </c>
      <c r="BJ171" s="60" t="e">
        <f>(Links!K171*Links!AO171+'On-Ramps'!AI171*'On-Ramps'!CK171)/('On-Ramps'!AI171+Links!K171)</f>
        <v>#DIV/0!</v>
      </c>
      <c r="BK171" s="60" t="e">
        <f>(Links!L171*Links!AP171+'On-Ramps'!AJ171*'On-Ramps'!CL171)/(Links!L171+'On-Ramps'!AJ171)</f>
        <v>#DIV/0!</v>
      </c>
      <c r="BL171" s="60" t="e">
        <f>Links!AQ171</f>
        <v>#DIV/0!</v>
      </c>
      <c r="BM171" s="60" t="e">
        <f>(Links!N171*Links!AR171+'On-Ramps'!AL171*'On-Ramps'!CM171)/(Links!N171+'On-Ramps'!AL171)</f>
        <v>#DIV/0!</v>
      </c>
      <c r="BN171" s="60" t="e">
        <f>Links!AS171</f>
        <v>#DIV/0!</v>
      </c>
      <c r="BO171" s="61" t="e">
        <f>(Links!R171^2+'Off-Ramp'!L171^2)/(Links!R171+'Off-Ramp'!L171)</f>
        <v>#DIV/0!</v>
      </c>
      <c r="BP171" s="61" t="e">
        <f>Links!S171</f>
        <v>#DIV/0!</v>
      </c>
      <c r="BQ171" s="61" t="e">
        <f>(Links!S171^2+'Off-Ramp'!C171^2)/(Links!S171+'Off-Ramp'!C171)</f>
        <v>#DIV/0!</v>
      </c>
      <c r="BR171" s="61" t="e">
        <f>Links!T171</f>
        <v>#DIV/0!</v>
      </c>
      <c r="BS171" s="61" t="e">
        <f>(Links!U171^2+'Off-Ramp'!N171^2)/(Links!U171+'Off-Ramp'!N171)</f>
        <v>#DIV/0!</v>
      </c>
      <c r="BT171" s="61" t="e">
        <f>(Links!V171^2+'Off-Ramp'!O171^2)/(Links!V171+'Off-Ramp'!O171)</f>
        <v>#DIV/0!</v>
      </c>
      <c r="BU171" s="61" t="e">
        <f>(Links!W171^2+'Off-Ramp'!P171^2)/(Links!W171+'Off-Ramp'!P171)</f>
        <v>#DIV/0!</v>
      </c>
      <c r="BV171" s="61" t="e">
        <f>(Links!Y171^2+'Off-Ramp'!Q171^2)/(Links!Y171+'Off-Ramp'!Q171)</f>
        <v>#DIV/0!</v>
      </c>
      <c r="BW171" s="61" t="e">
        <f>(Links!Z171^2+'Off-Ramp'!R171^2)/(Links!Z171+'Off-Ramp'!R171)</f>
        <v>#DIV/0!</v>
      </c>
      <c r="BX171" s="61" t="e">
        <f>(Links!AA171+'Off-Ramp'!S171)/(Links!AA171^2+'Off-Ramp'!S171^2)</f>
        <v>#DIV/0!</v>
      </c>
      <c r="BY171" s="61" t="e">
        <f>(Links!AB171^2+'Off-Ramp'!T171^2)/(Links!AB171+'Off-Ramp'!T171)</f>
        <v>#DIV/0!</v>
      </c>
      <c r="BZ171" s="61" t="e">
        <f>Links!AC171</f>
        <v>#DIV/0!</v>
      </c>
      <c r="CA171" s="61" t="e">
        <f>(Links!AD171^2+'Off-Ramp'!U171^2)/(Links!AD171+'Off-Ramp'!U171)</f>
        <v>#DIV/0!</v>
      </c>
    </row>
    <row r="172" spans="1:79" x14ac:dyDescent="0.15">
      <c r="A172" s="59">
        <v>170</v>
      </c>
      <c r="B172" s="60" t="e">
        <f t="shared" si="64"/>
        <v>#DIV/0!</v>
      </c>
      <c r="C172" s="60" t="e">
        <f t="shared" si="65"/>
        <v>#DIV/0!</v>
      </c>
      <c r="D172" s="60" t="e">
        <f t="shared" si="66"/>
        <v>#DIV/0!</v>
      </c>
      <c r="E172" s="60" t="e">
        <f t="shared" si="67"/>
        <v>#DIV/0!</v>
      </c>
      <c r="F172" s="60" t="e">
        <f t="shared" si="68"/>
        <v>#DIV/0!</v>
      </c>
      <c r="G172" s="60" t="e">
        <f t="shared" si="69"/>
        <v>#DIV/0!</v>
      </c>
      <c r="H172" s="60" t="e">
        <f t="shared" si="70"/>
        <v>#DIV/0!</v>
      </c>
      <c r="I172" s="60" t="e">
        <f t="shared" si="71"/>
        <v>#DIV/0!</v>
      </c>
      <c r="J172" s="60" t="e">
        <f t="shared" si="72"/>
        <v>#DIV/0!</v>
      </c>
      <c r="K172" s="60" t="e">
        <f t="shared" si="73"/>
        <v>#DIV/0!</v>
      </c>
      <c r="L172" s="60" t="e">
        <f t="shared" si="74"/>
        <v>#DIV/0!</v>
      </c>
      <c r="M172" s="60" t="e">
        <f t="shared" si="75"/>
        <v>#DIV/0!</v>
      </c>
      <c r="N172" s="60" t="e">
        <f t="shared" si="76"/>
        <v>#DIV/0!</v>
      </c>
      <c r="O172" s="61" t="e">
        <f>Links!B172</f>
        <v>#DIV/0!</v>
      </c>
      <c r="P172" s="61" t="e">
        <f>Links!C172+'On-Ramps'!AC172</f>
        <v>#DIV/0!</v>
      </c>
      <c r="Q172" s="61" t="e">
        <f>Links!D172</f>
        <v>#DIV/0!</v>
      </c>
      <c r="R172" s="61" t="e">
        <f>Links!E172+'On-Ramps'!AD172</f>
        <v>#DIV/0!</v>
      </c>
      <c r="S172" s="61" t="e">
        <f>Links!F172+'On-Ramps'!AE172</f>
        <v>#DIV/0!</v>
      </c>
      <c r="T172" s="61" t="e">
        <f>Links!G172+'On-Ramps'!AF172</f>
        <v>#DIV/0!</v>
      </c>
      <c r="U172" s="61" t="e">
        <f>Links!H172+'On-Ramps'!AG172</f>
        <v>#DIV/0!</v>
      </c>
      <c r="V172" s="61" t="e">
        <f>Links!J172+'On-Ramps'!AH172</f>
        <v>#DIV/0!</v>
      </c>
      <c r="W172" s="61" t="e">
        <f>Links!K172+'On-Ramps'!AI172</f>
        <v>#DIV/0!</v>
      </c>
      <c r="X172" s="61" t="e">
        <f>Links!L172+'On-Ramps'!AJ172</f>
        <v>#DIV/0!</v>
      </c>
      <c r="Y172" s="61" t="e">
        <f>Links!M172</f>
        <v>#DIV/0!</v>
      </c>
      <c r="Z172" s="61" t="e">
        <f>Links!N172+'On-Ramps'!AK172</f>
        <v>#DIV/0!</v>
      </c>
      <c r="AA172" s="61" t="e">
        <f>Links!O172</f>
        <v>#DIV/0!</v>
      </c>
      <c r="AB172" s="60" t="e">
        <f t="shared" si="77"/>
        <v>#DIV/0!</v>
      </c>
      <c r="AC172" s="60" t="e">
        <f t="shared" si="78"/>
        <v>#DIV/0!</v>
      </c>
      <c r="AD172" s="60" t="e">
        <f t="shared" si="79"/>
        <v>#DIV/0!</v>
      </c>
      <c r="AE172" s="60" t="e">
        <f t="shared" si="80"/>
        <v>#DIV/0!</v>
      </c>
      <c r="AF172" s="60" t="e">
        <f t="shared" si="81"/>
        <v>#DIV/0!</v>
      </c>
      <c r="AG172" s="60" t="e">
        <f t="shared" si="82"/>
        <v>#DIV/0!</v>
      </c>
      <c r="AH172" s="60" t="e">
        <f t="shared" si="83"/>
        <v>#DIV/0!</v>
      </c>
      <c r="AI172" s="60" t="e">
        <f t="shared" si="84"/>
        <v>#DIV/0!</v>
      </c>
      <c r="AJ172" s="60" t="e">
        <f t="shared" si="85"/>
        <v>#DIV/0!</v>
      </c>
      <c r="AK172" s="60" t="e">
        <f t="shared" si="86"/>
        <v>#DIV/0!</v>
      </c>
      <c r="AL172" s="60" t="e">
        <f t="shared" si="87"/>
        <v>#DIV/0!</v>
      </c>
      <c r="AM172" s="60" t="e">
        <f t="shared" si="88"/>
        <v>#DIV/0!</v>
      </c>
      <c r="AN172" s="60" t="e">
        <f t="shared" si="90"/>
        <v>#DIV/0!</v>
      </c>
      <c r="AO172" s="61" t="e">
        <f t="shared" si="63"/>
        <v>#DIV/0!</v>
      </c>
      <c r="AP172" s="61" t="e">
        <f t="shared" si="91"/>
        <v>#DIV/0!</v>
      </c>
      <c r="AQ172" s="61" t="e">
        <f t="shared" si="91"/>
        <v>#DIV/0!</v>
      </c>
      <c r="AR172" s="61" t="e">
        <f t="shared" si="91"/>
        <v>#DIV/0!</v>
      </c>
      <c r="AS172" s="61" t="e">
        <f t="shared" si="91"/>
        <v>#DIV/0!</v>
      </c>
      <c r="AT172" s="61" t="e">
        <f t="shared" si="91"/>
        <v>#DIV/0!</v>
      </c>
      <c r="AU172" s="61" t="e">
        <f t="shared" si="91"/>
        <v>#DIV/0!</v>
      </c>
      <c r="AV172" s="61" t="e">
        <f t="shared" si="91"/>
        <v>#DIV/0!</v>
      </c>
      <c r="AW172" s="61" t="e">
        <f t="shared" si="91"/>
        <v>#DIV/0!</v>
      </c>
      <c r="AX172" s="61" t="e">
        <f t="shared" si="91"/>
        <v>#DIV/0!</v>
      </c>
      <c r="AY172" s="61" t="e">
        <f t="shared" si="91"/>
        <v>#DIV/0!</v>
      </c>
      <c r="AZ172" s="61" t="e">
        <f t="shared" si="91"/>
        <v>#DIV/0!</v>
      </c>
      <c r="BA172" s="61" t="e">
        <f t="shared" si="91"/>
        <v>#DIV/0!</v>
      </c>
      <c r="BB172" s="60" t="e">
        <f>Links!AF172</f>
        <v>#DIV/0!</v>
      </c>
      <c r="BC172" s="60" t="e">
        <f>(Links!AG172*Links!C172+'On-Ramps'!AC172*'On-Ramps'!CE172)/('On-Ramps'!AC172+Links!C172)</f>
        <v>#DIV/0!</v>
      </c>
      <c r="BD172" s="60" t="e">
        <f>Links!AH172</f>
        <v>#DIV/0!</v>
      </c>
      <c r="BE172" s="60" t="e">
        <f>(Links!AI172*Links!E172+'On-Ramps'!AD172*'On-Ramps'!CF171)/('On-Ramps'!AD172+Links!E172)</f>
        <v>#DIV/0!</v>
      </c>
      <c r="BF172" s="60" t="e">
        <f>(Links!F172*Links!AJ172+'On-Ramps'!AE172*'On-Ramps'!CG172)/('On-Ramps'!AE172+Links!F172)</f>
        <v>#DIV/0!</v>
      </c>
      <c r="BG172" s="60" t="e">
        <f>(Links!G172*Links!AK172+'On-Ramps'!AF172*'On-Ramps'!CH172)/('On-Ramps'!AF172+Links!G172)</f>
        <v>#DIV/0!</v>
      </c>
      <c r="BH172" s="60" t="e">
        <f>(Links!H172*Links!AL172+'On-Ramps'!AG172*'On-Ramps'!CI172)/('On-Ramps'!AG172+Links!H172)</f>
        <v>#DIV/0!</v>
      </c>
      <c r="BI172" s="60" t="e">
        <f>(Links!J172*Links!AN172+'On-Ramps'!AH172*'On-Ramps'!CJ172)/('On-Ramps'!AH172+Links!J172)</f>
        <v>#DIV/0!</v>
      </c>
      <c r="BJ172" s="60" t="e">
        <f>(Links!K172*Links!AO172+'On-Ramps'!AI172*'On-Ramps'!CK172)/('On-Ramps'!AI172+Links!K172)</f>
        <v>#DIV/0!</v>
      </c>
      <c r="BK172" s="60" t="e">
        <f>(Links!L172*Links!AP172+'On-Ramps'!AJ172*'On-Ramps'!CL172)/(Links!L172+'On-Ramps'!AJ172)</f>
        <v>#DIV/0!</v>
      </c>
      <c r="BL172" s="60" t="e">
        <f>Links!AQ172</f>
        <v>#DIV/0!</v>
      </c>
      <c r="BM172" s="60" t="e">
        <f>(Links!N172*Links!AR172+'On-Ramps'!AL172*'On-Ramps'!CM172)/(Links!N172+'On-Ramps'!AL172)</f>
        <v>#DIV/0!</v>
      </c>
      <c r="BN172" s="60" t="e">
        <f>Links!AS172</f>
        <v>#DIV/0!</v>
      </c>
      <c r="BO172" s="61" t="e">
        <f>(Links!R172^2+'Off-Ramp'!L172^2)/(Links!R172+'Off-Ramp'!L172)</f>
        <v>#DIV/0!</v>
      </c>
      <c r="BP172" s="61" t="e">
        <f>Links!S172</f>
        <v>#DIV/0!</v>
      </c>
      <c r="BQ172" s="61" t="e">
        <f>(Links!S172^2+'Off-Ramp'!C172^2)/(Links!S172+'Off-Ramp'!C172)</f>
        <v>#DIV/0!</v>
      </c>
      <c r="BR172" s="61" t="e">
        <f>Links!T172</f>
        <v>#DIV/0!</v>
      </c>
      <c r="BS172" s="61" t="e">
        <f>(Links!U172^2+'Off-Ramp'!N172^2)/(Links!U172+'Off-Ramp'!N172)</f>
        <v>#DIV/0!</v>
      </c>
      <c r="BT172" s="61" t="e">
        <f>(Links!V172^2+'Off-Ramp'!O172^2)/(Links!V172+'Off-Ramp'!O172)</f>
        <v>#DIV/0!</v>
      </c>
      <c r="BU172" s="61" t="e">
        <f>(Links!W172^2+'Off-Ramp'!P172^2)/(Links!W172+'Off-Ramp'!P172)</f>
        <v>#DIV/0!</v>
      </c>
      <c r="BV172" s="61" t="e">
        <f>(Links!Y172^2+'Off-Ramp'!Q172^2)/(Links!Y172+'Off-Ramp'!Q172)</f>
        <v>#DIV/0!</v>
      </c>
      <c r="BW172" s="61" t="e">
        <f>(Links!Z172^2+'Off-Ramp'!R172^2)/(Links!Z172+'Off-Ramp'!R172)</f>
        <v>#DIV/0!</v>
      </c>
      <c r="BX172" s="61" t="e">
        <f>(Links!AA172+'Off-Ramp'!S172)/(Links!AA172^2+'Off-Ramp'!S172^2)</f>
        <v>#DIV/0!</v>
      </c>
      <c r="BY172" s="61" t="e">
        <f>(Links!AB172^2+'Off-Ramp'!T172^2)/(Links!AB172+'Off-Ramp'!T172)</f>
        <v>#DIV/0!</v>
      </c>
      <c r="BZ172" s="61" t="e">
        <f>Links!AC172</f>
        <v>#DIV/0!</v>
      </c>
      <c r="CA172" s="61" t="e">
        <f>(Links!AD172^2+'Off-Ramp'!U172^2)/(Links!AD172+'Off-Ramp'!U172)</f>
        <v>#DIV/0!</v>
      </c>
    </row>
    <row r="173" spans="1:79" x14ac:dyDescent="0.15">
      <c r="A173" s="59">
        <v>171</v>
      </c>
      <c r="B173" s="60" t="e">
        <f t="shared" si="64"/>
        <v>#DIV/0!</v>
      </c>
      <c r="C173" s="60" t="e">
        <f t="shared" si="65"/>
        <v>#DIV/0!</v>
      </c>
      <c r="D173" s="60" t="e">
        <f t="shared" si="66"/>
        <v>#DIV/0!</v>
      </c>
      <c r="E173" s="60" t="e">
        <f t="shared" si="67"/>
        <v>#DIV/0!</v>
      </c>
      <c r="F173" s="60" t="e">
        <f t="shared" si="68"/>
        <v>#DIV/0!</v>
      </c>
      <c r="G173" s="60" t="e">
        <f t="shared" si="69"/>
        <v>#DIV/0!</v>
      </c>
      <c r="H173" s="60" t="e">
        <f t="shared" si="70"/>
        <v>#DIV/0!</v>
      </c>
      <c r="I173" s="60" t="e">
        <f t="shared" si="71"/>
        <v>#DIV/0!</v>
      </c>
      <c r="J173" s="60" t="e">
        <f t="shared" si="72"/>
        <v>#DIV/0!</v>
      </c>
      <c r="K173" s="60" t="e">
        <f t="shared" si="73"/>
        <v>#DIV/0!</v>
      </c>
      <c r="L173" s="60" t="e">
        <f t="shared" si="74"/>
        <v>#DIV/0!</v>
      </c>
      <c r="M173" s="60" t="e">
        <f t="shared" si="75"/>
        <v>#DIV/0!</v>
      </c>
      <c r="N173" s="60" t="e">
        <f t="shared" si="76"/>
        <v>#DIV/0!</v>
      </c>
      <c r="O173" s="61" t="e">
        <f>Links!B173</f>
        <v>#DIV/0!</v>
      </c>
      <c r="P173" s="61" t="e">
        <f>Links!C173+'On-Ramps'!AC173</f>
        <v>#DIV/0!</v>
      </c>
      <c r="Q173" s="61" t="e">
        <f>Links!D173</f>
        <v>#DIV/0!</v>
      </c>
      <c r="R173" s="61" t="e">
        <f>Links!E173+'On-Ramps'!AD173</f>
        <v>#DIV/0!</v>
      </c>
      <c r="S173" s="61" t="e">
        <f>Links!F173+'On-Ramps'!AE173</f>
        <v>#DIV/0!</v>
      </c>
      <c r="T173" s="61" t="e">
        <f>Links!G173+'On-Ramps'!AF173</f>
        <v>#DIV/0!</v>
      </c>
      <c r="U173" s="61" t="e">
        <f>Links!H173+'On-Ramps'!AG173</f>
        <v>#DIV/0!</v>
      </c>
      <c r="V173" s="61" t="e">
        <f>Links!J173+'On-Ramps'!AH173</f>
        <v>#DIV/0!</v>
      </c>
      <c r="W173" s="61" t="e">
        <f>Links!K173+'On-Ramps'!AI173</f>
        <v>#DIV/0!</v>
      </c>
      <c r="X173" s="61" t="e">
        <f>Links!L173+'On-Ramps'!AJ173</f>
        <v>#DIV/0!</v>
      </c>
      <c r="Y173" s="61" t="e">
        <f>Links!M173</f>
        <v>#DIV/0!</v>
      </c>
      <c r="Z173" s="61" t="e">
        <f>Links!N173+'On-Ramps'!AK173</f>
        <v>#DIV/0!</v>
      </c>
      <c r="AA173" s="61" t="e">
        <f>Links!O173</f>
        <v>#DIV/0!</v>
      </c>
      <c r="AB173" s="60" t="e">
        <f t="shared" si="77"/>
        <v>#DIV/0!</v>
      </c>
      <c r="AC173" s="60" t="e">
        <f t="shared" si="78"/>
        <v>#DIV/0!</v>
      </c>
      <c r="AD173" s="60" t="e">
        <f t="shared" si="79"/>
        <v>#DIV/0!</v>
      </c>
      <c r="AE173" s="60" t="e">
        <f t="shared" si="80"/>
        <v>#DIV/0!</v>
      </c>
      <c r="AF173" s="60" t="e">
        <f t="shared" si="81"/>
        <v>#DIV/0!</v>
      </c>
      <c r="AG173" s="60" t="e">
        <f t="shared" si="82"/>
        <v>#DIV/0!</v>
      </c>
      <c r="AH173" s="60" t="e">
        <f t="shared" si="83"/>
        <v>#DIV/0!</v>
      </c>
      <c r="AI173" s="60" t="e">
        <f t="shared" si="84"/>
        <v>#DIV/0!</v>
      </c>
      <c r="AJ173" s="60" t="e">
        <f t="shared" si="85"/>
        <v>#DIV/0!</v>
      </c>
      <c r="AK173" s="60" t="e">
        <f t="shared" si="86"/>
        <v>#DIV/0!</v>
      </c>
      <c r="AL173" s="60" t="e">
        <f t="shared" si="87"/>
        <v>#DIV/0!</v>
      </c>
      <c r="AM173" s="60" t="e">
        <f t="shared" si="88"/>
        <v>#DIV/0!</v>
      </c>
      <c r="AN173" s="60" t="e">
        <f t="shared" si="90"/>
        <v>#DIV/0!</v>
      </c>
      <c r="AO173" s="61" t="e">
        <f t="shared" si="63"/>
        <v>#DIV/0!</v>
      </c>
      <c r="AP173" s="61" t="e">
        <f t="shared" si="91"/>
        <v>#DIV/0!</v>
      </c>
      <c r="AQ173" s="61" t="e">
        <f t="shared" si="91"/>
        <v>#DIV/0!</v>
      </c>
      <c r="AR173" s="61" t="e">
        <f t="shared" si="91"/>
        <v>#DIV/0!</v>
      </c>
      <c r="AS173" s="61" t="e">
        <f t="shared" si="91"/>
        <v>#DIV/0!</v>
      </c>
      <c r="AT173" s="61" t="e">
        <f t="shared" si="91"/>
        <v>#DIV/0!</v>
      </c>
      <c r="AU173" s="61" t="e">
        <f t="shared" si="91"/>
        <v>#DIV/0!</v>
      </c>
      <c r="AV173" s="61" t="e">
        <f t="shared" si="91"/>
        <v>#DIV/0!</v>
      </c>
      <c r="AW173" s="61" t="e">
        <f t="shared" si="91"/>
        <v>#DIV/0!</v>
      </c>
      <c r="AX173" s="61" t="e">
        <f t="shared" si="91"/>
        <v>#DIV/0!</v>
      </c>
      <c r="AY173" s="61" t="e">
        <f t="shared" si="91"/>
        <v>#DIV/0!</v>
      </c>
      <c r="AZ173" s="61" t="e">
        <f t="shared" si="91"/>
        <v>#DIV/0!</v>
      </c>
      <c r="BA173" s="61" t="e">
        <f t="shared" si="91"/>
        <v>#DIV/0!</v>
      </c>
      <c r="BB173" s="60" t="e">
        <f>Links!AF173</f>
        <v>#DIV/0!</v>
      </c>
      <c r="BC173" s="60" t="e">
        <f>(Links!AG173*Links!C173+'On-Ramps'!AC173*'On-Ramps'!CE173)/('On-Ramps'!AC173+Links!C173)</f>
        <v>#DIV/0!</v>
      </c>
      <c r="BD173" s="60" t="e">
        <f>Links!AH173</f>
        <v>#DIV/0!</v>
      </c>
      <c r="BE173" s="60" t="e">
        <f>(Links!AI173*Links!E173+'On-Ramps'!AD173*'On-Ramps'!CF172)/('On-Ramps'!AD173+Links!E173)</f>
        <v>#DIV/0!</v>
      </c>
      <c r="BF173" s="60" t="e">
        <f>(Links!F173*Links!AJ173+'On-Ramps'!AE173*'On-Ramps'!CG173)/('On-Ramps'!AE173+Links!F173)</f>
        <v>#DIV/0!</v>
      </c>
      <c r="BG173" s="60" t="e">
        <f>(Links!G173*Links!AK173+'On-Ramps'!AF173*'On-Ramps'!CH173)/('On-Ramps'!AF173+Links!G173)</f>
        <v>#DIV/0!</v>
      </c>
      <c r="BH173" s="60" t="e">
        <f>(Links!H173*Links!AL173+'On-Ramps'!AG173*'On-Ramps'!CI173)/('On-Ramps'!AG173+Links!H173)</f>
        <v>#DIV/0!</v>
      </c>
      <c r="BI173" s="60" t="e">
        <f>(Links!J173*Links!AN173+'On-Ramps'!AH173*'On-Ramps'!CJ173)/('On-Ramps'!AH173+Links!J173)</f>
        <v>#DIV/0!</v>
      </c>
      <c r="BJ173" s="60" t="e">
        <f>(Links!K173*Links!AO173+'On-Ramps'!AI173*'On-Ramps'!CK173)/('On-Ramps'!AI173+Links!K173)</f>
        <v>#DIV/0!</v>
      </c>
      <c r="BK173" s="60" t="e">
        <f>(Links!L173*Links!AP173+'On-Ramps'!AJ173*'On-Ramps'!CL173)/(Links!L173+'On-Ramps'!AJ173)</f>
        <v>#DIV/0!</v>
      </c>
      <c r="BL173" s="60" t="e">
        <f>Links!AQ173</f>
        <v>#DIV/0!</v>
      </c>
      <c r="BM173" s="60" t="e">
        <f>(Links!N173*Links!AR173+'On-Ramps'!AL173*'On-Ramps'!CM173)/(Links!N173+'On-Ramps'!AL173)</f>
        <v>#DIV/0!</v>
      </c>
      <c r="BN173" s="60" t="e">
        <f>Links!AS173</f>
        <v>#DIV/0!</v>
      </c>
      <c r="BO173" s="61" t="e">
        <f>(Links!R173^2+'Off-Ramp'!L173^2)/(Links!R173+'Off-Ramp'!L173)</f>
        <v>#DIV/0!</v>
      </c>
      <c r="BP173" s="61" t="e">
        <f>Links!S173</f>
        <v>#DIV/0!</v>
      </c>
      <c r="BQ173" s="61" t="e">
        <f>(Links!S173^2+'Off-Ramp'!C173^2)/(Links!S173+'Off-Ramp'!C173)</f>
        <v>#DIV/0!</v>
      </c>
      <c r="BR173" s="61" t="e">
        <f>Links!T173</f>
        <v>#DIV/0!</v>
      </c>
      <c r="BS173" s="61" t="e">
        <f>(Links!U173^2+'Off-Ramp'!N173^2)/(Links!U173+'Off-Ramp'!N173)</f>
        <v>#DIV/0!</v>
      </c>
      <c r="BT173" s="61" t="e">
        <f>(Links!V173^2+'Off-Ramp'!O173^2)/(Links!V173+'Off-Ramp'!O173)</f>
        <v>#DIV/0!</v>
      </c>
      <c r="BU173" s="61" t="e">
        <f>(Links!W173^2+'Off-Ramp'!P173^2)/(Links!W173+'Off-Ramp'!P173)</f>
        <v>#DIV/0!</v>
      </c>
      <c r="BV173" s="61" t="e">
        <f>(Links!Y173^2+'Off-Ramp'!Q173^2)/(Links!Y173+'Off-Ramp'!Q173)</f>
        <v>#DIV/0!</v>
      </c>
      <c r="BW173" s="61" t="e">
        <f>(Links!Z173^2+'Off-Ramp'!R173^2)/(Links!Z173+'Off-Ramp'!R173)</f>
        <v>#DIV/0!</v>
      </c>
      <c r="BX173" s="61" t="e">
        <f>(Links!AA173+'Off-Ramp'!S173)/(Links!AA173^2+'Off-Ramp'!S173^2)</f>
        <v>#DIV/0!</v>
      </c>
      <c r="BY173" s="61" t="e">
        <f>(Links!AB173^2+'Off-Ramp'!T173^2)/(Links!AB173+'Off-Ramp'!T173)</f>
        <v>#DIV/0!</v>
      </c>
      <c r="BZ173" s="61" t="e">
        <f>Links!AC173</f>
        <v>#DIV/0!</v>
      </c>
      <c r="CA173" s="61" t="e">
        <f>(Links!AD173^2+'Off-Ramp'!U173^2)/(Links!AD173+'Off-Ramp'!U173)</f>
        <v>#DIV/0!</v>
      </c>
    </row>
    <row r="174" spans="1:79" x14ac:dyDescent="0.15">
      <c r="A174" s="59">
        <v>172</v>
      </c>
      <c r="B174" s="60" t="e">
        <f t="shared" si="64"/>
        <v>#DIV/0!</v>
      </c>
      <c r="C174" s="60" t="e">
        <f t="shared" si="65"/>
        <v>#DIV/0!</v>
      </c>
      <c r="D174" s="60" t="e">
        <f t="shared" si="66"/>
        <v>#DIV/0!</v>
      </c>
      <c r="E174" s="60" t="e">
        <f t="shared" si="67"/>
        <v>#DIV/0!</v>
      </c>
      <c r="F174" s="60" t="e">
        <f t="shared" si="68"/>
        <v>#DIV/0!</v>
      </c>
      <c r="G174" s="60" t="e">
        <f t="shared" si="69"/>
        <v>#DIV/0!</v>
      </c>
      <c r="H174" s="60" t="e">
        <f t="shared" si="70"/>
        <v>#DIV/0!</v>
      </c>
      <c r="I174" s="60" t="e">
        <f t="shared" si="71"/>
        <v>#DIV/0!</v>
      </c>
      <c r="J174" s="60" t="e">
        <f t="shared" si="72"/>
        <v>#DIV/0!</v>
      </c>
      <c r="K174" s="60" t="e">
        <f t="shared" si="73"/>
        <v>#DIV/0!</v>
      </c>
      <c r="L174" s="60" t="e">
        <f t="shared" si="74"/>
        <v>#DIV/0!</v>
      </c>
      <c r="M174" s="60" t="e">
        <f t="shared" si="75"/>
        <v>#DIV/0!</v>
      </c>
      <c r="N174" s="60" t="e">
        <f t="shared" si="76"/>
        <v>#DIV/0!</v>
      </c>
      <c r="O174" s="61" t="e">
        <f>Links!B174</f>
        <v>#DIV/0!</v>
      </c>
      <c r="P174" s="61" t="e">
        <f>Links!C174+'On-Ramps'!AC174</f>
        <v>#DIV/0!</v>
      </c>
      <c r="Q174" s="61" t="e">
        <f>Links!D174</f>
        <v>#DIV/0!</v>
      </c>
      <c r="R174" s="61" t="e">
        <f>Links!E174+'On-Ramps'!AD174</f>
        <v>#DIV/0!</v>
      </c>
      <c r="S174" s="61" t="e">
        <f>Links!F174+'On-Ramps'!AE174</f>
        <v>#DIV/0!</v>
      </c>
      <c r="T174" s="61" t="e">
        <f>Links!G174+'On-Ramps'!AF174</f>
        <v>#DIV/0!</v>
      </c>
      <c r="U174" s="61" t="e">
        <f>Links!H174+'On-Ramps'!AG174</f>
        <v>#DIV/0!</v>
      </c>
      <c r="V174" s="61" t="e">
        <f>Links!J174+'On-Ramps'!AH174</f>
        <v>#DIV/0!</v>
      </c>
      <c r="W174" s="61" t="e">
        <f>Links!K174+'On-Ramps'!AI174</f>
        <v>#DIV/0!</v>
      </c>
      <c r="X174" s="61" t="e">
        <f>Links!L174+'On-Ramps'!AJ174</f>
        <v>#DIV/0!</v>
      </c>
      <c r="Y174" s="61" t="e">
        <f>Links!M174</f>
        <v>#DIV/0!</v>
      </c>
      <c r="Z174" s="61" t="e">
        <f>Links!N174+'On-Ramps'!AK174</f>
        <v>#DIV/0!</v>
      </c>
      <c r="AA174" s="61" t="e">
        <f>Links!O174</f>
        <v>#DIV/0!</v>
      </c>
      <c r="AB174" s="60" t="e">
        <f t="shared" si="77"/>
        <v>#DIV/0!</v>
      </c>
      <c r="AC174" s="60" t="e">
        <f t="shared" si="78"/>
        <v>#DIV/0!</v>
      </c>
      <c r="AD174" s="60" t="e">
        <f t="shared" si="79"/>
        <v>#DIV/0!</v>
      </c>
      <c r="AE174" s="60" t="e">
        <f t="shared" si="80"/>
        <v>#DIV/0!</v>
      </c>
      <c r="AF174" s="60" t="e">
        <f t="shared" si="81"/>
        <v>#DIV/0!</v>
      </c>
      <c r="AG174" s="60" t="e">
        <f t="shared" si="82"/>
        <v>#DIV/0!</v>
      </c>
      <c r="AH174" s="60" t="e">
        <f t="shared" si="83"/>
        <v>#DIV/0!</v>
      </c>
      <c r="AI174" s="60" t="e">
        <f t="shared" si="84"/>
        <v>#DIV/0!</v>
      </c>
      <c r="AJ174" s="60" t="e">
        <f t="shared" si="85"/>
        <v>#DIV/0!</v>
      </c>
      <c r="AK174" s="60" t="e">
        <f t="shared" si="86"/>
        <v>#DIV/0!</v>
      </c>
      <c r="AL174" s="60" t="e">
        <f t="shared" si="87"/>
        <v>#DIV/0!</v>
      </c>
      <c r="AM174" s="60" t="e">
        <f t="shared" si="88"/>
        <v>#DIV/0!</v>
      </c>
      <c r="AN174" s="60" t="e">
        <f t="shared" si="90"/>
        <v>#DIV/0!</v>
      </c>
      <c r="AO174" s="61" t="e">
        <f t="shared" si="63"/>
        <v>#DIV/0!</v>
      </c>
      <c r="AP174" s="61" t="e">
        <f t="shared" si="91"/>
        <v>#DIV/0!</v>
      </c>
      <c r="AQ174" s="61" t="e">
        <f t="shared" si="91"/>
        <v>#DIV/0!</v>
      </c>
      <c r="AR174" s="61" t="e">
        <f t="shared" si="91"/>
        <v>#DIV/0!</v>
      </c>
      <c r="AS174" s="61" t="e">
        <f t="shared" si="91"/>
        <v>#DIV/0!</v>
      </c>
      <c r="AT174" s="61" t="e">
        <f t="shared" si="91"/>
        <v>#DIV/0!</v>
      </c>
      <c r="AU174" s="61" t="e">
        <f t="shared" si="91"/>
        <v>#DIV/0!</v>
      </c>
      <c r="AV174" s="61" t="e">
        <f t="shared" si="91"/>
        <v>#DIV/0!</v>
      </c>
      <c r="AW174" s="61" t="e">
        <f t="shared" si="91"/>
        <v>#DIV/0!</v>
      </c>
      <c r="AX174" s="61" t="e">
        <f t="shared" si="91"/>
        <v>#DIV/0!</v>
      </c>
      <c r="AY174" s="61" t="e">
        <f t="shared" si="91"/>
        <v>#DIV/0!</v>
      </c>
      <c r="AZ174" s="61" t="e">
        <f t="shared" si="91"/>
        <v>#DIV/0!</v>
      </c>
      <c r="BA174" s="61" t="e">
        <f t="shared" si="91"/>
        <v>#DIV/0!</v>
      </c>
      <c r="BB174" s="60" t="e">
        <f>Links!AF174</f>
        <v>#DIV/0!</v>
      </c>
      <c r="BC174" s="60" t="e">
        <f>(Links!AG174*Links!C174+'On-Ramps'!AC174*'On-Ramps'!CE174)/('On-Ramps'!AC174+Links!C174)</f>
        <v>#DIV/0!</v>
      </c>
      <c r="BD174" s="60" t="e">
        <f>Links!AH174</f>
        <v>#DIV/0!</v>
      </c>
      <c r="BE174" s="60" t="e">
        <f>(Links!AI174*Links!E174+'On-Ramps'!AD174*'On-Ramps'!CF173)/('On-Ramps'!AD174+Links!E174)</f>
        <v>#DIV/0!</v>
      </c>
      <c r="BF174" s="60" t="e">
        <f>(Links!F174*Links!AJ174+'On-Ramps'!AE174*'On-Ramps'!CG174)/('On-Ramps'!AE174+Links!F174)</f>
        <v>#DIV/0!</v>
      </c>
      <c r="BG174" s="60" t="e">
        <f>(Links!G174*Links!AK174+'On-Ramps'!AF174*'On-Ramps'!CH174)/('On-Ramps'!AF174+Links!G174)</f>
        <v>#DIV/0!</v>
      </c>
      <c r="BH174" s="60" t="e">
        <f>(Links!H174*Links!AL174+'On-Ramps'!AG174*'On-Ramps'!CI174)/('On-Ramps'!AG174+Links!H174)</f>
        <v>#DIV/0!</v>
      </c>
      <c r="BI174" s="60" t="e">
        <f>(Links!J174*Links!AN174+'On-Ramps'!AH174*'On-Ramps'!CJ174)/('On-Ramps'!AH174+Links!J174)</f>
        <v>#DIV/0!</v>
      </c>
      <c r="BJ174" s="60" t="e">
        <f>(Links!K174*Links!AO174+'On-Ramps'!AI174*'On-Ramps'!CK174)/('On-Ramps'!AI174+Links!K174)</f>
        <v>#DIV/0!</v>
      </c>
      <c r="BK174" s="60" t="e">
        <f>(Links!L174*Links!AP174+'On-Ramps'!AJ174*'On-Ramps'!CL174)/(Links!L174+'On-Ramps'!AJ174)</f>
        <v>#DIV/0!</v>
      </c>
      <c r="BL174" s="60" t="e">
        <f>Links!AQ174</f>
        <v>#DIV/0!</v>
      </c>
      <c r="BM174" s="60" t="e">
        <f>(Links!N174*Links!AR174+'On-Ramps'!AL174*'On-Ramps'!CM174)/(Links!N174+'On-Ramps'!AL174)</f>
        <v>#DIV/0!</v>
      </c>
      <c r="BN174" s="60" t="e">
        <f>Links!AS174</f>
        <v>#DIV/0!</v>
      </c>
      <c r="BO174" s="61" t="e">
        <f>(Links!R174^2+'Off-Ramp'!L174^2)/(Links!R174+'Off-Ramp'!L174)</f>
        <v>#DIV/0!</v>
      </c>
      <c r="BP174" s="61" t="e">
        <f>Links!S174</f>
        <v>#DIV/0!</v>
      </c>
      <c r="BQ174" s="61" t="e">
        <f>(Links!S174^2+'Off-Ramp'!C174^2)/(Links!S174+'Off-Ramp'!C174)</f>
        <v>#DIV/0!</v>
      </c>
      <c r="BR174" s="61" t="e">
        <f>Links!T174</f>
        <v>#DIV/0!</v>
      </c>
      <c r="BS174" s="61" t="e">
        <f>(Links!U174^2+'Off-Ramp'!N174^2)/(Links!U174+'Off-Ramp'!N174)</f>
        <v>#DIV/0!</v>
      </c>
      <c r="BT174" s="61" t="e">
        <f>(Links!V174^2+'Off-Ramp'!O174^2)/(Links!V174+'Off-Ramp'!O174)</f>
        <v>#DIV/0!</v>
      </c>
      <c r="BU174" s="61" t="e">
        <f>(Links!W174^2+'Off-Ramp'!P174^2)/(Links!W174+'Off-Ramp'!P174)</f>
        <v>#DIV/0!</v>
      </c>
      <c r="BV174" s="61" t="e">
        <f>(Links!Y174^2+'Off-Ramp'!Q174^2)/(Links!Y174+'Off-Ramp'!Q174)</f>
        <v>#DIV/0!</v>
      </c>
      <c r="BW174" s="61" t="e">
        <f>(Links!Z174^2+'Off-Ramp'!R174^2)/(Links!Z174+'Off-Ramp'!R174)</f>
        <v>#DIV/0!</v>
      </c>
      <c r="BX174" s="61" t="e">
        <f>(Links!AA174+'Off-Ramp'!S174)/(Links!AA174^2+'Off-Ramp'!S174^2)</f>
        <v>#DIV/0!</v>
      </c>
      <c r="BY174" s="61" t="e">
        <f>(Links!AB174^2+'Off-Ramp'!T174^2)/(Links!AB174+'Off-Ramp'!T174)</f>
        <v>#DIV/0!</v>
      </c>
      <c r="BZ174" s="61" t="e">
        <f>Links!AC174</f>
        <v>#DIV/0!</v>
      </c>
      <c r="CA174" s="61" t="e">
        <f>(Links!AD174^2+'Off-Ramp'!U174^2)/(Links!AD174+'Off-Ramp'!U174)</f>
        <v>#DIV/0!</v>
      </c>
    </row>
    <row r="175" spans="1:79" x14ac:dyDescent="0.15">
      <c r="A175" s="59">
        <v>173</v>
      </c>
      <c r="B175" s="60" t="e">
        <f t="shared" si="64"/>
        <v>#DIV/0!</v>
      </c>
      <c r="C175" s="60" t="e">
        <f t="shared" si="65"/>
        <v>#DIV/0!</v>
      </c>
      <c r="D175" s="60" t="e">
        <f t="shared" si="66"/>
        <v>#DIV/0!</v>
      </c>
      <c r="E175" s="60" t="e">
        <f t="shared" si="67"/>
        <v>#DIV/0!</v>
      </c>
      <c r="F175" s="60" t="e">
        <f t="shared" si="68"/>
        <v>#DIV/0!</v>
      </c>
      <c r="G175" s="60" t="e">
        <f t="shared" si="69"/>
        <v>#DIV/0!</v>
      </c>
      <c r="H175" s="60" t="e">
        <f t="shared" si="70"/>
        <v>#DIV/0!</v>
      </c>
      <c r="I175" s="60" t="e">
        <f t="shared" si="71"/>
        <v>#DIV/0!</v>
      </c>
      <c r="J175" s="60" t="e">
        <f t="shared" si="72"/>
        <v>#DIV/0!</v>
      </c>
      <c r="K175" s="60" t="e">
        <f t="shared" si="73"/>
        <v>#DIV/0!</v>
      </c>
      <c r="L175" s="60" t="e">
        <f t="shared" si="74"/>
        <v>#DIV/0!</v>
      </c>
      <c r="M175" s="60" t="e">
        <f t="shared" si="75"/>
        <v>#DIV/0!</v>
      </c>
      <c r="N175" s="60" t="e">
        <f t="shared" si="76"/>
        <v>#DIV/0!</v>
      </c>
      <c r="O175" s="61" t="e">
        <f>Links!B175</f>
        <v>#DIV/0!</v>
      </c>
      <c r="P175" s="61" t="e">
        <f>Links!C175+'On-Ramps'!AC175</f>
        <v>#DIV/0!</v>
      </c>
      <c r="Q175" s="61" t="e">
        <f>Links!D175</f>
        <v>#DIV/0!</v>
      </c>
      <c r="R175" s="61" t="e">
        <f>Links!E175+'On-Ramps'!AD175</f>
        <v>#DIV/0!</v>
      </c>
      <c r="S175" s="61" t="e">
        <f>Links!F175+'On-Ramps'!AE175</f>
        <v>#DIV/0!</v>
      </c>
      <c r="T175" s="61" t="e">
        <f>Links!G175+'On-Ramps'!AF175</f>
        <v>#DIV/0!</v>
      </c>
      <c r="U175" s="61" t="e">
        <f>Links!H175+'On-Ramps'!AG175</f>
        <v>#DIV/0!</v>
      </c>
      <c r="V175" s="61" t="e">
        <f>Links!J175+'On-Ramps'!AH175</f>
        <v>#DIV/0!</v>
      </c>
      <c r="W175" s="61" t="e">
        <f>Links!K175+'On-Ramps'!AI175</f>
        <v>#DIV/0!</v>
      </c>
      <c r="X175" s="61" t="e">
        <f>Links!L175+'On-Ramps'!AJ175</f>
        <v>#DIV/0!</v>
      </c>
      <c r="Y175" s="61" t="e">
        <f>Links!M175</f>
        <v>#DIV/0!</v>
      </c>
      <c r="Z175" s="61" t="e">
        <f>Links!N175+'On-Ramps'!AK175</f>
        <v>#DIV/0!</v>
      </c>
      <c r="AA175" s="61" t="e">
        <f>Links!O175</f>
        <v>#DIV/0!</v>
      </c>
      <c r="AB175" s="60" t="e">
        <f t="shared" si="77"/>
        <v>#DIV/0!</v>
      </c>
      <c r="AC175" s="60" t="e">
        <f t="shared" si="78"/>
        <v>#DIV/0!</v>
      </c>
      <c r="AD175" s="60" t="e">
        <f t="shared" si="79"/>
        <v>#DIV/0!</v>
      </c>
      <c r="AE175" s="60" t="e">
        <f t="shared" si="80"/>
        <v>#DIV/0!</v>
      </c>
      <c r="AF175" s="60" t="e">
        <f t="shared" si="81"/>
        <v>#DIV/0!</v>
      </c>
      <c r="AG175" s="60" t="e">
        <f t="shared" si="82"/>
        <v>#DIV/0!</v>
      </c>
      <c r="AH175" s="60" t="e">
        <f t="shared" si="83"/>
        <v>#DIV/0!</v>
      </c>
      <c r="AI175" s="60" t="e">
        <f t="shared" si="84"/>
        <v>#DIV/0!</v>
      </c>
      <c r="AJ175" s="60" t="e">
        <f t="shared" si="85"/>
        <v>#DIV/0!</v>
      </c>
      <c r="AK175" s="60" t="e">
        <f t="shared" si="86"/>
        <v>#DIV/0!</v>
      </c>
      <c r="AL175" s="60" t="e">
        <f t="shared" si="87"/>
        <v>#DIV/0!</v>
      </c>
      <c r="AM175" s="60" t="e">
        <f t="shared" si="88"/>
        <v>#DIV/0!</v>
      </c>
      <c r="AN175" s="60" t="e">
        <f t="shared" si="90"/>
        <v>#DIV/0!</v>
      </c>
      <c r="AO175" s="61" t="e">
        <f t="shared" si="63"/>
        <v>#DIV/0!</v>
      </c>
      <c r="AP175" s="61" t="e">
        <f t="shared" si="91"/>
        <v>#DIV/0!</v>
      </c>
      <c r="AQ175" s="61" t="e">
        <f t="shared" si="91"/>
        <v>#DIV/0!</v>
      </c>
      <c r="AR175" s="61" t="e">
        <f t="shared" si="91"/>
        <v>#DIV/0!</v>
      </c>
      <c r="AS175" s="61" t="e">
        <f t="shared" si="91"/>
        <v>#DIV/0!</v>
      </c>
      <c r="AT175" s="61" t="e">
        <f t="shared" si="91"/>
        <v>#DIV/0!</v>
      </c>
      <c r="AU175" s="61" t="e">
        <f t="shared" si="91"/>
        <v>#DIV/0!</v>
      </c>
      <c r="AV175" s="61" t="e">
        <f t="shared" si="91"/>
        <v>#DIV/0!</v>
      </c>
      <c r="AW175" s="61" t="e">
        <f t="shared" si="91"/>
        <v>#DIV/0!</v>
      </c>
      <c r="AX175" s="61" t="e">
        <f t="shared" si="91"/>
        <v>#DIV/0!</v>
      </c>
      <c r="AY175" s="61" t="e">
        <f t="shared" si="91"/>
        <v>#DIV/0!</v>
      </c>
      <c r="AZ175" s="61" t="e">
        <f t="shared" si="91"/>
        <v>#DIV/0!</v>
      </c>
      <c r="BA175" s="61" t="e">
        <f t="shared" si="91"/>
        <v>#DIV/0!</v>
      </c>
      <c r="BB175" s="60" t="e">
        <f>Links!AF175</f>
        <v>#DIV/0!</v>
      </c>
      <c r="BC175" s="60" t="e">
        <f>(Links!AG175*Links!C175+'On-Ramps'!AC175*'On-Ramps'!CE175)/('On-Ramps'!AC175+Links!C175)</f>
        <v>#DIV/0!</v>
      </c>
      <c r="BD175" s="60" t="e">
        <f>Links!AH175</f>
        <v>#DIV/0!</v>
      </c>
      <c r="BE175" s="60" t="e">
        <f>(Links!AI175*Links!E175+'On-Ramps'!AD175*'On-Ramps'!CF174)/('On-Ramps'!AD175+Links!E175)</f>
        <v>#DIV/0!</v>
      </c>
      <c r="BF175" s="60" t="e">
        <f>(Links!F175*Links!AJ175+'On-Ramps'!AE175*'On-Ramps'!CG175)/('On-Ramps'!AE175+Links!F175)</f>
        <v>#DIV/0!</v>
      </c>
      <c r="BG175" s="60" t="e">
        <f>(Links!G175*Links!AK175+'On-Ramps'!AF175*'On-Ramps'!CH175)/('On-Ramps'!AF175+Links!G175)</f>
        <v>#DIV/0!</v>
      </c>
      <c r="BH175" s="60" t="e">
        <f>(Links!H175*Links!AL175+'On-Ramps'!AG175*'On-Ramps'!CI175)/('On-Ramps'!AG175+Links!H175)</f>
        <v>#DIV/0!</v>
      </c>
      <c r="BI175" s="60" t="e">
        <f>(Links!J175*Links!AN175+'On-Ramps'!AH175*'On-Ramps'!CJ175)/('On-Ramps'!AH175+Links!J175)</f>
        <v>#DIV/0!</v>
      </c>
      <c r="BJ175" s="60" t="e">
        <f>(Links!K175*Links!AO175+'On-Ramps'!AI175*'On-Ramps'!CK175)/('On-Ramps'!AI175+Links!K175)</f>
        <v>#DIV/0!</v>
      </c>
      <c r="BK175" s="60" t="e">
        <f>(Links!L175*Links!AP175+'On-Ramps'!AJ175*'On-Ramps'!CL175)/(Links!L175+'On-Ramps'!AJ175)</f>
        <v>#DIV/0!</v>
      </c>
      <c r="BL175" s="60" t="e">
        <f>Links!AQ175</f>
        <v>#DIV/0!</v>
      </c>
      <c r="BM175" s="60" t="e">
        <f>(Links!N175*Links!AR175+'On-Ramps'!AL175*'On-Ramps'!CM175)/(Links!N175+'On-Ramps'!AL175)</f>
        <v>#DIV/0!</v>
      </c>
      <c r="BN175" s="60" t="e">
        <f>Links!AS175</f>
        <v>#DIV/0!</v>
      </c>
      <c r="BO175" s="61" t="e">
        <f>(Links!R175^2+'Off-Ramp'!L175^2)/(Links!R175+'Off-Ramp'!L175)</f>
        <v>#DIV/0!</v>
      </c>
      <c r="BP175" s="61" t="e">
        <f>Links!S175</f>
        <v>#DIV/0!</v>
      </c>
      <c r="BQ175" s="61" t="e">
        <f>(Links!S175^2+'Off-Ramp'!C175^2)/(Links!S175+'Off-Ramp'!C175)</f>
        <v>#DIV/0!</v>
      </c>
      <c r="BR175" s="61" t="e">
        <f>Links!T175</f>
        <v>#DIV/0!</v>
      </c>
      <c r="BS175" s="61" t="e">
        <f>(Links!U175^2+'Off-Ramp'!N175^2)/(Links!U175+'Off-Ramp'!N175)</f>
        <v>#DIV/0!</v>
      </c>
      <c r="BT175" s="61" t="e">
        <f>(Links!V175^2+'Off-Ramp'!O175^2)/(Links!V175+'Off-Ramp'!O175)</f>
        <v>#DIV/0!</v>
      </c>
      <c r="BU175" s="61" t="e">
        <f>(Links!W175^2+'Off-Ramp'!P175^2)/(Links!W175+'Off-Ramp'!P175)</f>
        <v>#DIV/0!</v>
      </c>
      <c r="BV175" s="61" t="e">
        <f>(Links!Y175^2+'Off-Ramp'!Q175^2)/(Links!Y175+'Off-Ramp'!Q175)</f>
        <v>#DIV/0!</v>
      </c>
      <c r="BW175" s="61" t="e">
        <f>(Links!Z175^2+'Off-Ramp'!R175^2)/(Links!Z175+'Off-Ramp'!R175)</f>
        <v>#DIV/0!</v>
      </c>
      <c r="BX175" s="61" t="e">
        <f>(Links!AA175+'Off-Ramp'!S175)/(Links!AA175^2+'Off-Ramp'!S175^2)</f>
        <v>#DIV/0!</v>
      </c>
      <c r="BY175" s="61" t="e">
        <f>(Links!AB175^2+'Off-Ramp'!T175^2)/(Links!AB175+'Off-Ramp'!T175)</f>
        <v>#DIV/0!</v>
      </c>
      <c r="BZ175" s="61" t="e">
        <f>Links!AC175</f>
        <v>#DIV/0!</v>
      </c>
      <c r="CA175" s="61" t="e">
        <f>(Links!AD175^2+'Off-Ramp'!U175^2)/(Links!AD175+'Off-Ramp'!U175)</f>
        <v>#DIV/0!</v>
      </c>
    </row>
    <row r="176" spans="1:79" x14ac:dyDescent="0.15">
      <c r="A176" s="59">
        <v>174</v>
      </c>
      <c r="B176" s="60" t="e">
        <f t="shared" si="64"/>
        <v>#DIV/0!</v>
      </c>
      <c r="C176" s="60" t="e">
        <f t="shared" si="65"/>
        <v>#DIV/0!</v>
      </c>
      <c r="D176" s="60" t="e">
        <f t="shared" si="66"/>
        <v>#DIV/0!</v>
      </c>
      <c r="E176" s="60" t="e">
        <f t="shared" si="67"/>
        <v>#DIV/0!</v>
      </c>
      <c r="F176" s="60" t="e">
        <f t="shared" si="68"/>
        <v>#DIV/0!</v>
      </c>
      <c r="G176" s="60" t="e">
        <f t="shared" si="69"/>
        <v>#DIV/0!</v>
      </c>
      <c r="H176" s="60" t="e">
        <f t="shared" si="70"/>
        <v>#DIV/0!</v>
      </c>
      <c r="I176" s="60" t="e">
        <f t="shared" si="71"/>
        <v>#DIV/0!</v>
      </c>
      <c r="J176" s="60" t="e">
        <f t="shared" si="72"/>
        <v>#DIV/0!</v>
      </c>
      <c r="K176" s="60" t="e">
        <f t="shared" si="73"/>
        <v>#DIV/0!</v>
      </c>
      <c r="L176" s="60" t="e">
        <f t="shared" si="74"/>
        <v>#DIV/0!</v>
      </c>
      <c r="M176" s="60" t="e">
        <f t="shared" si="75"/>
        <v>#DIV/0!</v>
      </c>
      <c r="N176" s="60" t="e">
        <f t="shared" si="76"/>
        <v>#DIV/0!</v>
      </c>
      <c r="O176" s="61" t="e">
        <f>Links!B176</f>
        <v>#DIV/0!</v>
      </c>
      <c r="P176" s="61" t="e">
        <f>Links!C176+'On-Ramps'!AC176</f>
        <v>#DIV/0!</v>
      </c>
      <c r="Q176" s="61" t="e">
        <f>Links!D176</f>
        <v>#DIV/0!</v>
      </c>
      <c r="R176" s="61" t="e">
        <f>Links!E176+'On-Ramps'!AD176</f>
        <v>#DIV/0!</v>
      </c>
      <c r="S176" s="61" t="e">
        <f>Links!F176+'On-Ramps'!AE176</f>
        <v>#DIV/0!</v>
      </c>
      <c r="T176" s="61" t="e">
        <f>Links!G176+'On-Ramps'!AF176</f>
        <v>#DIV/0!</v>
      </c>
      <c r="U176" s="61" t="e">
        <f>Links!H176+'On-Ramps'!AG176</f>
        <v>#DIV/0!</v>
      </c>
      <c r="V176" s="61" t="e">
        <f>Links!J176+'On-Ramps'!AH176</f>
        <v>#DIV/0!</v>
      </c>
      <c r="W176" s="61" t="e">
        <f>Links!K176+'On-Ramps'!AI176</f>
        <v>#DIV/0!</v>
      </c>
      <c r="X176" s="61" t="e">
        <f>Links!L176+'On-Ramps'!AJ176</f>
        <v>#DIV/0!</v>
      </c>
      <c r="Y176" s="61" t="e">
        <f>Links!M176</f>
        <v>#DIV/0!</v>
      </c>
      <c r="Z176" s="61" t="e">
        <f>Links!N176+'On-Ramps'!AK176</f>
        <v>#DIV/0!</v>
      </c>
      <c r="AA176" s="61" t="e">
        <f>Links!O176</f>
        <v>#DIV/0!</v>
      </c>
      <c r="AB176" s="60" t="e">
        <f t="shared" si="77"/>
        <v>#DIV/0!</v>
      </c>
      <c r="AC176" s="60" t="e">
        <f t="shared" si="78"/>
        <v>#DIV/0!</v>
      </c>
      <c r="AD176" s="60" t="e">
        <f t="shared" si="79"/>
        <v>#DIV/0!</v>
      </c>
      <c r="AE176" s="60" t="e">
        <f t="shared" si="80"/>
        <v>#DIV/0!</v>
      </c>
      <c r="AF176" s="60" t="e">
        <f t="shared" si="81"/>
        <v>#DIV/0!</v>
      </c>
      <c r="AG176" s="60" t="e">
        <f t="shared" si="82"/>
        <v>#DIV/0!</v>
      </c>
      <c r="AH176" s="60" t="e">
        <f t="shared" si="83"/>
        <v>#DIV/0!</v>
      </c>
      <c r="AI176" s="60" t="e">
        <f t="shared" si="84"/>
        <v>#DIV/0!</v>
      </c>
      <c r="AJ176" s="60" t="e">
        <f t="shared" si="85"/>
        <v>#DIV/0!</v>
      </c>
      <c r="AK176" s="60" t="e">
        <f t="shared" si="86"/>
        <v>#DIV/0!</v>
      </c>
      <c r="AL176" s="60" t="e">
        <f t="shared" si="87"/>
        <v>#DIV/0!</v>
      </c>
      <c r="AM176" s="60" t="e">
        <f t="shared" si="88"/>
        <v>#DIV/0!</v>
      </c>
      <c r="AN176" s="60" t="e">
        <f t="shared" si="90"/>
        <v>#DIV/0!</v>
      </c>
      <c r="AO176" s="61" t="e">
        <f t="shared" si="63"/>
        <v>#DIV/0!</v>
      </c>
      <c r="AP176" s="61" t="e">
        <f t="shared" si="91"/>
        <v>#DIV/0!</v>
      </c>
      <c r="AQ176" s="61" t="e">
        <f t="shared" si="91"/>
        <v>#DIV/0!</v>
      </c>
      <c r="AR176" s="61" t="e">
        <f t="shared" si="91"/>
        <v>#DIV/0!</v>
      </c>
      <c r="AS176" s="61" t="e">
        <f t="shared" si="91"/>
        <v>#DIV/0!</v>
      </c>
      <c r="AT176" s="61" t="e">
        <f t="shared" si="91"/>
        <v>#DIV/0!</v>
      </c>
      <c r="AU176" s="61" t="e">
        <f t="shared" si="91"/>
        <v>#DIV/0!</v>
      </c>
      <c r="AV176" s="61" t="e">
        <f t="shared" si="91"/>
        <v>#DIV/0!</v>
      </c>
      <c r="AW176" s="61" t="e">
        <f t="shared" si="91"/>
        <v>#DIV/0!</v>
      </c>
      <c r="AX176" s="61" t="e">
        <f t="shared" si="91"/>
        <v>#DIV/0!</v>
      </c>
      <c r="AY176" s="61" t="e">
        <f t="shared" si="91"/>
        <v>#DIV/0!</v>
      </c>
      <c r="AZ176" s="61" t="e">
        <f t="shared" si="91"/>
        <v>#DIV/0!</v>
      </c>
      <c r="BA176" s="61" t="e">
        <f t="shared" si="91"/>
        <v>#DIV/0!</v>
      </c>
      <c r="BB176" s="60" t="e">
        <f>Links!AF176</f>
        <v>#DIV/0!</v>
      </c>
      <c r="BC176" s="60" t="e">
        <f>(Links!AG176*Links!C176+'On-Ramps'!AC176*'On-Ramps'!CE176)/('On-Ramps'!AC176+Links!C176)</f>
        <v>#DIV/0!</v>
      </c>
      <c r="BD176" s="60" t="e">
        <f>Links!AH176</f>
        <v>#DIV/0!</v>
      </c>
      <c r="BE176" s="60" t="e">
        <f>(Links!AI176*Links!E176+'On-Ramps'!AD176*'On-Ramps'!CF175)/('On-Ramps'!AD176+Links!E176)</f>
        <v>#DIV/0!</v>
      </c>
      <c r="BF176" s="60" t="e">
        <f>(Links!F176*Links!AJ176+'On-Ramps'!AE176*'On-Ramps'!CG176)/('On-Ramps'!AE176+Links!F176)</f>
        <v>#DIV/0!</v>
      </c>
      <c r="BG176" s="60" t="e">
        <f>(Links!G176*Links!AK176+'On-Ramps'!AF176*'On-Ramps'!CH176)/('On-Ramps'!AF176+Links!G176)</f>
        <v>#DIV/0!</v>
      </c>
      <c r="BH176" s="60" t="e">
        <f>(Links!H176*Links!AL176+'On-Ramps'!AG176*'On-Ramps'!CI176)/('On-Ramps'!AG176+Links!H176)</f>
        <v>#DIV/0!</v>
      </c>
      <c r="BI176" s="60" t="e">
        <f>(Links!J176*Links!AN176+'On-Ramps'!AH176*'On-Ramps'!CJ176)/('On-Ramps'!AH176+Links!J176)</f>
        <v>#DIV/0!</v>
      </c>
      <c r="BJ176" s="60" t="e">
        <f>(Links!K176*Links!AO176+'On-Ramps'!AI176*'On-Ramps'!CK176)/('On-Ramps'!AI176+Links!K176)</f>
        <v>#DIV/0!</v>
      </c>
      <c r="BK176" s="60" t="e">
        <f>(Links!L176*Links!AP176+'On-Ramps'!AJ176*'On-Ramps'!CL176)/(Links!L176+'On-Ramps'!AJ176)</f>
        <v>#DIV/0!</v>
      </c>
      <c r="BL176" s="60" t="e">
        <f>Links!AQ176</f>
        <v>#DIV/0!</v>
      </c>
      <c r="BM176" s="60" t="e">
        <f>(Links!N176*Links!AR176+'On-Ramps'!AL176*'On-Ramps'!CM176)/(Links!N176+'On-Ramps'!AL176)</f>
        <v>#DIV/0!</v>
      </c>
      <c r="BN176" s="60" t="e">
        <f>Links!AS176</f>
        <v>#DIV/0!</v>
      </c>
      <c r="BO176" s="61" t="e">
        <f>(Links!R176^2+'Off-Ramp'!L176^2)/(Links!R176+'Off-Ramp'!L176)</f>
        <v>#DIV/0!</v>
      </c>
      <c r="BP176" s="61" t="e">
        <f>Links!S176</f>
        <v>#DIV/0!</v>
      </c>
      <c r="BQ176" s="61" t="e">
        <f>(Links!S176^2+'Off-Ramp'!C176^2)/(Links!S176+'Off-Ramp'!C176)</f>
        <v>#DIV/0!</v>
      </c>
      <c r="BR176" s="61" t="e">
        <f>Links!T176</f>
        <v>#DIV/0!</v>
      </c>
      <c r="BS176" s="61" t="e">
        <f>(Links!U176^2+'Off-Ramp'!N176^2)/(Links!U176+'Off-Ramp'!N176)</f>
        <v>#DIV/0!</v>
      </c>
      <c r="BT176" s="61" t="e">
        <f>(Links!V176^2+'Off-Ramp'!O176^2)/(Links!V176+'Off-Ramp'!O176)</f>
        <v>#DIV/0!</v>
      </c>
      <c r="BU176" s="61" t="e">
        <f>(Links!W176^2+'Off-Ramp'!P176^2)/(Links!W176+'Off-Ramp'!P176)</f>
        <v>#DIV/0!</v>
      </c>
      <c r="BV176" s="61" t="e">
        <f>(Links!Y176^2+'Off-Ramp'!Q176^2)/(Links!Y176+'Off-Ramp'!Q176)</f>
        <v>#DIV/0!</v>
      </c>
      <c r="BW176" s="61" t="e">
        <f>(Links!Z176^2+'Off-Ramp'!R176^2)/(Links!Z176+'Off-Ramp'!R176)</f>
        <v>#DIV/0!</v>
      </c>
      <c r="BX176" s="61" t="e">
        <f>(Links!AA176+'Off-Ramp'!S176)/(Links!AA176^2+'Off-Ramp'!S176^2)</f>
        <v>#DIV/0!</v>
      </c>
      <c r="BY176" s="61" t="e">
        <f>(Links!AB176^2+'Off-Ramp'!T176^2)/(Links!AB176+'Off-Ramp'!T176)</f>
        <v>#DIV/0!</v>
      </c>
      <c r="BZ176" s="61" t="e">
        <f>Links!AC176</f>
        <v>#DIV/0!</v>
      </c>
      <c r="CA176" s="61" t="e">
        <f>(Links!AD176^2+'Off-Ramp'!U176^2)/(Links!AD176+'Off-Ramp'!U176)</f>
        <v>#DIV/0!</v>
      </c>
    </row>
    <row r="177" spans="1:79" x14ac:dyDescent="0.15">
      <c r="A177" s="59">
        <v>175</v>
      </c>
      <c r="B177" s="60" t="e">
        <f t="shared" si="64"/>
        <v>#DIV/0!</v>
      </c>
      <c r="C177" s="60" t="e">
        <f t="shared" si="65"/>
        <v>#DIV/0!</v>
      </c>
      <c r="D177" s="60" t="e">
        <f t="shared" si="66"/>
        <v>#DIV/0!</v>
      </c>
      <c r="E177" s="60" t="e">
        <f t="shared" si="67"/>
        <v>#DIV/0!</v>
      </c>
      <c r="F177" s="60" t="e">
        <f t="shared" si="68"/>
        <v>#DIV/0!</v>
      </c>
      <c r="G177" s="60" t="e">
        <f t="shared" si="69"/>
        <v>#DIV/0!</v>
      </c>
      <c r="H177" s="60" t="e">
        <f t="shared" si="70"/>
        <v>#DIV/0!</v>
      </c>
      <c r="I177" s="60" t="e">
        <f t="shared" si="71"/>
        <v>#DIV/0!</v>
      </c>
      <c r="J177" s="60" t="e">
        <f t="shared" si="72"/>
        <v>#DIV/0!</v>
      </c>
      <c r="K177" s="60" t="e">
        <f t="shared" si="73"/>
        <v>#DIV/0!</v>
      </c>
      <c r="L177" s="60" t="e">
        <f t="shared" si="74"/>
        <v>#DIV/0!</v>
      </c>
      <c r="M177" s="60" t="e">
        <f t="shared" si="75"/>
        <v>#DIV/0!</v>
      </c>
      <c r="N177" s="60" t="e">
        <f t="shared" si="76"/>
        <v>#DIV/0!</v>
      </c>
      <c r="O177" s="61" t="e">
        <f>Links!B177</f>
        <v>#DIV/0!</v>
      </c>
      <c r="P177" s="61" t="e">
        <f>Links!C177+'On-Ramps'!AC177</f>
        <v>#DIV/0!</v>
      </c>
      <c r="Q177" s="61" t="e">
        <f>Links!D177</f>
        <v>#DIV/0!</v>
      </c>
      <c r="R177" s="61" t="e">
        <f>Links!E177+'On-Ramps'!AD177</f>
        <v>#DIV/0!</v>
      </c>
      <c r="S177" s="61" t="e">
        <f>Links!F177+'On-Ramps'!AE177</f>
        <v>#DIV/0!</v>
      </c>
      <c r="T177" s="61" t="e">
        <f>Links!G177+'On-Ramps'!AF177</f>
        <v>#DIV/0!</v>
      </c>
      <c r="U177" s="61" t="e">
        <f>Links!H177+'On-Ramps'!AG177</f>
        <v>#DIV/0!</v>
      </c>
      <c r="V177" s="61" t="e">
        <f>Links!J177+'On-Ramps'!AH177</f>
        <v>#DIV/0!</v>
      </c>
      <c r="W177" s="61" t="e">
        <f>Links!K177+'On-Ramps'!AI177</f>
        <v>#DIV/0!</v>
      </c>
      <c r="X177" s="61" t="e">
        <f>Links!L177+'On-Ramps'!AJ177</f>
        <v>#DIV/0!</v>
      </c>
      <c r="Y177" s="61" t="e">
        <f>Links!M177</f>
        <v>#DIV/0!</v>
      </c>
      <c r="Z177" s="61" t="e">
        <f>Links!N177+'On-Ramps'!AK177</f>
        <v>#DIV/0!</v>
      </c>
      <c r="AA177" s="61" t="e">
        <f>Links!O177</f>
        <v>#DIV/0!</v>
      </c>
      <c r="AB177" s="60" t="e">
        <f t="shared" si="77"/>
        <v>#DIV/0!</v>
      </c>
      <c r="AC177" s="60" t="e">
        <f t="shared" si="78"/>
        <v>#DIV/0!</v>
      </c>
      <c r="AD177" s="60" t="e">
        <f t="shared" si="79"/>
        <v>#DIV/0!</v>
      </c>
      <c r="AE177" s="60" t="e">
        <f t="shared" si="80"/>
        <v>#DIV/0!</v>
      </c>
      <c r="AF177" s="60" t="e">
        <f t="shared" si="81"/>
        <v>#DIV/0!</v>
      </c>
      <c r="AG177" s="60" t="e">
        <f t="shared" si="82"/>
        <v>#DIV/0!</v>
      </c>
      <c r="AH177" s="60" t="e">
        <f t="shared" si="83"/>
        <v>#DIV/0!</v>
      </c>
      <c r="AI177" s="60" t="e">
        <f t="shared" si="84"/>
        <v>#DIV/0!</v>
      </c>
      <c r="AJ177" s="60" t="e">
        <f t="shared" si="85"/>
        <v>#DIV/0!</v>
      </c>
      <c r="AK177" s="60" t="e">
        <f t="shared" si="86"/>
        <v>#DIV/0!</v>
      </c>
      <c r="AL177" s="60" t="e">
        <f t="shared" si="87"/>
        <v>#DIV/0!</v>
      </c>
      <c r="AM177" s="60" t="e">
        <f t="shared" si="88"/>
        <v>#DIV/0!</v>
      </c>
      <c r="AN177" s="60" t="e">
        <f t="shared" si="90"/>
        <v>#DIV/0!</v>
      </c>
      <c r="AO177" s="61" t="e">
        <f t="shared" si="63"/>
        <v>#DIV/0!</v>
      </c>
      <c r="AP177" s="61" t="e">
        <f t="shared" si="91"/>
        <v>#DIV/0!</v>
      </c>
      <c r="AQ177" s="61" t="e">
        <f t="shared" si="91"/>
        <v>#DIV/0!</v>
      </c>
      <c r="AR177" s="61" t="e">
        <f t="shared" si="91"/>
        <v>#DIV/0!</v>
      </c>
      <c r="AS177" s="61" t="e">
        <f t="shared" si="91"/>
        <v>#DIV/0!</v>
      </c>
      <c r="AT177" s="61" t="e">
        <f t="shared" si="91"/>
        <v>#DIV/0!</v>
      </c>
      <c r="AU177" s="61" t="e">
        <f t="shared" si="91"/>
        <v>#DIV/0!</v>
      </c>
      <c r="AV177" s="61" t="e">
        <f t="shared" si="91"/>
        <v>#DIV/0!</v>
      </c>
      <c r="AW177" s="61" t="e">
        <f t="shared" si="91"/>
        <v>#DIV/0!</v>
      </c>
      <c r="AX177" s="61" t="e">
        <f t="shared" si="91"/>
        <v>#DIV/0!</v>
      </c>
      <c r="AY177" s="61" t="e">
        <f t="shared" si="91"/>
        <v>#DIV/0!</v>
      </c>
      <c r="AZ177" s="61" t="e">
        <f t="shared" si="91"/>
        <v>#DIV/0!</v>
      </c>
      <c r="BA177" s="61" t="e">
        <f t="shared" si="91"/>
        <v>#DIV/0!</v>
      </c>
      <c r="BB177" s="60" t="e">
        <f>Links!AF177</f>
        <v>#DIV/0!</v>
      </c>
      <c r="BC177" s="60" t="e">
        <f>(Links!AG177*Links!C177+'On-Ramps'!AC177*'On-Ramps'!CE177)/('On-Ramps'!AC177+Links!C177)</f>
        <v>#DIV/0!</v>
      </c>
      <c r="BD177" s="60" t="e">
        <f>Links!AH177</f>
        <v>#DIV/0!</v>
      </c>
      <c r="BE177" s="60" t="e">
        <f>(Links!AI177*Links!E177+'On-Ramps'!AD177*'On-Ramps'!CF176)/('On-Ramps'!AD177+Links!E177)</f>
        <v>#DIV/0!</v>
      </c>
      <c r="BF177" s="60" t="e">
        <f>(Links!F177*Links!AJ177+'On-Ramps'!AE177*'On-Ramps'!CG177)/('On-Ramps'!AE177+Links!F177)</f>
        <v>#DIV/0!</v>
      </c>
      <c r="BG177" s="60" t="e">
        <f>(Links!G177*Links!AK177+'On-Ramps'!AF177*'On-Ramps'!CH177)/('On-Ramps'!AF177+Links!G177)</f>
        <v>#DIV/0!</v>
      </c>
      <c r="BH177" s="60" t="e">
        <f>(Links!H177*Links!AL177+'On-Ramps'!AG177*'On-Ramps'!CI177)/('On-Ramps'!AG177+Links!H177)</f>
        <v>#DIV/0!</v>
      </c>
      <c r="BI177" s="60" t="e">
        <f>(Links!J177*Links!AN177+'On-Ramps'!AH177*'On-Ramps'!CJ177)/('On-Ramps'!AH177+Links!J177)</f>
        <v>#DIV/0!</v>
      </c>
      <c r="BJ177" s="60" t="e">
        <f>(Links!K177*Links!AO177+'On-Ramps'!AI177*'On-Ramps'!CK177)/('On-Ramps'!AI177+Links!K177)</f>
        <v>#DIV/0!</v>
      </c>
      <c r="BK177" s="60" t="e">
        <f>(Links!L177*Links!AP177+'On-Ramps'!AJ177*'On-Ramps'!CL177)/(Links!L177+'On-Ramps'!AJ177)</f>
        <v>#DIV/0!</v>
      </c>
      <c r="BL177" s="60" t="e">
        <f>Links!AQ177</f>
        <v>#DIV/0!</v>
      </c>
      <c r="BM177" s="60" t="e">
        <f>(Links!N177*Links!AR177+'On-Ramps'!AL177*'On-Ramps'!CM177)/(Links!N177+'On-Ramps'!AL177)</f>
        <v>#DIV/0!</v>
      </c>
      <c r="BN177" s="60" t="e">
        <f>Links!AS177</f>
        <v>#DIV/0!</v>
      </c>
      <c r="BO177" s="61" t="e">
        <f>(Links!R177^2+'Off-Ramp'!L177^2)/(Links!R177+'Off-Ramp'!L177)</f>
        <v>#DIV/0!</v>
      </c>
      <c r="BP177" s="61" t="e">
        <f>Links!S177</f>
        <v>#DIV/0!</v>
      </c>
      <c r="BQ177" s="61" t="e">
        <f>(Links!S177^2+'Off-Ramp'!C177^2)/(Links!S177+'Off-Ramp'!C177)</f>
        <v>#DIV/0!</v>
      </c>
      <c r="BR177" s="61" t="e">
        <f>Links!T177</f>
        <v>#DIV/0!</v>
      </c>
      <c r="BS177" s="61" t="e">
        <f>(Links!U177^2+'Off-Ramp'!N177^2)/(Links!U177+'Off-Ramp'!N177)</f>
        <v>#DIV/0!</v>
      </c>
      <c r="BT177" s="61" t="e">
        <f>(Links!V177^2+'Off-Ramp'!O177^2)/(Links!V177+'Off-Ramp'!O177)</f>
        <v>#DIV/0!</v>
      </c>
      <c r="BU177" s="61" t="e">
        <f>(Links!W177^2+'Off-Ramp'!P177^2)/(Links!W177+'Off-Ramp'!P177)</f>
        <v>#DIV/0!</v>
      </c>
      <c r="BV177" s="61" t="e">
        <f>(Links!Y177^2+'Off-Ramp'!Q177^2)/(Links!Y177+'Off-Ramp'!Q177)</f>
        <v>#DIV/0!</v>
      </c>
      <c r="BW177" s="61" t="e">
        <f>(Links!Z177^2+'Off-Ramp'!R177^2)/(Links!Z177+'Off-Ramp'!R177)</f>
        <v>#DIV/0!</v>
      </c>
      <c r="BX177" s="61" t="e">
        <f>(Links!AA177+'Off-Ramp'!S177)/(Links!AA177^2+'Off-Ramp'!S177^2)</f>
        <v>#DIV/0!</v>
      </c>
      <c r="BY177" s="61" t="e">
        <f>(Links!AB177^2+'Off-Ramp'!T177^2)/(Links!AB177+'Off-Ramp'!T177)</f>
        <v>#DIV/0!</v>
      </c>
      <c r="BZ177" s="61" t="e">
        <f>Links!AC177</f>
        <v>#DIV/0!</v>
      </c>
      <c r="CA177" s="61" t="e">
        <f>(Links!AD177^2+'Off-Ramp'!U177^2)/(Links!AD177+'Off-Ramp'!U177)</f>
        <v>#DIV/0!</v>
      </c>
    </row>
    <row r="178" spans="1:79" x14ac:dyDescent="0.15">
      <c r="A178" s="59">
        <v>176</v>
      </c>
      <c r="B178" s="60" t="e">
        <f t="shared" si="64"/>
        <v>#DIV/0!</v>
      </c>
      <c r="C178" s="60" t="e">
        <f t="shared" si="65"/>
        <v>#DIV/0!</v>
      </c>
      <c r="D178" s="60" t="e">
        <f t="shared" si="66"/>
        <v>#DIV/0!</v>
      </c>
      <c r="E178" s="60" t="e">
        <f t="shared" si="67"/>
        <v>#DIV/0!</v>
      </c>
      <c r="F178" s="60" t="e">
        <f t="shared" si="68"/>
        <v>#DIV/0!</v>
      </c>
      <c r="G178" s="60" t="e">
        <f t="shared" si="69"/>
        <v>#DIV/0!</v>
      </c>
      <c r="H178" s="60" t="e">
        <f t="shared" si="70"/>
        <v>#DIV/0!</v>
      </c>
      <c r="I178" s="60" t="e">
        <f t="shared" si="71"/>
        <v>#DIV/0!</v>
      </c>
      <c r="J178" s="60" t="e">
        <f t="shared" si="72"/>
        <v>#DIV/0!</v>
      </c>
      <c r="K178" s="60" t="e">
        <f t="shared" si="73"/>
        <v>#DIV/0!</v>
      </c>
      <c r="L178" s="60" t="e">
        <f t="shared" si="74"/>
        <v>#DIV/0!</v>
      </c>
      <c r="M178" s="60" t="e">
        <f t="shared" si="75"/>
        <v>#DIV/0!</v>
      </c>
      <c r="N178" s="60" t="e">
        <f t="shared" si="76"/>
        <v>#DIV/0!</v>
      </c>
      <c r="O178" s="61" t="e">
        <f>Links!B178</f>
        <v>#DIV/0!</v>
      </c>
      <c r="P178" s="61" t="e">
        <f>Links!C178+'On-Ramps'!AC178</f>
        <v>#DIV/0!</v>
      </c>
      <c r="Q178" s="61" t="e">
        <f>Links!D178</f>
        <v>#DIV/0!</v>
      </c>
      <c r="R178" s="61" t="e">
        <f>Links!E178+'On-Ramps'!AD178</f>
        <v>#DIV/0!</v>
      </c>
      <c r="S178" s="61" t="e">
        <f>Links!F178+'On-Ramps'!AE178</f>
        <v>#DIV/0!</v>
      </c>
      <c r="T178" s="61" t="e">
        <f>Links!G178+'On-Ramps'!AF178</f>
        <v>#DIV/0!</v>
      </c>
      <c r="U178" s="61" t="e">
        <f>Links!H178+'On-Ramps'!AG178</f>
        <v>#DIV/0!</v>
      </c>
      <c r="V178" s="61" t="e">
        <f>Links!J178+'On-Ramps'!AH178</f>
        <v>#DIV/0!</v>
      </c>
      <c r="W178" s="61" t="e">
        <f>Links!K178+'On-Ramps'!AI178</f>
        <v>#DIV/0!</v>
      </c>
      <c r="X178" s="61" t="e">
        <f>Links!L178+'On-Ramps'!AJ178</f>
        <v>#DIV/0!</v>
      </c>
      <c r="Y178" s="61" t="e">
        <f>Links!M178</f>
        <v>#DIV/0!</v>
      </c>
      <c r="Z178" s="61" t="e">
        <f>Links!N178+'On-Ramps'!AK178</f>
        <v>#DIV/0!</v>
      </c>
      <c r="AA178" s="61" t="e">
        <f>Links!O178</f>
        <v>#DIV/0!</v>
      </c>
      <c r="AB178" s="60" t="e">
        <f t="shared" si="77"/>
        <v>#DIV/0!</v>
      </c>
      <c r="AC178" s="60" t="e">
        <f t="shared" si="78"/>
        <v>#DIV/0!</v>
      </c>
      <c r="AD178" s="60" t="e">
        <f t="shared" si="79"/>
        <v>#DIV/0!</v>
      </c>
      <c r="AE178" s="60" t="e">
        <f t="shared" si="80"/>
        <v>#DIV/0!</v>
      </c>
      <c r="AF178" s="60" t="e">
        <f t="shared" si="81"/>
        <v>#DIV/0!</v>
      </c>
      <c r="AG178" s="60" t="e">
        <f t="shared" si="82"/>
        <v>#DIV/0!</v>
      </c>
      <c r="AH178" s="60" t="e">
        <f t="shared" si="83"/>
        <v>#DIV/0!</v>
      </c>
      <c r="AI178" s="60" t="e">
        <f t="shared" si="84"/>
        <v>#DIV/0!</v>
      </c>
      <c r="AJ178" s="60" t="e">
        <f t="shared" si="85"/>
        <v>#DIV/0!</v>
      </c>
      <c r="AK178" s="60" t="e">
        <f t="shared" si="86"/>
        <v>#DIV/0!</v>
      </c>
      <c r="AL178" s="60" t="e">
        <f t="shared" si="87"/>
        <v>#DIV/0!</v>
      </c>
      <c r="AM178" s="60" t="e">
        <f t="shared" si="88"/>
        <v>#DIV/0!</v>
      </c>
      <c r="AN178" s="60" t="e">
        <f t="shared" si="90"/>
        <v>#DIV/0!</v>
      </c>
      <c r="AO178" s="61" t="e">
        <f t="shared" si="63"/>
        <v>#DIV/0!</v>
      </c>
      <c r="AP178" s="61" t="e">
        <f t="shared" si="91"/>
        <v>#DIV/0!</v>
      </c>
      <c r="AQ178" s="61" t="e">
        <f t="shared" si="91"/>
        <v>#DIV/0!</v>
      </c>
      <c r="AR178" s="61" t="e">
        <f t="shared" si="91"/>
        <v>#DIV/0!</v>
      </c>
      <c r="AS178" s="61" t="e">
        <f t="shared" si="91"/>
        <v>#DIV/0!</v>
      </c>
      <c r="AT178" s="61" t="e">
        <f t="shared" si="91"/>
        <v>#DIV/0!</v>
      </c>
      <c r="AU178" s="61" t="e">
        <f t="shared" si="91"/>
        <v>#DIV/0!</v>
      </c>
      <c r="AV178" s="61" t="e">
        <f t="shared" si="91"/>
        <v>#DIV/0!</v>
      </c>
      <c r="AW178" s="61" t="e">
        <f t="shared" si="91"/>
        <v>#DIV/0!</v>
      </c>
      <c r="AX178" s="61" t="e">
        <f t="shared" si="91"/>
        <v>#DIV/0!</v>
      </c>
      <c r="AY178" s="61" t="e">
        <f t="shared" si="91"/>
        <v>#DIV/0!</v>
      </c>
      <c r="AZ178" s="61" t="e">
        <f t="shared" si="91"/>
        <v>#DIV/0!</v>
      </c>
      <c r="BA178" s="61" t="e">
        <f t="shared" si="91"/>
        <v>#DIV/0!</v>
      </c>
      <c r="BB178" s="60" t="e">
        <f>Links!AF178</f>
        <v>#DIV/0!</v>
      </c>
      <c r="BC178" s="60" t="e">
        <f>(Links!AG178*Links!C178+'On-Ramps'!AC178*'On-Ramps'!CE178)/('On-Ramps'!AC178+Links!C178)</f>
        <v>#DIV/0!</v>
      </c>
      <c r="BD178" s="60" t="e">
        <f>Links!AH178</f>
        <v>#DIV/0!</v>
      </c>
      <c r="BE178" s="60" t="e">
        <f>(Links!AI178*Links!E178+'On-Ramps'!AD178*'On-Ramps'!CF177)/('On-Ramps'!AD178+Links!E178)</f>
        <v>#DIV/0!</v>
      </c>
      <c r="BF178" s="60" t="e">
        <f>(Links!F178*Links!AJ178+'On-Ramps'!AE178*'On-Ramps'!CG178)/('On-Ramps'!AE178+Links!F178)</f>
        <v>#DIV/0!</v>
      </c>
      <c r="BG178" s="60" t="e">
        <f>(Links!G178*Links!AK178+'On-Ramps'!AF178*'On-Ramps'!CH178)/('On-Ramps'!AF178+Links!G178)</f>
        <v>#DIV/0!</v>
      </c>
      <c r="BH178" s="60" t="e">
        <f>(Links!H178*Links!AL178+'On-Ramps'!AG178*'On-Ramps'!CI178)/('On-Ramps'!AG178+Links!H178)</f>
        <v>#DIV/0!</v>
      </c>
      <c r="BI178" s="60" t="e">
        <f>(Links!J178*Links!AN178+'On-Ramps'!AH178*'On-Ramps'!CJ178)/('On-Ramps'!AH178+Links!J178)</f>
        <v>#DIV/0!</v>
      </c>
      <c r="BJ178" s="60" t="e">
        <f>(Links!K178*Links!AO178+'On-Ramps'!AI178*'On-Ramps'!CK178)/('On-Ramps'!AI178+Links!K178)</f>
        <v>#DIV/0!</v>
      </c>
      <c r="BK178" s="60" t="e">
        <f>(Links!L178*Links!AP178+'On-Ramps'!AJ178*'On-Ramps'!CL178)/(Links!L178+'On-Ramps'!AJ178)</f>
        <v>#DIV/0!</v>
      </c>
      <c r="BL178" s="60" t="e">
        <f>Links!AQ178</f>
        <v>#DIV/0!</v>
      </c>
      <c r="BM178" s="60" t="e">
        <f>(Links!N178*Links!AR178+'On-Ramps'!AL178*'On-Ramps'!CM178)/(Links!N178+'On-Ramps'!AL178)</f>
        <v>#DIV/0!</v>
      </c>
      <c r="BN178" s="60" t="e">
        <f>Links!AS178</f>
        <v>#DIV/0!</v>
      </c>
      <c r="BO178" s="61" t="e">
        <f>(Links!R178^2+'Off-Ramp'!L178^2)/(Links!R178+'Off-Ramp'!L178)</f>
        <v>#DIV/0!</v>
      </c>
      <c r="BP178" s="61" t="e">
        <f>Links!S178</f>
        <v>#DIV/0!</v>
      </c>
      <c r="BQ178" s="61" t="e">
        <f>(Links!S178^2+'Off-Ramp'!C178^2)/(Links!S178+'Off-Ramp'!C178)</f>
        <v>#DIV/0!</v>
      </c>
      <c r="BR178" s="61" t="e">
        <f>Links!T178</f>
        <v>#DIV/0!</v>
      </c>
      <c r="BS178" s="61" t="e">
        <f>(Links!U178^2+'Off-Ramp'!N178^2)/(Links!U178+'Off-Ramp'!N178)</f>
        <v>#DIV/0!</v>
      </c>
      <c r="BT178" s="61" t="e">
        <f>(Links!V178^2+'Off-Ramp'!O178^2)/(Links!V178+'Off-Ramp'!O178)</f>
        <v>#DIV/0!</v>
      </c>
      <c r="BU178" s="61" t="e">
        <f>(Links!W178^2+'Off-Ramp'!P178^2)/(Links!W178+'Off-Ramp'!P178)</f>
        <v>#DIV/0!</v>
      </c>
      <c r="BV178" s="61" t="e">
        <f>(Links!Y178^2+'Off-Ramp'!Q178^2)/(Links!Y178+'Off-Ramp'!Q178)</f>
        <v>#DIV/0!</v>
      </c>
      <c r="BW178" s="61" t="e">
        <f>(Links!Z178^2+'Off-Ramp'!R178^2)/(Links!Z178+'Off-Ramp'!R178)</f>
        <v>#DIV/0!</v>
      </c>
      <c r="BX178" s="61" t="e">
        <f>(Links!AA178+'Off-Ramp'!S178)/(Links!AA178^2+'Off-Ramp'!S178^2)</f>
        <v>#DIV/0!</v>
      </c>
      <c r="BY178" s="61" t="e">
        <f>(Links!AB178^2+'Off-Ramp'!T178^2)/(Links!AB178+'Off-Ramp'!T178)</f>
        <v>#DIV/0!</v>
      </c>
      <c r="BZ178" s="61" t="e">
        <f>Links!AC178</f>
        <v>#DIV/0!</v>
      </c>
      <c r="CA178" s="61" t="e">
        <f>(Links!AD178^2+'Off-Ramp'!U178^2)/(Links!AD178+'Off-Ramp'!U178)</f>
        <v>#DIV/0!</v>
      </c>
    </row>
    <row r="179" spans="1:79" x14ac:dyDescent="0.15">
      <c r="A179" s="59">
        <v>177</v>
      </c>
      <c r="B179" s="60" t="e">
        <f t="shared" si="64"/>
        <v>#DIV/0!</v>
      </c>
      <c r="C179" s="60" t="e">
        <f t="shared" si="65"/>
        <v>#DIV/0!</v>
      </c>
      <c r="D179" s="60" t="e">
        <f t="shared" si="66"/>
        <v>#DIV/0!</v>
      </c>
      <c r="E179" s="60" t="e">
        <f t="shared" si="67"/>
        <v>#DIV/0!</v>
      </c>
      <c r="F179" s="60" t="e">
        <f t="shared" si="68"/>
        <v>#DIV/0!</v>
      </c>
      <c r="G179" s="60" t="e">
        <f t="shared" si="69"/>
        <v>#DIV/0!</v>
      </c>
      <c r="H179" s="60" t="e">
        <f t="shared" si="70"/>
        <v>#DIV/0!</v>
      </c>
      <c r="I179" s="60" t="e">
        <f t="shared" si="71"/>
        <v>#DIV/0!</v>
      </c>
      <c r="J179" s="60" t="e">
        <f t="shared" si="72"/>
        <v>#DIV/0!</v>
      </c>
      <c r="K179" s="60" t="e">
        <f t="shared" si="73"/>
        <v>#DIV/0!</v>
      </c>
      <c r="L179" s="60" t="e">
        <f t="shared" si="74"/>
        <v>#DIV/0!</v>
      </c>
      <c r="M179" s="60" t="e">
        <f t="shared" si="75"/>
        <v>#DIV/0!</v>
      </c>
      <c r="N179" s="60" t="e">
        <f t="shared" si="76"/>
        <v>#DIV/0!</v>
      </c>
      <c r="O179" s="61" t="e">
        <f>Links!B179</f>
        <v>#DIV/0!</v>
      </c>
      <c r="P179" s="61" t="e">
        <f>Links!C179+'On-Ramps'!AC179</f>
        <v>#DIV/0!</v>
      </c>
      <c r="Q179" s="61" t="e">
        <f>Links!D179</f>
        <v>#DIV/0!</v>
      </c>
      <c r="R179" s="61" t="e">
        <f>Links!E179+'On-Ramps'!AD179</f>
        <v>#DIV/0!</v>
      </c>
      <c r="S179" s="61" t="e">
        <f>Links!F179+'On-Ramps'!AE179</f>
        <v>#DIV/0!</v>
      </c>
      <c r="T179" s="61" t="e">
        <f>Links!G179+'On-Ramps'!AF179</f>
        <v>#DIV/0!</v>
      </c>
      <c r="U179" s="61" t="e">
        <f>Links!H179+'On-Ramps'!AG179</f>
        <v>#DIV/0!</v>
      </c>
      <c r="V179" s="61" t="e">
        <f>Links!J179+'On-Ramps'!AH179</f>
        <v>#DIV/0!</v>
      </c>
      <c r="W179" s="61" t="e">
        <f>Links!K179+'On-Ramps'!AI179</f>
        <v>#DIV/0!</v>
      </c>
      <c r="X179" s="61" t="e">
        <f>Links!L179+'On-Ramps'!AJ179</f>
        <v>#DIV/0!</v>
      </c>
      <c r="Y179" s="61" t="e">
        <f>Links!M179</f>
        <v>#DIV/0!</v>
      </c>
      <c r="Z179" s="61" t="e">
        <f>Links!N179+'On-Ramps'!AK179</f>
        <v>#DIV/0!</v>
      </c>
      <c r="AA179" s="61" t="e">
        <f>Links!O179</f>
        <v>#DIV/0!</v>
      </c>
      <c r="AB179" s="60" t="e">
        <f t="shared" si="77"/>
        <v>#DIV/0!</v>
      </c>
      <c r="AC179" s="60" t="e">
        <f t="shared" si="78"/>
        <v>#DIV/0!</v>
      </c>
      <c r="AD179" s="60" t="e">
        <f t="shared" si="79"/>
        <v>#DIV/0!</v>
      </c>
      <c r="AE179" s="60" t="e">
        <f t="shared" si="80"/>
        <v>#DIV/0!</v>
      </c>
      <c r="AF179" s="60" t="e">
        <f t="shared" si="81"/>
        <v>#DIV/0!</v>
      </c>
      <c r="AG179" s="60" t="e">
        <f t="shared" si="82"/>
        <v>#DIV/0!</v>
      </c>
      <c r="AH179" s="60" t="e">
        <f t="shared" si="83"/>
        <v>#DIV/0!</v>
      </c>
      <c r="AI179" s="60" t="e">
        <f t="shared" si="84"/>
        <v>#DIV/0!</v>
      </c>
      <c r="AJ179" s="60" t="e">
        <f t="shared" si="85"/>
        <v>#DIV/0!</v>
      </c>
      <c r="AK179" s="60" t="e">
        <f t="shared" si="86"/>
        <v>#DIV/0!</v>
      </c>
      <c r="AL179" s="60" t="e">
        <f t="shared" si="87"/>
        <v>#DIV/0!</v>
      </c>
      <c r="AM179" s="60" t="e">
        <f t="shared" si="88"/>
        <v>#DIV/0!</v>
      </c>
      <c r="AN179" s="60" t="e">
        <f t="shared" si="90"/>
        <v>#DIV/0!</v>
      </c>
      <c r="AO179" s="61" t="e">
        <f t="shared" si="63"/>
        <v>#DIV/0!</v>
      </c>
      <c r="AP179" s="61" t="e">
        <f t="shared" si="91"/>
        <v>#DIV/0!</v>
      </c>
      <c r="AQ179" s="61" t="e">
        <f t="shared" si="91"/>
        <v>#DIV/0!</v>
      </c>
      <c r="AR179" s="61" t="e">
        <f t="shared" si="91"/>
        <v>#DIV/0!</v>
      </c>
      <c r="AS179" s="61" t="e">
        <f t="shared" si="91"/>
        <v>#DIV/0!</v>
      </c>
      <c r="AT179" s="61" t="e">
        <f t="shared" si="91"/>
        <v>#DIV/0!</v>
      </c>
      <c r="AU179" s="61" t="e">
        <f t="shared" si="91"/>
        <v>#DIV/0!</v>
      </c>
      <c r="AV179" s="61" t="e">
        <f t="shared" si="91"/>
        <v>#DIV/0!</v>
      </c>
      <c r="AW179" s="61" t="e">
        <f t="shared" si="91"/>
        <v>#DIV/0!</v>
      </c>
      <c r="AX179" s="61" t="e">
        <f t="shared" si="91"/>
        <v>#DIV/0!</v>
      </c>
      <c r="AY179" s="61" t="e">
        <f t="shared" si="91"/>
        <v>#DIV/0!</v>
      </c>
      <c r="AZ179" s="61" t="e">
        <f t="shared" si="91"/>
        <v>#DIV/0!</v>
      </c>
      <c r="BA179" s="61" t="e">
        <f t="shared" si="91"/>
        <v>#DIV/0!</v>
      </c>
      <c r="BB179" s="60" t="e">
        <f>Links!AF179</f>
        <v>#DIV/0!</v>
      </c>
      <c r="BC179" s="60" t="e">
        <f>(Links!AG179*Links!C179+'On-Ramps'!AC179*'On-Ramps'!CE179)/('On-Ramps'!AC179+Links!C179)</f>
        <v>#DIV/0!</v>
      </c>
      <c r="BD179" s="60" t="e">
        <f>Links!AH179</f>
        <v>#DIV/0!</v>
      </c>
      <c r="BE179" s="60" t="e">
        <f>(Links!AI179*Links!E179+'On-Ramps'!AD179*'On-Ramps'!CF178)/('On-Ramps'!AD179+Links!E179)</f>
        <v>#DIV/0!</v>
      </c>
      <c r="BF179" s="60" t="e">
        <f>(Links!F179*Links!AJ179+'On-Ramps'!AE179*'On-Ramps'!CG179)/('On-Ramps'!AE179+Links!F179)</f>
        <v>#DIV/0!</v>
      </c>
      <c r="BG179" s="60" t="e">
        <f>(Links!G179*Links!AK179+'On-Ramps'!AF179*'On-Ramps'!CH179)/('On-Ramps'!AF179+Links!G179)</f>
        <v>#DIV/0!</v>
      </c>
      <c r="BH179" s="60" t="e">
        <f>(Links!H179*Links!AL179+'On-Ramps'!AG179*'On-Ramps'!CI179)/('On-Ramps'!AG179+Links!H179)</f>
        <v>#DIV/0!</v>
      </c>
      <c r="BI179" s="60" t="e">
        <f>(Links!J179*Links!AN179+'On-Ramps'!AH179*'On-Ramps'!CJ179)/('On-Ramps'!AH179+Links!J179)</f>
        <v>#DIV/0!</v>
      </c>
      <c r="BJ179" s="60" t="e">
        <f>(Links!K179*Links!AO179+'On-Ramps'!AI179*'On-Ramps'!CK179)/('On-Ramps'!AI179+Links!K179)</f>
        <v>#DIV/0!</v>
      </c>
      <c r="BK179" s="60" t="e">
        <f>(Links!L179*Links!AP179+'On-Ramps'!AJ179*'On-Ramps'!CL179)/(Links!L179+'On-Ramps'!AJ179)</f>
        <v>#DIV/0!</v>
      </c>
      <c r="BL179" s="60" t="e">
        <f>Links!AQ179</f>
        <v>#DIV/0!</v>
      </c>
      <c r="BM179" s="60" t="e">
        <f>(Links!N179*Links!AR179+'On-Ramps'!AL179*'On-Ramps'!CM179)/(Links!N179+'On-Ramps'!AL179)</f>
        <v>#DIV/0!</v>
      </c>
      <c r="BN179" s="60" t="e">
        <f>Links!AS179</f>
        <v>#DIV/0!</v>
      </c>
      <c r="BO179" s="61" t="e">
        <f>(Links!R179^2+'Off-Ramp'!L179^2)/(Links!R179+'Off-Ramp'!L179)</f>
        <v>#DIV/0!</v>
      </c>
      <c r="BP179" s="61" t="e">
        <f>Links!S179</f>
        <v>#DIV/0!</v>
      </c>
      <c r="BQ179" s="61" t="e">
        <f>(Links!S179^2+'Off-Ramp'!C179^2)/(Links!S179+'Off-Ramp'!C179)</f>
        <v>#DIV/0!</v>
      </c>
      <c r="BR179" s="61" t="e">
        <f>Links!T179</f>
        <v>#DIV/0!</v>
      </c>
      <c r="BS179" s="61" t="e">
        <f>(Links!U179^2+'Off-Ramp'!N179^2)/(Links!U179+'Off-Ramp'!N179)</f>
        <v>#DIV/0!</v>
      </c>
      <c r="BT179" s="61" t="e">
        <f>(Links!V179^2+'Off-Ramp'!O179^2)/(Links!V179+'Off-Ramp'!O179)</f>
        <v>#DIV/0!</v>
      </c>
      <c r="BU179" s="61" t="e">
        <f>(Links!W179^2+'Off-Ramp'!P179^2)/(Links!W179+'Off-Ramp'!P179)</f>
        <v>#DIV/0!</v>
      </c>
      <c r="BV179" s="61" t="e">
        <f>(Links!Y179^2+'Off-Ramp'!Q179^2)/(Links!Y179+'Off-Ramp'!Q179)</f>
        <v>#DIV/0!</v>
      </c>
      <c r="BW179" s="61" t="e">
        <f>(Links!Z179^2+'Off-Ramp'!R179^2)/(Links!Z179+'Off-Ramp'!R179)</f>
        <v>#DIV/0!</v>
      </c>
      <c r="BX179" s="61" t="e">
        <f>(Links!AA179+'Off-Ramp'!S179)/(Links!AA179^2+'Off-Ramp'!S179^2)</f>
        <v>#DIV/0!</v>
      </c>
      <c r="BY179" s="61" t="e">
        <f>(Links!AB179^2+'Off-Ramp'!T179^2)/(Links!AB179+'Off-Ramp'!T179)</f>
        <v>#DIV/0!</v>
      </c>
      <c r="BZ179" s="61" t="e">
        <f>Links!AC179</f>
        <v>#DIV/0!</v>
      </c>
      <c r="CA179" s="61" t="e">
        <f>(Links!AD179^2+'Off-Ramp'!U179^2)/(Links!AD179+'Off-Ramp'!U179)</f>
        <v>#DIV/0!</v>
      </c>
    </row>
    <row r="180" spans="1:79" x14ac:dyDescent="0.15">
      <c r="A180" s="59">
        <v>178</v>
      </c>
      <c r="B180" s="60" t="e">
        <f t="shared" si="64"/>
        <v>#DIV/0!</v>
      </c>
      <c r="C180" s="60" t="e">
        <f t="shared" si="65"/>
        <v>#DIV/0!</v>
      </c>
      <c r="D180" s="60" t="e">
        <f t="shared" si="66"/>
        <v>#DIV/0!</v>
      </c>
      <c r="E180" s="60" t="e">
        <f t="shared" si="67"/>
        <v>#DIV/0!</v>
      </c>
      <c r="F180" s="60" t="e">
        <f t="shared" si="68"/>
        <v>#DIV/0!</v>
      </c>
      <c r="G180" s="60" t="e">
        <f t="shared" si="69"/>
        <v>#DIV/0!</v>
      </c>
      <c r="H180" s="60" t="e">
        <f t="shared" si="70"/>
        <v>#DIV/0!</v>
      </c>
      <c r="I180" s="60" t="e">
        <f t="shared" si="71"/>
        <v>#DIV/0!</v>
      </c>
      <c r="J180" s="60" t="e">
        <f t="shared" si="72"/>
        <v>#DIV/0!</v>
      </c>
      <c r="K180" s="60" t="e">
        <f t="shared" si="73"/>
        <v>#DIV/0!</v>
      </c>
      <c r="L180" s="60" t="e">
        <f t="shared" si="74"/>
        <v>#DIV/0!</v>
      </c>
      <c r="M180" s="60" t="e">
        <f t="shared" si="75"/>
        <v>#DIV/0!</v>
      </c>
      <c r="N180" s="60" t="e">
        <f t="shared" si="76"/>
        <v>#DIV/0!</v>
      </c>
      <c r="O180" s="61" t="e">
        <f>Links!B180</f>
        <v>#DIV/0!</v>
      </c>
      <c r="P180" s="61" t="e">
        <f>Links!C180+'On-Ramps'!AC180</f>
        <v>#DIV/0!</v>
      </c>
      <c r="Q180" s="61" t="e">
        <f>Links!D180</f>
        <v>#DIV/0!</v>
      </c>
      <c r="R180" s="61" t="e">
        <f>Links!E180+'On-Ramps'!AD180</f>
        <v>#DIV/0!</v>
      </c>
      <c r="S180" s="61" t="e">
        <f>Links!F180+'On-Ramps'!AE180</f>
        <v>#DIV/0!</v>
      </c>
      <c r="T180" s="61" t="e">
        <f>Links!G180+'On-Ramps'!AF180</f>
        <v>#DIV/0!</v>
      </c>
      <c r="U180" s="61" t="e">
        <f>Links!H180+'On-Ramps'!AG180</f>
        <v>#DIV/0!</v>
      </c>
      <c r="V180" s="61" t="e">
        <f>Links!J180+'On-Ramps'!AH180</f>
        <v>#DIV/0!</v>
      </c>
      <c r="W180" s="61" t="e">
        <f>Links!K180+'On-Ramps'!AI180</f>
        <v>#DIV/0!</v>
      </c>
      <c r="X180" s="61" t="e">
        <f>Links!L180+'On-Ramps'!AJ180</f>
        <v>#DIV/0!</v>
      </c>
      <c r="Y180" s="61" t="e">
        <f>Links!M180</f>
        <v>#DIV/0!</v>
      </c>
      <c r="Z180" s="61" t="e">
        <f>Links!N180+'On-Ramps'!AK180</f>
        <v>#DIV/0!</v>
      </c>
      <c r="AA180" s="61" t="e">
        <f>Links!O180</f>
        <v>#DIV/0!</v>
      </c>
      <c r="AB180" s="60" t="e">
        <f t="shared" si="77"/>
        <v>#DIV/0!</v>
      </c>
      <c r="AC180" s="60" t="e">
        <f t="shared" si="78"/>
        <v>#DIV/0!</v>
      </c>
      <c r="AD180" s="60" t="e">
        <f t="shared" si="79"/>
        <v>#DIV/0!</v>
      </c>
      <c r="AE180" s="60" t="e">
        <f t="shared" si="80"/>
        <v>#DIV/0!</v>
      </c>
      <c r="AF180" s="60" t="e">
        <f t="shared" si="81"/>
        <v>#DIV/0!</v>
      </c>
      <c r="AG180" s="60" t="e">
        <f t="shared" si="82"/>
        <v>#DIV/0!</v>
      </c>
      <c r="AH180" s="60" t="e">
        <f t="shared" si="83"/>
        <v>#DIV/0!</v>
      </c>
      <c r="AI180" s="60" t="e">
        <f t="shared" si="84"/>
        <v>#DIV/0!</v>
      </c>
      <c r="AJ180" s="60" t="e">
        <f t="shared" si="85"/>
        <v>#DIV/0!</v>
      </c>
      <c r="AK180" s="60" t="e">
        <f t="shared" si="86"/>
        <v>#DIV/0!</v>
      </c>
      <c r="AL180" s="60" t="e">
        <f t="shared" si="87"/>
        <v>#DIV/0!</v>
      </c>
      <c r="AM180" s="60" t="e">
        <f t="shared" si="88"/>
        <v>#DIV/0!</v>
      </c>
      <c r="AN180" s="60" t="e">
        <f t="shared" si="90"/>
        <v>#DIV/0!</v>
      </c>
      <c r="AO180" s="61" t="e">
        <f t="shared" si="63"/>
        <v>#DIV/0!</v>
      </c>
      <c r="AP180" s="61" t="e">
        <f t="shared" si="91"/>
        <v>#DIV/0!</v>
      </c>
      <c r="AQ180" s="61" t="e">
        <f t="shared" si="91"/>
        <v>#DIV/0!</v>
      </c>
      <c r="AR180" s="61" t="e">
        <f t="shared" si="91"/>
        <v>#DIV/0!</v>
      </c>
      <c r="AS180" s="61" t="e">
        <f t="shared" si="91"/>
        <v>#DIV/0!</v>
      </c>
      <c r="AT180" s="61" t="e">
        <f t="shared" si="91"/>
        <v>#DIV/0!</v>
      </c>
      <c r="AU180" s="61" t="e">
        <f t="shared" si="91"/>
        <v>#DIV/0!</v>
      </c>
      <c r="AV180" s="61" t="e">
        <f t="shared" si="91"/>
        <v>#DIV/0!</v>
      </c>
      <c r="AW180" s="61" t="e">
        <f t="shared" si="91"/>
        <v>#DIV/0!</v>
      </c>
      <c r="AX180" s="61" t="e">
        <f t="shared" si="91"/>
        <v>#DIV/0!</v>
      </c>
      <c r="AY180" s="61" t="e">
        <f t="shared" si="91"/>
        <v>#DIV/0!</v>
      </c>
      <c r="AZ180" s="61" t="e">
        <f t="shared" si="91"/>
        <v>#DIV/0!</v>
      </c>
      <c r="BA180" s="61" t="e">
        <f t="shared" si="91"/>
        <v>#DIV/0!</v>
      </c>
      <c r="BB180" s="60" t="e">
        <f>Links!AF180</f>
        <v>#DIV/0!</v>
      </c>
      <c r="BC180" s="60" t="e">
        <f>(Links!AG180*Links!C180+'On-Ramps'!AC180*'On-Ramps'!CE180)/('On-Ramps'!AC180+Links!C180)</f>
        <v>#DIV/0!</v>
      </c>
      <c r="BD180" s="60" t="e">
        <f>Links!AH180</f>
        <v>#DIV/0!</v>
      </c>
      <c r="BE180" s="60" t="e">
        <f>(Links!AI180*Links!E180+'On-Ramps'!AD180*'On-Ramps'!CF179)/('On-Ramps'!AD180+Links!E180)</f>
        <v>#DIV/0!</v>
      </c>
      <c r="BF180" s="60" t="e">
        <f>(Links!F180*Links!AJ180+'On-Ramps'!AE180*'On-Ramps'!CG180)/('On-Ramps'!AE180+Links!F180)</f>
        <v>#DIV/0!</v>
      </c>
      <c r="BG180" s="60" t="e">
        <f>(Links!G180*Links!AK180+'On-Ramps'!AF180*'On-Ramps'!CH180)/('On-Ramps'!AF180+Links!G180)</f>
        <v>#DIV/0!</v>
      </c>
      <c r="BH180" s="60" t="e">
        <f>(Links!H180*Links!AL180+'On-Ramps'!AG180*'On-Ramps'!CI180)/('On-Ramps'!AG180+Links!H180)</f>
        <v>#DIV/0!</v>
      </c>
      <c r="BI180" s="60" t="e">
        <f>(Links!J180*Links!AN180+'On-Ramps'!AH180*'On-Ramps'!CJ180)/('On-Ramps'!AH180+Links!J180)</f>
        <v>#DIV/0!</v>
      </c>
      <c r="BJ180" s="60" t="e">
        <f>(Links!K180*Links!AO180+'On-Ramps'!AI180*'On-Ramps'!CK180)/('On-Ramps'!AI180+Links!K180)</f>
        <v>#DIV/0!</v>
      </c>
      <c r="BK180" s="60" t="e">
        <f>(Links!L180*Links!AP180+'On-Ramps'!AJ180*'On-Ramps'!CL180)/(Links!L180+'On-Ramps'!AJ180)</f>
        <v>#DIV/0!</v>
      </c>
      <c r="BL180" s="60" t="e">
        <f>Links!AQ180</f>
        <v>#DIV/0!</v>
      </c>
      <c r="BM180" s="60" t="e">
        <f>(Links!N180*Links!AR180+'On-Ramps'!AL180*'On-Ramps'!CM180)/(Links!N180+'On-Ramps'!AL180)</f>
        <v>#DIV/0!</v>
      </c>
      <c r="BN180" s="60" t="e">
        <f>Links!AS180</f>
        <v>#DIV/0!</v>
      </c>
      <c r="BO180" s="61" t="e">
        <f>(Links!R180^2+'Off-Ramp'!L180^2)/(Links!R180+'Off-Ramp'!L180)</f>
        <v>#DIV/0!</v>
      </c>
      <c r="BP180" s="61" t="e">
        <f>Links!S180</f>
        <v>#DIV/0!</v>
      </c>
      <c r="BQ180" s="61" t="e">
        <f>(Links!S180^2+'Off-Ramp'!C180^2)/(Links!S180+'Off-Ramp'!C180)</f>
        <v>#DIV/0!</v>
      </c>
      <c r="BR180" s="61" t="e">
        <f>Links!T180</f>
        <v>#DIV/0!</v>
      </c>
      <c r="BS180" s="61" t="e">
        <f>(Links!U180^2+'Off-Ramp'!N180^2)/(Links!U180+'Off-Ramp'!N180)</f>
        <v>#DIV/0!</v>
      </c>
      <c r="BT180" s="61" t="e">
        <f>(Links!V180^2+'Off-Ramp'!O180^2)/(Links!V180+'Off-Ramp'!O180)</f>
        <v>#DIV/0!</v>
      </c>
      <c r="BU180" s="61" t="e">
        <f>(Links!W180^2+'Off-Ramp'!P180^2)/(Links!W180+'Off-Ramp'!P180)</f>
        <v>#DIV/0!</v>
      </c>
      <c r="BV180" s="61" t="e">
        <f>(Links!Y180^2+'Off-Ramp'!Q180^2)/(Links!Y180+'Off-Ramp'!Q180)</f>
        <v>#DIV/0!</v>
      </c>
      <c r="BW180" s="61" t="e">
        <f>(Links!Z180^2+'Off-Ramp'!R180^2)/(Links!Z180+'Off-Ramp'!R180)</f>
        <v>#DIV/0!</v>
      </c>
      <c r="BX180" s="61" t="e">
        <f>(Links!AA180+'Off-Ramp'!S180)/(Links!AA180^2+'Off-Ramp'!S180^2)</f>
        <v>#DIV/0!</v>
      </c>
      <c r="BY180" s="61" t="e">
        <f>(Links!AB180^2+'Off-Ramp'!T180^2)/(Links!AB180+'Off-Ramp'!T180)</f>
        <v>#DIV/0!</v>
      </c>
      <c r="BZ180" s="61" t="e">
        <f>Links!AC180</f>
        <v>#DIV/0!</v>
      </c>
      <c r="CA180" s="61" t="e">
        <f>(Links!AD180^2+'Off-Ramp'!U180^2)/(Links!AD180+'Off-Ramp'!U180)</f>
        <v>#DIV/0!</v>
      </c>
    </row>
    <row r="181" spans="1:79" x14ac:dyDescent="0.15">
      <c r="A181" s="59">
        <v>179</v>
      </c>
      <c r="B181" s="60" t="e">
        <f t="shared" si="64"/>
        <v>#DIV/0!</v>
      </c>
      <c r="C181" s="60" t="e">
        <f t="shared" si="65"/>
        <v>#DIV/0!</v>
      </c>
      <c r="D181" s="60" t="e">
        <f t="shared" si="66"/>
        <v>#DIV/0!</v>
      </c>
      <c r="E181" s="60" t="e">
        <f t="shared" si="67"/>
        <v>#DIV/0!</v>
      </c>
      <c r="F181" s="60" t="e">
        <f t="shared" si="68"/>
        <v>#DIV/0!</v>
      </c>
      <c r="G181" s="60" t="e">
        <f t="shared" si="69"/>
        <v>#DIV/0!</v>
      </c>
      <c r="H181" s="60" t="e">
        <f t="shared" si="70"/>
        <v>#DIV/0!</v>
      </c>
      <c r="I181" s="60" t="e">
        <f t="shared" si="71"/>
        <v>#DIV/0!</v>
      </c>
      <c r="J181" s="60" t="e">
        <f t="shared" si="72"/>
        <v>#DIV/0!</v>
      </c>
      <c r="K181" s="60" t="e">
        <f t="shared" si="73"/>
        <v>#DIV/0!</v>
      </c>
      <c r="L181" s="60" t="e">
        <f t="shared" si="74"/>
        <v>#DIV/0!</v>
      </c>
      <c r="M181" s="60" t="e">
        <f t="shared" si="75"/>
        <v>#DIV/0!</v>
      </c>
      <c r="N181" s="60" t="e">
        <f t="shared" si="76"/>
        <v>#DIV/0!</v>
      </c>
      <c r="O181" s="61" t="e">
        <f>Links!B181</f>
        <v>#DIV/0!</v>
      </c>
      <c r="P181" s="61" t="e">
        <f>Links!C181+'On-Ramps'!AC181</f>
        <v>#DIV/0!</v>
      </c>
      <c r="Q181" s="61" t="e">
        <f>Links!D181</f>
        <v>#DIV/0!</v>
      </c>
      <c r="R181" s="61" t="e">
        <f>Links!E181+'On-Ramps'!AD181</f>
        <v>#DIV/0!</v>
      </c>
      <c r="S181" s="61" t="e">
        <f>Links!F181+'On-Ramps'!AE181</f>
        <v>#DIV/0!</v>
      </c>
      <c r="T181" s="61" t="e">
        <f>Links!G181+'On-Ramps'!AF181</f>
        <v>#DIV/0!</v>
      </c>
      <c r="U181" s="61" t="e">
        <f>Links!H181+'On-Ramps'!AG181</f>
        <v>#DIV/0!</v>
      </c>
      <c r="V181" s="61" t="e">
        <f>Links!J181+'On-Ramps'!AH181</f>
        <v>#DIV/0!</v>
      </c>
      <c r="W181" s="61" t="e">
        <f>Links!K181+'On-Ramps'!AI181</f>
        <v>#DIV/0!</v>
      </c>
      <c r="X181" s="61" t="e">
        <f>Links!L181+'On-Ramps'!AJ181</f>
        <v>#DIV/0!</v>
      </c>
      <c r="Y181" s="61" t="e">
        <f>Links!M181</f>
        <v>#DIV/0!</v>
      </c>
      <c r="Z181" s="61" t="e">
        <f>Links!N181+'On-Ramps'!AK181</f>
        <v>#DIV/0!</v>
      </c>
      <c r="AA181" s="61" t="e">
        <f>Links!O181</f>
        <v>#DIV/0!</v>
      </c>
      <c r="AB181" s="60" t="e">
        <f t="shared" si="77"/>
        <v>#DIV/0!</v>
      </c>
      <c r="AC181" s="60" t="e">
        <f t="shared" si="78"/>
        <v>#DIV/0!</v>
      </c>
      <c r="AD181" s="60" t="e">
        <f t="shared" si="79"/>
        <v>#DIV/0!</v>
      </c>
      <c r="AE181" s="60" t="e">
        <f t="shared" si="80"/>
        <v>#DIV/0!</v>
      </c>
      <c r="AF181" s="60" t="e">
        <f t="shared" si="81"/>
        <v>#DIV/0!</v>
      </c>
      <c r="AG181" s="60" t="e">
        <f t="shared" si="82"/>
        <v>#DIV/0!</v>
      </c>
      <c r="AH181" s="60" t="e">
        <f t="shared" si="83"/>
        <v>#DIV/0!</v>
      </c>
      <c r="AI181" s="60" t="e">
        <f t="shared" si="84"/>
        <v>#DIV/0!</v>
      </c>
      <c r="AJ181" s="60" t="e">
        <f t="shared" si="85"/>
        <v>#DIV/0!</v>
      </c>
      <c r="AK181" s="60" t="e">
        <f t="shared" si="86"/>
        <v>#DIV/0!</v>
      </c>
      <c r="AL181" s="60" t="e">
        <f t="shared" si="87"/>
        <v>#DIV/0!</v>
      </c>
      <c r="AM181" s="60" t="e">
        <f t="shared" si="88"/>
        <v>#DIV/0!</v>
      </c>
      <c r="AN181" s="60" t="e">
        <f t="shared" si="90"/>
        <v>#DIV/0!</v>
      </c>
      <c r="AO181" s="61" t="e">
        <f t="shared" si="63"/>
        <v>#DIV/0!</v>
      </c>
      <c r="AP181" s="61" t="e">
        <f t="shared" si="91"/>
        <v>#DIV/0!</v>
      </c>
      <c r="AQ181" s="61" t="e">
        <f t="shared" si="91"/>
        <v>#DIV/0!</v>
      </c>
      <c r="AR181" s="61" t="e">
        <f t="shared" si="91"/>
        <v>#DIV/0!</v>
      </c>
      <c r="AS181" s="61" t="e">
        <f t="shared" si="91"/>
        <v>#DIV/0!</v>
      </c>
      <c r="AT181" s="61" t="e">
        <f t="shared" si="91"/>
        <v>#DIV/0!</v>
      </c>
      <c r="AU181" s="61" t="e">
        <f t="shared" si="91"/>
        <v>#DIV/0!</v>
      </c>
      <c r="AV181" s="61" t="e">
        <f t="shared" si="91"/>
        <v>#DIV/0!</v>
      </c>
      <c r="AW181" s="61" t="e">
        <f t="shared" si="91"/>
        <v>#DIV/0!</v>
      </c>
      <c r="AX181" s="61" t="e">
        <f t="shared" si="91"/>
        <v>#DIV/0!</v>
      </c>
      <c r="AY181" s="61" t="e">
        <f t="shared" si="91"/>
        <v>#DIV/0!</v>
      </c>
      <c r="AZ181" s="61" t="e">
        <f t="shared" si="91"/>
        <v>#DIV/0!</v>
      </c>
      <c r="BA181" s="61" t="e">
        <f t="shared" si="91"/>
        <v>#DIV/0!</v>
      </c>
      <c r="BB181" s="60" t="e">
        <f>Links!AF181</f>
        <v>#DIV/0!</v>
      </c>
      <c r="BC181" s="60" t="e">
        <f>(Links!AG181*Links!C181+'On-Ramps'!AC181*'On-Ramps'!CE181)/('On-Ramps'!AC181+Links!C181)</f>
        <v>#DIV/0!</v>
      </c>
      <c r="BD181" s="60" t="e">
        <f>Links!AH181</f>
        <v>#DIV/0!</v>
      </c>
      <c r="BE181" s="60" t="e">
        <f>(Links!AI181*Links!E181+'On-Ramps'!AD181*'On-Ramps'!CF180)/('On-Ramps'!AD181+Links!E181)</f>
        <v>#DIV/0!</v>
      </c>
      <c r="BF181" s="60" t="e">
        <f>(Links!F181*Links!AJ181+'On-Ramps'!AE181*'On-Ramps'!CG181)/('On-Ramps'!AE181+Links!F181)</f>
        <v>#DIV/0!</v>
      </c>
      <c r="BG181" s="60" t="e">
        <f>(Links!G181*Links!AK181+'On-Ramps'!AF181*'On-Ramps'!CH181)/('On-Ramps'!AF181+Links!G181)</f>
        <v>#DIV/0!</v>
      </c>
      <c r="BH181" s="60" t="e">
        <f>(Links!H181*Links!AL181+'On-Ramps'!AG181*'On-Ramps'!CI181)/('On-Ramps'!AG181+Links!H181)</f>
        <v>#DIV/0!</v>
      </c>
      <c r="BI181" s="60" t="e">
        <f>(Links!J181*Links!AN181+'On-Ramps'!AH181*'On-Ramps'!CJ181)/('On-Ramps'!AH181+Links!J181)</f>
        <v>#DIV/0!</v>
      </c>
      <c r="BJ181" s="60" t="e">
        <f>(Links!K181*Links!AO181+'On-Ramps'!AI181*'On-Ramps'!CK181)/('On-Ramps'!AI181+Links!K181)</f>
        <v>#DIV/0!</v>
      </c>
      <c r="BK181" s="60" t="e">
        <f>(Links!L181*Links!AP181+'On-Ramps'!AJ181*'On-Ramps'!CL181)/(Links!L181+'On-Ramps'!AJ181)</f>
        <v>#DIV/0!</v>
      </c>
      <c r="BL181" s="60" t="e">
        <f>Links!AQ181</f>
        <v>#DIV/0!</v>
      </c>
      <c r="BM181" s="60" t="e">
        <f>(Links!N181*Links!AR181+'On-Ramps'!AL181*'On-Ramps'!CM181)/(Links!N181+'On-Ramps'!AL181)</f>
        <v>#DIV/0!</v>
      </c>
      <c r="BN181" s="60" t="e">
        <f>Links!AS181</f>
        <v>#DIV/0!</v>
      </c>
      <c r="BO181" s="61" t="e">
        <f>(Links!R181^2+'Off-Ramp'!L181^2)/(Links!R181+'Off-Ramp'!L181)</f>
        <v>#DIV/0!</v>
      </c>
      <c r="BP181" s="61" t="e">
        <f>Links!S181</f>
        <v>#DIV/0!</v>
      </c>
      <c r="BQ181" s="61" t="e">
        <f>(Links!S181^2+'Off-Ramp'!C181^2)/(Links!S181+'Off-Ramp'!C181)</f>
        <v>#DIV/0!</v>
      </c>
      <c r="BR181" s="61" t="e">
        <f>Links!T181</f>
        <v>#DIV/0!</v>
      </c>
      <c r="BS181" s="61" t="e">
        <f>(Links!U181^2+'Off-Ramp'!N181^2)/(Links!U181+'Off-Ramp'!N181)</f>
        <v>#DIV/0!</v>
      </c>
      <c r="BT181" s="61" t="e">
        <f>(Links!V181^2+'Off-Ramp'!O181^2)/(Links!V181+'Off-Ramp'!O181)</f>
        <v>#DIV/0!</v>
      </c>
      <c r="BU181" s="61" t="e">
        <f>(Links!W181^2+'Off-Ramp'!P181^2)/(Links!W181+'Off-Ramp'!P181)</f>
        <v>#DIV/0!</v>
      </c>
      <c r="BV181" s="61" t="e">
        <f>(Links!Y181^2+'Off-Ramp'!Q181^2)/(Links!Y181+'Off-Ramp'!Q181)</f>
        <v>#DIV/0!</v>
      </c>
      <c r="BW181" s="61" t="e">
        <f>(Links!Z181^2+'Off-Ramp'!R181^2)/(Links!Z181+'Off-Ramp'!R181)</f>
        <v>#DIV/0!</v>
      </c>
      <c r="BX181" s="61" t="e">
        <f>(Links!AA181+'Off-Ramp'!S181)/(Links!AA181^2+'Off-Ramp'!S181^2)</f>
        <v>#DIV/0!</v>
      </c>
      <c r="BY181" s="61" t="e">
        <f>(Links!AB181^2+'Off-Ramp'!T181^2)/(Links!AB181+'Off-Ramp'!T181)</f>
        <v>#DIV/0!</v>
      </c>
      <c r="BZ181" s="61" t="e">
        <f>Links!AC181</f>
        <v>#DIV/0!</v>
      </c>
      <c r="CA181" s="61" t="e">
        <f>(Links!AD181^2+'Off-Ramp'!U181^2)/(Links!AD181+'Off-Ramp'!U181)</f>
        <v>#DIV/0!</v>
      </c>
    </row>
    <row r="182" spans="1:79" x14ac:dyDescent="0.15">
      <c r="A182" s="59">
        <v>180</v>
      </c>
      <c r="B182" s="60" t="e">
        <f t="shared" si="64"/>
        <v>#DIV/0!</v>
      </c>
      <c r="C182" s="60" t="e">
        <f t="shared" si="65"/>
        <v>#DIV/0!</v>
      </c>
      <c r="D182" s="60" t="e">
        <f t="shared" si="66"/>
        <v>#DIV/0!</v>
      </c>
      <c r="E182" s="60" t="e">
        <f t="shared" si="67"/>
        <v>#DIV/0!</v>
      </c>
      <c r="F182" s="60" t="e">
        <f t="shared" si="68"/>
        <v>#DIV/0!</v>
      </c>
      <c r="G182" s="60" t="e">
        <f t="shared" si="69"/>
        <v>#DIV/0!</v>
      </c>
      <c r="H182" s="60" t="e">
        <f t="shared" si="70"/>
        <v>#DIV/0!</v>
      </c>
      <c r="I182" s="60" t="e">
        <f t="shared" si="71"/>
        <v>#DIV/0!</v>
      </c>
      <c r="J182" s="60" t="e">
        <f t="shared" si="72"/>
        <v>#DIV/0!</v>
      </c>
      <c r="K182" s="60" t="e">
        <f t="shared" si="73"/>
        <v>#DIV/0!</v>
      </c>
      <c r="L182" s="60" t="e">
        <f t="shared" si="74"/>
        <v>#DIV/0!</v>
      </c>
      <c r="M182" s="60" t="e">
        <f t="shared" si="75"/>
        <v>#DIV/0!</v>
      </c>
      <c r="N182" s="60" t="e">
        <f t="shared" si="76"/>
        <v>#DIV/0!</v>
      </c>
      <c r="O182" s="61" t="e">
        <f>Links!B182</f>
        <v>#DIV/0!</v>
      </c>
      <c r="P182" s="61" t="e">
        <f>Links!C182+'On-Ramps'!AC182</f>
        <v>#DIV/0!</v>
      </c>
      <c r="Q182" s="61" t="e">
        <f>Links!D182</f>
        <v>#DIV/0!</v>
      </c>
      <c r="R182" s="61" t="e">
        <f>Links!E182+'On-Ramps'!AD182</f>
        <v>#DIV/0!</v>
      </c>
      <c r="S182" s="61" t="e">
        <f>Links!F182+'On-Ramps'!AE182</f>
        <v>#DIV/0!</v>
      </c>
      <c r="T182" s="61" t="e">
        <f>Links!G182+'On-Ramps'!AF182</f>
        <v>#DIV/0!</v>
      </c>
      <c r="U182" s="61" t="e">
        <f>Links!H182+'On-Ramps'!AG182</f>
        <v>#DIV/0!</v>
      </c>
      <c r="V182" s="61" t="e">
        <f>Links!J182+'On-Ramps'!AH182</f>
        <v>#DIV/0!</v>
      </c>
      <c r="W182" s="61" t="e">
        <f>Links!K182+'On-Ramps'!AI182</f>
        <v>#DIV/0!</v>
      </c>
      <c r="X182" s="61" t="e">
        <f>Links!L182+'On-Ramps'!AJ182</f>
        <v>#DIV/0!</v>
      </c>
      <c r="Y182" s="61" t="e">
        <f>Links!M182</f>
        <v>#DIV/0!</v>
      </c>
      <c r="Z182" s="61" t="e">
        <f>Links!N182+'On-Ramps'!AK182</f>
        <v>#DIV/0!</v>
      </c>
      <c r="AA182" s="61" t="e">
        <f>Links!O182</f>
        <v>#DIV/0!</v>
      </c>
      <c r="AB182" s="60" t="e">
        <f t="shared" si="77"/>
        <v>#DIV/0!</v>
      </c>
      <c r="AC182" s="60" t="e">
        <f t="shared" si="78"/>
        <v>#DIV/0!</v>
      </c>
      <c r="AD182" s="60" t="e">
        <f t="shared" si="79"/>
        <v>#DIV/0!</v>
      </c>
      <c r="AE182" s="60" t="e">
        <f t="shared" si="80"/>
        <v>#DIV/0!</v>
      </c>
      <c r="AF182" s="60" t="e">
        <f t="shared" si="81"/>
        <v>#DIV/0!</v>
      </c>
      <c r="AG182" s="60" t="e">
        <f t="shared" si="82"/>
        <v>#DIV/0!</v>
      </c>
      <c r="AH182" s="60" t="e">
        <f t="shared" si="83"/>
        <v>#DIV/0!</v>
      </c>
      <c r="AI182" s="60" t="e">
        <f t="shared" si="84"/>
        <v>#DIV/0!</v>
      </c>
      <c r="AJ182" s="60" t="e">
        <f t="shared" si="85"/>
        <v>#DIV/0!</v>
      </c>
      <c r="AK182" s="60" t="e">
        <f t="shared" si="86"/>
        <v>#DIV/0!</v>
      </c>
      <c r="AL182" s="60" t="e">
        <f t="shared" si="87"/>
        <v>#DIV/0!</v>
      </c>
      <c r="AM182" s="60" t="e">
        <f t="shared" si="88"/>
        <v>#DIV/0!</v>
      </c>
      <c r="AN182" s="60" t="e">
        <f t="shared" si="90"/>
        <v>#DIV/0!</v>
      </c>
      <c r="AO182" s="61" t="e">
        <f t="shared" si="63"/>
        <v>#DIV/0!</v>
      </c>
      <c r="AP182" s="61" t="e">
        <f t="shared" si="91"/>
        <v>#DIV/0!</v>
      </c>
      <c r="AQ182" s="61" t="e">
        <f t="shared" si="91"/>
        <v>#DIV/0!</v>
      </c>
      <c r="AR182" s="61" t="e">
        <f t="shared" si="91"/>
        <v>#DIV/0!</v>
      </c>
      <c r="AS182" s="61" t="e">
        <f t="shared" si="91"/>
        <v>#DIV/0!</v>
      </c>
      <c r="AT182" s="61" t="e">
        <f t="shared" si="91"/>
        <v>#DIV/0!</v>
      </c>
      <c r="AU182" s="61" t="e">
        <f t="shared" si="91"/>
        <v>#DIV/0!</v>
      </c>
      <c r="AV182" s="61" t="e">
        <f t="shared" si="91"/>
        <v>#DIV/0!</v>
      </c>
      <c r="AW182" s="61" t="e">
        <f t="shared" si="91"/>
        <v>#DIV/0!</v>
      </c>
      <c r="AX182" s="61" t="e">
        <f t="shared" si="91"/>
        <v>#DIV/0!</v>
      </c>
      <c r="AY182" s="61" t="e">
        <f t="shared" si="91"/>
        <v>#DIV/0!</v>
      </c>
      <c r="AZ182" s="61" t="e">
        <f t="shared" si="91"/>
        <v>#DIV/0!</v>
      </c>
      <c r="BA182" s="61" t="e">
        <f t="shared" si="91"/>
        <v>#DIV/0!</v>
      </c>
      <c r="BB182" s="60">
        <f>Links!AF182</f>
        <v>0</v>
      </c>
      <c r="BC182" s="60" t="e">
        <f>(Links!AG182*Links!C182+'On-Ramps'!AC182*'On-Ramps'!CE182)/('On-Ramps'!AC182+Links!C182)</f>
        <v>#DIV/0!</v>
      </c>
      <c r="BD182" s="60">
        <f>Links!AH182</f>
        <v>0</v>
      </c>
      <c r="BE182" s="60" t="e">
        <f>(Links!AI182*Links!E182+'On-Ramps'!AD182*'On-Ramps'!CF181)/('On-Ramps'!AD182+Links!E182)</f>
        <v>#DIV/0!</v>
      </c>
      <c r="BF182" s="60" t="e">
        <f>(Links!F182*Links!AJ182+'On-Ramps'!AE182*'On-Ramps'!CG182)/('On-Ramps'!AE182+Links!F182)</f>
        <v>#DIV/0!</v>
      </c>
      <c r="BG182" s="60" t="e">
        <f>(Links!G182*Links!AK182+'On-Ramps'!AF182*'On-Ramps'!CH182)/('On-Ramps'!AF182+Links!G182)</f>
        <v>#DIV/0!</v>
      </c>
      <c r="BH182" s="60" t="e">
        <f>(Links!H182*Links!AL182+'On-Ramps'!AG182*'On-Ramps'!CI182)/('On-Ramps'!AG182+Links!H182)</f>
        <v>#DIV/0!</v>
      </c>
      <c r="BI182" s="60" t="e">
        <f>(Links!J182*Links!AN182+'On-Ramps'!AH182*'On-Ramps'!CJ182)/('On-Ramps'!AH182+Links!J182)</f>
        <v>#DIV/0!</v>
      </c>
      <c r="BJ182" s="60" t="e">
        <f>(Links!K182*Links!AO182+'On-Ramps'!AI182*'On-Ramps'!CK182)/('On-Ramps'!AI182+Links!K182)</f>
        <v>#DIV/0!</v>
      </c>
      <c r="BK182" s="60" t="e">
        <f>(Links!L182*Links!AP182+'On-Ramps'!AJ182*'On-Ramps'!CL182)/(Links!L182+'On-Ramps'!AJ182)</f>
        <v>#DIV/0!</v>
      </c>
      <c r="BL182" s="60">
        <f>Links!AQ182</f>
        <v>0</v>
      </c>
      <c r="BM182" s="60" t="e">
        <f>(Links!N182*Links!AR182+'On-Ramps'!AL182*'On-Ramps'!CM182)/(Links!N182+'On-Ramps'!AL182)</f>
        <v>#DIV/0!</v>
      </c>
      <c r="BN182" s="60">
        <f>Links!AS182</f>
        <v>0</v>
      </c>
      <c r="BO182" s="61" t="e">
        <f>(Links!R182^2+'Off-Ramp'!L182^2)/(Links!R182+'Off-Ramp'!L182)</f>
        <v>#DIV/0!</v>
      </c>
      <c r="BP182" s="61" t="e">
        <f>Links!S182</f>
        <v>#DIV/0!</v>
      </c>
      <c r="BQ182" s="61" t="e">
        <f>(Links!S182^2+'Off-Ramp'!C182^2)/(Links!S182+'Off-Ramp'!C182)</f>
        <v>#DIV/0!</v>
      </c>
      <c r="BR182" s="61" t="e">
        <f>Links!T182</f>
        <v>#DIV/0!</v>
      </c>
      <c r="BS182" s="61" t="e">
        <f>(Links!U182^2+'Off-Ramp'!N182^2)/(Links!U182+'Off-Ramp'!N182)</f>
        <v>#DIV/0!</v>
      </c>
      <c r="BT182" s="61" t="e">
        <f>(Links!V182^2+'Off-Ramp'!O182^2)/(Links!V182+'Off-Ramp'!O182)</f>
        <v>#DIV/0!</v>
      </c>
      <c r="BU182" s="61" t="e">
        <f>(Links!W182^2+'Off-Ramp'!P182^2)/(Links!W182+'Off-Ramp'!P182)</f>
        <v>#DIV/0!</v>
      </c>
      <c r="BV182" s="61" t="e">
        <f>(Links!Y182^2+'Off-Ramp'!Q182^2)/(Links!Y182+'Off-Ramp'!Q182)</f>
        <v>#DIV/0!</v>
      </c>
      <c r="BW182" s="61" t="e">
        <f>(Links!Z182^2+'Off-Ramp'!R182^2)/(Links!Z182+'Off-Ramp'!R182)</f>
        <v>#DIV/0!</v>
      </c>
      <c r="BX182" s="61" t="e">
        <f>(Links!AA182+'Off-Ramp'!S182)/(Links!AA182^2+'Off-Ramp'!S182^2)</f>
        <v>#DIV/0!</v>
      </c>
      <c r="BY182" s="61" t="e">
        <f>(Links!AB182^2+'Off-Ramp'!T182^2)/(Links!AB182+'Off-Ramp'!T182)</f>
        <v>#DIV/0!</v>
      </c>
      <c r="BZ182" s="61" t="e">
        <f>Links!AC182</f>
        <v>#DIV/0!</v>
      </c>
      <c r="CA182" s="61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90"/>
  <sheetViews>
    <sheetView zoomScale="70" zoomScaleNormal="70" workbookViewId="0">
      <selection activeCell="K171" sqref="K171"/>
    </sheetView>
  </sheetViews>
  <sheetFormatPr defaultRowHeight="14.25" x14ac:dyDescent="0.15"/>
  <cols>
    <col min="1" max="1" width="9" style="55"/>
    <col min="2" max="16384" width="9" style="51"/>
  </cols>
  <sheetData>
    <row r="1" spans="1:91" x14ac:dyDescent="0.15">
      <c r="A1" s="80" t="s">
        <v>169</v>
      </c>
      <c r="B1" s="73" t="s">
        <v>170</v>
      </c>
      <c r="C1" s="73"/>
      <c r="D1" s="73"/>
      <c r="E1" s="73"/>
      <c r="F1" s="73"/>
      <c r="G1" s="73"/>
      <c r="H1" s="73"/>
      <c r="I1" s="73"/>
      <c r="J1" s="73"/>
      <c r="K1" s="73" t="s">
        <v>171</v>
      </c>
      <c r="L1" s="73"/>
      <c r="M1" s="73"/>
      <c r="N1" s="73"/>
      <c r="O1" s="73"/>
      <c r="P1" s="73"/>
      <c r="Q1" s="73"/>
      <c r="R1" s="73"/>
      <c r="S1" s="73"/>
      <c r="T1" s="73" t="s">
        <v>172</v>
      </c>
      <c r="U1" s="73"/>
      <c r="V1" s="73"/>
      <c r="W1" s="73"/>
      <c r="X1" s="73"/>
      <c r="Y1" s="73"/>
      <c r="Z1" s="73"/>
      <c r="AA1" s="73"/>
      <c r="AB1" s="73"/>
      <c r="AC1" s="73" t="s">
        <v>168</v>
      </c>
      <c r="AD1" s="73"/>
      <c r="AE1" s="73"/>
      <c r="AF1" s="73"/>
      <c r="AG1" s="73"/>
      <c r="AH1" s="73"/>
      <c r="AI1" s="73"/>
      <c r="AJ1" s="73"/>
      <c r="AK1" s="73"/>
      <c r="AL1" s="73" t="s">
        <v>173</v>
      </c>
      <c r="AM1" s="73"/>
      <c r="AN1" s="73"/>
      <c r="AO1" s="73"/>
      <c r="AP1" s="73"/>
      <c r="AQ1" s="73"/>
      <c r="AR1" s="73"/>
      <c r="AS1" s="73"/>
      <c r="AT1" s="73"/>
      <c r="AU1" s="73" t="s">
        <v>174</v>
      </c>
      <c r="AV1" s="73"/>
      <c r="AW1" s="73"/>
      <c r="AX1" s="73"/>
      <c r="AY1" s="73"/>
      <c r="AZ1" s="73"/>
      <c r="BA1" s="73"/>
      <c r="BB1" s="73"/>
      <c r="BC1" s="73"/>
      <c r="BD1" s="73" t="s">
        <v>203</v>
      </c>
      <c r="BE1" s="73"/>
      <c r="BF1" s="73"/>
      <c r="BG1" s="73"/>
      <c r="BH1" s="73"/>
      <c r="BI1" s="73"/>
      <c r="BJ1" s="73"/>
      <c r="BK1" s="73"/>
      <c r="BL1" s="73"/>
      <c r="BM1" s="82" t="s">
        <v>193</v>
      </c>
      <c r="BN1" s="82"/>
      <c r="BO1" s="82"/>
      <c r="BP1" s="82"/>
      <c r="BQ1" s="82"/>
      <c r="BR1" s="82"/>
      <c r="BS1" s="82"/>
      <c r="BT1" s="82"/>
      <c r="BU1" s="82"/>
      <c r="BV1" s="73" t="s">
        <v>204</v>
      </c>
      <c r="BW1" s="73"/>
      <c r="BX1" s="73"/>
      <c r="BY1" s="73"/>
      <c r="BZ1" s="73"/>
      <c r="CA1" s="73"/>
      <c r="CB1" s="73"/>
      <c r="CC1" s="73"/>
      <c r="CD1" s="73"/>
      <c r="CE1" s="73" t="s">
        <v>205</v>
      </c>
      <c r="CF1" s="73"/>
      <c r="CG1" s="73"/>
      <c r="CH1" s="73"/>
      <c r="CI1" s="73"/>
      <c r="CJ1" s="73"/>
      <c r="CK1" s="73"/>
      <c r="CL1" s="73"/>
      <c r="CM1" s="73"/>
    </row>
    <row r="2" spans="1:91" s="53" customFormat="1" x14ac:dyDescent="0.15">
      <c r="A2" s="81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</v>
      </c>
      <c r="L2" s="42">
        <v>2</v>
      </c>
      <c r="M2" s="42">
        <v>3</v>
      </c>
      <c r="N2" s="42">
        <v>4</v>
      </c>
      <c r="O2" s="42">
        <v>5</v>
      </c>
      <c r="P2" s="42">
        <v>6</v>
      </c>
      <c r="Q2" s="42">
        <v>7</v>
      </c>
      <c r="R2" s="42">
        <v>8</v>
      </c>
      <c r="S2" s="42">
        <v>9</v>
      </c>
      <c r="T2" s="42">
        <v>1</v>
      </c>
      <c r="U2" s="42">
        <v>2</v>
      </c>
      <c r="V2" s="42">
        <v>3</v>
      </c>
      <c r="W2" s="42">
        <v>4</v>
      </c>
      <c r="X2" s="42">
        <v>5</v>
      </c>
      <c r="Y2" s="42">
        <v>6</v>
      </c>
      <c r="Z2" s="42">
        <v>7</v>
      </c>
      <c r="AA2" s="42">
        <v>8</v>
      </c>
      <c r="AB2" s="42">
        <v>9</v>
      </c>
      <c r="AC2" s="42">
        <v>1</v>
      </c>
      <c r="AD2" s="42">
        <v>2</v>
      </c>
      <c r="AE2" s="42">
        <v>3</v>
      </c>
      <c r="AF2" s="42">
        <v>4</v>
      </c>
      <c r="AG2" s="42">
        <v>5</v>
      </c>
      <c r="AH2" s="42">
        <v>6</v>
      </c>
      <c r="AI2" s="42">
        <v>7</v>
      </c>
      <c r="AJ2" s="42">
        <v>8</v>
      </c>
      <c r="AK2" s="42">
        <v>9</v>
      </c>
      <c r="AL2" s="42">
        <v>1</v>
      </c>
      <c r="AM2" s="42">
        <v>2</v>
      </c>
      <c r="AN2" s="42">
        <v>3</v>
      </c>
      <c r="AO2" s="42">
        <v>4</v>
      </c>
      <c r="AP2" s="42">
        <v>5</v>
      </c>
      <c r="AQ2" s="42">
        <v>6</v>
      </c>
      <c r="AR2" s="42">
        <v>7</v>
      </c>
      <c r="AS2" s="42">
        <v>8</v>
      </c>
      <c r="AT2" s="42">
        <v>9</v>
      </c>
      <c r="AU2" s="42">
        <v>1</v>
      </c>
      <c r="AV2" s="42">
        <v>2</v>
      </c>
      <c r="AW2" s="42">
        <v>3</v>
      </c>
      <c r="AX2" s="42">
        <v>4</v>
      </c>
      <c r="AY2" s="42">
        <v>5</v>
      </c>
      <c r="AZ2" s="42">
        <v>6</v>
      </c>
      <c r="BA2" s="42">
        <v>7</v>
      </c>
      <c r="BB2" s="42">
        <v>8</v>
      </c>
      <c r="BC2" s="42">
        <v>9</v>
      </c>
      <c r="BD2" s="42">
        <v>1</v>
      </c>
      <c r="BE2" s="42">
        <v>2</v>
      </c>
      <c r="BF2" s="42">
        <v>3</v>
      </c>
      <c r="BG2" s="42">
        <v>4</v>
      </c>
      <c r="BH2" s="42">
        <v>5</v>
      </c>
      <c r="BI2" s="42">
        <v>6</v>
      </c>
      <c r="BJ2" s="42">
        <v>7</v>
      </c>
      <c r="BK2" s="42">
        <v>8</v>
      </c>
      <c r="BL2" s="42">
        <v>9</v>
      </c>
      <c r="BM2" s="52">
        <v>1</v>
      </c>
      <c r="BN2" s="52">
        <v>2</v>
      </c>
      <c r="BO2" s="52">
        <v>3</v>
      </c>
      <c r="BP2" s="52">
        <v>4</v>
      </c>
      <c r="BQ2" s="52">
        <v>5</v>
      </c>
      <c r="BR2" s="52">
        <v>6</v>
      </c>
      <c r="BS2" s="52">
        <v>7</v>
      </c>
      <c r="BT2" s="52">
        <v>8</v>
      </c>
      <c r="BU2" s="52">
        <v>9</v>
      </c>
      <c r="BV2" s="42">
        <v>1</v>
      </c>
      <c r="BW2" s="42">
        <v>2</v>
      </c>
      <c r="BX2" s="42">
        <v>3</v>
      </c>
      <c r="BY2" s="42">
        <v>4</v>
      </c>
      <c r="BZ2" s="42">
        <v>5</v>
      </c>
      <c r="CA2" s="42">
        <v>6</v>
      </c>
      <c r="CB2" s="42">
        <v>7</v>
      </c>
      <c r="CC2" s="42">
        <v>8</v>
      </c>
      <c r="CD2" s="42">
        <v>9</v>
      </c>
      <c r="CE2" s="42">
        <v>1</v>
      </c>
      <c r="CF2" s="42">
        <v>2</v>
      </c>
      <c r="CG2" s="42">
        <v>3</v>
      </c>
      <c r="CH2" s="42">
        <v>4</v>
      </c>
      <c r="CI2" s="42">
        <v>5</v>
      </c>
      <c r="CJ2" s="42">
        <v>6</v>
      </c>
      <c r="CK2" s="42">
        <v>7</v>
      </c>
      <c r="CL2" s="42">
        <v>8</v>
      </c>
      <c r="CM2" s="42">
        <v>9</v>
      </c>
    </row>
    <row r="3" spans="1:91" x14ac:dyDescent="0.15">
      <c r="A3" s="43">
        <v>1</v>
      </c>
      <c r="B3" s="44">
        <v>1</v>
      </c>
      <c r="C3" s="44">
        <v>1</v>
      </c>
      <c r="D3" s="44">
        <v>1</v>
      </c>
      <c r="E3" s="44">
        <v>1</v>
      </c>
      <c r="F3" s="44">
        <v>1</v>
      </c>
      <c r="G3" s="44">
        <v>1</v>
      </c>
      <c r="H3" s="44">
        <v>1</v>
      </c>
      <c r="I3" s="44">
        <v>1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5"/>
      <c r="U3" s="45"/>
      <c r="V3" s="45"/>
      <c r="W3" s="45"/>
      <c r="X3" s="45"/>
      <c r="Y3" s="45"/>
      <c r="Z3" s="45"/>
      <c r="AA3" s="45"/>
      <c r="AB3" s="45"/>
      <c r="AC3" s="46">
        <f>B3*MIN(AL3,AU3)</f>
        <v>0</v>
      </c>
      <c r="AD3" s="46">
        <f t="shared" ref="AD3:AK3" si="0">C3*MIN(AM3,AV3)</f>
        <v>0</v>
      </c>
      <c r="AE3" s="46">
        <f t="shared" si="0"/>
        <v>0</v>
      </c>
      <c r="AF3" s="46">
        <f t="shared" si="0"/>
        <v>0</v>
      </c>
      <c r="AG3" s="46">
        <f t="shared" si="0"/>
        <v>0</v>
      </c>
      <c r="AH3" s="46">
        <f t="shared" si="0"/>
        <v>0</v>
      </c>
      <c r="AI3" s="46">
        <f t="shared" si="0"/>
        <v>0</v>
      </c>
      <c r="AJ3" s="46">
        <f t="shared" si="0"/>
        <v>0</v>
      </c>
      <c r="AK3" s="46">
        <f t="shared" si="0"/>
        <v>0</v>
      </c>
      <c r="AL3" s="46">
        <f>T$3+K3/ATM_Conf!$C$5</f>
        <v>0</v>
      </c>
      <c r="AM3" s="46">
        <f>U$3+L3/ATM_Conf!$C$5</f>
        <v>0</v>
      </c>
      <c r="AN3" s="46">
        <f>V$3+M3/ATM_Conf!$C$5</f>
        <v>0</v>
      </c>
      <c r="AO3" s="46">
        <f>W$3+N3/ATM_Conf!$C$5</f>
        <v>0</v>
      </c>
      <c r="AP3" s="46">
        <f>X$3+O3/ATM_Conf!$C$5</f>
        <v>0</v>
      </c>
      <c r="AQ3" s="46">
        <f>Y$3+P3/ATM_Conf!$C$5</f>
        <v>0</v>
      </c>
      <c r="AR3" s="46">
        <f>Z$3+Q3/ATM_Conf!$C$5</f>
        <v>0</v>
      </c>
      <c r="AS3" s="46">
        <f>AA$3+R3/ATM_Conf!$C$5</f>
        <v>0</v>
      </c>
      <c r="AT3" s="46">
        <f>AB$3+S3/ATM_Conf!$C$5</f>
        <v>0</v>
      </c>
      <c r="AU3" s="46">
        <f>BD$3*MIN(1,(ATM_Conf!$C$6-Links!F3)/(ATM_Conf!$C$6-ATM_Conf!$C$7))</f>
        <v>0</v>
      </c>
      <c r="AV3" s="46">
        <f>BE$3*MIN(1,(ATM_Conf!$C$6-Links!G3)/(ATM_Conf!$C$6-ATM_Conf!$C$7))</f>
        <v>0</v>
      </c>
      <c r="AW3" s="46">
        <f>BF$3*MIN(1,(ATM_Conf!$C$6-Links!H3)/(ATM_Conf!$C$6-ATM_Conf!$C$7))</f>
        <v>0</v>
      </c>
      <c r="AX3" s="46">
        <f>BG$3*MIN(1,(ATM_Conf!$C$6-Links!I3)/(ATM_Conf!$C$6-ATM_Conf!$C$7))</f>
        <v>0</v>
      </c>
      <c r="AY3" s="46">
        <f>BH$3*MIN(1,(ATM_Conf!$C$6-Links!J3)/(ATM_Conf!$C$6-ATM_Conf!$C$7))</f>
        <v>0</v>
      </c>
      <c r="AZ3" s="46">
        <f>BI$3*MIN(1,(ATM_Conf!$C$6-Links!K3)/(ATM_Conf!$C$6-ATM_Conf!$C$7))</f>
        <v>0</v>
      </c>
      <c r="BA3" s="46">
        <f>BJ$3*MIN(1,(ATM_Conf!$C$6-Links!L3)/(ATM_Conf!$C$6-ATM_Conf!$C$7))</f>
        <v>0</v>
      </c>
      <c r="BB3" s="46">
        <f>BK$3*MIN(1,(ATM_Conf!$C$6-Links!M3)/(ATM_Conf!$C$6-ATM_Conf!$C$7))</f>
        <v>0</v>
      </c>
      <c r="BC3" s="46">
        <f>BL$3*MIN(1,(ATM_Conf!$C$6-Links!N3)/(ATM_Conf!$C$6-ATM_Conf!$C$7))</f>
        <v>0</v>
      </c>
      <c r="BD3" s="47"/>
      <c r="BE3" s="47"/>
      <c r="BF3" s="47"/>
      <c r="BG3" s="47"/>
      <c r="BH3" s="47"/>
      <c r="BI3" s="47"/>
      <c r="BJ3" s="47"/>
      <c r="BK3" s="47"/>
      <c r="BL3" s="47"/>
      <c r="BM3" s="54"/>
      <c r="BN3" s="54"/>
      <c r="BO3" s="54"/>
      <c r="BP3" s="54"/>
      <c r="BQ3" s="54"/>
      <c r="BR3" s="54"/>
      <c r="BS3" s="54"/>
      <c r="BT3" s="54"/>
      <c r="BU3" s="54"/>
      <c r="BV3" s="46">
        <f>K3/B$190</f>
        <v>0</v>
      </c>
      <c r="BW3" s="46">
        <f t="shared" ref="BW3:CD3" si="1">L3/C$190</f>
        <v>0</v>
      </c>
      <c r="BX3" s="46">
        <f t="shared" si="1"/>
        <v>0</v>
      </c>
      <c r="BY3" s="46">
        <f t="shared" si="1"/>
        <v>0</v>
      </c>
      <c r="BZ3" s="46">
        <f t="shared" si="1"/>
        <v>0</v>
      </c>
      <c r="CA3" s="46">
        <f t="shared" si="1"/>
        <v>0</v>
      </c>
      <c r="CB3" s="46">
        <f t="shared" si="1"/>
        <v>0</v>
      </c>
      <c r="CC3" s="46">
        <f t="shared" si="1"/>
        <v>0</v>
      </c>
      <c r="CD3" s="46">
        <f t="shared" si="1"/>
        <v>0</v>
      </c>
      <c r="CE3" s="56" t="e">
        <f>AC3/BV3/K$190</f>
        <v>#DIV/0!</v>
      </c>
      <c r="CF3" s="56" t="e">
        <f t="shared" ref="CF3:CM3" si="2">AD3/BW3</f>
        <v>#DIV/0!</v>
      </c>
      <c r="CG3" s="56" t="e">
        <f t="shared" si="2"/>
        <v>#DIV/0!</v>
      </c>
      <c r="CH3" s="56" t="e">
        <f t="shared" si="2"/>
        <v>#DIV/0!</v>
      </c>
      <c r="CI3" s="56" t="e">
        <f t="shared" si="2"/>
        <v>#DIV/0!</v>
      </c>
      <c r="CJ3" s="56" t="e">
        <f t="shared" si="2"/>
        <v>#DIV/0!</v>
      </c>
      <c r="CK3" s="56" t="e">
        <f t="shared" si="2"/>
        <v>#DIV/0!</v>
      </c>
      <c r="CL3" s="56" t="e">
        <f t="shared" si="2"/>
        <v>#DIV/0!</v>
      </c>
      <c r="CM3" s="56" t="e">
        <f t="shared" si="2"/>
        <v>#DIV/0!</v>
      </c>
    </row>
    <row r="4" spans="1:91" x14ac:dyDescent="0.15">
      <c r="A4" s="43">
        <v>2</v>
      </c>
      <c r="B4" s="46">
        <f>B$3</f>
        <v>1</v>
      </c>
      <c r="C4" s="46">
        <f t="shared" ref="C4:J14" si="3">C$3</f>
        <v>1</v>
      </c>
      <c r="D4" s="46">
        <f t="shared" si="3"/>
        <v>1</v>
      </c>
      <c r="E4" s="46">
        <f t="shared" si="3"/>
        <v>1</v>
      </c>
      <c r="F4" s="46">
        <f t="shared" si="3"/>
        <v>1</v>
      </c>
      <c r="G4" s="46">
        <f t="shared" si="3"/>
        <v>1</v>
      </c>
      <c r="H4" s="46">
        <f t="shared" si="3"/>
        <v>1</v>
      </c>
      <c r="I4" s="46">
        <f t="shared" si="3"/>
        <v>1</v>
      </c>
      <c r="J4" s="46">
        <f t="shared" si="3"/>
        <v>1</v>
      </c>
      <c r="K4" s="46">
        <f>K3+ATM_Conf!$C$5*(T3-AC3)</f>
        <v>0</v>
      </c>
      <c r="L4" s="46">
        <f>L3+ATM_Conf!$C$5*(U3-AD3)</f>
        <v>0</v>
      </c>
      <c r="M4" s="46">
        <f>M3+ATM_Conf!$C$5*(V3-AE3)</f>
        <v>0</v>
      </c>
      <c r="N4" s="46">
        <f>N3+ATM_Conf!$C$5*(W3-AF3)</f>
        <v>0</v>
      </c>
      <c r="O4" s="46">
        <f>O3+ATM_Conf!$C$5*(X3-AG3)</f>
        <v>0</v>
      </c>
      <c r="P4" s="46">
        <f>P3+ATM_Conf!$C$5*(Y3-AH3)</f>
        <v>0</v>
      </c>
      <c r="Q4" s="46">
        <f>Q3+ATM_Conf!$C$5*(Z3-AI3)</f>
        <v>0</v>
      </c>
      <c r="R4" s="46">
        <f>R3+ATM_Conf!$C$5*(AA3-AJ3)</f>
        <v>0</v>
      </c>
      <c r="S4" s="46">
        <f>S3+ATM_Conf!$C$5*(AB3-AK3)</f>
        <v>0</v>
      </c>
      <c r="T4" s="46"/>
      <c r="U4" s="46"/>
      <c r="V4" s="46"/>
      <c r="W4" s="46"/>
      <c r="X4" s="46"/>
      <c r="Y4" s="46"/>
      <c r="Z4" s="46"/>
      <c r="AA4" s="46"/>
      <c r="AB4" s="46"/>
      <c r="AC4" s="46" t="e">
        <f t="shared" ref="AC4:AC67" si="4">B4*MIN(AL4,AU4)</f>
        <v>#DIV/0!</v>
      </c>
      <c r="AD4" s="46" t="e">
        <f t="shared" ref="AD4:AD67" si="5">C4*MIN(AM4,AV4)</f>
        <v>#DIV/0!</v>
      </c>
      <c r="AE4" s="46" t="e">
        <f t="shared" ref="AE4:AE67" si="6">D4*MIN(AN4,AW4)</f>
        <v>#DIV/0!</v>
      </c>
      <c r="AF4" s="46" t="e">
        <f t="shared" ref="AF4:AF67" si="7">E4*MIN(AO4,AX4)</f>
        <v>#DIV/0!</v>
      </c>
      <c r="AG4" s="46" t="e">
        <f t="shared" ref="AG4:AG67" si="8">F4*MIN(AP4,AY4)</f>
        <v>#DIV/0!</v>
      </c>
      <c r="AH4" s="46" t="e">
        <f t="shared" ref="AH4:AH67" si="9">G4*MIN(AQ4,AZ4)</f>
        <v>#DIV/0!</v>
      </c>
      <c r="AI4" s="46" t="e">
        <f t="shared" ref="AI4:AI67" si="10">H4*MIN(AR4,BA4)</f>
        <v>#DIV/0!</v>
      </c>
      <c r="AJ4" s="46" t="e">
        <f t="shared" ref="AJ4:AJ67" si="11">I4*MIN(AS4,BB4)</f>
        <v>#DIV/0!</v>
      </c>
      <c r="AK4" s="46" t="e">
        <f t="shared" ref="AK4:AK67" si="12">J4*MIN(AT4,BC4)</f>
        <v>#DIV/0!</v>
      </c>
      <c r="AL4" s="46">
        <f>T$3+K4/ATM_Conf!$C$5</f>
        <v>0</v>
      </c>
      <c r="AM4" s="46">
        <f>U$3+L4/ATM_Conf!$C$5</f>
        <v>0</v>
      </c>
      <c r="AN4" s="46">
        <f>V$3+M4/ATM_Conf!$C$5</f>
        <v>0</v>
      </c>
      <c r="AO4" s="46">
        <f>W$3+N4/ATM_Conf!$C$5</f>
        <v>0</v>
      </c>
      <c r="AP4" s="46">
        <f>X$3+O4/ATM_Conf!$C$5</f>
        <v>0</v>
      </c>
      <c r="AQ4" s="46">
        <f>Y$3+P4/ATM_Conf!$C$5</f>
        <v>0</v>
      </c>
      <c r="AR4" s="46">
        <f>Z$3+Q4/ATM_Conf!$C$5</f>
        <v>0</v>
      </c>
      <c r="AS4" s="46">
        <f>AA$3+R4/ATM_Conf!$C$5</f>
        <v>0</v>
      </c>
      <c r="AT4" s="46">
        <f>AB$3+S4/ATM_Conf!$C$5</f>
        <v>0</v>
      </c>
      <c r="AU4" s="46" t="e">
        <f>BD$3*MIN(1,(ATM_Conf!$C$6-Links!F4)/(ATM_Conf!$C$6-ATM_Conf!$C$7))</f>
        <v>#DIV/0!</v>
      </c>
      <c r="AV4" s="46" t="e">
        <f>BE$3*MIN(1,(ATM_Conf!$C$6-Links!G4)/(ATM_Conf!$C$6-ATM_Conf!$C$7))</f>
        <v>#DIV/0!</v>
      </c>
      <c r="AW4" s="46" t="e">
        <f>BF$3*MIN(1,(ATM_Conf!$C$6-Links!H4)/(ATM_Conf!$C$6-ATM_Conf!$C$7))</f>
        <v>#DIV/0!</v>
      </c>
      <c r="AX4" s="46" t="e">
        <f>BG$3*MIN(1,(ATM_Conf!$C$6-Links!I4)/(ATM_Conf!$C$6-ATM_Conf!$C$7))</f>
        <v>#DIV/0!</v>
      </c>
      <c r="AY4" s="46" t="e">
        <f>BH$3*MIN(1,(ATM_Conf!$C$6-Links!J4)/(ATM_Conf!$C$6-ATM_Conf!$C$7))</f>
        <v>#DIV/0!</v>
      </c>
      <c r="AZ4" s="46" t="e">
        <f>BI$3*MIN(1,(ATM_Conf!$C$6-Links!K4)/(ATM_Conf!$C$6-ATM_Conf!$C$7))</f>
        <v>#DIV/0!</v>
      </c>
      <c r="BA4" s="46" t="e">
        <f>BJ$3*MIN(1,(ATM_Conf!$C$6-Links!L4)/(ATM_Conf!$C$6-ATM_Conf!$C$7))</f>
        <v>#DIV/0!</v>
      </c>
      <c r="BB4" s="46" t="e">
        <f>BK$3*MIN(1,(ATM_Conf!$C$6-Links!M4)/(ATM_Conf!$C$6-ATM_Conf!$C$7))</f>
        <v>#DIV/0!</v>
      </c>
      <c r="BC4" s="46" t="e">
        <f>BL$3*MIN(1,(ATM_Conf!$C$6-Links!N4)/(ATM_Conf!$C$6-ATM_Conf!$C$7))</f>
        <v>#DIV/0!</v>
      </c>
      <c r="BD4" s="46"/>
      <c r="BE4" s="46"/>
      <c r="BF4" s="46"/>
      <c r="BG4" s="46"/>
      <c r="BH4" s="46"/>
      <c r="BI4" s="46"/>
      <c r="BJ4" s="46"/>
      <c r="BK4" s="46"/>
      <c r="BL4" s="46"/>
      <c r="BM4" s="54"/>
      <c r="BN4" s="54"/>
      <c r="BO4" s="54"/>
      <c r="BP4" s="54"/>
      <c r="BQ4" s="54"/>
      <c r="BR4" s="54"/>
      <c r="BS4" s="54"/>
      <c r="BT4" s="54"/>
      <c r="BU4" s="54"/>
      <c r="BV4" s="46">
        <f t="shared" ref="BV4:BV67" si="13">K4/B$190</f>
        <v>0</v>
      </c>
      <c r="BW4" s="46">
        <f t="shared" ref="BW4:BW67" si="14">L4/C$190</f>
        <v>0</v>
      </c>
      <c r="BX4" s="46">
        <f t="shared" ref="BX4:BX67" si="15">M4/D$190</f>
        <v>0</v>
      </c>
      <c r="BY4" s="46">
        <f t="shared" ref="BY4:BY67" si="16">N4/E$190</f>
        <v>0</v>
      </c>
      <c r="BZ4" s="46">
        <f t="shared" ref="BZ4:BZ67" si="17">O4/F$190</f>
        <v>0</v>
      </c>
      <c r="CA4" s="46">
        <f t="shared" ref="CA4:CA67" si="18">P4/G$190</f>
        <v>0</v>
      </c>
      <c r="CB4" s="46">
        <f t="shared" ref="CB4:CB67" si="19">Q4/H$190</f>
        <v>0</v>
      </c>
      <c r="CC4" s="46">
        <f t="shared" ref="CC4:CC67" si="20">R4/I$190</f>
        <v>0</v>
      </c>
      <c r="CD4" s="46">
        <f t="shared" ref="CD4:CD67" si="21">S4/J$190</f>
        <v>0</v>
      </c>
      <c r="CE4" s="56" t="e">
        <f t="shared" ref="CE4:CE67" si="22">AC4/BV4</f>
        <v>#DIV/0!</v>
      </c>
      <c r="CF4" s="56" t="e">
        <f t="shared" ref="CF4:CF67" si="23">AD4/BW4</f>
        <v>#DIV/0!</v>
      </c>
      <c r="CG4" s="56" t="e">
        <f t="shared" ref="CG4:CG67" si="24">AE4/BX4</f>
        <v>#DIV/0!</v>
      </c>
      <c r="CH4" s="56" t="e">
        <f t="shared" ref="CH4:CH67" si="25">AF4/BY4</f>
        <v>#DIV/0!</v>
      </c>
      <c r="CI4" s="56" t="e">
        <f t="shared" ref="CI4:CI67" si="26">AG4/BZ4</f>
        <v>#DIV/0!</v>
      </c>
      <c r="CJ4" s="56" t="e">
        <f t="shared" ref="CJ4:CJ67" si="27">AH4/CA4</f>
        <v>#DIV/0!</v>
      </c>
      <c r="CK4" s="56" t="e">
        <f t="shared" ref="CK4:CK67" si="28">AI4/CB4</f>
        <v>#DIV/0!</v>
      </c>
      <c r="CL4" s="56" t="e">
        <f t="shared" ref="CL4:CL67" si="29">AJ4/CC4</f>
        <v>#DIV/0!</v>
      </c>
      <c r="CM4" s="56" t="e">
        <f t="shared" ref="CM4:CM67" si="30">AK4/CD4</f>
        <v>#DIV/0!</v>
      </c>
    </row>
    <row r="5" spans="1:91" x14ac:dyDescent="0.15">
      <c r="A5" s="43">
        <v>3</v>
      </c>
      <c r="B5" s="46">
        <f t="shared" ref="B5:B14" si="31">B$3</f>
        <v>1</v>
      </c>
      <c r="C5" s="46">
        <f t="shared" si="3"/>
        <v>1</v>
      </c>
      <c r="D5" s="46">
        <f t="shared" si="3"/>
        <v>1</v>
      </c>
      <c r="E5" s="46">
        <f t="shared" si="3"/>
        <v>1</v>
      </c>
      <c r="F5" s="46">
        <f t="shared" si="3"/>
        <v>1</v>
      </c>
      <c r="G5" s="46">
        <f t="shared" si="3"/>
        <v>1</v>
      </c>
      <c r="H5" s="46">
        <f t="shared" si="3"/>
        <v>1</v>
      </c>
      <c r="I5" s="46">
        <f t="shared" si="3"/>
        <v>1</v>
      </c>
      <c r="J5" s="46">
        <f t="shared" si="3"/>
        <v>1</v>
      </c>
      <c r="K5" s="46" t="e">
        <f>K4+ATM_Conf!$C$5*(T4-AC4)</f>
        <v>#DIV/0!</v>
      </c>
      <c r="L5" s="46" t="e">
        <f>L4+ATM_Conf!$C$5*(U4-AD4)</f>
        <v>#DIV/0!</v>
      </c>
      <c r="M5" s="46" t="e">
        <f>M4+ATM_Conf!$C$5*(V4-AE4)</f>
        <v>#DIV/0!</v>
      </c>
      <c r="N5" s="46" t="e">
        <f>N4+ATM_Conf!$C$5*(W4-AF4)</f>
        <v>#DIV/0!</v>
      </c>
      <c r="O5" s="46" t="e">
        <f>O4+ATM_Conf!$C$5*(X4-AG4)</f>
        <v>#DIV/0!</v>
      </c>
      <c r="P5" s="46" t="e">
        <f>P4+ATM_Conf!$C$5*(Y4-AH4)</f>
        <v>#DIV/0!</v>
      </c>
      <c r="Q5" s="46" t="e">
        <f>Q4+ATM_Conf!$C$5*(Z4-AI4)</f>
        <v>#DIV/0!</v>
      </c>
      <c r="R5" s="46" t="e">
        <f>R4+ATM_Conf!$C$5*(AA4-AJ4)</f>
        <v>#DIV/0!</v>
      </c>
      <c r="S5" s="46" t="e">
        <f>S4+ATM_Conf!$C$5*(AB4-AK4)</f>
        <v>#DIV/0!</v>
      </c>
      <c r="T5" s="46"/>
      <c r="U5" s="46"/>
      <c r="V5" s="46"/>
      <c r="W5" s="46"/>
      <c r="X5" s="46"/>
      <c r="Y5" s="46"/>
      <c r="Z5" s="46"/>
      <c r="AA5" s="46"/>
      <c r="AB5" s="46"/>
      <c r="AC5" s="46" t="e">
        <f t="shared" si="4"/>
        <v>#DIV/0!</v>
      </c>
      <c r="AD5" s="46" t="e">
        <f t="shared" si="5"/>
        <v>#DIV/0!</v>
      </c>
      <c r="AE5" s="46" t="e">
        <f t="shared" si="6"/>
        <v>#DIV/0!</v>
      </c>
      <c r="AF5" s="46" t="e">
        <f t="shared" si="7"/>
        <v>#DIV/0!</v>
      </c>
      <c r="AG5" s="46" t="e">
        <f t="shared" si="8"/>
        <v>#DIV/0!</v>
      </c>
      <c r="AH5" s="46" t="e">
        <f t="shared" si="9"/>
        <v>#DIV/0!</v>
      </c>
      <c r="AI5" s="46" t="e">
        <f t="shared" si="10"/>
        <v>#DIV/0!</v>
      </c>
      <c r="AJ5" s="46" t="e">
        <f t="shared" si="11"/>
        <v>#DIV/0!</v>
      </c>
      <c r="AK5" s="46" t="e">
        <f t="shared" si="12"/>
        <v>#DIV/0!</v>
      </c>
      <c r="AL5" s="46" t="e">
        <f>T$3+K5/ATM_Conf!$C$5</f>
        <v>#DIV/0!</v>
      </c>
      <c r="AM5" s="46" t="e">
        <f>U$3+L5/ATM_Conf!$C$5</f>
        <v>#DIV/0!</v>
      </c>
      <c r="AN5" s="46" t="e">
        <f>V$3+M5/ATM_Conf!$C$5</f>
        <v>#DIV/0!</v>
      </c>
      <c r="AO5" s="46" t="e">
        <f>W$3+N5/ATM_Conf!$C$5</f>
        <v>#DIV/0!</v>
      </c>
      <c r="AP5" s="46" t="e">
        <f>X$3+O5/ATM_Conf!$C$5</f>
        <v>#DIV/0!</v>
      </c>
      <c r="AQ5" s="46" t="e">
        <f>Y$3+P5/ATM_Conf!$C$5</f>
        <v>#DIV/0!</v>
      </c>
      <c r="AR5" s="46" t="e">
        <f>Z$3+Q5/ATM_Conf!$C$5</f>
        <v>#DIV/0!</v>
      </c>
      <c r="AS5" s="46" t="e">
        <f>AA$3+R5/ATM_Conf!$C$5</f>
        <v>#DIV/0!</v>
      </c>
      <c r="AT5" s="46" t="e">
        <f>AB$3+S5/ATM_Conf!$C$5</f>
        <v>#DIV/0!</v>
      </c>
      <c r="AU5" s="46" t="e">
        <f>BD$3*MIN(1,(ATM_Conf!$C$6-Links!F5)/(ATM_Conf!$C$6-ATM_Conf!$C$7))</f>
        <v>#DIV/0!</v>
      </c>
      <c r="AV5" s="46" t="e">
        <f>BE$3*MIN(1,(ATM_Conf!$C$6-Links!G5)/(ATM_Conf!$C$6-ATM_Conf!$C$7))</f>
        <v>#DIV/0!</v>
      </c>
      <c r="AW5" s="46" t="e">
        <f>BF$3*MIN(1,(ATM_Conf!$C$6-Links!H5)/(ATM_Conf!$C$6-ATM_Conf!$C$7))</f>
        <v>#DIV/0!</v>
      </c>
      <c r="AX5" s="46" t="e">
        <f>BG$3*MIN(1,(ATM_Conf!$C$6-Links!I5)/(ATM_Conf!$C$6-ATM_Conf!$C$7))</f>
        <v>#DIV/0!</v>
      </c>
      <c r="AY5" s="46" t="e">
        <f>BH$3*MIN(1,(ATM_Conf!$C$6-Links!J5)/(ATM_Conf!$C$6-ATM_Conf!$C$7))</f>
        <v>#DIV/0!</v>
      </c>
      <c r="AZ5" s="46" t="e">
        <f>BI$3*MIN(1,(ATM_Conf!$C$6-Links!K5)/(ATM_Conf!$C$6-ATM_Conf!$C$7))</f>
        <v>#DIV/0!</v>
      </c>
      <c r="BA5" s="46" t="e">
        <f>BJ$3*MIN(1,(ATM_Conf!$C$6-Links!L5)/(ATM_Conf!$C$6-ATM_Conf!$C$7))</f>
        <v>#DIV/0!</v>
      </c>
      <c r="BB5" s="46" t="e">
        <f>BK$3*MIN(1,(ATM_Conf!$C$6-Links!M5)/(ATM_Conf!$C$6-ATM_Conf!$C$7))</f>
        <v>#DIV/0!</v>
      </c>
      <c r="BC5" s="46" t="e">
        <f>BL$3*MIN(1,(ATM_Conf!$C$6-Links!N5)/(ATM_Conf!$C$6-ATM_Conf!$C$7))</f>
        <v>#DIV/0!</v>
      </c>
      <c r="BD5" s="46"/>
      <c r="BE5" s="46"/>
      <c r="BF5" s="46"/>
      <c r="BG5" s="46"/>
      <c r="BH5" s="46"/>
      <c r="BI5" s="46"/>
      <c r="BJ5" s="46"/>
      <c r="BK5" s="46"/>
      <c r="BL5" s="46"/>
      <c r="BM5" s="54"/>
      <c r="BN5" s="54"/>
      <c r="BO5" s="54"/>
      <c r="BP5" s="54"/>
      <c r="BQ5" s="54"/>
      <c r="BR5" s="54"/>
      <c r="BS5" s="54"/>
      <c r="BT5" s="54"/>
      <c r="BU5" s="54"/>
      <c r="BV5" s="46" t="e">
        <f t="shared" si="13"/>
        <v>#DIV/0!</v>
      </c>
      <c r="BW5" s="46" t="e">
        <f t="shared" si="14"/>
        <v>#DIV/0!</v>
      </c>
      <c r="BX5" s="46" t="e">
        <f t="shared" si="15"/>
        <v>#DIV/0!</v>
      </c>
      <c r="BY5" s="46" t="e">
        <f t="shared" si="16"/>
        <v>#DIV/0!</v>
      </c>
      <c r="BZ5" s="46" t="e">
        <f t="shared" si="17"/>
        <v>#DIV/0!</v>
      </c>
      <c r="CA5" s="46" t="e">
        <f t="shared" si="18"/>
        <v>#DIV/0!</v>
      </c>
      <c r="CB5" s="46" t="e">
        <f t="shared" si="19"/>
        <v>#DIV/0!</v>
      </c>
      <c r="CC5" s="46" t="e">
        <f t="shared" si="20"/>
        <v>#DIV/0!</v>
      </c>
      <c r="CD5" s="46" t="e">
        <f t="shared" si="21"/>
        <v>#DIV/0!</v>
      </c>
      <c r="CE5" s="56" t="e">
        <f t="shared" si="22"/>
        <v>#DIV/0!</v>
      </c>
      <c r="CF5" s="56" t="e">
        <f t="shared" si="23"/>
        <v>#DIV/0!</v>
      </c>
      <c r="CG5" s="56" t="e">
        <f t="shared" si="24"/>
        <v>#DIV/0!</v>
      </c>
      <c r="CH5" s="56" t="e">
        <f t="shared" si="25"/>
        <v>#DIV/0!</v>
      </c>
      <c r="CI5" s="56" t="e">
        <f t="shared" si="26"/>
        <v>#DIV/0!</v>
      </c>
      <c r="CJ5" s="56" t="e">
        <f t="shared" si="27"/>
        <v>#DIV/0!</v>
      </c>
      <c r="CK5" s="56" t="e">
        <f t="shared" si="28"/>
        <v>#DIV/0!</v>
      </c>
      <c r="CL5" s="56" t="e">
        <f t="shared" si="29"/>
        <v>#DIV/0!</v>
      </c>
      <c r="CM5" s="56" t="e">
        <f t="shared" si="30"/>
        <v>#DIV/0!</v>
      </c>
    </row>
    <row r="6" spans="1:91" x14ac:dyDescent="0.15">
      <c r="A6" s="43">
        <v>4</v>
      </c>
      <c r="B6" s="46">
        <f t="shared" si="31"/>
        <v>1</v>
      </c>
      <c r="C6" s="46">
        <f t="shared" si="3"/>
        <v>1</v>
      </c>
      <c r="D6" s="46">
        <f t="shared" si="3"/>
        <v>1</v>
      </c>
      <c r="E6" s="46">
        <f t="shared" si="3"/>
        <v>1</v>
      </c>
      <c r="F6" s="46">
        <f t="shared" si="3"/>
        <v>1</v>
      </c>
      <c r="G6" s="46">
        <f t="shared" si="3"/>
        <v>1</v>
      </c>
      <c r="H6" s="46">
        <f t="shared" si="3"/>
        <v>1</v>
      </c>
      <c r="I6" s="46">
        <f t="shared" si="3"/>
        <v>1</v>
      </c>
      <c r="J6" s="46">
        <f t="shared" si="3"/>
        <v>1</v>
      </c>
      <c r="K6" s="46" t="e">
        <f>K5+ATM_Conf!$C$5*(T5-AC5)</f>
        <v>#DIV/0!</v>
      </c>
      <c r="L6" s="46" t="e">
        <f>L5+ATM_Conf!$C$5*(U5-AD5)</f>
        <v>#DIV/0!</v>
      </c>
      <c r="M6" s="46" t="e">
        <f>M5+ATM_Conf!$C$5*(V5-AE5)</f>
        <v>#DIV/0!</v>
      </c>
      <c r="N6" s="46" t="e">
        <f>N5+ATM_Conf!$C$5*(W5-AF5)</f>
        <v>#DIV/0!</v>
      </c>
      <c r="O6" s="46" t="e">
        <f>O5+ATM_Conf!$C$5*(X5-AG5)</f>
        <v>#DIV/0!</v>
      </c>
      <c r="P6" s="46" t="e">
        <f>P5+ATM_Conf!$C$5*(Y5-AH5)</f>
        <v>#DIV/0!</v>
      </c>
      <c r="Q6" s="46" t="e">
        <f>Q5+ATM_Conf!$C$5*(Z5-AI5)</f>
        <v>#DIV/0!</v>
      </c>
      <c r="R6" s="46" t="e">
        <f>R5+ATM_Conf!$C$5*(AA5-AJ5)</f>
        <v>#DIV/0!</v>
      </c>
      <c r="S6" s="46" t="e">
        <f>S5+ATM_Conf!$C$5*(AB5-AK5)</f>
        <v>#DIV/0!</v>
      </c>
      <c r="T6" s="46"/>
      <c r="U6" s="46"/>
      <c r="V6" s="46"/>
      <c r="W6" s="46"/>
      <c r="X6" s="46"/>
      <c r="Y6" s="46"/>
      <c r="Z6" s="46"/>
      <c r="AA6" s="46"/>
      <c r="AB6" s="46"/>
      <c r="AC6" s="46" t="e">
        <f t="shared" si="4"/>
        <v>#DIV/0!</v>
      </c>
      <c r="AD6" s="46" t="e">
        <f t="shared" si="5"/>
        <v>#DIV/0!</v>
      </c>
      <c r="AE6" s="46" t="e">
        <f t="shared" si="6"/>
        <v>#DIV/0!</v>
      </c>
      <c r="AF6" s="46" t="e">
        <f t="shared" si="7"/>
        <v>#DIV/0!</v>
      </c>
      <c r="AG6" s="46" t="e">
        <f t="shared" si="8"/>
        <v>#DIV/0!</v>
      </c>
      <c r="AH6" s="46" t="e">
        <f t="shared" si="9"/>
        <v>#DIV/0!</v>
      </c>
      <c r="AI6" s="46" t="e">
        <f t="shared" si="10"/>
        <v>#DIV/0!</v>
      </c>
      <c r="AJ6" s="46" t="e">
        <f t="shared" si="11"/>
        <v>#DIV/0!</v>
      </c>
      <c r="AK6" s="46" t="e">
        <f t="shared" si="12"/>
        <v>#DIV/0!</v>
      </c>
      <c r="AL6" s="46" t="e">
        <f>T$3+K6/ATM_Conf!$C$5</f>
        <v>#DIV/0!</v>
      </c>
      <c r="AM6" s="46" t="e">
        <f>U$3+L6/ATM_Conf!$C$5</f>
        <v>#DIV/0!</v>
      </c>
      <c r="AN6" s="46" t="e">
        <f>V$3+M6/ATM_Conf!$C$5</f>
        <v>#DIV/0!</v>
      </c>
      <c r="AO6" s="46" t="e">
        <f>W$3+N6/ATM_Conf!$C$5</f>
        <v>#DIV/0!</v>
      </c>
      <c r="AP6" s="46" t="e">
        <f>X$3+O6/ATM_Conf!$C$5</f>
        <v>#DIV/0!</v>
      </c>
      <c r="AQ6" s="46" t="e">
        <f>Y$3+P6/ATM_Conf!$C$5</f>
        <v>#DIV/0!</v>
      </c>
      <c r="AR6" s="46" t="e">
        <f>Z$3+Q6/ATM_Conf!$C$5</f>
        <v>#DIV/0!</v>
      </c>
      <c r="AS6" s="46" t="e">
        <f>AA$3+R6/ATM_Conf!$C$5</f>
        <v>#DIV/0!</v>
      </c>
      <c r="AT6" s="46" t="e">
        <f>AB$3+S6/ATM_Conf!$C$5</f>
        <v>#DIV/0!</v>
      </c>
      <c r="AU6" s="46" t="e">
        <f>BD$3*MIN(1,(ATM_Conf!$C$6-Links!F6)/(ATM_Conf!$C$6-ATM_Conf!$C$7))</f>
        <v>#DIV/0!</v>
      </c>
      <c r="AV6" s="46" t="e">
        <f>BE$3*MIN(1,(ATM_Conf!$C$6-Links!G6)/(ATM_Conf!$C$6-ATM_Conf!$C$7))</f>
        <v>#DIV/0!</v>
      </c>
      <c r="AW6" s="46" t="e">
        <f>BF$3*MIN(1,(ATM_Conf!$C$6-Links!H6)/(ATM_Conf!$C$6-ATM_Conf!$C$7))</f>
        <v>#DIV/0!</v>
      </c>
      <c r="AX6" s="46" t="e">
        <f>BG$3*MIN(1,(ATM_Conf!$C$6-Links!I6)/(ATM_Conf!$C$6-ATM_Conf!$C$7))</f>
        <v>#DIV/0!</v>
      </c>
      <c r="AY6" s="46" t="e">
        <f>BH$3*MIN(1,(ATM_Conf!$C$6-Links!J6)/(ATM_Conf!$C$6-ATM_Conf!$C$7))</f>
        <v>#DIV/0!</v>
      </c>
      <c r="AZ6" s="46" t="e">
        <f>BI$3*MIN(1,(ATM_Conf!$C$6-Links!K6)/(ATM_Conf!$C$6-ATM_Conf!$C$7))</f>
        <v>#DIV/0!</v>
      </c>
      <c r="BA6" s="46" t="e">
        <f>BJ$3*MIN(1,(ATM_Conf!$C$6-Links!L6)/(ATM_Conf!$C$6-ATM_Conf!$C$7))</f>
        <v>#DIV/0!</v>
      </c>
      <c r="BB6" s="46" t="e">
        <f>BK$3*MIN(1,(ATM_Conf!$C$6-Links!M6)/(ATM_Conf!$C$6-ATM_Conf!$C$7))</f>
        <v>#DIV/0!</v>
      </c>
      <c r="BC6" s="46" t="e">
        <f>BL$3*MIN(1,(ATM_Conf!$C$6-Links!N6)/(ATM_Conf!$C$6-ATM_Conf!$C$7))</f>
        <v>#DIV/0!</v>
      </c>
      <c r="BD6" s="46"/>
      <c r="BE6" s="46"/>
      <c r="BF6" s="46"/>
      <c r="BG6" s="46"/>
      <c r="BH6" s="46"/>
      <c r="BI6" s="46"/>
      <c r="BJ6" s="46"/>
      <c r="BK6" s="46"/>
      <c r="BL6" s="46"/>
      <c r="BM6" s="54"/>
      <c r="BN6" s="54"/>
      <c r="BO6" s="54"/>
      <c r="BP6" s="54"/>
      <c r="BQ6" s="54"/>
      <c r="BR6" s="54"/>
      <c r="BS6" s="54"/>
      <c r="BT6" s="54"/>
      <c r="BU6" s="54"/>
      <c r="BV6" s="46" t="e">
        <f t="shared" si="13"/>
        <v>#DIV/0!</v>
      </c>
      <c r="BW6" s="46" t="e">
        <f t="shared" si="14"/>
        <v>#DIV/0!</v>
      </c>
      <c r="BX6" s="46" t="e">
        <f t="shared" si="15"/>
        <v>#DIV/0!</v>
      </c>
      <c r="BY6" s="46" t="e">
        <f t="shared" si="16"/>
        <v>#DIV/0!</v>
      </c>
      <c r="BZ6" s="46" t="e">
        <f t="shared" si="17"/>
        <v>#DIV/0!</v>
      </c>
      <c r="CA6" s="46" t="e">
        <f t="shared" si="18"/>
        <v>#DIV/0!</v>
      </c>
      <c r="CB6" s="46" t="e">
        <f t="shared" si="19"/>
        <v>#DIV/0!</v>
      </c>
      <c r="CC6" s="46" t="e">
        <f t="shared" si="20"/>
        <v>#DIV/0!</v>
      </c>
      <c r="CD6" s="46" t="e">
        <f t="shared" si="21"/>
        <v>#DIV/0!</v>
      </c>
      <c r="CE6" s="56" t="e">
        <f t="shared" si="22"/>
        <v>#DIV/0!</v>
      </c>
      <c r="CF6" s="56" t="e">
        <f t="shared" si="23"/>
        <v>#DIV/0!</v>
      </c>
      <c r="CG6" s="56" t="e">
        <f t="shared" si="24"/>
        <v>#DIV/0!</v>
      </c>
      <c r="CH6" s="56" t="e">
        <f t="shared" si="25"/>
        <v>#DIV/0!</v>
      </c>
      <c r="CI6" s="56" t="e">
        <f t="shared" si="26"/>
        <v>#DIV/0!</v>
      </c>
      <c r="CJ6" s="56" t="e">
        <f t="shared" si="27"/>
        <v>#DIV/0!</v>
      </c>
      <c r="CK6" s="56" t="e">
        <f t="shared" si="28"/>
        <v>#DIV/0!</v>
      </c>
      <c r="CL6" s="56" t="e">
        <f t="shared" si="29"/>
        <v>#DIV/0!</v>
      </c>
      <c r="CM6" s="56" t="e">
        <f t="shared" si="30"/>
        <v>#DIV/0!</v>
      </c>
    </row>
    <row r="7" spans="1:91" x14ac:dyDescent="0.15">
      <c r="A7" s="43">
        <v>5</v>
      </c>
      <c r="B7" s="46">
        <f t="shared" si="31"/>
        <v>1</v>
      </c>
      <c r="C7" s="46">
        <f t="shared" si="3"/>
        <v>1</v>
      </c>
      <c r="D7" s="46">
        <f t="shared" si="3"/>
        <v>1</v>
      </c>
      <c r="E7" s="46">
        <f t="shared" si="3"/>
        <v>1</v>
      </c>
      <c r="F7" s="46">
        <f t="shared" si="3"/>
        <v>1</v>
      </c>
      <c r="G7" s="46">
        <f t="shared" si="3"/>
        <v>1</v>
      </c>
      <c r="H7" s="46">
        <f t="shared" si="3"/>
        <v>1</v>
      </c>
      <c r="I7" s="46">
        <f t="shared" si="3"/>
        <v>1</v>
      </c>
      <c r="J7" s="46">
        <f t="shared" si="3"/>
        <v>1</v>
      </c>
      <c r="K7" s="46" t="e">
        <f>K6+ATM_Conf!$C$5*(T6-AC6)</f>
        <v>#DIV/0!</v>
      </c>
      <c r="L7" s="46" t="e">
        <f>L6+ATM_Conf!$C$5*(U6-AD6)</f>
        <v>#DIV/0!</v>
      </c>
      <c r="M7" s="46" t="e">
        <f>M6+ATM_Conf!$C$5*(V6-AE6)</f>
        <v>#DIV/0!</v>
      </c>
      <c r="N7" s="46" t="e">
        <f>N6+ATM_Conf!$C$5*(W6-AF6)</f>
        <v>#DIV/0!</v>
      </c>
      <c r="O7" s="46" t="e">
        <f>O6+ATM_Conf!$C$5*(X6-AG6)</f>
        <v>#DIV/0!</v>
      </c>
      <c r="P7" s="46" t="e">
        <f>P6+ATM_Conf!$C$5*(Y6-AH6)</f>
        <v>#DIV/0!</v>
      </c>
      <c r="Q7" s="46" t="e">
        <f>Q6+ATM_Conf!$C$5*(Z6-AI6)</f>
        <v>#DIV/0!</v>
      </c>
      <c r="R7" s="46" t="e">
        <f>R6+ATM_Conf!$C$5*(AA6-AJ6)</f>
        <v>#DIV/0!</v>
      </c>
      <c r="S7" s="46" t="e">
        <f>S6+ATM_Conf!$C$5*(AB6-AK6)</f>
        <v>#DIV/0!</v>
      </c>
      <c r="T7" s="46"/>
      <c r="U7" s="46"/>
      <c r="V7" s="46"/>
      <c r="W7" s="46"/>
      <c r="X7" s="46"/>
      <c r="Y7" s="46"/>
      <c r="Z7" s="46"/>
      <c r="AA7" s="46"/>
      <c r="AB7" s="46"/>
      <c r="AC7" s="46" t="e">
        <f t="shared" si="4"/>
        <v>#DIV/0!</v>
      </c>
      <c r="AD7" s="46" t="e">
        <f t="shared" si="5"/>
        <v>#DIV/0!</v>
      </c>
      <c r="AE7" s="46" t="e">
        <f t="shared" si="6"/>
        <v>#DIV/0!</v>
      </c>
      <c r="AF7" s="46" t="e">
        <f t="shared" si="7"/>
        <v>#DIV/0!</v>
      </c>
      <c r="AG7" s="46" t="e">
        <f t="shared" si="8"/>
        <v>#DIV/0!</v>
      </c>
      <c r="AH7" s="46" t="e">
        <f t="shared" si="9"/>
        <v>#DIV/0!</v>
      </c>
      <c r="AI7" s="46" t="e">
        <f t="shared" si="10"/>
        <v>#DIV/0!</v>
      </c>
      <c r="AJ7" s="46" t="e">
        <f t="shared" si="11"/>
        <v>#DIV/0!</v>
      </c>
      <c r="AK7" s="46" t="e">
        <f t="shared" si="12"/>
        <v>#DIV/0!</v>
      </c>
      <c r="AL7" s="46" t="e">
        <f>T$3+K7/ATM_Conf!$C$5</f>
        <v>#DIV/0!</v>
      </c>
      <c r="AM7" s="46" t="e">
        <f>U$3+L7/ATM_Conf!$C$5</f>
        <v>#DIV/0!</v>
      </c>
      <c r="AN7" s="46" t="e">
        <f>V$3+M7/ATM_Conf!$C$5</f>
        <v>#DIV/0!</v>
      </c>
      <c r="AO7" s="46" t="e">
        <f>W$3+N7/ATM_Conf!$C$5</f>
        <v>#DIV/0!</v>
      </c>
      <c r="AP7" s="46" t="e">
        <f>X$3+O7/ATM_Conf!$C$5</f>
        <v>#DIV/0!</v>
      </c>
      <c r="AQ7" s="46" t="e">
        <f>Y$3+P7/ATM_Conf!$C$5</f>
        <v>#DIV/0!</v>
      </c>
      <c r="AR7" s="46" t="e">
        <f>Z$3+Q7/ATM_Conf!$C$5</f>
        <v>#DIV/0!</v>
      </c>
      <c r="AS7" s="46" t="e">
        <f>AA$3+R7/ATM_Conf!$C$5</f>
        <v>#DIV/0!</v>
      </c>
      <c r="AT7" s="46" t="e">
        <f>AB$3+S7/ATM_Conf!$C$5</f>
        <v>#DIV/0!</v>
      </c>
      <c r="AU7" s="46" t="e">
        <f>BD$3*MIN(1,(ATM_Conf!$C$6-Links!F7)/(ATM_Conf!$C$6-ATM_Conf!$C$7))</f>
        <v>#DIV/0!</v>
      </c>
      <c r="AV7" s="46" t="e">
        <f>BE$3*MIN(1,(ATM_Conf!$C$6-Links!G7)/(ATM_Conf!$C$6-ATM_Conf!$C$7))</f>
        <v>#DIV/0!</v>
      </c>
      <c r="AW7" s="46" t="e">
        <f>BF$3*MIN(1,(ATM_Conf!$C$6-Links!H7)/(ATM_Conf!$C$6-ATM_Conf!$C$7))</f>
        <v>#DIV/0!</v>
      </c>
      <c r="AX7" s="46" t="e">
        <f>BG$3*MIN(1,(ATM_Conf!$C$6-Links!I7)/(ATM_Conf!$C$6-ATM_Conf!$C$7))</f>
        <v>#DIV/0!</v>
      </c>
      <c r="AY7" s="46" t="e">
        <f>BH$3*MIN(1,(ATM_Conf!$C$6-Links!J7)/(ATM_Conf!$C$6-ATM_Conf!$C$7))</f>
        <v>#DIV/0!</v>
      </c>
      <c r="AZ7" s="46" t="e">
        <f>BI$3*MIN(1,(ATM_Conf!$C$6-Links!K7)/(ATM_Conf!$C$6-ATM_Conf!$C$7))</f>
        <v>#DIV/0!</v>
      </c>
      <c r="BA7" s="46" t="e">
        <f>BJ$3*MIN(1,(ATM_Conf!$C$6-Links!L7)/(ATM_Conf!$C$6-ATM_Conf!$C$7))</f>
        <v>#DIV/0!</v>
      </c>
      <c r="BB7" s="46" t="e">
        <f>BK$3*MIN(1,(ATM_Conf!$C$6-Links!M7)/(ATM_Conf!$C$6-ATM_Conf!$C$7))</f>
        <v>#DIV/0!</v>
      </c>
      <c r="BC7" s="46" t="e">
        <f>BL$3*MIN(1,(ATM_Conf!$C$6-Links!N7)/(ATM_Conf!$C$6-ATM_Conf!$C$7))</f>
        <v>#DIV/0!</v>
      </c>
      <c r="BD7" s="46"/>
      <c r="BE7" s="46"/>
      <c r="BF7" s="46"/>
      <c r="BG7" s="46"/>
      <c r="BH7" s="46"/>
      <c r="BI7" s="46"/>
      <c r="BJ7" s="46"/>
      <c r="BK7" s="46"/>
      <c r="BL7" s="46"/>
      <c r="BM7" s="54"/>
      <c r="BN7" s="54"/>
      <c r="BO7" s="54"/>
      <c r="BP7" s="54"/>
      <c r="BQ7" s="54"/>
      <c r="BR7" s="54"/>
      <c r="BS7" s="54"/>
      <c r="BT7" s="54"/>
      <c r="BU7" s="54"/>
      <c r="BV7" s="46" t="e">
        <f t="shared" si="13"/>
        <v>#DIV/0!</v>
      </c>
      <c r="BW7" s="46" t="e">
        <f t="shared" si="14"/>
        <v>#DIV/0!</v>
      </c>
      <c r="BX7" s="46" t="e">
        <f t="shared" si="15"/>
        <v>#DIV/0!</v>
      </c>
      <c r="BY7" s="46" t="e">
        <f t="shared" si="16"/>
        <v>#DIV/0!</v>
      </c>
      <c r="BZ7" s="46" t="e">
        <f t="shared" si="17"/>
        <v>#DIV/0!</v>
      </c>
      <c r="CA7" s="46" t="e">
        <f t="shared" si="18"/>
        <v>#DIV/0!</v>
      </c>
      <c r="CB7" s="46" t="e">
        <f t="shared" si="19"/>
        <v>#DIV/0!</v>
      </c>
      <c r="CC7" s="46" t="e">
        <f t="shared" si="20"/>
        <v>#DIV/0!</v>
      </c>
      <c r="CD7" s="46" t="e">
        <f t="shared" si="21"/>
        <v>#DIV/0!</v>
      </c>
      <c r="CE7" s="56" t="e">
        <f t="shared" si="22"/>
        <v>#DIV/0!</v>
      </c>
      <c r="CF7" s="56" t="e">
        <f t="shared" si="23"/>
        <v>#DIV/0!</v>
      </c>
      <c r="CG7" s="56" t="e">
        <f t="shared" si="24"/>
        <v>#DIV/0!</v>
      </c>
      <c r="CH7" s="56" t="e">
        <f t="shared" si="25"/>
        <v>#DIV/0!</v>
      </c>
      <c r="CI7" s="56" t="e">
        <f t="shared" si="26"/>
        <v>#DIV/0!</v>
      </c>
      <c r="CJ7" s="56" t="e">
        <f t="shared" si="27"/>
        <v>#DIV/0!</v>
      </c>
      <c r="CK7" s="56" t="e">
        <f t="shared" si="28"/>
        <v>#DIV/0!</v>
      </c>
      <c r="CL7" s="56" t="e">
        <f t="shared" si="29"/>
        <v>#DIV/0!</v>
      </c>
      <c r="CM7" s="56" t="e">
        <f t="shared" si="30"/>
        <v>#DIV/0!</v>
      </c>
    </row>
    <row r="8" spans="1:91" x14ac:dyDescent="0.15">
      <c r="A8" s="43">
        <v>6</v>
      </c>
      <c r="B8" s="46">
        <f t="shared" si="31"/>
        <v>1</v>
      </c>
      <c r="C8" s="46">
        <f t="shared" si="3"/>
        <v>1</v>
      </c>
      <c r="D8" s="46">
        <f t="shared" si="3"/>
        <v>1</v>
      </c>
      <c r="E8" s="46">
        <f t="shared" si="3"/>
        <v>1</v>
      </c>
      <c r="F8" s="46">
        <f t="shared" si="3"/>
        <v>1</v>
      </c>
      <c r="G8" s="46">
        <f t="shared" si="3"/>
        <v>1</v>
      </c>
      <c r="H8" s="46">
        <f t="shared" si="3"/>
        <v>1</v>
      </c>
      <c r="I8" s="46">
        <f t="shared" si="3"/>
        <v>1</v>
      </c>
      <c r="J8" s="46">
        <f t="shared" si="3"/>
        <v>1</v>
      </c>
      <c r="K8" s="46" t="e">
        <f>K7+ATM_Conf!$C$5*(T7-AC7)</f>
        <v>#DIV/0!</v>
      </c>
      <c r="L8" s="46" t="e">
        <f>L7+ATM_Conf!$C$5*(U7-AD7)</f>
        <v>#DIV/0!</v>
      </c>
      <c r="M8" s="46" t="e">
        <f>M7+ATM_Conf!$C$5*(V7-AE7)</f>
        <v>#DIV/0!</v>
      </c>
      <c r="N8" s="46" t="e">
        <f>N7+ATM_Conf!$C$5*(W7-AF7)</f>
        <v>#DIV/0!</v>
      </c>
      <c r="O8" s="46" t="e">
        <f>O7+ATM_Conf!$C$5*(X7-AG7)</f>
        <v>#DIV/0!</v>
      </c>
      <c r="P8" s="46" t="e">
        <f>P7+ATM_Conf!$C$5*(Y7-AH7)</f>
        <v>#DIV/0!</v>
      </c>
      <c r="Q8" s="46" t="e">
        <f>Q7+ATM_Conf!$C$5*(Z7-AI7)</f>
        <v>#DIV/0!</v>
      </c>
      <c r="R8" s="46" t="e">
        <f>R7+ATM_Conf!$C$5*(AA7-AJ7)</f>
        <v>#DIV/0!</v>
      </c>
      <c r="S8" s="46" t="e">
        <f>S7+ATM_Conf!$C$5*(AB7-AK7)</f>
        <v>#DIV/0!</v>
      </c>
      <c r="T8" s="46"/>
      <c r="U8" s="46"/>
      <c r="V8" s="46"/>
      <c r="W8" s="46"/>
      <c r="X8" s="46"/>
      <c r="Y8" s="46"/>
      <c r="Z8" s="46"/>
      <c r="AA8" s="46"/>
      <c r="AB8" s="46"/>
      <c r="AC8" s="46" t="e">
        <f t="shared" si="4"/>
        <v>#DIV/0!</v>
      </c>
      <c r="AD8" s="46" t="e">
        <f t="shared" si="5"/>
        <v>#DIV/0!</v>
      </c>
      <c r="AE8" s="46" t="e">
        <f t="shared" si="6"/>
        <v>#DIV/0!</v>
      </c>
      <c r="AF8" s="46" t="e">
        <f t="shared" si="7"/>
        <v>#DIV/0!</v>
      </c>
      <c r="AG8" s="46" t="e">
        <f t="shared" si="8"/>
        <v>#DIV/0!</v>
      </c>
      <c r="AH8" s="46" t="e">
        <f t="shared" si="9"/>
        <v>#DIV/0!</v>
      </c>
      <c r="AI8" s="46" t="e">
        <f t="shared" si="10"/>
        <v>#DIV/0!</v>
      </c>
      <c r="AJ8" s="46" t="e">
        <f t="shared" si="11"/>
        <v>#DIV/0!</v>
      </c>
      <c r="AK8" s="46" t="e">
        <f t="shared" si="12"/>
        <v>#DIV/0!</v>
      </c>
      <c r="AL8" s="46" t="e">
        <f>T$3+K8/ATM_Conf!$C$5</f>
        <v>#DIV/0!</v>
      </c>
      <c r="AM8" s="46" t="e">
        <f>U$3+L8/ATM_Conf!$C$5</f>
        <v>#DIV/0!</v>
      </c>
      <c r="AN8" s="46" t="e">
        <f>V$3+M8/ATM_Conf!$C$5</f>
        <v>#DIV/0!</v>
      </c>
      <c r="AO8" s="46" t="e">
        <f>W$3+N8/ATM_Conf!$C$5</f>
        <v>#DIV/0!</v>
      </c>
      <c r="AP8" s="46" t="e">
        <f>X$3+O8/ATM_Conf!$C$5</f>
        <v>#DIV/0!</v>
      </c>
      <c r="AQ8" s="46" t="e">
        <f>Y$3+P8/ATM_Conf!$C$5</f>
        <v>#DIV/0!</v>
      </c>
      <c r="AR8" s="46" t="e">
        <f>Z$3+Q8/ATM_Conf!$C$5</f>
        <v>#DIV/0!</v>
      </c>
      <c r="AS8" s="46" t="e">
        <f>AA$3+R8/ATM_Conf!$C$5</f>
        <v>#DIV/0!</v>
      </c>
      <c r="AT8" s="46" t="e">
        <f>AB$3+S8/ATM_Conf!$C$5</f>
        <v>#DIV/0!</v>
      </c>
      <c r="AU8" s="46" t="e">
        <f>BD$3*MIN(1,(ATM_Conf!$C$6-Links!F8)/(ATM_Conf!$C$6-ATM_Conf!$C$7))</f>
        <v>#DIV/0!</v>
      </c>
      <c r="AV8" s="46" t="e">
        <f>BE$3*MIN(1,(ATM_Conf!$C$6-Links!G8)/(ATM_Conf!$C$6-ATM_Conf!$C$7))</f>
        <v>#DIV/0!</v>
      </c>
      <c r="AW8" s="46" t="e">
        <f>BF$3*MIN(1,(ATM_Conf!$C$6-Links!H8)/(ATM_Conf!$C$6-ATM_Conf!$C$7))</f>
        <v>#DIV/0!</v>
      </c>
      <c r="AX8" s="46" t="e">
        <f>BG$3*MIN(1,(ATM_Conf!$C$6-Links!I8)/(ATM_Conf!$C$6-ATM_Conf!$C$7))</f>
        <v>#DIV/0!</v>
      </c>
      <c r="AY8" s="46" t="e">
        <f>BH$3*MIN(1,(ATM_Conf!$C$6-Links!J8)/(ATM_Conf!$C$6-ATM_Conf!$C$7))</f>
        <v>#DIV/0!</v>
      </c>
      <c r="AZ8" s="46" t="e">
        <f>BI$3*MIN(1,(ATM_Conf!$C$6-Links!K8)/(ATM_Conf!$C$6-ATM_Conf!$C$7))</f>
        <v>#DIV/0!</v>
      </c>
      <c r="BA8" s="46" t="e">
        <f>BJ$3*MIN(1,(ATM_Conf!$C$6-Links!L8)/(ATM_Conf!$C$6-ATM_Conf!$C$7))</f>
        <v>#DIV/0!</v>
      </c>
      <c r="BB8" s="46" t="e">
        <f>BK$3*MIN(1,(ATM_Conf!$C$6-Links!M8)/(ATM_Conf!$C$6-ATM_Conf!$C$7))</f>
        <v>#DIV/0!</v>
      </c>
      <c r="BC8" s="46" t="e">
        <f>BL$3*MIN(1,(ATM_Conf!$C$6-Links!N8)/(ATM_Conf!$C$6-ATM_Conf!$C$7))</f>
        <v>#DIV/0!</v>
      </c>
      <c r="BD8" s="46"/>
      <c r="BE8" s="46"/>
      <c r="BF8" s="46"/>
      <c r="BG8" s="46"/>
      <c r="BH8" s="46"/>
      <c r="BI8" s="46"/>
      <c r="BJ8" s="46"/>
      <c r="BK8" s="46"/>
      <c r="BL8" s="46"/>
      <c r="BM8" s="54"/>
      <c r="BN8" s="54"/>
      <c r="BO8" s="54"/>
      <c r="BP8" s="54"/>
      <c r="BQ8" s="54"/>
      <c r="BR8" s="54"/>
      <c r="BS8" s="54"/>
      <c r="BT8" s="54"/>
      <c r="BU8" s="54"/>
      <c r="BV8" s="46" t="e">
        <f t="shared" si="13"/>
        <v>#DIV/0!</v>
      </c>
      <c r="BW8" s="46" t="e">
        <f t="shared" si="14"/>
        <v>#DIV/0!</v>
      </c>
      <c r="BX8" s="46" t="e">
        <f t="shared" si="15"/>
        <v>#DIV/0!</v>
      </c>
      <c r="BY8" s="46" t="e">
        <f t="shared" si="16"/>
        <v>#DIV/0!</v>
      </c>
      <c r="BZ8" s="46" t="e">
        <f t="shared" si="17"/>
        <v>#DIV/0!</v>
      </c>
      <c r="CA8" s="46" t="e">
        <f t="shared" si="18"/>
        <v>#DIV/0!</v>
      </c>
      <c r="CB8" s="46" t="e">
        <f t="shared" si="19"/>
        <v>#DIV/0!</v>
      </c>
      <c r="CC8" s="46" t="e">
        <f t="shared" si="20"/>
        <v>#DIV/0!</v>
      </c>
      <c r="CD8" s="46" t="e">
        <f t="shared" si="21"/>
        <v>#DIV/0!</v>
      </c>
      <c r="CE8" s="56" t="e">
        <f t="shared" si="22"/>
        <v>#DIV/0!</v>
      </c>
      <c r="CF8" s="56" t="e">
        <f t="shared" si="23"/>
        <v>#DIV/0!</v>
      </c>
      <c r="CG8" s="56" t="e">
        <f t="shared" si="24"/>
        <v>#DIV/0!</v>
      </c>
      <c r="CH8" s="56" t="e">
        <f t="shared" si="25"/>
        <v>#DIV/0!</v>
      </c>
      <c r="CI8" s="56" t="e">
        <f t="shared" si="26"/>
        <v>#DIV/0!</v>
      </c>
      <c r="CJ8" s="56" t="e">
        <f t="shared" si="27"/>
        <v>#DIV/0!</v>
      </c>
      <c r="CK8" s="56" t="e">
        <f t="shared" si="28"/>
        <v>#DIV/0!</v>
      </c>
      <c r="CL8" s="56" t="e">
        <f t="shared" si="29"/>
        <v>#DIV/0!</v>
      </c>
      <c r="CM8" s="56" t="e">
        <f t="shared" si="30"/>
        <v>#DIV/0!</v>
      </c>
    </row>
    <row r="9" spans="1:91" x14ac:dyDescent="0.15">
      <c r="A9" s="43">
        <v>7</v>
      </c>
      <c r="B9" s="46">
        <f t="shared" si="31"/>
        <v>1</v>
      </c>
      <c r="C9" s="46">
        <f t="shared" si="3"/>
        <v>1</v>
      </c>
      <c r="D9" s="46">
        <f t="shared" si="3"/>
        <v>1</v>
      </c>
      <c r="E9" s="46">
        <f t="shared" si="3"/>
        <v>1</v>
      </c>
      <c r="F9" s="46">
        <f t="shared" si="3"/>
        <v>1</v>
      </c>
      <c r="G9" s="46">
        <f t="shared" si="3"/>
        <v>1</v>
      </c>
      <c r="H9" s="46">
        <f t="shared" si="3"/>
        <v>1</v>
      </c>
      <c r="I9" s="46">
        <f t="shared" si="3"/>
        <v>1</v>
      </c>
      <c r="J9" s="46">
        <f t="shared" si="3"/>
        <v>1</v>
      </c>
      <c r="K9" s="46" t="e">
        <f>K8+ATM_Conf!$C$5*(T8-AC8)</f>
        <v>#DIV/0!</v>
      </c>
      <c r="L9" s="46" t="e">
        <f>L8+ATM_Conf!$C$5*(U8-AD8)</f>
        <v>#DIV/0!</v>
      </c>
      <c r="M9" s="46" t="e">
        <f>M8+ATM_Conf!$C$5*(V8-AE8)</f>
        <v>#DIV/0!</v>
      </c>
      <c r="N9" s="46" t="e">
        <f>N8+ATM_Conf!$C$5*(W8-AF8)</f>
        <v>#DIV/0!</v>
      </c>
      <c r="O9" s="46" t="e">
        <f>O8+ATM_Conf!$C$5*(X8-AG8)</f>
        <v>#DIV/0!</v>
      </c>
      <c r="P9" s="46" t="e">
        <f>P8+ATM_Conf!$C$5*(Y8-AH8)</f>
        <v>#DIV/0!</v>
      </c>
      <c r="Q9" s="46" t="e">
        <f>Q8+ATM_Conf!$C$5*(Z8-AI8)</f>
        <v>#DIV/0!</v>
      </c>
      <c r="R9" s="46" t="e">
        <f>R8+ATM_Conf!$C$5*(AA8-AJ8)</f>
        <v>#DIV/0!</v>
      </c>
      <c r="S9" s="46" t="e">
        <f>S8+ATM_Conf!$C$5*(AB8-AK8)</f>
        <v>#DIV/0!</v>
      </c>
      <c r="T9" s="46"/>
      <c r="U9" s="46"/>
      <c r="V9" s="46"/>
      <c r="W9" s="46"/>
      <c r="X9" s="46"/>
      <c r="Y9" s="46"/>
      <c r="Z9" s="46"/>
      <c r="AA9" s="46"/>
      <c r="AB9" s="46"/>
      <c r="AC9" s="46" t="e">
        <f t="shared" si="4"/>
        <v>#DIV/0!</v>
      </c>
      <c r="AD9" s="46" t="e">
        <f t="shared" si="5"/>
        <v>#DIV/0!</v>
      </c>
      <c r="AE9" s="46" t="e">
        <f t="shared" si="6"/>
        <v>#DIV/0!</v>
      </c>
      <c r="AF9" s="46" t="e">
        <f t="shared" si="7"/>
        <v>#DIV/0!</v>
      </c>
      <c r="AG9" s="46" t="e">
        <f t="shared" si="8"/>
        <v>#DIV/0!</v>
      </c>
      <c r="AH9" s="46" t="e">
        <f t="shared" si="9"/>
        <v>#DIV/0!</v>
      </c>
      <c r="AI9" s="46" t="e">
        <f t="shared" si="10"/>
        <v>#DIV/0!</v>
      </c>
      <c r="AJ9" s="46" t="e">
        <f t="shared" si="11"/>
        <v>#DIV/0!</v>
      </c>
      <c r="AK9" s="46" t="e">
        <f t="shared" si="12"/>
        <v>#DIV/0!</v>
      </c>
      <c r="AL9" s="46" t="e">
        <f>T$3+K9/ATM_Conf!$C$5</f>
        <v>#DIV/0!</v>
      </c>
      <c r="AM9" s="46" t="e">
        <f>U$3+L9/ATM_Conf!$C$5</f>
        <v>#DIV/0!</v>
      </c>
      <c r="AN9" s="46" t="e">
        <f>V$3+M9/ATM_Conf!$C$5</f>
        <v>#DIV/0!</v>
      </c>
      <c r="AO9" s="46" t="e">
        <f>W$3+N9/ATM_Conf!$C$5</f>
        <v>#DIV/0!</v>
      </c>
      <c r="AP9" s="46" t="e">
        <f>X$3+O9/ATM_Conf!$C$5</f>
        <v>#DIV/0!</v>
      </c>
      <c r="AQ9" s="46" t="e">
        <f>Y$3+P9/ATM_Conf!$C$5</f>
        <v>#DIV/0!</v>
      </c>
      <c r="AR9" s="46" t="e">
        <f>Z$3+Q9/ATM_Conf!$C$5</f>
        <v>#DIV/0!</v>
      </c>
      <c r="AS9" s="46" t="e">
        <f>AA$3+R9/ATM_Conf!$C$5</f>
        <v>#DIV/0!</v>
      </c>
      <c r="AT9" s="46" t="e">
        <f>AB$3+S9/ATM_Conf!$C$5</f>
        <v>#DIV/0!</v>
      </c>
      <c r="AU9" s="46" t="e">
        <f>BD$3*MIN(1,(ATM_Conf!$C$6-Links!F9)/(ATM_Conf!$C$6-ATM_Conf!$C$7))</f>
        <v>#DIV/0!</v>
      </c>
      <c r="AV9" s="46" t="e">
        <f>BE$3*MIN(1,(ATM_Conf!$C$6-Links!G9)/(ATM_Conf!$C$6-ATM_Conf!$C$7))</f>
        <v>#DIV/0!</v>
      </c>
      <c r="AW9" s="46" t="e">
        <f>BF$3*MIN(1,(ATM_Conf!$C$6-Links!H9)/(ATM_Conf!$C$6-ATM_Conf!$C$7))</f>
        <v>#DIV/0!</v>
      </c>
      <c r="AX9" s="46" t="e">
        <f>BG$3*MIN(1,(ATM_Conf!$C$6-Links!I9)/(ATM_Conf!$C$6-ATM_Conf!$C$7))</f>
        <v>#DIV/0!</v>
      </c>
      <c r="AY9" s="46" t="e">
        <f>BH$3*MIN(1,(ATM_Conf!$C$6-Links!J9)/(ATM_Conf!$C$6-ATM_Conf!$C$7))</f>
        <v>#DIV/0!</v>
      </c>
      <c r="AZ9" s="46" t="e">
        <f>BI$3*MIN(1,(ATM_Conf!$C$6-Links!K9)/(ATM_Conf!$C$6-ATM_Conf!$C$7))</f>
        <v>#DIV/0!</v>
      </c>
      <c r="BA9" s="46" t="e">
        <f>BJ$3*MIN(1,(ATM_Conf!$C$6-Links!L9)/(ATM_Conf!$C$6-ATM_Conf!$C$7))</f>
        <v>#DIV/0!</v>
      </c>
      <c r="BB9" s="46" t="e">
        <f>BK$3*MIN(1,(ATM_Conf!$C$6-Links!M9)/(ATM_Conf!$C$6-ATM_Conf!$C$7))</f>
        <v>#DIV/0!</v>
      </c>
      <c r="BC9" s="46" t="e">
        <f>BL$3*MIN(1,(ATM_Conf!$C$6-Links!N9)/(ATM_Conf!$C$6-ATM_Conf!$C$7))</f>
        <v>#DIV/0!</v>
      </c>
      <c r="BD9" s="46"/>
      <c r="BE9" s="46"/>
      <c r="BF9" s="46"/>
      <c r="BG9" s="46"/>
      <c r="BH9" s="46"/>
      <c r="BI9" s="46"/>
      <c r="BJ9" s="46"/>
      <c r="BK9" s="46"/>
      <c r="BL9" s="46"/>
      <c r="BM9" s="54"/>
      <c r="BN9" s="54"/>
      <c r="BO9" s="54"/>
      <c r="BP9" s="54"/>
      <c r="BQ9" s="54"/>
      <c r="BR9" s="54"/>
      <c r="BS9" s="54"/>
      <c r="BT9" s="54"/>
      <c r="BU9" s="54"/>
      <c r="BV9" s="46" t="e">
        <f t="shared" si="13"/>
        <v>#DIV/0!</v>
      </c>
      <c r="BW9" s="46" t="e">
        <f t="shared" si="14"/>
        <v>#DIV/0!</v>
      </c>
      <c r="BX9" s="46" t="e">
        <f t="shared" si="15"/>
        <v>#DIV/0!</v>
      </c>
      <c r="BY9" s="46" t="e">
        <f t="shared" si="16"/>
        <v>#DIV/0!</v>
      </c>
      <c r="BZ9" s="46" t="e">
        <f t="shared" si="17"/>
        <v>#DIV/0!</v>
      </c>
      <c r="CA9" s="46" t="e">
        <f t="shared" si="18"/>
        <v>#DIV/0!</v>
      </c>
      <c r="CB9" s="46" t="e">
        <f t="shared" si="19"/>
        <v>#DIV/0!</v>
      </c>
      <c r="CC9" s="46" t="e">
        <f t="shared" si="20"/>
        <v>#DIV/0!</v>
      </c>
      <c r="CD9" s="46" t="e">
        <f t="shared" si="21"/>
        <v>#DIV/0!</v>
      </c>
      <c r="CE9" s="56" t="e">
        <f t="shared" si="22"/>
        <v>#DIV/0!</v>
      </c>
      <c r="CF9" s="56" t="e">
        <f t="shared" si="23"/>
        <v>#DIV/0!</v>
      </c>
      <c r="CG9" s="56" t="e">
        <f t="shared" si="24"/>
        <v>#DIV/0!</v>
      </c>
      <c r="CH9" s="56" t="e">
        <f t="shared" si="25"/>
        <v>#DIV/0!</v>
      </c>
      <c r="CI9" s="56" t="e">
        <f t="shared" si="26"/>
        <v>#DIV/0!</v>
      </c>
      <c r="CJ9" s="56" t="e">
        <f t="shared" si="27"/>
        <v>#DIV/0!</v>
      </c>
      <c r="CK9" s="56" t="e">
        <f t="shared" si="28"/>
        <v>#DIV/0!</v>
      </c>
      <c r="CL9" s="56" t="e">
        <f t="shared" si="29"/>
        <v>#DIV/0!</v>
      </c>
      <c r="CM9" s="56" t="e">
        <f t="shared" si="30"/>
        <v>#DIV/0!</v>
      </c>
    </row>
    <row r="10" spans="1:91" x14ac:dyDescent="0.15">
      <c r="A10" s="43">
        <v>8</v>
      </c>
      <c r="B10" s="46">
        <f t="shared" si="31"/>
        <v>1</v>
      </c>
      <c r="C10" s="46">
        <f t="shared" si="3"/>
        <v>1</v>
      </c>
      <c r="D10" s="46">
        <f t="shared" si="3"/>
        <v>1</v>
      </c>
      <c r="E10" s="46">
        <f t="shared" si="3"/>
        <v>1</v>
      </c>
      <c r="F10" s="46">
        <f t="shared" si="3"/>
        <v>1</v>
      </c>
      <c r="G10" s="46">
        <f t="shared" si="3"/>
        <v>1</v>
      </c>
      <c r="H10" s="46">
        <f t="shared" si="3"/>
        <v>1</v>
      </c>
      <c r="I10" s="46">
        <f t="shared" si="3"/>
        <v>1</v>
      </c>
      <c r="J10" s="46">
        <f t="shared" si="3"/>
        <v>1</v>
      </c>
      <c r="K10" s="46" t="e">
        <f>K9+ATM_Conf!$C$5*(T9-AC9)</f>
        <v>#DIV/0!</v>
      </c>
      <c r="L10" s="46" t="e">
        <f>L9+ATM_Conf!$C$5*(U9-AD9)</f>
        <v>#DIV/0!</v>
      </c>
      <c r="M10" s="46" t="e">
        <f>M9+ATM_Conf!$C$5*(V9-AE9)</f>
        <v>#DIV/0!</v>
      </c>
      <c r="N10" s="46" t="e">
        <f>N9+ATM_Conf!$C$5*(W9-AF9)</f>
        <v>#DIV/0!</v>
      </c>
      <c r="O10" s="46" t="e">
        <f>O9+ATM_Conf!$C$5*(X9-AG9)</f>
        <v>#DIV/0!</v>
      </c>
      <c r="P10" s="46" t="e">
        <f>P9+ATM_Conf!$C$5*(Y9-AH9)</f>
        <v>#DIV/0!</v>
      </c>
      <c r="Q10" s="46" t="e">
        <f>Q9+ATM_Conf!$C$5*(Z9-AI9)</f>
        <v>#DIV/0!</v>
      </c>
      <c r="R10" s="46" t="e">
        <f>R9+ATM_Conf!$C$5*(AA9-AJ9)</f>
        <v>#DIV/0!</v>
      </c>
      <c r="S10" s="46" t="e">
        <f>S9+ATM_Conf!$C$5*(AB9-AK9)</f>
        <v>#DIV/0!</v>
      </c>
      <c r="T10" s="46"/>
      <c r="U10" s="46"/>
      <c r="V10" s="46"/>
      <c r="W10" s="46"/>
      <c r="X10" s="46"/>
      <c r="Y10" s="46"/>
      <c r="Z10" s="46"/>
      <c r="AA10" s="46"/>
      <c r="AB10" s="46"/>
      <c r="AC10" s="46" t="e">
        <f t="shared" si="4"/>
        <v>#DIV/0!</v>
      </c>
      <c r="AD10" s="46" t="e">
        <f t="shared" si="5"/>
        <v>#DIV/0!</v>
      </c>
      <c r="AE10" s="46" t="e">
        <f t="shared" si="6"/>
        <v>#DIV/0!</v>
      </c>
      <c r="AF10" s="46" t="e">
        <f t="shared" si="7"/>
        <v>#DIV/0!</v>
      </c>
      <c r="AG10" s="46" t="e">
        <f t="shared" si="8"/>
        <v>#DIV/0!</v>
      </c>
      <c r="AH10" s="46" t="e">
        <f t="shared" si="9"/>
        <v>#DIV/0!</v>
      </c>
      <c r="AI10" s="46" t="e">
        <f t="shared" si="10"/>
        <v>#DIV/0!</v>
      </c>
      <c r="AJ10" s="46" t="e">
        <f t="shared" si="11"/>
        <v>#DIV/0!</v>
      </c>
      <c r="AK10" s="46" t="e">
        <f t="shared" si="12"/>
        <v>#DIV/0!</v>
      </c>
      <c r="AL10" s="46" t="e">
        <f>T$3+K10/ATM_Conf!$C$5</f>
        <v>#DIV/0!</v>
      </c>
      <c r="AM10" s="46" t="e">
        <f>U$3+L10/ATM_Conf!$C$5</f>
        <v>#DIV/0!</v>
      </c>
      <c r="AN10" s="46" t="e">
        <f>V$3+M10/ATM_Conf!$C$5</f>
        <v>#DIV/0!</v>
      </c>
      <c r="AO10" s="46" t="e">
        <f>W$3+N10/ATM_Conf!$C$5</f>
        <v>#DIV/0!</v>
      </c>
      <c r="AP10" s="46" t="e">
        <f>X$3+O10/ATM_Conf!$C$5</f>
        <v>#DIV/0!</v>
      </c>
      <c r="AQ10" s="46" t="e">
        <f>Y$3+P10/ATM_Conf!$C$5</f>
        <v>#DIV/0!</v>
      </c>
      <c r="AR10" s="46" t="e">
        <f>Z$3+Q10/ATM_Conf!$C$5</f>
        <v>#DIV/0!</v>
      </c>
      <c r="AS10" s="46" t="e">
        <f>AA$3+R10/ATM_Conf!$C$5</f>
        <v>#DIV/0!</v>
      </c>
      <c r="AT10" s="46" t="e">
        <f>AB$3+S10/ATM_Conf!$C$5</f>
        <v>#DIV/0!</v>
      </c>
      <c r="AU10" s="46" t="e">
        <f>BD$3*MIN(1,(ATM_Conf!$C$6-Links!F10)/(ATM_Conf!$C$6-ATM_Conf!$C$7))</f>
        <v>#DIV/0!</v>
      </c>
      <c r="AV10" s="46" t="e">
        <f>BE$3*MIN(1,(ATM_Conf!$C$6-Links!G10)/(ATM_Conf!$C$6-ATM_Conf!$C$7))</f>
        <v>#DIV/0!</v>
      </c>
      <c r="AW10" s="46" t="e">
        <f>BF$3*MIN(1,(ATM_Conf!$C$6-Links!H10)/(ATM_Conf!$C$6-ATM_Conf!$C$7))</f>
        <v>#DIV/0!</v>
      </c>
      <c r="AX10" s="46" t="e">
        <f>BG$3*MIN(1,(ATM_Conf!$C$6-Links!I10)/(ATM_Conf!$C$6-ATM_Conf!$C$7))</f>
        <v>#DIV/0!</v>
      </c>
      <c r="AY10" s="46" t="e">
        <f>BH$3*MIN(1,(ATM_Conf!$C$6-Links!J10)/(ATM_Conf!$C$6-ATM_Conf!$C$7))</f>
        <v>#DIV/0!</v>
      </c>
      <c r="AZ10" s="46" t="e">
        <f>BI$3*MIN(1,(ATM_Conf!$C$6-Links!K10)/(ATM_Conf!$C$6-ATM_Conf!$C$7))</f>
        <v>#DIV/0!</v>
      </c>
      <c r="BA10" s="46" t="e">
        <f>BJ$3*MIN(1,(ATM_Conf!$C$6-Links!L10)/(ATM_Conf!$C$6-ATM_Conf!$C$7))</f>
        <v>#DIV/0!</v>
      </c>
      <c r="BB10" s="46" t="e">
        <f>BK$3*MIN(1,(ATM_Conf!$C$6-Links!M10)/(ATM_Conf!$C$6-ATM_Conf!$C$7))</f>
        <v>#DIV/0!</v>
      </c>
      <c r="BC10" s="46" t="e">
        <f>BL$3*MIN(1,(ATM_Conf!$C$6-Links!N10)/(ATM_Conf!$C$6-ATM_Conf!$C$7))</f>
        <v>#DIV/0!</v>
      </c>
      <c r="BD10" s="46"/>
      <c r="BE10" s="46"/>
      <c r="BF10" s="46"/>
      <c r="BG10" s="46"/>
      <c r="BH10" s="46"/>
      <c r="BI10" s="46"/>
      <c r="BJ10" s="46"/>
      <c r="BK10" s="46"/>
      <c r="BL10" s="46"/>
      <c r="BM10" s="54"/>
      <c r="BN10" s="54"/>
      <c r="BO10" s="54"/>
      <c r="BP10" s="54"/>
      <c r="BQ10" s="54"/>
      <c r="BR10" s="54"/>
      <c r="BS10" s="54"/>
      <c r="BT10" s="54"/>
      <c r="BU10" s="54"/>
      <c r="BV10" s="46" t="e">
        <f t="shared" si="13"/>
        <v>#DIV/0!</v>
      </c>
      <c r="BW10" s="46" t="e">
        <f t="shared" si="14"/>
        <v>#DIV/0!</v>
      </c>
      <c r="BX10" s="46" t="e">
        <f t="shared" si="15"/>
        <v>#DIV/0!</v>
      </c>
      <c r="BY10" s="46" t="e">
        <f t="shared" si="16"/>
        <v>#DIV/0!</v>
      </c>
      <c r="BZ10" s="46" t="e">
        <f t="shared" si="17"/>
        <v>#DIV/0!</v>
      </c>
      <c r="CA10" s="46" t="e">
        <f t="shared" si="18"/>
        <v>#DIV/0!</v>
      </c>
      <c r="CB10" s="46" t="e">
        <f t="shared" si="19"/>
        <v>#DIV/0!</v>
      </c>
      <c r="CC10" s="46" t="e">
        <f t="shared" si="20"/>
        <v>#DIV/0!</v>
      </c>
      <c r="CD10" s="46" t="e">
        <f t="shared" si="21"/>
        <v>#DIV/0!</v>
      </c>
      <c r="CE10" s="56" t="e">
        <f t="shared" si="22"/>
        <v>#DIV/0!</v>
      </c>
      <c r="CF10" s="56" t="e">
        <f t="shared" si="23"/>
        <v>#DIV/0!</v>
      </c>
      <c r="CG10" s="56" t="e">
        <f t="shared" si="24"/>
        <v>#DIV/0!</v>
      </c>
      <c r="CH10" s="56" t="e">
        <f t="shared" si="25"/>
        <v>#DIV/0!</v>
      </c>
      <c r="CI10" s="56" t="e">
        <f t="shared" si="26"/>
        <v>#DIV/0!</v>
      </c>
      <c r="CJ10" s="56" t="e">
        <f t="shared" si="27"/>
        <v>#DIV/0!</v>
      </c>
      <c r="CK10" s="56" t="e">
        <f t="shared" si="28"/>
        <v>#DIV/0!</v>
      </c>
      <c r="CL10" s="56" t="e">
        <f t="shared" si="29"/>
        <v>#DIV/0!</v>
      </c>
      <c r="CM10" s="56" t="e">
        <f t="shared" si="30"/>
        <v>#DIV/0!</v>
      </c>
    </row>
    <row r="11" spans="1:91" x14ac:dyDescent="0.15">
      <c r="A11" s="43">
        <v>9</v>
      </c>
      <c r="B11" s="46">
        <f t="shared" si="31"/>
        <v>1</v>
      </c>
      <c r="C11" s="46">
        <f t="shared" si="3"/>
        <v>1</v>
      </c>
      <c r="D11" s="46">
        <f t="shared" si="3"/>
        <v>1</v>
      </c>
      <c r="E11" s="46">
        <f t="shared" si="3"/>
        <v>1</v>
      </c>
      <c r="F11" s="46">
        <f t="shared" si="3"/>
        <v>1</v>
      </c>
      <c r="G11" s="46">
        <f t="shared" si="3"/>
        <v>1</v>
      </c>
      <c r="H11" s="46">
        <f t="shared" si="3"/>
        <v>1</v>
      </c>
      <c r="I11" s="46">
        <f t="shared" si="3"/>
        <v>1</v>
      </c>
      <c r="J11" s="46">
        <f t="shared" si="3"/>
        <v>1</v>
      </c>
      <c r="K11" s="46" t="e">
        <f>K10+ATM_Conf!$C$5*(T10-AC10)</f>
        <v>#DIV/0!</v>
      </c>
      <c r="L11" s="46" t="e">
        <f>L10+ATM_Conf!$C$5*(U10-AD10)</f>
        <v>#DIV/0!</v>
      </c>
      <c r="M11" s="46" t="e">
        <f>M10+ATM_Conf!$C$5*(V10-AE10)</f>
        <v>#DIV/0!</v>
      </c>
      <c r="N11" s="46" t="e">
        <f>N10+ATM_Conf!$C$5*(W10-AF10)</f>
        <v>#DIV/0!</v>
      </c>
      <c r="O11" s="46" t="e">
        <f>O10+ATM_Conf!$C$5*(X10-AG10)</f>
        <v>#DIV/0!</v>
      </c>
      <c r="P11" s="46" t="e">
        <f>P10+ATM_Conf!$C$5*(Y10-AH10)</f>
        <v>#DIV/0!</v>
      </c>
      <c r="Q11" s="46" t="e">
        <f>Q10+ATM_Conf!$C$5*(Z10-AI10)</f>
        <v>#DIV/0!</v>
      </c>
      <c r="R11" s="46" t="e">
        <f>R10+ATM_Conf!$C$5*(AA10-AJ10)</f>
        <v>#DIV/0!</v>
      </c>
      <c r="S11" s="46" t="e">
        <f>S10+ATM_Conf!$C$5*(AB10-AK10)</f>
        <v>#DIV/0!</v>
      </c>
      <c r="T11" s="46"/>
      <c r="U11" s="46"/>
      <c r="V11" s="46"/>
      <c r="W11" s="46"/>
      <c r="X11" s="46"/>
      <c r="Y11" s="46"/>
      <c r="Z11" s="46"/>
      <c r="AA11" s="46"/>
      <c r="AB11" s="46"/>
      <c r="AC11" s="46" t="e">
        <f t="shared" si="4"/>
        <v>#DIV/0!</v>
      </c>
      <c r="AD11" s="46" t="e">
        <f t="shared" si="5"/>
        <v>#DIV/0!</v>
      </c>
      <c r="AE11" s="46" t="e">
        <f t="shared" si="6"/>
        <v>#DIV/0!</v>
      </c>
      <c r="AF11" s="46" t="e">
        <f t="shared" si="7"/>
        <v>#DIV/0!</v>
      </c>
      <c r="AG11" s="46" t="e">
        <f t="shared" si="8"/>
        <v>#DIV/0!</v>
      </c>
      <c r="AH11" s="46" t="e">
        <f t="shared" si="9"/>
        <v>#DIV/0!</v>
      </c>
      <c r="AI11" s="46" t="e">
        <f t="shared" si="10"/>
        <v>#DIV/0!</v>
      </c>
      <c r="AJ11" s="46" t="e">
        <f t="shared" si="11"/>
        <v>#DIV/0!</v>
      </c>
      <c r="AK11" s="46" t="e">
        <f t="shared" si="12"/>
        <v>#DIV/0!</v>
      </c>
      <c r="AL11" s="46" t="e">
        <f>T$3+K11/ATM_Conf!$C$5</f>
        <v>#DIV/0!</v>
      </c>
      <c r="AM11" s="46" t="e">
        <f>U$3+L11/ATM_Conf!$C$5</f>
        <v>#DIV/0!</v>
      </c>
      <c r="AN11" s="46" t="e">
        <f>V$3+M11/ATM_Conf!$C$5</f>
        <v>#DIV/0!</v>
      </c>
      <c r="AO11" s="46" t="e">
        <f>W$3+N11/ATM_Conf!$C$5</f>
        <v>#DIV/0!</v>
      </c>
      <c r="AP11" s="46" t="e">
        <f>X$3+O11/ATM_Conf!$C$5</f>
        <v>#DIV/0!</v>
      </c>
      <c r="AQ11" s="46" t="e">
        <f>Y$3+P11/ATM_Conf!$C$5</f>
        <v>#DIV/0!</v>
      </c>
      <c r="AR11" s="46" t="e">
        <f>Z$3+Q11/ATM_Conf!$C$5</f>
        <v>#DIV/0!</v>
      </c>
      <c r="AS11" s="46" t="e">
        <f>AA$3+R11/ATM_Conf!$C$5</f>
        <v>#DIV/0!</v>
      </c>
      <c r="AT11" s="46" t="e">
        <f>AB$3+S11/ATM_Conf!$C$5</f>
        <v>#DIV/0!</v>
      </c>
      <c r="AU11" s="46" t="e">
        <f>BD$3*MIN(1,(ATM_Conf!$C$6-Links!F11)/(ATM_Conf!$C$6-ATM_Conf!$C$7))</f>
        <v>#DIV/0!</v>
      </c>
      <c r="AV11" s="46" t="e">
        <f>BE$3*MIN(1,(ATM_Conf!$C$6-Links!G11)/(ATM_Conf!$C$6-ATM_Conf!$C$7))</f>
        <v>#DIV/0!</v>
      </c>
      <c r="AW11" s="46" t="e">
        <f>BF$3*MIN(1,(ATM_Conf!$C$6-Links!H11)/(ATM_Conf!$C$6-ATM_Conf!$C$7))</f>
        <v>#DIV/0!</v>
      </c>
      <c r="AX11" s="46" t="e">
        <f>BG$3*MIN(1,(ATM_Conf!$C$6-Links!I11)/(ATM_Conf!$C$6-ATM_Conf!$C$7))</f>
        <v>#DIV/0!</v>
      </c>
      <c r="AY11" s="46" t="e">
        <f>BH$3*MIN(1,(ATM_Conf!$C$6-Links!J11)/(ATM_Conf!$C$6-ATM_Conf!$C$7))</f>
        <v>#DIV/0!</v>
      </c>
      <c r="AZ11" s="46" t="e">
        <f>BI$3*MIN(1,(ATM_Conf!$C$6-Links!K11)/(ATM_Conf!$C$6-ATM_Conf!$C$7))</f>
        <v>#DIV/0!</v>
      </c>
      <c r="BA11" s="46" t="e">
        <f>BJ$3*MIN(1,(ATM_Conf!$C$6-Links!L11)/(ATM_Conf!$C$6-ATM_Conf!$C$7))</f>
        <v>#DIV/0!</v>
      </c>
      <c r="BB11" s="46" t="e">
        <f>BK$3*MIN(1,(ATM_Conf!$C$6-Links!M11)/(ATM_Conf!$C$6-ATM_Conf!$C$7))</f>
        <v>#DIV/0!</v>
      </c>
      <c r="BC11" s="46" t="e">
        <f>BL$3*MIN(1,(ATM_Conf!$C$6-Links!N11)/(ATM_Conf!$C$6-ATM_Conf!$C$7))</f>
        <v>#DIV/0!</v>
      </c>
      <c r="BD11" s="46"/>
      <c r="BE11" s="46"/>
      <c r="BF11" s="46"/>
      <c r="BG11" s="46"/>
      <c r="BH11" s="46"/>
      <c r="BI11" s="46"/>
      <c r="BJ11" s="46"/>
      <c r="BK11" s="46"/>
      <c r="BL11" s="46"/>
      <c r="BM11" s="54"/>
      <c r="BN11" s="54"/>
      <c r="BO11" s="54"/>
      <c r="BP11" s="54"/>
      <c r="BQ11" s="54"/>
      <c r="BR11" s="54"/>
      <c r="BS11" s="54"/>
      <c r="BT11" s="54"/>
      <c r="BU11" s="54"/>
      <c r="BV11" s="46" t="e">
        <f t="shared" si="13"/>
        <v>#DIV/0!</v>
      </c>
      <c r="BW11" s="46" t="e">
        <f t="shared" si="14"/>
        <v>#DIV/0!</v>
      </c>
      <c r="BX11" s="46" t="e">
        <f t="shared" si="15"/>
        <v>#DIV/0!</v>
      </c>
      <c r="BY11" s="46" t="e">
        <f t="shared" si="16"/>
        <v>#DIV/0!</v>
      </c>
      <c r="BZ11" s="46" t="e">
        <f t="shared" si="17"/>
        <v>#DIV/0!</v>
      </c>
      <c r="CA11" s="46" t="e">
        <f t="shared" si="18"/>
        <v>#DIV/0!</v>
      </c>
      <c r="CB11" s="46" t="e">
        <f t="shared" si="19"/>
        <v>#DIV/0!</v>
      </c>
      <c r="CC11" s="46" t="e">
        <f t="shared" si="20"/>
        <v>#DIV/0!</v>
      </c>
      <c r="CD11" s="46" t="e">
        <f t="shared" si="21"/>
        <v>#DIV/0!</v>
      </c>
      <c r="CE11" s="56" t="e">
        <f t="shared" si="22"/>
        <v>#DIV/0!</v>
      </c>
      <c r="CF11" s="56" t="e">
        <f t="shared" si="23"/>
        <v>#DIV/0!</v>
      </c>
      <c r="CG11" s="56" t="e">
        <f t="shared" si="24"/>
        <v>#DIV/0!</v>
      </c>
      <c r="CH11" s="56" t="e">
        <f t="shared" si="25"/>
        <v>#DIV/0!</v>
      </c>
      <c r="CI11" s="56" t="e">
        <f t="shared" si="26"/>
        <v>#DIV/0!</v>
      </c>
      <c r="CJ11" s="56" t="e">
        <f t="shared" si="27"/>
        <v>#DIV/0!</v>
      </c>
      <c r="CK11" s="56" t="e">
        <f t="shared" si="28"/>
        <v>#DIV/0!</v>
      </c>
      <c r="CL11" s="56" t="e">
        <f t="shared" si="29"/>
        <v>#DIV/0!</v>
      </c>
      <c r="CM11" s="56" t="e">
        <f t="shared" si="30"/>
        <v>#DIV/0!</v>
      </c>
    </row>
    <row r="12" spans="1:91" x14ac:dyDescent="0.15">
      <c r="A12" s="43">
        <v>10</v>
      </c>
      <c r="B12" s="46">
        <f t="shared" si="31"/>
        <v>1</v>
      </c>
      <c r="C12" s="46">
        <f t="shared" si="3"/>
        <v>1</v>
      </c>
      <c r="D12" s="46">
        <f t="shared" si="3"/>
        <v>1</v>
      </c>
      <c r="E12" s="46">
        <f t="shared" si="3"/>
        <v>1</v>
      </c>
      <c r="F12" s="46">
        <f t="shared" si="3"/>
        <v>1</v>
      </c>
      <c r="G12" s="46">
        <f t="shared" si="3"/>
        <v>1</v>
      </c>
      <c r="H12" s="46">
        <f t="shared" si="3"/>
        <v>1</v>
      </c>
      <c r="I12" s="46">
        <f t="shared" si="3"/>
        <v>1</v>
      </c>
      <c r="J12" s="46">
        <f t="shared" si="3"/>
        <v>1</v>
      </c>
      <c r="K12" s="46" t="e">
        <f>K11+ATM_Conf!$C$5*(T11-AC11)</f>
        <v>#DIV/0!</v>
      </c>
      <c r="L12" s="46" t="e">
        <f>L11+ATM_Conf!$C$5*(U11-AD11)</f>
        <v>#DIV/0!</v>
      </c>
      <c r="M12" s="46" t="e">
        <f>M11+ATM_Conf!$C$5*(V11-AE11)</f>
        <v>#DIV/0!</v>
      </c>
      <c r="N12" s="46" t="e">
        <f>N11+ATM_Conf!$C$5*(W11-AF11)</f>
        <v>#DIV/0!</v>
      </c>
      <c r="O12" s="46" t="e">
        <f>O11+ATM_Conf!$C$5*(X11-AG11)</f>
        <v>#DIV/0!</v>
      </c>
      <c r="P12" s="46" t="e">
        <f>P11+ATM_Conf!$C$5*(Y11-AH11)</f>
        <v>#DIV/0!</v>
      </c>
      <c r="Q12" s="46" t="e">
        <f>Q11+ATM_Conf!$C$5*(Z11-AI11)</f>
        <v>#DIV/0!</v>
      </c>
      <c r="R12" s="46" t="e">
        <f>R11+ATM_Conf!$C$5*(AA11-AJ11)</f>
        <v>#DIV/0!</v>
      </c>
      <c r="S12" s="46" t="e">
        <f>S11+ATM_Conf!$C$5*(AB11-AK11)</f>
        <v>#DIV/0!</v>
      </c>
      <c r="T12" s="46"/>
      <c r="U12" s="46"/>
      <c r="V12" s="46"/>
      <c r="W12" s="46"/>
      <c r="X12" s="46"/>
      <c r="Y12" s="46"/>
      <c r="Z12" s="46"/>
      <c r="AA12" s="46"/>
      <c r="AB12" s="46"/>
      <c r="AC12" s="46" t="e">
        <f t="shared" si="4"/>
        <v>#DIV/0!</v>
      </c>
      <c r="AD12" s="46" t="e">
        <f t="shared" si="5"/>
        <v>#DIV/0!</v>
      </c>
      <c r="AE12" s="46" t="e">
        <f t="shared" si="6"/>
        <v>#DIV/0!</v>
      </c>
      <c r="AF12" s="46" t="e">
        <f t="shared" si="7"/>
        <v>#DIV/0!</v>
      </c>
      <c r="AG12" s="46" t="e">
        <f t="shared" si="8"/>
        <v>#DIV/0!</v>
      </c>
      <c r="AH12" s="46" t="e">
        <f t="shared" si="9"/>
        <v>#DIV/0!</v>
      </c>
      <c r="AI12" s="46" t="e">
        <f t="shared" si="10"/>
        <v>#DIV/0!</v>
      </c>
      <c r="AJ12" s="46" t="e">
        <f t="shared" si="11"/>
        <v>#DIV/0!</v>
      </c>
      <c r="AK12" s="46" t="e">
        <f t="shared" si="12"/>
        <v>#DIV/0!</v>
      </c>
      <c r="AL12" s="46" t="e">
        <f>T$3+K12/ATM_Conf!$C$5</f>
        <v>#DIV/0!</v>
      </c>
      <c r="AM12" s="46" t="e">
        <f>U$3+L12/ATM_Conf!$C$5</f>
        <v>#DIV/0!</v>
      </c>
      <c r="AN12" s="46" t="e">
        <f>V$3+M12/ATM_Conf!$C$5</f>
        <v>#DIV/0!</v>
      </c>
      <c r="AO12" s="46" t="e">
        <f>W$3+N12/ATM_Conf!$C$5</f>
        <v>#DIV/0!</v>
      </c>
      <c r="AP12" s="46" t="e">
        <f>X$3+O12/ATM_Conf!$C$5</f>
        <v>#DIV/0!</v>
      </c>
      <c r="AQ12" s="46" t="e">
        <f>Y$3+P12/ATM_Conf!$C$5</f>
        <v>#DIV/0!</v>
      </c>
      <c r="AR12" s="46" t="e">
        <f>Z$3+Q12/ATM_Conf!$C$5</f>
        <v>#DIV/0!</v>
      </c>
      <c r="AS12" s="46" t="e">
        <f>AA$3+R12/ATM_Conf!$C$5</f>
        <v>#DIV/0!</v>
      </c>
      <c r="AT12" s="46" t="e">
        <f>AB$3+S12/ATM_Conf!$C$5</f>
        <v>#DIV/0!</v>
      </c>
      <c r="AU12" s="46" t="e">
        <f>BD$3*MIN(1,(ATM_Conf!$C$6-Links!F12)/(ATM_Conf!$C$6-ATM_Conf!$C$7))</f>
        <v>#DIV/0!</v>
      </c>
      <c r="AV12" s="46" t="e">
        <f>BE$3*MIN(1,(ATM_Conf!$C$6-Links!G12)/(ATM_Conf!$C$6-ATM_Conf!$C$7))</f>
        <v>#DIV/0!</v>
      </c>
      <c r="AW12" s="46" t="e">
        <f>BF$3*MIN(1,(ATM_Conf!$C$6-Links!H12)/(ATM_Conf!$C$6-ATM_Conf!$C$7))</f>
        <v>#DIV/0!</v>
      </c>
      <c r="AX12" s="46" t="e">
        <f>BG$3*MIN(1,(ATM_Conf!$C$6-Links!I12)/(ATM_Conf!$C$6-ATM_Conf!$C$7))</f>
        <v>#DIV/0!</v>
      </c>
      <c r="AY12" s="46" t="e">
        <f>BH$3*MIN(1,(ATM_Conf!$C$6-Links!J12)/(ATM_Conf!$C$6-ATM_Conf!$C$7))</f>
        <v>#DIV/0!</v>
      </c>
      <c r="AZ12" s="46" t="e">
        <f>BI$3*MIN(1,(ATM_Conf!$C$6-Links!K12)/(ATM_Conf!$C$6-ATM_Conf!$C$7))</f>
        <v>#DIV/0!</v>
      </c>
      <c r="BA12" s="46" t="e">
        <f>BJ$3*MIN(1,(ATM_Conf!$C$6-Links!L12)/(ATM_Conf!$C$6-ATM_Conf!$C$7))</f>
        <v>#DIV/0!</v>
      </c>
      <c r="BB12" s="46" t="e">
        <f>BK$3*MIN(1,(ATM_Conf!$C$6-Links!M12)/(ATM_Conf!$C$6-ATM_Conf!$C$7))</f>
        <v>#DIV/0!</v>
      </c>
      <c r="BC12" s="46" t="e">
        <f>BL$3*MIN(1,(ATM_Conf!$C$6-Links!N12)/(ATM_Conf!$C$6-ATM_Conf!$C$7))</f>
        <v>#DIV/0!</v>
      </c>
      <c r="BD12" s="46"/>
      <c r="BE12" s="46"/>
      <c r="BF12" s="46"/>
      <c r="BG12" s="46"/>
      <c r="BH12" s="46"/>
      <c r="BI12" s="46"/>
      <c r="BJ12" s="46"/>
      <c r="BK12" s="46"/>
      <c r="BL12" s="46"/>
      <c r="BM12" s="54"/>
      <c r="BN12" s="54"/>
      <c r="BO12" s="54"/>
      <c r="BP12" s="54"/>
      <c r="BQ12" s="54"/>
      <c r="BR12" s="54"/>
      <c r="BS12" s="54"/>
      <c r="BT12" s="54"/>
      <c r="BU12" s="54"/>
      <c r="BV12" s="46" t="e">
        <f t="shared" si="13"/>
        <v>#DIV/0!</v>
      </c>
      <c r="BW12" s="46" t="e">
        <f t="shared" si="14"/>
        <v>#DIV/0!</v>
      </c>
      <c r="BX12" s="46" t="e">
        <f t="shared" si="15"/>
        <v>#DIV/0!</v>
      </c>
      <c r="BY12" s="46" t="e">
        <f t="shared" si="16"/>
        <v>#DIV/0!</v>
      </c>
      <c r="BZ12" s="46" t="e">
        <f t="shared" si="17"/>
        <v>#DIV/0!</v>
      </c>
      <c r="CA12" s="46" t="e">
        <f t="shared" si="18"/>
        <v>#DIV/0!</v>
      </c>
      <c r="CB12" s="46" t="e">
        <f t="shared" si="19"/>
        <v>#DIV/0!</v>
      </c>
      <c r="CC12" s="46" t="e">
        <f t="shared" si="20"/>
        <v>#DIV/0!</v>
      </c>
      <c r="CD12" s="46" t="e">
        <f t="shared" si="21"/>
        <v>#DIV/0!</v>
      </c>
      <c r="CE12" s="56" t="e">
        <f t="shared" si="22"/>
        <v>#DIV/0!</v>
      </c>
      <c r="CF12" s="56" t="e">
        <f t="shared" si="23"/>
        <v>#DIV/0!</v>
      </c>
      <c r="CG12" s="56" t="e">
        <f t="shared" si="24"/>
        <v>#DIV/0!</v>
      </c>
      <c r="CH12" s="56" t="e">
        <f t="shared" si="25"/>
        <v>#DIV/0!</v>
      </c>
      <c r="CI12" s="56" t="e">
        <f t="shared" si="26"/>
        <v>#DIV/0!</v>
      </c>
      <c r="CJ12" s="56" t="e">
        <f t="shared" si="27"/>
        <v>#DIV/0!</v>
      </c>
      <c r="CK12" s="56" t="e">
        <f t="shared" si="28"/>
        <v>#DIV/0!</v>
      </c>
      <c r="CL12" s="56" t="e">
        <f t="shared" si="29"/>
        <v>#DIV/0!</v>
      </c>
      <c r="CM12" s="56" t="e">
        <f t="shared" si="30"/>
        <v>#DIV/0!</v>
      </c>
    </row>
    <row r="13" spans="1:91" x14ac:dyDescent="0.15">
      <c r="A13" s="43">
        <v>11</v>
      </c>
      <c r="B13" s="46">
        <f t="shared" si="31"/>
        <v>1</v>
      </c>
      <c r="C13" s="46">
        <f t="shared" si="3"/>
        <v>1</v>
      </c>
      <c r="D13" s="46">
        <f t="shared" si="3"/>
        <v>1</v>
      </c>
      <c r="E13" s="46">
        <f t="shared" si="3"/>
        <v>1</v>
      </c>
      <c r="F13" s="46">
        <f t="shared" si="3"/>
        <v>1</v>
      </c>
      <c r="G13" s="46">
        <f t="shared" si="3"/>
        <v>1</v>
      </c>
      <c r="H13" s="46">
        <f t="shared" si="3"/>
        <v>1</v>
      </c>
      <c r="I13" s="46">
        <f t="shared" si="3"/>
        <v>1</v>
      </c>
      <c r="J13" s="46">
        <f t="shared" si="3"/>
        <v>1</v>
      </c>
      <c r="K13" s="46" t="e">
        <f>K12+ATM_Conf!$C$5*(T12-AC12)</f>
        <v>#DIV/0!</v>
      </c>
      <c r="L13" s="46" t="e">
        <f>L12+ATM_Conf!$C$5*(U12-AD12)</f>
        <v>#DIV/0!</v>
      </c>
      <c r="M13" s="46" t="e">
        <f>M12+ATM_Conf!$C$5*(V12-AE12)</f>
        <v>#DIV/0!</v>
      </c>
      <c r="N13" s="46" t="e">
        <f>N12+ATM_Conf!$C$5*(W12-AF12)</f>
        <v>#DIV/0!</v>
      </c>
      <c r="O13" s="46" t="e">
        <f>O12+ATM_Conf!$C$5*(X12-AG12)</f>
        <v>#DIV/0!</v>
      </c>
      <c r="P13" s="46" t="e">
        <f>P12+ATM_Conf!$C$5*(Y12-AH12)</f>
        <v>#DIV/0!</v>
      </c>
      <c r="Q13" s="46" t="e">
        <f>Q12+ATM_Conf!$C$5*(Z12-AI12)</f>
        <v>#DIV/0!</v>
      </c>
      <c r="R13" s="46" t="e">
        <f>R12+ATM_Conf!$C$5*(AA12-AJ12)</f>
        <v>#DIV/0!</v>
      </c>
      <c r="S13" s="46" t="e">
        <f>S12+ATM_Conf!$C$5*(AB12-AK12)</f>
        <v>#DIV/0!</v>
      </c>
      <c r="T13" s="46"/>
      <c r="U13" s="46"/>
      <c r="V13" s="46"/>
      <c r="W13" s="46"/>
      <c r="X13" s="46"/>
      <c r="Y13" s="46"/>
      <c r="Z13" s="46"/>
      <c r="AA13" s="46"/>
      <c r="AB13" s="46"/>
      <c r="AC13" s="46" t="e">
        <f t="shared" si="4"/>
        <v>#DIV/0!</v>
      </c>
      <c r="AD13" s="46" t="e">
        <f t="shared" si="5"/>
        <v>#DIV/0!</v>
      </c>
      <c r="AE13" s="46" t="e">
        <f t="shared" si="6"/>
        <v>#DIV/0!</v>
      </c>
      <c r="AF13" s="46" t="e">
        <f t="shared" si="7"/>
        <v>#DIV/0!</v>
      </c>
      <c r="AG13" s="46" t="e">
        <f t="shared" si="8"/>
        <v>#DIV/0!</v>
      </c>
      <c r="AH13" s="46" t="e">
        <f t="shared" si="9"/>
        <v>#DIV/0!</v>
      </c>
      <c r="AI13" s="46" t="e">
        <f t="shared" si="10"/>
        <v>#DIV/0!</v>
      </c>
      <c r="AJ13" s="46" t="e">
        <f t="shared" si="11"/>
        <v>#DIV/0!</v>
      </c>
      <c r="AK13" s="46" t="e">
        <f t="shared" si="12"/>
        <v>#DIV/0!</v>
      </c>
      <c r="AL13" s="46" t="e">
        <f>T$3+K13/ATM_Conf!$C$5</f>
        <v>#DIV/0!</v>
      </c>
      <c r="AM13" s="46" t="e">
        <f>U$3+L13/ATM_Conf!$C$5</f>
        <v>#DIV/0!</v>
      </c>
      <c r="AN13" s="46" t="e">
        <f>V$3+M13/ATM_Conf!$C$5</f>
        <v>#DIV/0!</v>
      </c>
      <c r="AO13" s="46" t="e">
        <f>W$3+N13/ATM_Conf!$C$5</f>
        <v>#DIV/0!</v>
      </c>
      <c r="AP13" s="46" t="e">
        <f>X$3+O13/ATM_Conf!$C$5</f>
        <v>#DIV/0!</v>
      </c>
      <c r="AQ13" s="46" t="e">
        <f>Y$3+P13/ATM_Conf!$C$5</f>
        <v>#DIV/0!</v>
      </c>
      <c r="AR13" s="46" t="e">
        <f>Z$3+Q13/ATM_Conf!$C$5</f>
        <v>#DIV/0!</v>
      </c>
      <c r="AS13" s="46" t="e">
        <f>AA$3+R13/ATM_Conf!$C$5</f>
        <v>#DIV/0!</v>
      </c>
      <c r="AT13" s="46" t="e">
        <f>AB$3+S13/ATM_Conf!$C$5</f>
        <v>#DIV/0!</v>
      </c>
      <c r="AU13" s="46" t="e">
        <f>BD$3*MIN(1,(ATM_Conf!$C$6-Links!F13)/(ATM_Conf!$C$6-ATM_Conf!$C$7))</f>
        <v>#DIV/0!</v>
      </c>
      <c r="AV13" s="46" t="e">
        <f>BE$3*MIN(1,(ATM_Conf!$C$6-Links!G13)/(ATM_Conf!$C$6-ATM_Conf!$C$7))</f>
        <v>#DIV/0!</v>
      </c>
      <c r="AW13" s="46" t="e">
        <f>BF$3*MIN(1,(ATM_Conf!$C$6-Links!H13)/(ATM_Conf!$C$6-ATM_Conf!$C$7))</f>
        <v>#DIV/0!</v>
      </c>
      <c r="AX13" s="46" t="e">
        <f>BG$3*MIN(1,(ATM_Conf!$C$6-Links!I13)/(ATM_Conf!$C$6-ATM_Conf!$C$7))</f>
        <v>#DIV/0!</v>
      </c>
      <c r="AY13" s="46" t="e">
        <f>BH$3*MIN(1,(ATM_Conf!$C$6-Links!J13)/(ATM_Conf!$C$6-ATM_Conf!$C$7))</f>
        <v>#DIV/0!</v>
      </c>
      <c r="AZ13" s="46" t="e">
        <f>BI$3*MIN(1,(ATM_Conf!$C$6-Links!K13)/(ATM_Conf!$C$6-ATM_Conf!$C$7))</f>
        <v>#DIV/0!</v>
      </c>
      <c r="BA13" s="46" t="e">
        <f>BJ$3*MIN(1,(ATM_Conf!$C$6-Links!L13)/(ATM_Conf!$C$6-ATM_Conf!$C$7))</f>
        <v>#DIV/0!</v>
      </c>
      <c r="BB13" s="46" t="e">
        <f>BK$3*MIN(1,(ATM_Conf!$C$6-Links!M13)/(ATM_Conf!$C$6-ATM_Conf!$C$7))</f>
        <v>#DIV/0!</v>
      </c>
      <c r="BC13" s="46" t="e">
        <f>BL$3*MIN(1,(ATM_Conf!$C$6-Links!N13)/(ATM_Conf!$C$6-ATM_Conf!$C$7))</f>
        <v>#DIV/0!</v>
      </c>
      <c r="BD13" s="46"/>
      <c r="BE13" s="46"/>
      <c r="BF13" s="46"/>
      <c r="BG13" s="46"/>
      <c r="BH13" s="46"/>
      <c r="BI13" s="46"/>
      <c r="BJ13" s="46"/>
      <c r="BK13" s="46"/>
      <c r="BL13" s="46"/>
      <c r="BM13" s="54"/>
      <c r="BN13" s="54"/>
      <c r="BO13" s="54"/>
      <c r="BP13" s="54"/>
      <c r="BQ13" s="54"/>
      <c r="BR13" s="54"/>
      <c r="BS13" s="54"/>
      <c r="BT13" s="54"/>
      <c r="BU13" s="54"/>
      <c r="BV13" s="46" t="e">
        <f t="shared" si="13"/>
        <v>#DIV/0!</v>
      </c>
      <c r="BW13" s="46" t="e">
        <f t="shared" si="14"/>
        <v>#DIV/0!</v>
      </c>
      <c r="BX13" s="46" t="e">
        <f t="shared" si="15"/>
        <v>#DIV/0!</v>
      </c>
      <c r="BY13" s="46" t="e">
        <f t="shared" si="16"/>
        <v>#DIV/0!</v>
      </c>
      <c r="BZ13" s="46" t="e">
        <f t="shared" si="17"/>
        <v>#DIV/0!</v>
      </c>
      <c r="CA13" s="46" t="e">
        <f t="shared" si="18"/>
        <v>#DIV/0!</v>
      </c>
      <c r="CB13" s="46" t="e">
        <f t="shared" si="19"/>
        <v>#DIV/0!</v>
      </c>
      <c r="CC13" s="46" t="e">
        <f t="shared" si="20"/>
        <v>#DIV/0!</v>
      </c>
      <c r="CD13" s="46" t="e">
        <f t="shared" si="21"/>
        <v>#DIV/0!</v>
      </c>
      <c r="CE13" s="56" t="e">
        <f t="shared" si="22"/>
        <v>#DIV/0!</v>
      </c>
      <c r="CF13" s="56" t="e">
        <f t="shared" si="23"/>
        <v>#DIV/0!</v>
      </c>
      <c r="CG13" s="56" t="e">
        <f t="shared" si="24"/>
        <v>#DIV/0!</v>
      </c>
      <c r="CH13" s="56" t="e">
        <f t="shared" si="25"/>
        <v>#DIV/0!</v>
      </c>
      <c r="CI13" s="56" t="e">
        <f t="shared" si="26"/>
        <v>#DIV/0!</v>
      </c>
      <c r="CJ13" s="56" t="e">
        <f t="shared" si="27"/>
        <v>#DIV/0!</v>
      </c>
      <c r="CK13" s="56" t="e">
        <f t="shared" si="28"/>
        <v>#DIV/0!</v>
      </c>
      <c r="CL13" s="56" t="e">
        <f t="shared" si="29"/>
        <v>#DIV/0!</v>
      </c>
      <c r="CM13" s="56" t="e">
        <f t="shared" si="30"/>
        <v>#DIV/0!</v>
      </c>
    </row>
    <row r="14" spans="1:91" x14ac:dyDescent="0.15">
      <c r="A14" s="43">
        <v>12</v>
      </c>
      <c r="B14" s="46">
        <f t="shared" si="31"/>
        <v>1</v>
      </c>
      <c r="C14" s="46">
        <f t="shared" si="3"/>
        <v>1</v>
      </c>
      <c r="D14" s="46">
        <f t="shared" si="3"/>
        <v>1</v>
      </c>
      <c r="E14" s="46">
        <f t="shared" si="3"/>
        <v>1</v>
      </c>
      <c r="F14" s="46">
        <f t="shared" si="3"/>
        <v>1</v>
      </c>
      <c r="G14" s="46">
        <f t="shared" si="3"/>
        <v>1</v>
      </c>
      <c r="H14" s="46">
        <f t="shared" si="3"/>
        <v>1</v>
      </c>
      <c r="I14" s="46">
        <f t="shared" si="3"/>
        <v>1</v>
      </c>
      <c r="J14" s="46">
        <f t="shared" si="3"/>
        <v>1</v>
      </c>
      <c r="K14" s="46" t="e">
        <f>K13+ATM_Conf!$C$5*(T13-AC13)</f>
        <v>#DIV/0!</v>
      </c>
      <c r="L14" s="46" t="e">
        <f>L13+ATM_Conf!$C$5*(U13-AD13)</f>
        <v>#DIV/0!</v>
      </c>
      <c r="M14" s="46" t="e">
        <f>M13+ATM_Conf!$C$5*(V13-AE13)</f>
        <v>#DIV/0!</v>
      </c>
      <c r="N14" s="46" t="e">
        <f>N13+ATM_Conf!$C$5*(W13-AF13)</f>
        <v>#DIV/0!</v>
      </c>
      <c r="O14" s="46" t="e">
        <f>O13+ATM_Conf!$C$5*(X13-AG13)</f>
        <v>#DIV/0!</v>
      </c>
      <c r="P14" s="46" t="e">
        <f>P13+ATM_Conf!$C$5*(Y13-AH13)</f>
        <v>#DIV/0!</v>
      </c>
      <c r="Q14" s="46" t="e">
        <f>Q13+ATM_Conf!$C$5*(Z13-AI13)</f>
        <v>#DIV/0!</v>
      </c>
      <c r="R14" s="46" t="e">
        <f>R13+ATM_Conf!$C$5*(AA13-AJ13)</f>
        <v>#DIV/0!</v>
      </c>
      <c r="S14" s="46" t="e">
        <f>S13+ATM_Conf!$C$5*(AB13-AK13)</f>
        <v>#DIV/0!</v>
      </c>
      <c r="T14" s="46"/>
      <c r="U14" s="46"/>
      <c r="V14" s="46"/>
      <c r="W14" s="46"/>
      <c r="X14" s="46"/>
      <c r="Y14" s="46"/>
      <c r="Z14" s="46"/>
      <c r="AA14" s="46"/>
      <c r="AB14" s="46"/>
      <c r="AC14" s="46" t="e">
        <f t="shared" si="4"/>
        <v>#DIV/0!</v>
      </c>
      <c r="AD14" s="46" t="e">
        <f t="shared" si="5"/>
        <v>#DIV/0!</v>
      </c>
      <c r="AE14" s="46" t="e">
        <f t="shared" si="6"/>
        <v>#DIV/0!</v>
      </c>
      <c r="AF14" s="46" t="e">
        <f t="shared" si="7"/>
        <v>#DIV/0!</v>
      </c>
      <c r="AG14" s="46" t="e">
        <f t="shared" si="8"/>
        <v>#DIV/0!</v>
      </c>
      <c r="AH14" s="46" t="e">
        <f t="shared" si="9"/>
        <v>#DIV/0!</v>
      </c>
      <c r="AI14" s="46" t="e">
        <f t="shared" si="10"/>
        <v>#DIV/0!</v>
      </c>
      <c r="AJ14" s="46" t="e">
        <f t="shared" si="11"/>
        <v>#DIV/0!</v>
      </c>
      <c r="AK14" s="46" t="e">
        <f t="shared" si="12"/>
        <v>#DIV/0!</v>
      </c>
      <c r="AL14" s="46" t="e">
        <f>T$3+K14/ATM_Conf!$C$5</f>
        <v>#DIV/0!</v>
      </c>
      <c r="AM14" s="46" t="e">
        <f>U$3+L14/ATM_Conf!$C$5</f>
        <v>#DIV/0!</v>
      </c>
      <c r="AN14" s="46" t="e">
        <f>V$3+M14/ATM_Conf!$C$5</f>
        <v>#DIV/0!</v>
      </c>
      <c r="AO14" s="46" t="e">
        <f>W$3+N14/ATM_Conf!$C$5</f>
        <v>#DIV/0!</v>
      </c>
      <c r="AP14" s="46" t="e">
        <f>X$3+O14/ATM_Conf!$C$5</f>
        <v>#DIV/0!</v>
      </c>
      <c r="AQ14" s="46" t="e">
        <f>Y$3+P14/ATM_Conf!$C$5</f>
        <v>#DIV/0!</v>
      </c>
      <c r="AR14" s="46" t="e">
        <f>Z$3+Q14/ATM_Conf!$C$5</f>
        <v>#DIV/0!</v>
      </c>
      <c r="AS14" s="46" t="e">
        <f>AA$3+R14/ATM_Conf!$C$5</f>
        <v>#DIV/0!</v>
      </c>
      <c r="AT14" s="46" t="e">
        <f>AB$3+S14/ATM_Conf!$C$5</f>
        <v>#DIV/0!</v>
      </c>
      <c r="AU14" s="46" t="e">
        <f>BD$3*MIN(1,(ATM_Conf!$C$6-Links!F14)/(ATM_Conf!$C$6-ATM_Conf!$C$7))</f>
        <v>#DIV/0!</v>
      </c>
      <c r="AV14" s="46" t="e">
        <f>BE$3*MIN(1,(ATM_Conf!$C$6-Links!G14)/(ATM_Conf!$C$6-ATM_Conf!$C$7))</f>
        <v>#DIV/0!</v>
      </c>
      <c r="AW14" s="46" t="e">
        <f>BF$3*MIN(1,(ATM_Conf!$C$6-Links!H14)/(ATM_Conf!$C$6-ATM_Conf!$C$7))</f>
        <v>#DIV/0!</v>
      </c>
      <c r="AX14" s="46" t="e">
        <f>BG$3*MIN(1,(ATM_Conf!$C$6-Links!I14)/(ATM_Conf!$C$6-ATM_Conf!$C$7))</f>
        <v>#DIV/0!</v>
      </c>
      <c r="AY14" s="46" t="e">
        <f>BH$3*MIN(1,(ATM_Conf!$C$6-Links!J14)/(ATM_Conf!$C$6-ATM_Conf!$C$7))</f>
        <v>#DIV/0!</v>
      </c>
      <c r="AZ14" s="46" t="e">
        <f>BI$3*MIN(1,(ATM_Conf!$C$6-Links!K14)/(ATM_Conf!$C$6-ATM_Conf!$C$7))</f>
        <v>#DIV/0!</v>
      </c>
      <c r="BA14" s="46" t="e">
        <f>BJ$3*MIN(1,(ATM_Conf!$C$6-Links!L14)/(ATM_Conf!$C$6-ATM_Conf!$C$7))</f>
        <v>#DIV/0!</v>
      </c>
      <c r="BB14" s="46" t="e">
        <f>BK$3*MIN(1,(ATM_Conf!$C$6-Links!M14)/(ATM_Conf!$C$6-ATM_Conf!$C$7))</f>
        <v>#DIV/0!</v>
      </c>
      <c r="BC14" s="46" t="e">
        <f>BL$3*MIN(1,(ATM_Conf!$C$6-Links!N14)/(ATM_Conf!$C$6-ATM_Conf!$C$7))</f>
        <v>#DIV/0!</v>
      </c>
      <c r="BD14" s="46"/>
      <c r="BE14" s="46"/>
      <c r="BF14" s="46"/>
      <c r="BG14" s="46"/>
      <c r="BH14" s="46"/>
      <c r="BI14" s="46"/>
      <c r="BJ14" s="46"/>
      <c r="BK14" s="46"/>
      <c r="BL14" s="46"/>
      <c r="BM14" s="54"/>
      <c r="BN14" s="54"/>
      <c r="BO14" s="54"/>
      <c r="BP14" s="54"/>
      <c r="BQ14" s="54"/>
      <c r="BR14" s="54"/>
      <c r="BS14" s="54"/>
      <c r="BT14" s="54"/>
      <c r="BU14" s="54"/>
      <c r="BV14" s="46" t="e">
        <f t="shared" si="13"/>
        <v>#DIV/0!</v>
      </c>
      <c r="BW14" s="46" t="e">
        <f t="shared" si="14"/>
        <v>#DIV/0!</v>
      </c>
      <c r="BX14" s="46" t="e">
        <f t="shared" si="15"/>
        <v>#DIV/0!</v>
      </c>
      <c r="BY14" s="46" t="e">
        <f t="shared" si="16"/>
        <v>#DIV/0!</v>
      </c>
      <c r="BZ14" s="46" t="e">
        <f t="shared" si="17"/>
        <v>#DIV/0!</v>
      </c>
      <c r="CA14" s="46" t="e">
        <f t="shared" si="18"/>
        <v>#DIV/0!</v>
      </c>
      <c r="CB14" s="46" t="e">
        <f t="shared" si="19"/>
        <v>#DIV/0!</v>
      </c>
      <c r="CC14" s="46" t="e">
        <f t="shared" si="20"/>
        <v>#DIV/0!</v>
      </c>
      <c r="CD14" s="46" t="e">
        <f t="shared" si="21"/>
        <v>#DIV/0!</v>
      </c>
      <c r="CE14" s="56" t="e">
        <f t="shared" si="22"/>
        <v>#DIV/0!</v>
      </c>
      <c r="CF14" s="56" t="e">
        <f t="shared" si="23"/>
        <v>#DIV/0!</v>
      </c>
      <c r="CG14" s="56" t="e">
        <f t="shared" si="24"/>
        <v>#DIV/0!</v>
      </c>
      <c r="CH14" s="56" t="e">
        <f t="shared" si="25"/>
        <v>#DIV/0!</v>
      </c>
      <c r="CI14" s="56" t="e">
        <f t="shared" si="26"/>
        <v>#DIV/0!</v>
      </c>
      <c r="CJ14" s="56" t="e">
        <f t="shared" si="27"/>
        <v>#DIV/0!</v>
      </c>
      <c r="CK14" s="56" t="e">
        <f t="shared" si="28"/>
        <v>#DIV/0!</v>
      </c>
      <c r="CL14" s="56" t="e">
        <f t="shared" si="29"/>
        <v>#DIV/0!</v>
      </c>
      <c r="CM14" s="56" t="e">
        <f t="shared" si="30"/>
        <v>#DIV/0!</v>
      </c>
    </row>
    <row r="15" spans="1:91" x14ac:dyDescent="0.15">
      <c r="A15" s="43">
        <v>13</v>
      </c>
      <c r="B15" s="48">
        <v>1</v>
      </c>
      <c r="C15" s="48">
        <v>1</v>
      </c>
      <c r="D15" s="48">
        <v>1</v>
      </c>
      <c r="E15" s="48">
        <v>1</v>
      </c>
      <c r="F15" s="48">
        <v>1</v>
      </c>
      <c r="G15" s="48">
        <v>1</v>
      </c>
      <c r="H15" s="48">
        <v>1</v>
      </c>
      <c r="I15" s="48">
        <v>1</v>
      </c>
      <c r="J15" s="48">
        <v>1</v>
      </c>
      <c r="K15" s="46" t="e">
        <f>K14+ATM_Conf!$C$5*(T14-AC14)</f>
        <v>#DIV/0!</v>
      </c>
      <c r="L15" s="46" t="e">
        <f>L14+ATM_Conf!$C$5*(U14-AD14)</f>
        <v>#DIV/0!</v>
      </c>
      <c r="M15" s="46" t="e">
        <f>M14+ATM_Conf!$C$5*(V14-AE14)</f>
        <v>#DIV/0!</v>
      </c>
      <c r="N15" s="46" t="e">
        <f>N14+ATM_Conf!$C$5*(W14-AF14)</f>
        <v>#DIV/0!</v>
      </c>
      <c r="O15" s="46" t="e">
        <f>O14+ATM_Conf!$C$5*(X14-AG14)</f>
        <v>#DIV/0!</v>
      </c>
      <c r="P15" s="46" t="e">
        <f>P14+ATM_Conf!$C$5*(Y14-AH14)</f>
        <v>#DIV/0!</v>
      </c>
      <c r="Q15" s="46" t="e">
        <f>Q14+ATM_Conf!$C$5*(Z14-AI14)</f>
        <v>#DIV/0!</v>
      </c>
      <c r="R15" s="46" t="e">
        <f>R14+ATM_Conf!$C$5*(AA14-AJ14)</f>
        <v>#DIV/0!</v>
      </c>
      <c r="S15" s="46" t="e">
        <f>S14+ATM_Conf!$C$5*(AB14-AK14)</f>
        <v>#DIV/0!</v>
      </c>
      <c r="T15" s="46"/>
      <c r="U15" s="46"/>
      <c r="V15" s="46"/>
      <c r="W15" s="46"/>
      <c r="X15" s="46"/>
      <c r="Y15" s="46"/>
      <c r="Z15" s="46"/>
      <c r="AA15" s="46"/>
      <c r="AB15" s="46"/>
      <c r="AC15" s="46" t="e">
        <f t="shared" si="4"/>
        <v>#DIV/0!</v>
      </c>
      <c r="AD15" s="46" t="e">
        <f t="shared" si="5"/>
        <v>#DIV/0!</v>
      </c>
      <c r="AE15" s="46" t="e">
        <f t="shared" si="6"/>
        <v>#DIV/0!</v>
      </c>
      <c r="AF15" s="46" t="e">
        <f t="shared" si="7"/>
        <v>#DIV/0!</v>
      </c>
      <c r="AG15" s="46" t="e">
        <f t="shared" si="8"/>
        <v>#DIV/0!</v>
      </c>
      <c r="AH15" s="46" t="e">
        <f t="shared" si="9"/>
        <v>#DIV/0!</v>
      </c>
      <c r="AI15" s="46" t="e">
        <f t="shared" si="10"/>
        <v>#DIV/0!</v>
      </c>
      <c r="AJ15" s="46" t="e">
        <f t="shared" si="11"/>
        <v>#DIV/0!</v>
      </c>
      <c r="AK15" s="46" t="e">
        <f t="shared" si="12"/>
        <v>#DIV/0!</v>
      </c>
      <c r="AL15" s="46" t="e">
        <f>T$3+K15/ATM_Conf!$C$5</f>
        <v>#DIV/0!</v>
      </c>
      <c r="AM15" s="46" t="e">
        <f>U$3+L15/ATM_Conf!$C$5</f>
        <v>#DIV/0!</v>
      </c>
      <c r="AN15" s="46" t="e">
        <f>V$3+M15/ATM_Conf!$C$5</f>
        <v>#DIV/0!</v>
      </c>
      <c r="AO15" s="46" t="e">
        <f>W$3+N15/ATM_Conf!$C$5</f>
        <v>#DIV/0!</v>
      </c>
      <c r="AP15" s="46" t="e">
        <f>X$3+O15/ATM_Conf!$C$5</f>
        <v>#DIV/0!</v>
      </c>
      <c r="AQ15" s="46" t="e">
        <f>Y$3+P15/ATM_Conf!$C$5</f>
        <v>#DIV/0!</v>
      </c>
      <c r="AR15" s="46" t="e">
        <f>Z$3+Q15/ATM_Conf!$C$5</f>
        <v>#DIV/0!</v>
      </c>
      <c r="AS15" s="46" t="e">
        <f>AA$3+R15/ATM_Conf!$C$5</f>
        <v>#DIV/0!</v>
      </c>
      <c r="AT15" s="46" t="e">
        <f>AB$3+S15/ATM_Conf!$C$5</f>
        <v>#DIV/0!</v>
      </c>
      <c r="AU15" s="46" t="e">
        <f>BD$3*MIN(1,(ATM_Conf!$C$6-Links!F15)/(ATM_Conf!$C$6-ATM_Conf!$C$7))</f>
        <v>#DIV/0!</v>
      </c>
      <c r="AV15" s="46" t="e">
        <f>BE$3*MIN(1,(ATM_Conf!$C$6-Links!G15)/(ATM_Conf!$C$6-ATM_Conf!$C$7))</f>
        <v>#DIV/0!</v>
      </c>
      <c r="AW15" s="46" t="e">
        <f>BF$3*MIN(1,(ATM_Conf!$C$6-Links!H15)/(ATM_Conf!$C$6-ATM_Conf!$C$7))</f>
        <v>#DIV/0!</v>
      </c>
      <c r="AX15" s="46" t="e">
        <f>BG$3*MIN(1,(ATM_Conf!$C$6-Links!I15)/(ATM_Conf!$C$6-ATM_Conf!$C$7))</f>
        <v>#DIV/0!</v>
      </c>
      <c r="AY15" s="46" t="e">
        <f>BH$3*MIN(1,(ATM_Conf!$C$6-Links!J15)/(ATM_Conf!$C$6-ATM_Conf!$C$7))</f>
        <v>#DIV/0!</v>
      </c>
      <c r="AZ15" s="46" t="e">
        <f>BI$3*MIN(1,(ATM_Conf!$C$6-Links!K15)/(ATM_Conf!$C$6-ATM_Conf!$C$7))</f>
        <v>#DIV/0!</v>
      </c>
      <c r="BA15" s="46" t="e">
        <f>BJ$3*MIN(1,(ATM_Conf!$C$6-Links!L15)/(ATM_Conf!$C$6-ATM_Conf!$C$7))</f>
        <v>#DIV/0!</v>
      </c>
      <c r="BB15" s="46" t="e">
        <f>BK$3*MIN(1,(ATM_Conf!$C$6-Links!M15)/(ATM_Conf!$C$6-ATM_Conf!$C$7))</f>
        <v>#DIV/0!</v>
      </c>
      <c r="BC15" s="46" t="e">
        <f>BL$3*MIN(1,(ATM_Conf!$C$6-Links!N15)/(ATM_Conf!$C$6-ATM_Conf!$C$7))</f>
        <v>#DIV/0!</v>
      </c>
      <c r="BD15" s="46"/>
      <c r="BE15" s="46"/>
      <c r="BF15" s="46"/>
      <c r="BG15" s="46"/>
      <c r="BH15" s="46"/>
      <c r="BI15" s="46"/>
      <c r="BJ15" s="46"/>
      <c r="BK15" s="46"/>
      <c r="BL15" s="46"/>
      <c r="BM15" s="54">
        <f>(B15-B3)^2</f>
        <v>0</v>
      </c>
      <c r="BN15" s="54">
        <f t="shared" ref="BN15:BU15" si="32">(C15-C3)^2</f>
        <v>0</v>
      </c>
      <c r="BO15" s="54">
        <f t="shared" si="32"/>
        <v>0</v>
      </c>
      <c r="BP15" s="54">
        <f t="shared" si="32"/>
        <v>0</v>
      </c>
      <c r="BQ15" s="54">
        <f t="shared" si="32"/>
        <v>0</v>
      </c>
      <c r="BR15" s="54">
        <f t="shared" si="32"/>
        <v>0</v>
      </c>
      <c r="BS15" s="54">
        <f t="shared" si="32"/>
        <v>0</v>
      </c>
      <c r="BT15" s="54">
        <f t="shared" si="32"/>
        <v>0</v>
      </c>
      <c r="BU15" s="54">
        <f t="shared" si="32"/>
        <v>0</v>
      </c>
      <c r="BV15" s="46" t="e">
        <f t="shared" si="13"/>
        <v>#DIV/0!</v>
      </c>
      <c r="BW15" s="46" t="e">
        <f t="shared" si="14"/>
        <v>#DIV/0!</v>
      </c>
      <c r="BX15" s="46" t="e">
        <f t="shared" si="15"/>
        <v>#DIV/0!</v>
      </c>
      <c r="BY15" s="46" t="e">
        <f t="shared" si="16"/>
        <v>#DIV/0!</v>
      </c>
      <c r="BZ15" s="46" t="e">
        <f t="shared" si="17"/>
        <v>#DIV/0!</v>
      </c>
      <c r="CA15" s="46" t="e">
        <f t="shared" si="18"/>
        <v>#DIV/0!</v>
      </c>
      <c r="CB15" s="46" t="e">
        <f t="shared" si="19"/>
        <v>#DIV/0!</v>
      </c>
      <c r="CC15" s="46" t="e">
        <f t="shared" si="20"/>
        <v>#DIV/0!</v>
      </c>
      <c r="CD15" s="46" t="e">
        <f t="shared" si="21"/>
        <v>#DIV/0!</v>
      </c>
      <c r="CE15" s="56" t="e">
        <f t="shared" si="22"/>
        <v>#DIV/0!</v>
      </c>
      <c r="CF15" s="56" t="e">
        <f t="shared" si="23"/>
        <v>#DIV/0!</v>
      </c>
      <c r="CG15" s="56" t="e">
        <f t="shared" si="24"/>
        <v>#DIV/0!</v>
      </c>
      <c r="CH15" s="56" t="e">
        <f t="shared" si="25"/>
        <v>#DIV/0!</v>
      </c>
      <c r="CI15" s="56" t="e">
        <f t="shared" si="26"/>
        <v>#DIV/0!</v>
      </c>
      <c r="CJ15" s="56" t="e">
        <f t="shared" si="27"/>
        <v>#DIV/0!</v>
      </c>
      <c r="CK15" s="56" t="e">
        <f t="shared" si="28"/>
        <v>#DIV/0!</v>
      </c>
      <c r="CL15" s="56" t="e">
        <f t="shared" si="29"/>
        <v>#DIV/0!</v>
      </c>
      <c r="CM15" s="56" t="e">
        <f t="shared" si="30"/>
        <v>#DIV/0!</v>
      </c>
    </row>
    <row r="16" spans="1:91" x14ac:dyDescent="0.15">
      <c r="A16" s="43">
        <v>14</v>
      </c>
      <c r="B16" s="46">
        <f>B$15</f>
        <v>1</v>
      </c>
      <c r="C16" s="46">
        <f t="shared" ref="C16:J26" si="33">C$15</f>
        <v>1</v>
      </c>
      <c r="D16" s="46">
        <f t="shared" si="33"/>
        <v>1</v>
      </c>
      <c r="E16" s="46">
        <f t="shared" si="33"/>
        <v>1</v>
      </c>
      <c r="F16" s="46">
        <f t="shared" si="33"/>
        <v>1</v>
      </c>
      <c r="G16" s="46">
        <f t="shared" si="33"/>
        <v>1</v>
      </c>
      <c r="H16" s="46">
        <f t="shared" si="33"/>
        <v>1</v>
      </c>
      <c r="I16" s="46">
        <f t="shared" si="33"/>
        <v>1</v>
      </c>
      <c r="J16" s="46">
        <f t="shared" si="33"/>
        <v>1</v>
      </c>
      <c r="K16" s="46" t="e">
        <f>K15+ATM_Conf!$C$5*(T15-AC15)</f>
        <v>#DIV/0!</v>
      </c>
      <c r="L16" s="46" t="e">
        <f>L15+ATM_Conf!$C$5*(U15-AD15)</f>
        <v>#DIV/0!</v>
      </c>
      <c r="M16" s="46" t="e">
        <f>M15+ATM_Conf!$C$5*(V15-AE15)</f>
        <v>#DIV/0!</v>
      </c>
      <c r="N16" s="46" t="e">
        <f>N15+ATM_Conf!$C$5*(W15-AF15)</f>
        <v>#DIV/0!</v>
      </c>
      <c r="O16" s="46" t="e">
        <f>O15+ATM_Conf!$C$5*(X15-AG15)</f>
        <v>#DIV/0!</v>
      </c>
      <c r="P16" s="46" t="e">
        <f>P15+ATM_Conf!$C$5*(Y15-AH15)</f>
        <v>#DIV/0!</v>
      </c>
      <c r="Q16" s="46" t="e">
        <f>Q15+ATM_Conf!$C$5*(Z15-AI15)</f>
        <v>#DIV/0!</v>
      </c>
      <c r="R16" s="46" t="e">
        <f>R15+ATM_Conf!$C$5*(AA15-AJ15)</f>
        <v>#DIV/0!</v>
      </c>
      <c r="S16" s="46" t="e">
        <f>S15+ATM_Conf!$C$5*(AB15-AK15)</f>
        <v>#DIV/0!</v>
      </c>
      <c r="T16" s="46"/>
      <c r="U16" s="46"/>
      <c r="V16" s="46"/>
      <c r="W16" s="46"/>
      <c r="X16" s="46"/>
      <c r="Y16" s="46"/>
      <c r="Z16" s="46"/>
      <c r="AA16" s="46"/>
      <c r="AB16" s="46"/>
      <c r="AC16" s="46" t="e">
        <f t="shared" si="4"/>
        <v>#DIV/0!</v>
      </c>
      <c r="AD16" s="46" t="e">
        <f t="shared" si="5"/>
        <v>#DIV/0!</v>
      </c>
      <c r="AE16" s="46" t="e">
        <f t="shared" si="6"/>
        <v>#DIV/0!</v>
      </c>
      <c r="AF16" s="46" t="e">
        <f t="shared" si="7"/>
        <v>#DIV/0!</v>
      </c>
      <c r="AG16" s="46" t="e">
        <f t="shared" si="8"/>
        <v>#DIV/0!</v>
      </c>
      <c r="AH16" s="46" t="e">
        <f t="shared" si="9"/>
        <v>#DIV/0!</v>
      </c>
      <c r="AI16" s="46" t="e">
        <f t="shared" si="10"/>
        <v>#DIV/0!</v>
      </c>
      <c r="AJ16" s="46" t="e">
        <f t="shared" si="11"/>
        <v>#DIV/0!</v>
      </c>
      <c r="AK16" s="46" t="e">
        <f t="shared" si="12"/>
        <v>#DIV/0!</v>
      </c>
      <c r="AL16" s="46" t="e">
        <f>T$3+K16/ATM_Conf!$C$5</f>
        <v>#DIV/0!</v>
      </c>
      <c r="AM16" s="46" t="e">
        <f>U$3+L16/ATM_Conf!$C$5</f>
        <v>#DIV/0!</v>
      </c>
      <c r="AN16" s="46" t="e">
        <f>V$3+M16/ATM_Conf!$C$5</f>
        <v>#DIV/0!</v>
      </c>
      <c r="AO16" s="46" t="e">
        <f>W$3+N16/ATM_Conf!$C$5</f>
        <v>#DIV/0!</v>
      </c>
      <c r="AP16" s="46" t="e">
        <f>X$3+O16/ATM_Conf!$C$5</f>
        <v>#DIV/0!</v>
      </c>
      <c r="AQ16" s="46" t="e">
        <f>Y$3+P16/ATM_Conf!$C$5</f>
        <v>#DIV/0!</v>
      </c>
      <c r="AR16" s="46" t="e">
        <f>Z$3+Q16/ATM_Conf!$C$5</f>
        <v>#DIV/0!</v>
      </c>
      <c r="AS16" s="46" t="e">
        <f>AA$3+R16/ATM_Conf!$C$5</f>
        <v>#DIV/0!</v>
      </c>
      <c r="AT16" s="46" t="e">
        <f>AB$3+S16/ATM_Conf!$C$5</f>
        <v>#DIV/0!</v>
      </c>
      <c r="AU16" s="46" t="e">
        <f>BD$3*MIN(1,(ATM_Conf!$C$6-Links!F16)/(ATM_Conf!$C$6-ATM_Conf!$C$7))</f>
        <v>#DIV/0!</v>
      </c>
      <c r="AV16" s="46" t="e">
        <f>BE$3*MIN(1,(ATM_Conf!$C$6-Links!G16)/(ATM_Conf!$C$6-ATM_Conf!$C$7))</f>
        <v>#DIV/0!</v>
      </c>
      <c r="AW16" s="46" t="e">
        <f>BF$3*MIN(1,(ATM_Conf!$C$6-Links!H16)/(ATM_Conf!$C$6-ATM_Conf!$C$7))</f>
        <v>#DIV/0!</v>
      </c>
      <c r="AX16" s="46" t="e">
        <f>BG$3*MIN(1,(ATM_Conf!$C$6-Links!I16)/(ATM_Conf!$C$6-ATM_Conf!$C$7))</f>
        <v>#DIV/0!</v>
      </c>
      <c r="AY16" s="46" t="e">
        <f>BH$3*MIN(1,(ATM_Conf!$C$6-Links!J16)/(ATM_Conf!$C$6-ATM_Conf!$C$7))</f>
        <v>#DIV/0!</v>
      </c>
      <c r="AZ16" s="46" t="e">
        <f>BI$3*MIN(1,(ATM_Conf!$C$6-Links!K16)/(ATM_Conf!$C$6-ATM_Conf!$C$7))</f>
        <v>#DIV/0!</v>
      </c>
      <c r="BA16" s="46" t="e">
        <f>BJ$3*MIN(1,(ATM_Conf!$C$6-Links!L16)/(ATM_Conf!$C$6-ATM_Conf!$C$7))</f>
        <v>#DIV/0!</v>
      </c>
      <c r="BB16" s="46" t="e">
        <f>BK$3*MIN(1,(ATM_Conf!$C$6-Links!M16)/(ATM_Conf!$C$6-ATM_Conf!$C$7))</f>
        <v>#DIV/0!</v>
      </c>
      <c r="BC16" s="46" t="e">
        <f>BL$3*MIN(1,(ATM_Conf!$C$6-Links!N16)/(ATM_Conf!$C$6-ATM_Conf!$C$7))</f>
        <v>#DIV/0!</v>
      </c>
      <c r="BD16" s="46"/>
      <c r="BE16" s="46"/>
      <c r="BF16" s="46"/>
      <c r="BG16" s="46"/>
      <c r="BH16" s="46"/>
      <c r="BI16" s="46"/>
      <c r="BJ16" s="46"/>
      <c r="BK16" s="46"/>
      <c r="BL16" s="46"/>
      <c r="BM16" s="54"/>
      <c r="BN16" s="54"/>
      <c r="BO16" s="54"/>
      <c r="BP16" s="54"/>
      <c r="BQ16" s="54"/>
      <c r="BR16" s="54"/>
      <c r="BS16" s="54"/>
      <c r="BT16" s="54"/>
      <c r="BU16" s="54"/>
      <c r="BV16" s="46" t="e">
        <f t="shared" si="13"/>
        <v>#DIV/0!</v>
      </c>
      <c r="BW16" s="46" t="e">
        <f t="shared" si="14"/>
        <v>#DIV/0!</v>
      </c>
      <c r="BX16" s="46" t="e">
        <f t="shared" si="15"/>
        <v>#DIV/0!</v>
      </c>
      <c r="BY16" s="46" t="e">
        <f t="shared" si="16"/>
        <v>#DIV/0!</v>
      </c>
      <c r="BZ16" s="46" t="e">
        <f t="shared" si="17"/>
        <v>#DIV/0!</v>
      </c>
      <c r="CA16" s="46" t="e">
        <f t="shared" si="18"/>
        <v>#DIV/0!</v>
      </c>
      <c r="CB16" s="46" t="e">
        <f t="shared" si="19"/>
        <v>#DIV/0!</v>
      </c>
      <c r="CC16" s="46" t="e">
        <f t="shared" si="20"/>
        <v>#DIV/0!</v>
      </c>
      <c r="CD16" s="46" t="e">
        <f t="shared" si="21"/>
        <v>#DIV/0!</v>
      </c>
      <c r="CE16" s="56" t="e">
        <f t="shared" si="22"/>
        <v>#DIV/0!</v>
      </c>
      <c r="CF16" s="56" t="e">
        <f t="shared" si="23"/>
        <v>#DIV/0!</v>
      </c>
      <c r="CG16" s="56" t="e">
        <f t="shared" si="24"/>
        <v>#DIV/0!</v>
      </c>
      <c r="CH16" s="56" t="e">
        <f t="shared" si="25"/>
        <v>#DIV/0!</v>
      </c>
      <c r="CI16" s="56" t="e">
        <f t="shared" si="26"/>
        <v>#DIV/0!</v>
      </c>
      <c r="CJ16" s="56" t="e">
        <f t="shared" si="27"/>
        <v>#DIV/0!</v>
      </c>
      <c r="CK16" s="56" t="e">
        <f t="shared" si="28"/>
        <v>#DIV/0!</v>
      </c>
      <c r="CL16" s="56" t="e">
        <f t="shared" si="29"/>
        <v>#DIV/0!</v>
      </c>
      <c r="CM16" s="56" t="e">
        <f t="shared" si="30"/>
        <v>#DIV/0!</v>
      </c>
    </row>
    <row r="17" spans="1:91" x14ac:dyDescent="0.15">
      <c r="A17" s="43">
        <v>15</v>
      </c>
      <c r="B17" s="46">
        <f t="shared" ref="B17:B26" si="34">B$15</f>
        <v>1</v>
      </c>
      <c r="C17" s="46">
        <f t="shared" si="33"/>
        <v>1</v>
      </c>
      <c r="D17" s="46">
        <f t="shared" si="33"/>
        <v>1</v>
      </c>
      <c r="E17" s="46">
        <f t="shared" si="33"/>
        <v>1</v>
      </c>
      <c r="F17" s="46">
        <f t="shared" si="33"/>
        <v>1</v>
      </c>
      <c r="G17" s="46">
        <f t="shared" si="33"/>
        <v>1</v>
      </c>
      <c r="H17" s="46">
        <f t="shared" si="33"/>
        <v>1</v>
      </c>
      <c r="I17" s="46">
        <f t="shared" si="33"/>
        <v>1</v>
      </c>
      <c r="J17" s="46">
        <f t="shared" si="33"/>
        <v>1</v>
      </c>
      <c r="K17" s="46" t="e">
        <f>K16+ATM_Conf!$C$5*(T16-AC16)</f>
        <v>#DIV/0!</v>
      </c>
      <c r="L17" s="46" t="e">
        <f>L16+ATM_Conf!$C$5*(U16-AD16)</f>
        <v>#DIV/0!</v>
      </c>
      <c r="M17" s="46" t="e">
        <f>M16+ATM_Conf!$C$5*(V16-AE16)</f>
        <v>#DIV/0!</v>
      </c>
      <c r="N17" s="46" t="e">
        <f>N16+ATM_Conf!$C$5*(W16-AF16)</f>
        <v>#DIV/0!</v>
      </c>
      <c r="O17" s="46" t="e">
        <f>O16+ATM_Conf!$C$5*(X16-AG16)</f>
        <v>#DIV/0!</v>
      </c>
      <c r="P17" s="46" t="e">
        <f>P16+ATM_Conf!$C$5*(Y16-AH16)</f>
        <v>#DIV/0!</v>
      </c>
      <c r="Q17" s="46" t="e">
        <f>Q16+ATM_Conf!$C$5*(Z16-AI16)</f>
        <v>#DIV/0!</v>
      </c>
      <c r="R17" s="46" t="e">
        <f>R16+ATM_Conf!$C$5*(AA16-AJ16)</f>
        <v>#DIV/0!</v>
      </c>
      <c r="S17" s="46" t="e">
        <f>S16+ATM_Conf!$C$5*(AB16-AK16)</f>
        <v>#DIV/0!</v>
      </c>
      <c r="T17" s="46"/>
      <c r="U17" s="46"/>
      <c r="V17" s="46"/>
      <c r="W17" s="46"/>
      <c r="X17" s="46"/>
      <c r="Y17" s="46"/>
      <c r="Z17" s="46"/>
      <c r="AA17" s="46"/>
      <c r="AB17" s="46"/>
      <c r="AC17" s="46" t="e">
        <f t="shared" si="4"/>
        <v>#DIV/0!</v>
      </c>
      <c r="AD17" s="46" t="e">
        <f t="shared" si="5"/>
        <v>#DIV/0!</v>
      </c>
      <c r="AE17" s="46" t="e">
        <f t="shared" si="6"/>
        <v>#DIV/0!</v>
      </c>
      <c r="AF17" s="46" t="e">
        <f t="shared" si="7"/>
        <v>#DIV/0!</v>
      </c>
      <c r="AG17" s="46" t="e">
        <f t="shared" si="8"/>
        <v>#DIV/0!</v>
      </c>
      <c r="AH17" s="46" t="e">
        <f t="shared" si="9"/>
        <v>#DIV/0!</v>
      </c>
      <c r="AI17" s="46" t="e">
        <f t="shared" si="10"/>
        <v>#DIV/0!</v>
      </c>
      <c r="AJ17" s="46" t="e">
        <f t="shared" si="11"/>
        <v>#DIV/0!</v>
      </c>
      <c r="AK17" s="46" t="e">
        <f t="shared" si="12"/>
        <v>#DIV/0!</v>
      </c>
      <c r="AL17" s="46" t="e">
        <f>T$3+K17/ATM_Conf!$C$5</f>
        <v>#DIV/0!</v>
      </c>
      <c r="AM17" s="46" t="e">
        <f>U$3+L17/ATM_Conf!$C$5</f>
        <v>#DIV/0!</v>
      </c>
      <c r="AN17" s="46" t="e">
        <f>V$3+M17/ATM_Conf!$C$5</f>
        <v>#DIV/0!</v>
      </c>
      <c r="AO17" s="46" t="e">
        <f>W$3+N17/ATM_Conf!$C$5</f>
        <v>#DIV/0!</v>
      </c>
      <c r="AP17" s="46" t="e">
        <f>X$3+O17/ATM_Conf!$C$5</f>
        <v>#DIV/0!</v>
      </c>
      <c r="AQ17" s="46" t="e">
        <f>Y$3+P17/ATM_Conf!$C$5</f>
        <v>#DIV/0!</v>
      </c>
      <c r="AR17" s="46" t="e">
        <f>Z$3+Q17/ATM_Conf!$C$5</f>
        <v>#DIV/0!</v>
      </c>
      <c r="AS17" s="46" t="e">
        <f>AA$3+R17/ATM_Conf!$C$5</f>
        <v>#DIV/0!</v>
      </c>
      <c r="AT17" s="46" t="e">
        <f>AB$3+S17/ATM_Conf!$C$5</f>
        <v>#DIV/0!</v>
      </c>
      <c r="AU17" s="46" t="e">
        <f>BD$3*MIN(1,(ATM_Conf!$C$6-Links!F17)/(ATM_Conf!$C$6-ATM_Conf!$C$7))</f>
        <v>#DIV/0!</v>
      </c>
      <c r="AV17" s="46" t="e">
        <f>BE$3*MIN(1,(ATM_Conf!$C$6-Links!G17)/(ATM_Conf!$C$6-ATM_Conf!$C$7))</f>
        <v>#DIV/0!</v>
      </c>
      <c r="AW17" s="46" t="e">
        <f>BF$3*MIN(1,(ATM_Conf!$C$6-Links!H17)/(ATM_Conf!$C$6-ATM_Conf!$C$7))</f>
        <v>#DIV/0!</v>
      </c>
      <c r="AX17" s="46" t="e">
        <f>BG$3*MIN(1,(ATM_Conf!$C$6-Links!I17)/(ATM_Conf!$C$6-ATM_Conf!$C$7))</f>
        <v>#DIV/0!</v>
      </c>
      <c r="AY17" s="46" t="e">
        <f>BH$3*MIN(1,(ATM_Conf!$C$6-Links!J17)/(ATM_Conf!$C$6-ATM_Conf!$C$7))</f>
        <v>#DIV/0!</v>
      </c>
      <c r="AZ17" s="46" t="e">
        <f>BI$3*MIN(1,(ATM_Conf!$C$6-Links!K17)/(ATM_Conf!$C$6-ATM_Conf!$C$7))</f>
        <v>#DIV/0!</v>
      </c>
      <c r="BA17" s="46" t="e">
        <f>BJ$3*MIN(1,(ATM_Conf!$C$6-Links!L17)/(ATM_Conf!$C$6-ATM_Conf!$C$7))</f>
        <v>#DIV/0!</v>
      </c>
      <c r="BB17" s="46" t="e">
        <f>BK$3*MIN(1,(ATM_Conf!$C$6-Links!M17)/(ATM_Conf!$C$6-ATM_Conf!$C$7))</f>
        <v>#DIV/0!</v>
      </c>
      <c r="BC17" s="46" t="e">
        <f>BL$3*MIN(1,(ATM_Conf!$C$6-Links!N17)/(ATM_Conf!$C$6-ATM_Conf!$C$7))</f>
        <v>#DIV/0!</v>
      </c>
      <c r="BD17" s="46"/>
      <c r="BE17" s="46"/>
      <c r="BF17" s="46"/>
      <c r="BG17" s="46"/>
      <c r="BH17" s="46"/>
      <c r="BI17" s="46"/>
      <c r="BJ17" s="46"/>
      <c r="BK17" s="46"/>
      <c r="BL17" s="46"/>
      <c r="BM17" s="54"/>
      <c r="BN17" s="54"/>
      <c r="BO17" s="54"/>
      <c r="BP17" s="54"/>
      <c r="BQ17" s="54"/>
      <c r="BR17" s="54"/>
      <c r="BS17" s="54"/>
      <c r="BT17" s="54"/>
      <c r="BU17" s="54"/>
      <c r="BV17" s="46" t="e">
        <f t="shared" si="13"/>
        <v>#DIV/0!</v>
      </c>
      <c r="BW17" s="46" t="e">
        <f t="shared" si="14"/>
        <v>#DIV/0!</v>
      </c>
      <c r="BX17" s="46" t="e">
        <f t="shared" si="15"/>
        <v>#DIV/0!</v>
      </c>
      <c r="BY17" s="46" t="e">
        <f t="shared" si="16"/>
        <v>#DIV/0!</v>
      </c>
      <c r="BZ17" s="46" t="e">
        <f t="shared" si="17"/>
        <v>#DIV/0!</v>
      </c>
      <c r="CA17" s="46" t="e">
        <f t="shared" si="18"/>
        <v>#DIV/0!</v>
      </c>
      <c r="CB17" s="46" t="e">
        <f t="shared" si="19"/>
        <v>#DIV/0!</v>
      </c>
      <c r="CC17" s="46" t="e">
        <f t="shared" si="20"/>
        <v>#DIV/0!</v>
      </c>
      <c r="CD17" s="46" t="e">
        <f t="shared" si="21"/>
        <v>#DIV/0!</v>
      </c>
      <c r="CE17" s="56" t="e">
        <f t="shared" si="22"/>
        <v>#DIV/0!</v>
      </c>
      <c r="CF17" s="56" t="e">
        <f t="shared" si="23"/>
        <v>#DIV/0!</v>
      </c>
      <c r="CG17" s="56" t="e">
        <f t="shared" si="24"/>
        <v>#DIV/0!</v>
      </c>
      <c r="CH17" s="56" t="e">
        <f t="shared" si="25"/>
        <v>#DIV/0!</v>
      </c>
      <c r="CI17" s="56" t="e">
        <f t="shared" si="26"/>
        <v>#DIV/0!</v>
      </c>
      <c r="CJ17" s="56" t="e">
        <f t="shared" si="27"/>
        <v>#DIV/0!</v>
      </c>
      <c r="CK17" s="56" t="e">
        <f t="shared" si="28"/>
        <v>#DIV/0!</v>
      </c>
      <c r="CL17" s="56" t="e">
        <f t="shared" si="29"/>
        <v>#DIV/0!</v>
      </c>
      <c r="CM17" s="56" t="e">
        <f t="shared" si="30"/>
        <v>#DIV/0!</v>
      </c>
    </row>
    <row r="18" spans="1:91" x14ac:dyDescent="0.15">
      <c r="A18" s="43">
        <v>16</v>
      </c>
      <c r="B18" s="46">
        <f t="shared" si="34"/>
        <v>1</v>
      </c>
      <c r="C18" s="46">
        <f t="shared" si="33"/>
        <v>1</v>
      </c>
      <c r="D18" s="46">
        <f t="shared" si="33"/>
        <v>1</v>
      </c>
      <c r="E18" s="46">
        <f t="shared" si="33"/>
        <v>1</v>
      </c>
      <c r="F18" s="46">
        <f t="shared" si="33"/>
        <v>1</v>
      </c>
      <c r="G18" s="46">
        <f t="shared" si="33"/>
        <v>1</v>
      </c>
      <c r="H18" s="46">
        <f t="shared" si="33"/>
        <v>1</v>
      </c>
      <c r="I18" s="46">
        <f t="shared" si="33"/>
        <v>1</v>
      </c>
      <c r="J18" s="46">
        <f t="shared" si="33"/>
        <v>1</v>
      </c>
      <c r="K18" s="46" t="e">
        <f>K17+ATM_Conf!$C$5*(T17-AC17)</f>
        <v>#DIV/0!</v>
      </c>
      <c r="L18" s="46" t="e">
        <f>L17+ATM_Conf!$C$5*(U17-AD17)</f>
        <v>#DIV/0!</v>
      </c>
      <c r="M18" s="46" t="e">
        <f>M17+ATM_Conf!$C$5*(V17-AE17)</f>
        <v>#DIV/0!</v>
      </c>
      <c r="N18" s="46" t="e">
        <f>N17+ATM_Conf!$C$5*(W17-AF17)</f>
        <v>#DIV/0!</v>
      </c>
      <c r="O18" s="46" t="e">
        <f>O17+ATM_Conf!$C$5*(X17-AG17)</f>
        <v>#DIV/0!</v>
      </c>
      <c r="P18" s="46" t="e">
        <f>P17+ATM_Conf!$C$5*(Y17-AH17)</f>
        <v>#DIV/0!</v>
      </c>
      <c r="Q18" s="46" t="e">
        <f>Q17+ATM_Conf!$C$5*(Z17-AI17)</f>
        <v>#DIV/0!</v>
      </c>
      <c r="R18" s="46" t="e">
        <f>R17+ATM_Conf!$C$5*(AA17-AJ17)</f>
        <v>#DIV/0!</v>
      </c>
      <c r="S18" s="46" t="e">
        <f>S17+ATM_Conf!$C$5*(AB17-AK17)</f>
        <v>#DIV/0!</v>
      </c>
      <c r="T18" s="46"/>
      <c r="U18" s="46"/>
      <c r="V18" s="46"/>
      <c r="W18" s="46"/>
      <c r="X18" s="46"/>
      <c r="Y18" s="46"/>
      <c r="Z18" s="46"/>
      <c r="AA18" s="46"/>
      <c r="AB18" s="46"/>
      <c r="AC18" s="46" t="e">
        <f t="shared" si="4"/>
        <v>#DIV/0!</v>
      </c>
      <c r="AD18" s="46" t="e">
        <f t="shared" si="5"/>
        <v>#DIV/0!</v>
      </c>
      <c r="AE18" s="46" t="e">
        <f t="shared" si="6"/>
        <v>#DIV/0!</v>
      </c>
      <c r="AF18" s="46" t="e">
        <f t="shared" si="7"/>
        <v>#DIV/0!</v>
      </c>
      <c r="AG18" s="46" t="e">
        <f t="shared" si="8"/>
        <v>#DIV/0!</v>
      </c>
      <c r="AH18" s="46" t="e">
        <f t="shared" si="9"/>
        <v>#DIV/0!</v>
      </c>
      <c r="AI18" s="46" t="e">
        <f t="shared" si="10"/>
        <v>#DIV/0!</v>
      </c>
      <c r="AJ18" s="46" t="e">
        <f t="shared" si="11"/>
        <v>#DIV/0!</v>
      </c>
      <c r="AK18" s="46" t="e">
        <f t="shared" si="12"/>
        <v>#DIV/0!</v>
      </c>
      <c r="AL18" s="46" t="e">
        <f>T$3+K18/ATM_Conf!$C$5</f>
        <v>#DIV/0!</v>
      </c>
      <c r="AM18" s="46" t="e">
        <f>U$3+L18/ATM_Conf!$C$5</f>
        <v>#DIV/0!</v>
      </c>
      <c r="AN18" s="46" t="e">
        <f>V$3+M18/ATM_Conf!$C$5</f>
        <v>#DIV/0!</v>
      </c>
      <c r="AO18" s="46" t="e">
        <f>W$3+N18/ATM_Conf!$C$5</f>
        <v>#DIV/0!</v>
      </c>
      <c r="AP18" s="46" t="e">
        <f>X$3+O18/ATM_Conf!$C$5</f>
        <v>#DIV/0!</v>
      </c>
      <c r="AQ18" s="46" t="e">
        <f>Y$3+P18/ATM_Conf!$C$5</f>
        <v>#DIV/0!</v>
      </c>
      <c r="AR18" s="46" t="e">
        <f>Z$3+Q18/ATM_Conf!$C$5</f>
        <v>#DIV/0!</v>
      </c>
      <c r="AS18" s="46" t="e">
        <f>AA$3+R18/ATM_Conf!$C$5</f>
        <v>#DIV/0!</v>
      </c>
      <c r="AT18" s="46" t="e">
        <f>AB$3+S18/ATM_Conf!$C$5</f>
        <v>#DIV/0!</v>
      </c>
      <c r="AU18" s="46" t="e">
        <f>BD$3*MIN(1,(ATM_Conf!$C$6-Links!F18)/(ATM_Conf!$C$6-ATM_Conf!$C$7))</f>
        <v>#DIV/0!</v>
      </c>
      <c r="AV18" s="46" t="e">
        <f>BE$3*MIN(1,(ATM_Conf!$C$6-Links!G18)/(ATM_Conf!$C$6-ATM_Conf!$C$7))</f>
        <v>#DIV/0!</v>
      </c>
      <c r="AW18" s="46" t="e">
        <f>BF$3*MIN(1,(ATM_Conf!$C$6-Links!H18)/(ATM_Conf!$C$6-ATM_Conf!$C$7))</f>
        <v>#DIV/0!</v>
      </c>
      <c r="AX18" s="46" t="e">
        <f>BG$3*MIN(1,(ATM_Conf!$C$6-Links!I18)/(ATM_Conf!$C$6-ATM_Conf!$C$7))</f>
        <v>#DIV/0!</v>
      </c>
      <c r="AY18" s="46" t="e">
        <f>BH$3*MIN(1,(ATM_Conf!$C$6-Links!J18)/(ATM_Conf!$C$6-ATM_Conf!$C$7))</f>
        <v>#DIV/0!</v>
      </c>
      <c r="AZ18" s="46" t="e">
        <f>BI$3*MIN(1,(ATM_Conf!$C$6-Links!K18)/(ATM_Conf!$C$6-ATM_Conf!$C$7))</f>
        <v>#DIV/0!</v>
      </c>
      <c r="BA18" s="46" t="e">
        <f>BJ$3*MIN(1,(ATM_Conf!$C$6-Links!L18)/(ATM_Conf!$C$6-ATM_Conf!$C$7))</f>
        <v>#DIV/0!</v>
      </c>
      <c r="BB18" s="46" t="e">
        <f>BK$3*MIN(1,(ATM_Conf!$C$6-Links!M18)/(ATM_Conf!$C$6-ATM_Conf!$C$7))</f>
        <v>#DIV/0!</v>
      </c>
      <c r="BC18" s="46" t="e">
        <f>BL$3*MIN(1,(ATM_Conf!$C$6-Links!N18)/(ATM_Conf!$C$6-ATM_Conf!$C$7))</f>
        <v>#DIV/0!</v>
      </c>
      <c r="BD18" s="46"/>
      <c r="BE18" s="46"/>
      <c r="BF18" s="46"/>
      <c r="BG18" s="46"/>
      <c r="BH18" s="46"/>
      <c r="BI18" s="46"/>
      <c r="BJ18" s="46"/>
      <c r="BK18" s="46"/>
      <c r="BL18" s="46"/>
      <c r="BM18" s="54"/>
      <c r="BN18" s="54"/>
      <c r="BO18" s="54"/>
      <c r="BP18" s="54"/>
      <c r="BQ18" s="54"/>
      <c r="BR18" s="54"/>
      <c r="BS18" s="54"/>
      <c r="BT18" s="54"/>
      <c r="BU18" s="54"/>
      <c r="BV18" s="46" t="e">
        <f t="shared" si="13"/>
        <v>#DIV/0!</v>
      </c>
      <c r="BW18" s="46" t="e">
        <f t="shared" si="14"/>
        <v>#DIV/0!</v>
      </c>
      <c r="BX18" s="46" t="e">
        <f t="shared" si="15"/>
        <v>#DIV/0!</v>
      </c>
      <c r="BY18" s="46" t="e">
        <f t="shared" si="16"/>
        <v>#DIV/0!</v>
      </c>
      <c r="BZ18" s="46" t="e">
        <f t="shared" si="17"/>
        <v>#DIV/0!</v>
      </c>
      <c r="CA18" s="46" t="e">
        <f t="shared" si="18"/>
        <v>#DIV/0!</v>
      </c>
      <c r="CB18" s="46" t="e">
        <f t="shared" si="19"/>
        <v>#DIV/0!</v>
      </c>
      <c r="CC18" s="46" t="e">
        <f t="shared" si="20"/>
        <v>#DIV/0!</v>
      </c>
      <c r="CD18" s="46" t="e">
        <f t="shared" si="21"/>
        <v>#DIV/0!</v>
      </c>
      <c r="CE18" s="56" t="e">
        <f t="shared" si="22"/>
        <v>#DIV/0!</v>
      </c>
      <c r="CF18" s="56" t="e">
        <f t="shared" si="23"/>
        <v>#DIV/0!</v>
      </c>
      <c r="CG18" s="56" t="e">
        <f t="shared" si="24"/>
        <v>#DIV/0!</v>
      </c>
      <c r="CH18" s="56" t="e">
        <f t="shared" si="25"/>
        <v>#DIV/0!</v>
      </c>
      <c r="CI18" s="56" t="e">
        <f t="shared" si="26"/>
        <v>#DIV/0!</v>
      </c>
      <c r="CJ18" s="56" t="e">
        <f t="shared" si="27"/>
        <v>#DIV/0!</v>
      </c>
      <c r="CK18" s="56" t="e">
        <f t="shared" si="28"/>
        <v>#DIV/0!</v>
      </c>
      <c r="CL18" s="56" t="e">
        <f t="shared" si="29"/>
        <v>#DIV/0!</v>
      </c>
      <c r="CM18" s="56" t="e">
        <f t="shared" si="30"/>
        <v>#DIV/0!</v>
      </c>
    </row>
    <row r="19" spans="1:91" x14ac:dyDescent="0.15">
      <c r="A19" s="43">
        <v>17</v>
      </c>
      <c r="B19" s="46">
        <f t="shared" si="34"/>
        <v>1</v>
      </c>
      <c r="C19" s="46">
        <f t="shared" si="33"/>
        <v>1</v>
      </c>
      <c r="D19" s="46">
        <f t="shared" si="33"/>
        <v>1</v>
      </c>
      <c r="E19" s="46">
        <f t="shared" si="33"/>
        <v>1</v>
      </c>
      <c r="F19" s="46">
        <f t="shared" si="33"/>
        <v>1</v>
      </c>
      <c r="G19" s="46">
        <f t="shared" si="33"/>
        <v>1</v>
      </c>
      <c r="H19" s="46">
        <f t="shared" si="33"/>
        <v>1</v>
      </c>
      <c r="I19" s="46">
        <f t="shared" si="33"/>
        <v>1</v>
      </c>
      <c r="J19" s="46">
        <f t="shared" si="33"/>
        <v>1</v>
      </c>
      <c r="K19" s="46" t="e">
        <f>K18+ATM_Conf!$C$5*(T18-AC18)</f>
        <v>#DIV/0!</v>
      </c>
      <c r="L19" s="46" t="e">
        <f>L18+ATM_Conf!$C$5*(U18-AD18)</f>
        <v>#DIV/0!</v>
      </c>
      <c r="M19" s="46" t="e">
        <f>M18+ATM_Conf!$C$5*(V18-AE18)</f>
        <v>#DIV/0!</v>
      </c>
      <c r="N19" s="46" t="e">
        <f>N18+ATM_Conf!$C$5*(W18-AF18)</f>
        <v>#DIV/0!</v>
      </c>
      <c r="O19" s="46" t="e">
        <f>O18+ATM_Conf!$C$5*(X18-AG18)</f>
        <v>#DIV/0!</v>
      </c>
      <c r="P19" s="46" t="e">
        <f>P18+ATM_Conf!$C$5*(Y18-AH18)</f>
        <v>#DIV/0!</v>
      </c>
      <c r="Q19" s="46" t="e">
        <f>Q18+ATM_Conf!$C$5*(Z18-AI18)</f>
        <v>#DIV/0!</v>
      </c>
      <c r="R19" s="46" t="e">
        <f>R18+ATM_Conf!$C$5*(AA18-AJ18)</f>
        <v>#DIV/0!</v>
      </c>
      <c r="S19" s="46" t="e">
        <f>S18+ATM_Conf!$C$5*(AB18-AK18)</f>
        <v>#DIV/0!</v>
      </c>
      <c r="T19" s="46"/>
      <c r="U19" s="46"/>
      <c r="V19" s="46"/>
      <c r="W19" s="46"/>
      <c r="X19" s="46"/>
      <c r="Y19" s="46"/>
      <c r="Z19" s="46"/>
      <c r="AA19" s="46"/>
      <c r="AB19" s="46"/>
      <c r="AC19" s="46" t="e">
        <f t="shared" si="4"/>
        <v>#DIV/0!</v>
      </c>
      <c r="AD19" s="46" t="e">
        <f t="shared" si="5"/>
        <v>#DIV/0!</v>
      </c>
      <c r="AE19" s="46" t="e">
        <f t="shared" si="6"/>
        <v>#DIV/0!</v>
      </c>
      <c r="AF19" s="46" t="e">
        <f t="shared" si="7"/>
        <v>#DIV/0!</v>
      </c>
      <c r="AG19" s="46" t="e">
        <f t="shared" si="8"/>
        <v>#DIV/0!</v>
      </c>
      <c r="AH19" s="46" t="e">
        <f t="shared" si="9"/>
        <v>#DIV/0!</v>
      </c>
      <c r="AI19" s="46" t="e">
        <f t="shared" si="10"/>
        <v>#DIV/0!</v>
      </c>
      <c r="AJ19" s="46" t="e">
        <f t="shared" si="11"/>
        <v>#DIV/0!</v>
      </c>
      <c r="AK19" s="46" t="e">
        <f t="shared" si="12"/>
        <v>#DIV/0!</v>
      </c>
      <c r="AL19" s="46" t="e">
        <f>T$3+K19/ATM_Conf!$C$5</f>
        <v>#DIV/0!</v>
      </c>
      <c r="AM19" s="46" t="e">
        <f>U$3+L19/ATM_Conf!$C$5</f>
        <v>#DIV/0!</v>
      </c>
      <c r="AN19" s="46" t="e">
        <f>V$3+M19/ATM_Conf!$C$5</f>
        <v>#DIV/0!</v>
      </c>
      <c r="AO19" s="46" t="e">
        <f>W$3+N19/ATM_Conf!$C$5</f>
        <v>#DIV/0!</v>
      </c>
      <c r="AP19" s="46" t="e">
        <f>X$3+O19/ATM_Conf!$C$5</f>
        <v>#DIV/0!</v>
      </c>
      <c r="AQ19" s="46" t="e">
        <f>Y$3+P19/ATM_Conf!$C$5</f>
        <v>#DIV/0!</v>
      </c>
      <c r="AR19" s="46" t="e">
        <f>Z$3+Q19/ATM_Conf!$C$5</f>
        <v>#DIV/0!</v>
      </c>
      <c r="AS19" s="46" t="e">
        <f>AA$3+R19/ATM_Conf!$C$5</f>
        <v>#DIV/0!</v>
      </c>
      <c r="AT19" s="46" t="e">
        <f>AB$3+S19/ATM_Conf!$C$5</f>
        <v>#DIV/0!</v>
      </c>
      <c r="AU19" s="46" t="e">
        <f>BD$3*MIN(1,(ATM_Conf!$C$6-Links!F19)/(ATM_Conf!$C$6-ATM_Conf!$C$7))</f>
        <v>#DIV/0!</v>
      </c>
      <c r="AV19" s="46" t="e">
        <f>BE$3*MIN(1,(ATM_Conf!$C$6-Links!G19)/(ATM_Conf!$C$6-ATM_Conf!$C$7))</f>
        <v>#DIV/0!</v>
      </c>
      <c r="AW19" s="46" t="e">
        <f>BF$3*MIN(1,(ATM_Conf!$C$6-Links!H19)/(ATM_Conf!$C$6-ATM_Conf!$C$7))</f>
        <v>#DIV/0!</v>
      </c>
      <c r="AX19" s="46" t="e">
        <f>BG$3*MIN(1,(ATM_Conf!$C$6-Links!I19)/(ATM_Conf!$C$6-ATM_Conf!$C$7))</f>
        <v>#DIV/0!</v>
      </c>
      <c r="AY19" s="46" t="e">
        <f>BH$3*MIN(1,(ATM_Conf!$C$6-Links!J19)/(ATM_Conf!$C$6-ATM_Conf!$C$7))</f>
        <v>#DIV/0!</v>
      </c>
      <c r="AZ19" s="46" t="e">
        <f>BI$3*MIN(1,(ATM_Conf!$C$6-Links!K19)/(ATM_Conf!$C$6-ATM_Conf!$C$7))</f>
        <v>#DIV/0!</v>
      </c>
      <c r="BA19" s="46" t="e">
        <f>BJ$3*MIN(1,(ATM_Conf!$C$6-Links!L19)/(ATM_Conf!$C$6-ATM_Conf!$C$7))</f>
        <v>#DIV/0!</v>
      </c>
      <c r="BB19" s="46" t="e">
        <f>BK$3*MIN(1,(ATM_Conf!$C$6-Links!M19)/(ATM_Conf!$C$6-ATM_Conf!$C$7))</f>
        <v>#DIV/0!</v>
      </c>
      <c r="BC19" s="46" t="e">
        <f>BL$3*MIN(1,(ATM_Conf!$C$6-Links!N19)/(ATM_Conf!$C$6-ATM_Conf!$C$7))</f>
        <v>#DIV/0!</v>
      </c>
      <c r="BD19" s="46"/>
      <c r="BE19" s="46"/>
      <c r="BF19" s="46"/>
      <c r="BG19" s="46"/>
      <c r="BH19" s="46"/>
      <c r="BI19" s="46"/>
      <c r="BJ19" s="46"/>
      <c r="BK19" s="46"/>
      <c r="BL19" s="46"/>
      <c r="BM19" s="54"/>
      <c r="BN19" s="54"/>
      <c r="BO19" s="54"/>
      <c r="BP19" s="54"/>
      <c r="BQ19" s="54"/>
      <c r="BR19" s="54"/>
      <c r="BS19" s="54"/>
      <c r="BT19" s="54"/>
      <c r="BU19" s="54"/>
      <c r="BV19" s="46" t="e">
        <f t="shared" si="13"/>
        <v>#DIV/0!</v>
      </c>
      <c r="BW19" s="46" t="e">
        <f t="shared" si="14"/>
        <v>#DIV/0!</v>
      </c>
      <c r="BX19" s="46" t="e">
        <f t="shared" si="15"/>
        <v>#DIV/0!</v>
      </c>
      <c r="BY19" s="46" t="e">
        <f t="shared" si="16"/>
        <v>#DIV/0!</v>
      </c>
      <c r="BZ19" s="46" t="e">
        <f t="shared" si="17"/>
        <v>#DIV/0!</v>
      </c>
      <c r="CA19" s="46" t="e">
        <f t="shared" si="18"/>
        <v>#DIV/0!</v>
      </c>
      <c r="CB19" s="46" t="e">
        <f t="shared" si="19"/>
        <v>#DIV/0!</v>
      </c>
      <c r="CC19" s="46" t="e">
        <f t="shared" si="20"/>
        <v>#DIV/0!</v>
      </c>
      <c r="CD19" s="46" t="e">
        <f t="shared" si="21"/>
        <v>#DIV/0!</v>
      </c>
      <c r="CE19" s="56" t="e">
        <f t="shared" si="22"/>
        <v>#DIV/0!</v>
      </c>
      <c r="CF19" s="56" t="e">
        <f t="shared" si="23"/>
        <v>#DIV/0!</v>
      </c>
      <c r="CG19" s="56" t="e">
        <f t="shared" si="24"/>
        <v>#DIV/0!</v>
      </c>
      <c r="CH19" s="56" t="e">
        <f t="shared" si="25"/>
        <v>#DIV/0!</v>
      </c>
      <c r="CI19" s="56" t="e">
        <f t="shared" si="26"/>
        <v>#DIV/0!</v>
      </c>
      <c r="CJ19" s="56" t="e">
        <f t="shared" si="27"/>
        <v>#DIV/0!</v>
      </c>
      <c r="CK19" s="56" t="e">
        <f t="shared" si="28"/>
        <v>#DIV/0!</v>
      </c>
      <c r="CL19" s="56" t="e">
        <f t="shared" si="29"/>
        <v>#DIV/0!</v>
      </c>
      <c r="CM19" s="56" t="e">
        <f t="shared" si="30"/>
        <v>#DIV/0!</v>
      </c>
    </row>
    <row r="20" spans="1:91" x14ac:dyDescent="0.15">
      <c r="A20" s="43">
        <v>18</v>
      </c>
      <c r="B20" s="46">
        <f t="shared" si="34"/>
        <v>1</v>
      </c>
      <c r="C20" s="46">
        <f t="shared" si="33"/>
        <v>1</v>
      </c>
      <c r="D20" s="46">
        <f t="shared" si="33"/>
        <v>1</v>
      </c>
      <c r="E20" s="46">
        <f t="shared" si="33"/>
        <v>1</v>
      </c>
      <c r="F20" s="46">
        <f t="shared" si="33"/>
        <v>1</v>
      </c>
      <c r="G20" s="46">
        <f t="shared" si="33"/>
        <v>1</v>
      </c>
      <c r="H20" s="46">
        <f t="shared" si="33"/>
        <v>1</v>
      </c>
      <c r="I20" s="46">
        <f t="shared" si="33"/>
        <v>1</v>
      </c>
      <c r="J20" s="46">
        <f t="shared" si="33"/>
        <v>1</v>
      </c>
      <c r="K20" s="46" t="e">
        <f>K19+ATM_Conf!$C$5*(T19-AC19)</f>
        <v>#DIV/0!</v>
      </c>
      <c r="L20" s="46" t="e">
        <f>L19+ATM_Conf!$C$5*(U19-AD19)</f>
        <v>#DIV/0!</v>
      </c>
      <c r="M20" s="46" t="e">
        <f>M19+ATM_Conf!$C$5*(V19-AE19)</f>
        <v>#DIV/0!</v>
      </c>
      <c r="N20" s="46" t="e">
        <f>N19+ATM_Conf!$C$5*(W19-AF19)</f>
        <v>#DIV/0!</v>
      </c>
      <c r="O20" s="46" t="e">
        <f>O19+ATM_Conf!$C$5*(X19-AG19)</f>
        <v>#DIV/0!</v>
      </c>
      <c r="P20" s="46" t="e">
        <f>P19+ATM_Conf!$C$5*(Y19-AH19)</f>
        <v>#DIV/0!</v>
      </c>
      <c r="Q20" s="46" t="e">
        <f>Q19+ATM_Conf!$C$5*(Z19-AI19)</f>
        <v>#DIV/0!</v>
      </c>
      <c r="R20" s="46" t="e">
        <f>R19+ATM_Conf!$C$5*(AA19-AJ19)</f>
        <v>#DIV/0!</v>
      </c>
      <c r="S20" s="46" t="e">
        <f>S19+ATM_Conf!$C$5*(AB19-AK19)</f>
        <v>#DIV/0!</v>
      </c>
      <c r="T20" s="46"/>
      <c r="U20" s="46"/>
      <c r="V20" s="46"/>
      <c r="W20" s="46"/>
      <c r="X20" s="46"/>
      <c r="Y20" s="46"/>
      <c r="Z20" s="46"/>
      <c r="AA20" s="46"/>
      <c r="AB20" s="46"/>
      <c r="AC20" s="46" t="e">
        <f t="shared" si="4"/>
        <v>#DIV/0!</v>
      </c>
      <c r="AD20" s="46" t="e">
        <f t="shared" si="5"/>
        <v>#DIV/0!</v>
      </c>
      <c r="AE20" s="46" t="e">
        <f t="shared" si="6"/>
        <v>#DIV/0!</v>
      </c>
      <c r="AF20" s="46" t="e">
        <f t="shared" si="7"/>
        <v>#DIV/0!</v>
      </c>
      <c r="AG20" s="46" t="e">
        <f t="shared" si="8"/>
        <v>#DIV/0!</v>
      </c>
      <c r="AH20" s="46" t="e">
        <f t="shared" si="9"/>
        <v>#DIV/0!</v>
      </c>
      <c r="AI20" s="46" t="e">
        <f t="shared" si="10"/>
        <v>#DIV/0!</v>
      </c>
      <c r="AJ20" s="46" t="e">
        <f t="shared" si="11"/>
        <v>#DIV/0!</v>
      </c>
      <c r="AK20" s="46" t="e">
        <f t="shared" si="12"/>
        <v>#DIV/0!</v>
      </c>
      <c r="AL20" s="46" t="e">
        <f>T$3+K20/ATM_Conf!$C$5</f>
        <v>#DIV/0!</v>
      </c>
      <c r="AM20" s="46" t="e">
        <f>U$3+L20/ATM_Conf!$C$5</f>
        <v>#DIV/0!</v>
      </c>
      <c r="AN20" s="46" t="e">
        <f>V$3+M20/ATM_Conf!$C$5</f>
        <v>#DIV/0!</v>
      </c>
      <c r="AO20" s="46" t="e">
        <f>W$3+N20/ATM_Conf!$C$5</f>
        <v>#DIV/0!</v>
      </c>
      <c r="AP20" s="46" t="e">
        <f>X$3+O20/ATM_Conf!$C$5</f>
        <v>#DIV/0!</v>
      </c>
      <c r="AQ20" s="46" t="e">
        <f>Y$3+P20/ATM_Conf!$C$5</f>
        <v>#DIV/0!</v>
      </c>
      <c r="AR20" s="46" t="e">
        <f>Z$3+Q20/ATM_Conf!$C$5</f>
        <v>#DIV/0!</v>
      </c>
      <c r="AS20" s="46" t="e">
        <f>AA$3+R20/ATM_Conf!$C$5</f>
        <v>#DIV/0!</v>
      </c>
      <c r="AT20" s="46" t="e">
        <f>AB$3+S20/ATM_Conf!$C$5</f>
        <v>#DIV/0!</v>
      </c>
      <c r="AU20" s="46" t="e">
        <f>BD$3*MIN(1,(ATM_Conf!$C$6-Links!F20)/(ATM_Conf!$C$6-ATM_Conf!$C$7))</f>
        <v>#DIV/0!</v>
      </c>
      <c r="AV20" s="46" t="e">
        <f>BE$3*MIN(1,(ATM_Conf!$C$6-Links!G20)/(ATM_Conf!$C$6-ATM_Conf!$C$7))</f>
        <v>#DIV/0!</v>
      </c>
      <c r="AW20" s="46" t="e">
        <f>BF$3*MIN(1,(ATM_Conf!$C$6-Links!H20)/(ATM_Conf!$C$6-ATM_Conf!$C$7))</f>
        <v>#DIV/0!</v>
      </c>
      <c r="AX20" s="46" t="e">
        <f>BG$3*MIN(1,(ATM_Conf!$C$6-Links!I20)/(ATM_Conf!$C$6-ATM_Conf!$C$7))</f>
        <v>#DIV/0!</v>
      </c>
      <c r="AY20" s="46" t="e">
        <f>BH$3*MIN(1,(ATM_Conf!$C$6-Links!J20)/(ATM_Conf!$C$6-ATM_Conf!$C$7))</f>
        <v>#DIV/0!</v>
      </c>
      <c r="AZ20" s="46" t="e">
        <f>BI$3*MIN(1,(ATM_Conf!$C$6-Links!K20)/(ATM_Conf!$C$6-ATM_Conf!$C$7))</f>
        <v>#DIV/0!</v>
      </c>
      <c r="BA20" s="46" t="e">
        <f>BJ$3*MIN(1,(ATM_Conf!$C$6-Links!L20)/(ATM_Conf!$C$6-ATM_Conf!$C$7))</f>
        <v>#DIV/0!</v>
      </c>
      <c r="BB20" s="46" t="e">
        <f>BK$3*MIN(1,(ATM_Conf!$C$6-Links!M20)/(ATM_Conf!$C$6-ATM_Conf!$C$7))</f>
        <v>#DIV/0!</v>
      </c>
      <c r="BC20" s="46" t="e">
        <f>BL$3*MIN(1,(ATM_Conf!$C$6-Links!N20)/(ATM_Conf!$C$6-ATM_Conf!$C$7))</f>
        <v>#DIV/0!</v>
      </c>
      <c r="BD20" s="46"/>
      <c r="BE20" s="46"/>
      <c r="BF20" s="46"/>
      <c r="BG20" s="46"/>
      <c r="BH20" s="46"/>
      <c r="BI20" s="46"/>
      <c r="BJ20" s="46"/>
      <c r="BK20" s="46"/>
      <c r="BL20" s="46"/>
      <c r="BM20" s="54"/>
      <c r="BN20" s="54"/>
      <c r="BO20" s="54"/>
      <c r="BP20" s="54"/>
      <c r="BQ20" s="54"/>
      <c r="BR20" s="54"/>
      <c r="BS20" s="54"/>
      <c r="BT20" s="54"/>
      <c r="BU20" s="54"/>
      <c r="BV20" s="46" t="e">
        <f t="shared" si="13"/>
        <v>#DIV/0!</v>
      </c>
      <c r="BW20" s="46" t="e">
        <f t="shared" si="14"/>
        <v>#DIV/0!</v>
      </c>
      <c r="BX20" s="46" t="e">
        <f t="shared" si="15"/>
        <v>#DIV/0!</v>
      </c>
      <c r="BY20" s="46" t="e">
        <f t="shared" si="16"/>
        <v>#DIV/0!</v>
      </c>
      <c r="BZ20" s="46" t="e">
        <f t="shared" si="17"/>
        <v>#DIV/0!</v>
      </c>
      <c r="CA20" s="46" t="e">
        <f t="shared" si="18"/>
        <v>#DIV/0!</v>
      </c>
      <c r="CB20" s="46" t="e">
        <f t="shared" si="19"/>
        <v>#DIV/0!</v>
      </c>
      <c r="CC20" s="46" t="e">
        <f t="shared" si="20"/>
        <v>#DIV/0!</v>
      </c>
      <c r="CD20" s="46" t="e">
        <f t="shared" si="21"/>
        <v>#DIV/0!</v>
      </c>
      <c r="CE20" s="56" t="e">
        <f t="shared" si="22"/>
        <v>#DIV/0!</v>
      </c>
      <c r="CF20" s="56" t="e">
        <f t="shared" si="23"/>
        <v>#DIV/0!</v>
      </c>
      <c r="CG20" s="56" t="e">
        <f t="shared" si="24"/>
        <v>#DIV/0!</v>
      </c>
      <c r="CH20" s="56" t="e">
        <f t="shared" si="25"/>
        <v>#DIV/0!</v>
      </c>
      <c r="CI20" s="56" t="e">
        <f t="shared" si="26"/>
        <v>#DIV/0!</v>
      </c>
      <c r="CJ20" s="56" t="e">
        <f t="shared" si="27"/>
        <v>#DIV/0!</v>
      </c>
      <c r="CK20" s="56" t="e">
        <f t="shared" si="28"/>
        <v>#DIV/0!</v>
      </c>
      <c r="CL20" s="56" t="e">
        <f t="shared" si="29"/>
        <v>#DIV/0!</v>
      </c>
      <c r="CM20" s="56" t="e">
        <f t="shared" si="30"/>
        <v>#DIV/0!</v>
      </c>
    </row>
    <row r="21" spans="1:91" x14ac:dyDescent="0.15">
      <c r="A21" s="43">
        <v>19</v>
      </c>
      <c r="B21" s="46">
        <f t="shared" si="34"/>
        <v>1</v>
      </c>
      <c r="C21" s="46">
        <f t="shared" si="33"/>
        <v>1</v>
      </c>
      <c r="D21" s="46">
        <f t="shared" si="33"/>
        <v>1</v>
      </c>
      <c r="E21" s="46">
        <f t="shared" si="33"/>
        <v>1</v>
      </c>
      <c r="F21" s="46">
        <f t="shared" si="33"/>
        <v>1</v>
      </c>
      <c r="G21" s="46">
        <f t="shared" si="33"/>
        <v>1</v>
      </c>
      <c r="H21" s="46">
        <f t="shared" si="33"/>
        <v>1</v>
      </c>
      <c r="I21" s="46">
        <f t="shared" si="33"/>
        <v>1</v>
      </c>
      <c r="J21" s="46">
        <f t="shared" si="33"/>
        <v>1</v>
      </c>
      <c r="K21" s="46" t="e">
        <f>K20+ATM_Conf!$C$5*(T20-AC20)</f>
        <v>#DIV/0!</v>
      </c>
      <c r="L21" s="46" t="e">
        <f>L20+ATM_Conf!$C$5*(U20-AD20)</f>
        <v>#DIV/0!</v>
      </c>
      <c r="M21" s="46" t="e">
        <f>M20+ATM_Conf!$C$5*(V20-AE20)</f>
        <v>#DIV/0!</v>
      </c>
      <c r="N21" s="46" t="e">
        <f>N20+ATM_Conf!$C$5*(W20-AF20)</f>
        <v>#DIV/0!</v>
      </c>
      <c r="O21" s="46" t="e">
        <f>O20+ATM_Conf!$C$5*(X20-AG20)</f>
        <v>#DIV/0!</v>
      </c>
      <c r="P21" s="46" t="e">
        <f>P20+ATM_Conf!$C$5*(Y20-AH20)</f>
        <v>#DIV/0!</v>
      </c>
      <c r="Q21" s="46" t="e">
        <f>Q20+ATM_Conf!$C$5*(Z20-AI20)</f>
        <v>#DIV/0!</v>
      </c>
      <c r="R21" s="46" t="e">
        <f>R20+ATM_Conf!$C$5*(AA20-AJ20)</f>
        <v>#DIV/0!</v>
      </c>
      <c r="S21" s="46" t="e">
        <f>S20+ATM_Conf!$C$5*(AB20-AK20)</f>
        <v>#DIV/0!</v>
      </c>
      <c r="T21" s="46"/>
      <c r="U21" s="46"/>
      <c r="V21" s="46"/>
      <c r="W21" s="46"/>
      <c r="X21" s="46"/>
      <c r="Y21" s="46"/>
      <c r="Z21" s="46"/>
      <c r="AA21" s="46"/>
      <c r="AB21" s="46"/>
      <c r="AC21" s="46" t="e">
        <f t="shared" si="4"/>
        <v>#DIV/0!</v>
      </c>
      <c r="AD21" s="46" t="e">
        <f t="shared" si="5"/>
        <v>#DIV/0!</v>
      </c>
      <c r="AE21" s="46" t="e">
        <f t="shared" si="6"/>
        <v>#DIV/0!</v>
      </c>
      <c r="AF21" s="46" t="e">
        <f t="shared" si="7"/>
        <v>#DIV/0!</v>
      </c>
      <c r="AG21" s="46" t="e">
        <f t="shared" si="8"/>
        <v>#DIV/0!</v>
      </c>
      <c r="AH21" s="46" t="e">
        <f t="shared" si="9"/>
        <v>#DIV/0!</v>
      </c>
      <c r="AI21" s="46" t="e">
        <f t="shared" si="10"/>
        <v>#DIV/0!</v>
      </c>
      <c r="AJ21" s="46" t="e">
        <f t="shared" si="11"/>
        <v>#DIV/0!</v>
      </c>
      <c r="AK21" s="46" t="e">
        <f t="shared" si="12"/>
        <v>#DIV/0!</v>
      </c>
      <c r="AL21" s="46" t="e">
        <f>T$3+K21/ATM_Conf!$C$5</f>
        <v>#DIV/0!</v>
      </c>
      <c r="AM21" s="46" t="e">
        <f>U$3+L21/ATM_Conf!$C$5</f>
        <v>#DIV/0!</v>
      </c>
      <c r="AN21" s="46" t="e">
        <f>V$3+M21/ATM_Conf!$C$5</f>
        <v>#DIV/0!</v>
      </c>
      <c r="AO21" s="46" t="e">
        <f>W$3+N21/ATM_Conf!$C$5</f>
        <v>#DIV/0!</v>
      </c>
      <c r="AP21" s="46" t="e">
        <f>X$3+O21/ATM_Conf!$C$5</f>
        <v>#DIV/0!</v>
      </c>
      <c r="AQ21" s="46" t="e">
        <f>Y$3+P21/ATM_Conf!$C$5</f>
        <v>#DIV/0!</v>
      </c>
      <c r="AR21" s="46" t="e">
        <f>Z$3+Q21/ATM_Conf!$C$5</f>
        <v>#DIV/0!</v>
      </c>
      <c r="AS21" s="46" t="e">
        <f>AA$3+R21/ATM_Conf!$C$5</f>
        <v>#DIV/0!</v>
      </c>
      <c r="AT21" s="46" t="e">
        <f>AB$3+S21/ATM_Conf!$C$5</f>
        <v>#DIV/0!</v>
      </c>
      <c r="AU21" s="46" t="e">
        <f>BD$3*MIN(1,(ATM_Conf!$C$6-Links!F21)/(ATM_Conf!$C$6-ATM_Conf!$C$7))</f>
        <v>#DIV/0!</v>
      </c>
      <c r="AV21" s="46" t="e">
        <f>BE$3*MIN(1,(ATM_Conf!$C$6-Links!G21)/(ATM_Conf!$C$6-ATM_Conf!$C$7))</f>
        <v>#DIV/0!</v>
      </c>
      <c r="AW21" s="46" t="e">
        <f>BF$3*MIN(1,(ATM_Conf!$C$6-Links!H21)/(ATM_Conf!$C$6-ATM_Conf!$C$7))</f>
        <v>#DIV/0!</v>
      </c>
      <c r="AX21" s="46" t="e">
        <f>BG$3*MIN(1,(ATM_Conf!$C$6-Links!I21)/(ATM_Conf!$C$6-ATM_Conf!$C$7))</f>
        <v>#DIV/0!</v>
      </c>
      <c r="AY21" s="46" t="e">
        <f>BH$3*MIN(1,(ATM_Conf!$C$6-Links!J21)/(ATM_Conf!$C$6-ATM_Conf!$C$7))</f>
        <v>#DIV/0!</v>
      </c>
      <c r="AZ21" s="46" t="e">
        <f>BI$3*MIN(1,(ATM_Conf!$C$6-Links!K21)/(ATM_Conf!$C$6-ATM_Conf!$C$7))</f>
        <v>#DIV/0!</v>
      </c>
      <c r="BA21" s="46" t="e">
        <f>BJ$3*MIN(1,(ATM_Conf!$C$6-Links!L21)/(ATM_Conf!$C$6-ATM_Conf!$C$7))</f>
        <v>#DIV/0!</v>
      </c>
      <c r="BB21" s="46" t="e">
        <f>BK$3*MIN(1,(ATM_Conf!$C$6-Links!M21)/(ATM_Conf!$C$6-ATM_Conf!$C$7))</f>
        <v>#DIV/0!</v>
      </c>
      <c r="BC21" s="46" t="e">
        <f>BL$3*MIN(1,(ATM_Conf!$C$6-Links!N21)/(ATM_Conf!$C$6-ATM_Conf!$C$7))</f>
        <v>#DIV/0!</v>
      </c>
      <c r="BD21" s="46"/>
      <c r="BE21" s="46"/>
      <c r="BF21" s="46"/>
      <c r="BG21" s="46"/>
      <c r="BH21" s="46"/>
      <c r="BI21" s="46"/>
      <c r="BJ21" s="46"/>
      <c r="BK21" s="46"/>
      <c r="BL21" s="46"/>
      <c r="BM21" s="54"/>
      <c r="BN21" s="54"/>
      <c r="BO21" s="54"/>
      <c r="BP21" s="54"/>
      <c r="BQ21" s="54"/>
      <c r="BR21" s="54"/>
      <c r="BS21" s="54"/>
      <c r="BT21" s="54"/>
      <c r="BU21" s="54"/>
      <c r="BV21" s="46" t="e">
        <f t="shared" si="13"/>
        <v>#DIV/0!</v>
      </c>
      <c r="BW21" s="46" t="e">
        <f t="shared" si="14"/>
        <v>#DIV/0!</v>
      </c>
      <c r="BX21" s="46" t="e">
        <f t="shared" si="15"/>
        <v>#DIV/0!</v>
      </c>
      <c r="BY21" s="46" t="e">
        <f t="shared" si="16"/>
        <v>#DIV/0!</v>
      </c>
      <c r="BZ21" s="46" t="e">
        <f t="shared" si="17"/>
        <v>#DIV/0!</v>
      </c>
      <c r="CA21" s="46" t="e">
        <f t="shared" si="18"/>
        <v>#DIV/0!</v>
      </c>
      <c r="CB21" s="46" t="e">
        <f t="shared" si="19"/>
        <v>#DIV/0!</v>
      </c>
      <c r="CC21" s="46" t="e">
        <f t="shared" si="20"/>
        <v>#DIV/0!</v>
      </c>
      <c r="CD21" s="46" t="e">
        <f t="shared" si="21"/>
        <v>#DIV/0!</v>
      </c>
      <c r="CE21" s="56" t="e">
        <f t="shared" si="22"/>
        <v>#DIV/0!</v>
      </c>
      <c r="CF21" s="56" t="e">
        <f t="shared" si="23"/>
        <v>#DIV/0!</v>
      </c>
      <c r="CG21" s="56" t="e">
        <f t="shared" si="24"/>
        <v>#DIV/0!</v>
      </c>
      <c r="CH21" s="56" t="e">
        <f t="shared" si="25"/>
        <v>#DIV/0!</v>
      </c>
      <c r="CI21" s="56" t="e">
        <f t="shared" si="26"/>
        <v>#DIV/0!</v>
      </c>
      <c r="CJ21" s="56" t="e">
        <f t="shared" si="27"/>
        <v>#DIV/0!</v>
      </c>
      <c r="CK21" s="56" t="e">
        <f t="shared" si="28"/>
        <v>#DIV/0!</v>
      </c>
      <c r="CL21" s="56" t="e">
        <f t="shared" si="29"/>
        <v>#DIV/0!</v>
      </c>
      <c r="CM21" s="56" t="e">
        <f t="shared" si="30"/>
        <v>#DIV/0!</v>
      </c>
    </row>
    <row r="22" spans="1:91" x14ac:dyDescent="0.15">
      <c r="A22" s="43">
        <v>20</v>
      </c>
      <c r="B22" s="46">
        <f t="shared" si="34"/>
        <v>1</v>
      </c>
      <c r="C22" s="46">
        <f t="shared" si="33"/>
        <v>1</v>
      </c>
      <c r="D22" s="46">
        <f t="shared" si="33"/>
        <v>1</v>
      </c>
      <c r="E22" s="46">
        <f t="shared" si="33"/>
        <v>1</v>
      </c>
      <c r="F22" s="46">
        <f t="shared" si="33"/>
        <v>1</v>
      </c>
      <c r="G22" s="46">
        <f t="shared" si="33"/>
        <v>1</v>
      </c>
      <c r="H22" s="46">
        <f t="shared" si="33"/>
        <v>1</v>
      </c>
      <c r="I22" s="46">
        <f t="shared" si="33"/>
        <v>1</v>
      </c>
      <c r="J22" s="46">
        <f t="shared" si="33"/>
        <v>1</v>
      </c>
      <c r="K22" s="46" t="e">
        <f>K21+ATM_Conf!$C$5*(T21-AC21)</f>
        <v>#DIV/0!</v>
      </c>
      <c r="L22" s="46" t="e">
        <f>L21+ATM_Conf!$C$5*(U21-AD21)</f>
        <v>#DIV/0!</v>
      </c>
      <c r="M22" s="46" t="e">
        <f>M21+ATM_Conf!$C$5*(V21-AE21)</f>
        <v>#DIV/0!</v>
      </c>
      <c r="N22" s="46" t="e">
        <f>N21+ATM_Conf!$C$5*(W21-AF21)</f>
        <v>#DIV/0!</v>
      </c>
      <c r="O22" s="46" t="e">
        <f>O21+ATM_Conf!$C$5*(X21-AG21)</f>
        <v>#DIV/0!</v>
      </c>
      <c r="P22" s="46" t="e">
        <f>P21+ATM_Conf!$C$5*(Y21-AH21)</f>
        <v>#DIV/0!</v>
      </c>
      <c r="Q22" s="46" t="e">
        <f>Q21+ATM_Conf!$C$5*(Z21-AI21)</f>
        <v>#DIV/0!</v>
      </c>
      <c r="R22" s="46" t="e">
        <f>R21+ATM_Conf!$C$5*(AA21-AJ21)</f>
        <v>#DIV/0!</v>
      </c>
      <c r="S22" s="46" t="e">
        <f>S21+ATM_Conf!$C$5*(AB21-AK21)</f>
        <v>#DIV/0!</v>
      </c>
      <c r="T22" s="46"/>
      <c r="U22" s="46"/>
      <c r="V22" s="46"/>
      <c r="W22" s="46"/>
      <c r="X22" s="46"/>
      <c r="Y22" s="46"/>
      <c r="Z22" s="46"/>
      <c r="AA22" s="46"/>
      <c r="AB22" s="46"/>
      <c r="AC22" s="46" t="e">
        <f t="shared" si="4"/>
        <v>#DIV/0!</v>
      </c>
      <c r="AD22" s="46" t="e">
        <f t="shared" si="5"/>
        <v>#DIV/0!</v>
      </c>
      <c r="AE22" s="46" t="e">
        <f t="shared" si="6"/>
        <v>#DIV/0!</v>
      </c>
      <c r="AF22" s="46" t="e">
        <f t="shared" si="7"/>
        <v>#DIV/0!</v>
      </c>
      <c r="AG22" s="46" t="e">
        <f t="shared" si="8"/>
        <v>#DIV/0!</v>
      </c>
      <c r="AH22" s="46" t="e">
        <f t="shared" si="9"/>
        <v>#DIV/0!</v>
      </c>
      <c r="AI22" s="46" t="e">
        <f t="shared" si="10"/>
        <v>#DIV/0!</v>
      </c>
      <c r="AJ22" s="46" t="e">
        <f t="shared" si="11"/>
        <v>#DIV/0!</v>
      </c>
      <c r="AK22" s="46" t="e">
        <f t="shared" si="12"/>
        <v>#DIV/0!</v>
      </c>
      <c r="AL22" s="46" t="e">
        <f>T$3+K22/ATM_Conf!$C$5</f>
        <v>#DIV/0!</v>
      </c>
      <c r="AM22" s="46" t="e">
        <f>U$3+L22/ATM_Conf!$C$5</f>
        <v>#DIV/0!</v>
      </c>
      <c r="AN22" s="46" t="e">
        <f>V$3+M22/ATM_Conf!$C$5</f>
        <v>#DIV/0!</v>
      </c>
      <c r="AO22" s="46" t="e">
        <f>W$3+N22/ATM_Conf!$C$5</f>
        <v>#DIV/0!</v>
      </c>
      <c r="AP22" s="46" t="e">
        <f>X$3+O22/ATM_Conf!$C$5</f>
        <v>#DIV/0!</v>
      </c>
      <c r="AQ22" s="46" t="e">
        <f>Y$3+P22/ATM_Conf!$C$5</f>
        <v>#DIV/0!</v>
      </c>
      <c r="AR22" s="46" t="e">
        <f>Z$3+Q22/ATM_Conf!$C$5</f>
        <v>#DIV/0!</v>
      </c>
      <c r="AS22" s="46" t="e">
        <f>AA$3+R22/ATM_Conf!$C$5</f>
        <v>#DIV/0!</v>
      </c>
      <c r="AT22" s="46" t="e">
        <f>AB$3+S22/ATM_Conf!$C$5</f>
        <v>#DIV/0!</v>
      </c>
      <c r="AU22" s="46" t="e">
        <f>BD$3*MIN(1,(ATM_Conf!$C$6-Links!F22)/(ATM_Conf!$C$6-ATM_Conf!$C$7))</f>
        <v>#DIV/0!</v>
      </c>
      <c r="AV22" s="46" t="e">
        <f>BE$3*MIN(1,(ATM_Conf!$C$6-Links!G22)/(ATM_Conf!$C$6-ATM_Conf!$C$7))</f>
        <v>#DIV/0!</v>
      </c>
      <c r="AW22" s="46" t="e">
        <f>BF$3*MIN(1,(ATM_Conf!$C$6-Links!H22)/(ATM_Conf!$C$6-ATM_Conf!$C$7))</f>
        <v>#DIV/0!</v>
      </c>
      <c r="AX22" s="46" t="e">
        <f>BG$3*MIN(1,(ATM_Conf!$C$6-Links!I22)/(ATM_Conf!$C$6-ATM_Conf!$C$7))</f>
        <v>#DIV/0!</v>
      </c>
      <c r="AY22" s="46" t="e">
        <f>BH$3*MIN(1,(ATM_Conf!$C$6-Links!J22)/(ATM_Conf!$C$6-ATM_Conf!$C$7))</f>
        <v>#DIV/0!</v>
      </c>
      <c r="AZ22" s="46" t="e">
        <f>BI$3*MIN(1,(ATM_Conf!$C$6-Links!K22)/(ATM_Conf!$C$6-ATM_Conf!$C$7))</f>
        <v>#DIV/0!</v>
      </c>
      <c r="BA22" s="46" t="e">
        <f>BJ$3*MIN(1,(ATM_Conf!$C$6-Links!L22)/(ATM_Conf!$C$6-ATM_Conf!$C$7))</f>
        <v>#DIV/0!</v>
      </c>
      <c r="BB22" s="46" t="e">
        <f>BK$3*MIN(1,(ATM_Conf!$C$6-Links!M22)/(ATM_Conf!$C$6-ATM_Conf!$C$7))</f>
        <v>#DIV/0!</v>
      </c>
      <c r="BC22" s="46" t="e">
        <f>BL$3*MIN(1,(ATM_Conf!$C$6-Links!N22)/(ATM_Conf!$C$6-ATM_Conf!$C$7))</f>
        <v>#DIV/0!</v>
      </c>
      <c r="BD22" s="46"/>
      <c r="BE22" s="46"/>
      <c r="BF22" s="46"/>
      <c r="BG22" s="46"/>
      <c r="BH22" s="46"/>
      <c r="BI22" s="46"/>
      <c r="BJ22" s="46"/>
      <c r="BK22" s="46"/>
      <c r="BL22" s="46"/>
      <c r="BM22" s="54"/>
      <c r="BN22" s="54"/>
      <c r="BO22" s="54"/>
      <c r="BP22" s="54"/>
      <c r="BQ22" s="54"/>
      <c r="BR22" s="54"/>
      <c r="BS22" s="54"/>
      <c r="BT22" s="54"/>
      <c r="BU22" s="54"/>
      <c r="BV22" s="46" t="e">
        <f t="shared" si="13"/>
        <v>#DIV/0!</v>
      </c>
      <c r="BW22" s="46" t="e">
        <f t="shared" si="14"/>
        <v>#DIV/0!</v>
      </c>
      <c r="BX22" s="46" t="e">
        <f t="shared" si="15"/>
        <v>#DIV/0!</v>
      </c>
      <c r="BY22" s="46" t="e">
        <f t="shared" si="16"/>
        <v>#DIV/0!</v>
      </c>
      <c r="BZ22" s="46" t="e">
        <f t="shared" si="17"/>
        <v>#DIV/0!</v>
      </c>
      <c r="CA22" s="46" t="e">
        <f t="shared" si="18"/>
        <v>#DIV/0!</v>
      </c>
      <c r="CB22" s="46" t="e">
        <f t="shared" si="19"/>
        <v>#DIV/0!</v>
      </c>
      <c r="CC22" s="46" t="e">
        <f t="shared" si="20"/>
        <v>#DIV/0!</v>
      </c>
      <c r="CD22" s="46" t="e">
        <f t="shared" si="21"/>
        <v>#DIV/0!</v>
      </c>
      <c r="CE22" s="56" t="e">
        <f t="shared" si="22"/>
        <v>#DIV/0!</v>
      </c>
      <c r="CF22" s="56" t="e">
        <f t="shared" si="23"/>
        <v>#DIV/0!</v>
      </c>
      <c r="CG22" s="56" t="e">
        <f t="shared" si="24"/>
        <v>#DIV/0!</v>
      </c>
      <c r="CH22" s="56" t="e">
        <f t="shared" si="25"/>
        <v>#DIV/0!</v>
      </c>
      <c r="CI22" s="56" t="e">
        <f t="shared" si="26"/>
        <v>#DIV/0!</v>
      </c>
      <c r="CJ22" s="56" t="e">
        <f t="shared" si="27"/>
        <v>#DIV/0!</v>
      </c>
      <c r="CK22" s="56" t="e">
        <f t="shared" si="28"/>
        <v>#DIV/0!</v>
      </c>
      <c r="CL22" s="56" t="e">
        <f t="shared" si="29"/>
        <v>#DIV/0!</v>
      </c>
      <c r="CM22" s="56" t="e">
        <f t="shared" si="30"/>
        <v>#DIV/0!</v>
      </c>
    </row>
    <row r="23" spans="1:91" x14ac:dyDescent="0.15">
      <c r="A23" s="43">
        <v>21</v>
      </c>
      <c r="B23" s="46">
        <f t="shared" si="34"/>
        <v>1</v>
      </c>
      <c r="C23" s="46">
        <f t="shared" si="33"/>
        <v>1</v>
      </c>
      <c r="D23" s="46">
        <f t="shared" si="33"/>
        <v>1</v>
      </c>
      <c r="E23" s="46">
        <f t="shared" si="33"/>
        <v>1</v>
      </c>
      <c r="F23" s="46">
        <f t="shared" si="33"/>
        <v>1</v>
      </c>
      <c r="G23" s="46">
        <f t="shared" si="33"/>
        <v>1</v>
      </c>
      <c r="H23" s="46">
        <f t="shared" si="33"/>
        <v>1</v>
      </c>
      <c r="I23" s="46">
        <f t="shared" si="33"/>
        <v>1</v>
      </c>
      <c r="J23" s="46">
        <f t="shared" si="33"/>
        <v>1</v>
      </c>
      <c r="K23" s="46" t="e">
        <f>K22+ATM_Conf!$C$5*(T22-AC22)</f>
        <v>#DIV/0!</v>
      </c>
      <c r="L23" s="46" t="e">
        <f>L22+ATM_Conf!$C$5*(U22-AD22)</f>
        <v>#DIV/0!</v>
      </c>
      <c r="M23" s="46" t="e">
        <f>M22+ATM_Conf!$C$5*(V22-AE22)</f>
        <v>#DIV/0!</v>
      </c>
      <c r="N23" s="46" t="e">
        <f>N22+ATM_Conf!$C$5*(W22-AF22)</f>
        <v>#DIV/0!</v>
      </c>
      <c r="O23" s="46" t="e">
        <f>O22+ATM_Conf!$C$5*(X22-AG22)</f>
        <v>#DIV/0!</v>
      </c>
      <c r="P23" s="46" t="e">
        <f>P22+ATM_Conf!$C$5*(Y22-AH22)</f>
        <v>#DIV/0!</v>
      </c>
      <c r="Q23" s="46" t="e">
        <f>Q22+ATM_Conf!$C$5*(Z22-AI22)</f>
        <v>#DIV/0!</v>
      </c>
      <c r="R23" s="46" t="e">
        <f>R22+ATM_Conf!$C$5*(AA22-AJ22)</f>
        <v>#DIV/0!</v>
      </c>
      <c r="S23" s="46" t="e">
        <f>S22+ATM_Conf!$C$5*(AB22-AK22)</f>
        <v>#DIV/0!</v>
      </c>
      <c r="T23" s="46"/>
      <c r="U23" s="46"/>
      <c r="V23" s="46"/>
      <c r="W23" s="46"/>
      <c r="X23" s="46"/>
      <c r="Y23" s="46"/>
      <c r="Z23" s="46"/>
      <c r="AA23" s="46"/>
      <c r="AB23" s="46"/>
      <c r="AC23" s="46" t="e">
        <f t="shared" si="4"/>
        <v>#DIV/0!</v>
      </c>
      <c r="AD23" s="46" t="e">
        <f t="shared" si="5"/>
        <v>#DIV/0!</v>
      </c>
      <c r="AE23" s="46" t="e">
        <f t="shared" si="6"/>
        <v>#DIV/0!</v>
      </c>
      <c r="AF23" s="46" t="e">
        <f t="shared" si="7"/>
        <v>#DIV/0!</v>
      </c>
      <c r="AG23" s="46" t="e">
        <f t="shared" si="8"/>
        <v>#DIV/0!</v>
      </c>
      <c r="AH23" s="46" t="e">
        <f t="shared" si="9"/>
        <v>#DIV/0!</v>
      </c>
      <c r="AI23" s="46" t="e">
        <f t="shared" si="10"/>
        <v>#DIV/0!</v>
      </c>
      <c r="AJ23" s="46" t="e">
        <f t="shared" si="11"/>
        <v>#DIV/0!</v>
      </c>
      <c r="AK23" s="46" t="e">
        <f t="shared" si="12"/>
        <v>#DIV/0!</v>
      </c>
      <c r="AL23" s="46" t="e">
        <f>T$3+K23/ATM_Conf!$C$5</f>
        <v>#DIV/0!</v>
      </c>
      <c r="AM23" s="46" t="e">
        <f>U$3+L23/ATM_Conf!$C$5</f>
        <v>#DIV/0!</v>
      </c>
      <c r="AN23" s="46" t="e">
        <f>V$3+M23/ATM_Conf!$C$5</f>
        <v>#DIV/0!</v>
      </c>
      <c r="AO23" s="46" t="e">
        <f>W$3+N23/ATM_Conf!$C$5</f>
        <v>#DIV/0!</v>
      </c>
      <c r="AP23" s="46" t="e">
        <f>X$3+O23/ATM_Conf!$C$5</f>
        <v>#DIV/0!</v>
      </c>
      <c r="AQ23" s="46" t="e">
        <f>Y$3+P23/ATM_Conf!$C$5</f>
        <v>#DIV/0!</v>
      </c>
      <c r="AR23" s="46" t="e">
        <f>Z$3+Q23/ATM_Conf!$C$5</f>
        <v>#DIV/0!</v>
      </c>
      <c r="AS23" s="46" t="e">
        <f>AA$3+R23/ATM_Conf!$C$5</f>
        <v>#DIV/0!</v>
      </c>
      <c r="AT23" s="46" t="e">
        <f>AB$3+S23/ATM_Conf!$C$5</f>
        <v>#DIV/0!</v>
      </c>
      <c r="AU23" s="46" t="e">
        <f>BD$3*MIN(1,(ATM_Conf!$C$6-Links!F23)/(ATM_Conf!$C$6-ATM_Conf!$C$7))</f>
        <v>#DIV/0!</v>
      </c>
      <c r="AV23" s="46" t="e">
        <f>BE$3*MIN(1,(ATM_Conf!$C$6-Links!G23)/(ATM_Conf!$C$6-ATM_Conf!$C$7))</f>
        <v>#DIV/0!</v>
      </c>
      <c r="AW23" s="46" t="e">
        <f>BF$3*MIN(1,(ATM_Conf!$C$6-Links!H23)/(ATM_Conf!$C$6-ATM_Conf!$C$7))</f>
        <v>#DIV/0!</v>
      </c>
      <c r="AX23" s="46" t="e">
        <f>BG$3*MIN(1,(ATM_Conf!$C$6-Links!I23)/(ATM_Conf!$C$6-ATM_Conf!$C$7))</f>
        <v>#DIV/0!</v>
      </c>
      <c r="AY23" s="46" t="e">
        <f>BH$3*MIN(1,(ATM_Conf!$C$6-Links!J23)/(ATM_Conf!$C$6-ATM_Conf!$C$7))</f>
        <v>#DIV/0!</v>
      </c>
      <c r="AZ23" s="46" t="e">
        <f>BI$3*MIN(1,(ATM_Conf!$C$6-Links!K23)/(ATM_Conf!$C$6-ATM_Conf!$C$7))</f>
        <v>#DIV/0!</v>
      </c>
      <c r="BA23" s="46" t="e">
        <f>BJ$3*MIN(1,(ATM_Conf!$C$6-Links!L23)/(ATM_Conf!$C$6-ATM_Conf!$C$7))</f>
        <v>#DIV/0!</v>
      </c>
      <c r="BB23" s="46" t="e">
        <f>BK$3*MIN(1,(ATM_Conf!$C$6-Links!M23)/(ATM_Conf!$C$6-ATM_Conf!$C$7))</f>
        <v>#DIV/0!</v>
      </c>
      <c r="BC23" s="46" t="e">
        <f>BL$3*MIN(1,(ATM_Conf!$C$6-Links!N23)/(ATM_Conf!$C$6-ATM_Conf!$C$7))</f>
        <v>#DIV/0!</v>
      </c>
      <c r="BD23" s="46"/>
      <c r="BE23" s="46"/>
      <c r="BF23" s="46"/>
      <c r="BG23" s="46"/>
      <c r="BH23" s="46"/>
      <c r="BI23" s="46"/>
      <c r="BJ23" s="46"/>
      <c r="BK23" s="46"/>
      <c r="BL23" s="46"/>
      <c r="BM23" s="54"/>
      <c r="BN23" s="54"/>
      <c r="BO23" s="54"/>
      <c r="BP23" s="54"/>
      <c r="BQ23" s="54"/>
      <c r="BR23" s="54"/>
      <c r="BS23" s="54"/>
      <c r="BT23" s="54"/>
      <c r="BU23" s="54"/>
      <c r="BV23" s="46" t="e">
        <f t="shared" si="13"/>
        <v>#DIV/0!</v>
      </c>
      <c r="BW23" s="46" t="e">
        <f t="shared" si="14"/>
        <v>#DIV/0!</v>
      </c>
      <c r="BX23" s="46" t="e">
        <f t="shared" si="15"/>
        <v>#DIV/0!</v>
      </c>
      <c r="BY23" s="46" t="e">
        <f t="shared" si="16"/>
        <v>#DIV/0!</v>
      </c>
      <c r="BZ23" s="46" t="e">
        <f t="shared" si="17"/>
        <v>#DIV/0!</v>
      </c>
      <c r="CA23" s="46" t="e">
        <f t="shared" si="18"/>
        <v>#DIV/0!</v>
      </c>
      <c r="CB23" s="46" t="e">
        <f t="shared" si="19"/>
        <v>#DIV/0!</v>
      </c>
      <c r="CC23" s="46" t="e">
        <f t="shared" si="20"/>
        <v>#DIV/0!</v>
      </c>
      <c r="CD23" s="46" t="e">
        <f t="shared" si="21"/>
        <v>#DIV/0!</v>
      </c>
      <c r="CE23" s="56" t="e">
        <f t="shared" si="22"/>
        <v>#DIV/0!</v>
      </c>
      <c r="CF23" s="56" t="e">
        <f t="shared" si="23"/>
        <v>#DIV/0!</v>
      </c>
      <c r="CG23" s="56" t="e">
        <f t="shared" si="24"/>
        <v>#DIV/0!</v>
      </c>
      <c r="CH23" s="56" t="e">
        <f t="shared" si="25"/>
        <v>#DIV/0!</v>
      </c>
      <c r="CI23" s="56" t="e">
        <f t="shared" si="26"/>
        <v>#DIV/0!</v>
      </c>
      <c r="CJ23" s="56" t="e">
        <f t="shared" si="27"/>
        <v>#DIV/0!</v>
      </c>
      <c r="CK23" s="56" t="e">
        <f t="shared" si="28"/>
        <v>#DIV/0!</v>
      </c>
      <c r="CL23" s="56" t="e">
        <f t="shared" si="29"/>
        <v>#DIV/0!</v>
      </c>
      <c r="CM23" s="56" t="e">
        <f t="shared" si="30"/>
        <v>#DIV/0!</v>
      </c>
    </row>
    <row r="24" spans="1:91" x14ac:dyDescent="0.15">
      <c r="A24" s="43">
        <v>22</v>
      </c>
      <c r="B24" s="46">
        <f t="shared" si="34"/>
        <v>1</v>
      </c>
      <c r="C24" s="46">
        <f t="shared" si="33"/>
        <v>1</v>
      </c>
      <c r="D24" s="46">
        <f t="shared" si="33"/>
        <v>1</v>
      </c>
      <c r="E24" s="46">
        <f t="shared" si="33"/>
        <v>1</v>
      </c>
      <c r="F24" s="46">
        <f t="shared" si="33"/>
        <v>1</v>
      </c>
      <c r="G24" s="46">
        <f t="shared" si="33"/>
        <v>1</v>
      </c>
      <c r="H24" s="46">
        <f t="shared" si="33"/>
        <v>1</v>
      </c>
      <c r="I24" s="46">
        <f t="shared" si="33"/>
        <v>1</v>
      </c>
      <c r="J24" s="46">
        <f t="shared" si="33"/>
        <v>1</v>
      </c>
      <c r="K24" s="46" t="e">
        <f>K23+ATM_Conf!$C$5*(T23-AC23)</f>
        <v>#DIV/0!</v>
      </c>
      <c r="L24" s="46" t="e">
        <f>L23+ATM_Conf!$C$5*(U23-AD23)</f>
        <v>#DIV/0!</v>
      </c>
      <c r="M24" s="46" t="e">
        <f>M23+ATM_Conf!$C$5*(V23-AE23)</f>
        <v>#DIV/0!</v>
      </c>
      <c r="N24" s="46" t="e">
        <f>N23+ATM_Conf!$C$5*(W23-AF23)</f>
        <v>#DIV/0!</v>
      </c>
      <c r="O24" s="46" t="e">
        <f>O23+ATM_Conf!$C$5*(X23-AG23)</f>
        <v>#DIV/0!</v>
      </c>
      <c r="P24" s="46" t="e">
        <f>P23+ATM_Conf!$C$5*(Y23-AH23)</f>
        <v>#DIV/0!</v>
      </c>
      <c r="Q24" s="46" t="e">
        <f>Q23+ATM_Conf!$C$5*(Z23-AI23)</f>
        <v>#DIV/0!</v>
      </c>
      <c r="R24" s="46" t="e">
        <f>R23+ATM_Conf!$C$5*(AA23-AJ23)</f>
        <v>#DIV/0!</v>
      </c>
      <c r="S24" s="46" t="e">
        <f>S23+ATM_Conf!$C$5*(AB23-AK23)</f>
        <v>#DIV/0!</v>
      </c>
      <c r="T24" s="46"/>
      <c r="U24" s="46"/>
      <c r="V24" s="46"/>
      <c r="W24" s="46"/>
      <c r="X24" s="46"/>
      <c r="Y24" s="46"/>
      <c r="Z24" s="46"/>
      <c r="AA24" s="46"/>
      <c r="AB24" s="46"/>
      <c r="AC24" s="46" t="e">
        <f t="shared" si="4"/>
        <v>#DIV/0!</v>
      </c>
      <c r="AD24" s="46" t="e">
        <f t="shared" si="5"/>
        <v>#DIV/0!</v>
      </c>
      <c r="AE24" s="46" t="e">
        <f t="shared" si="6"/>
        <v>#DIV/0!</v>
      </c>
      <c r="AF24" s="46" t="e">
        <f t="shared" si="7"/>
        <v>#DIV/0!</v>
      </c>
      <c r="AG24" s="46" t="e">
        <f t="shared" si="8"/>
        <v>#DIV/0!</v>
      </c>
      <c r="AH24" s="46" t="e">
        <f t="shared" si="9"/>
        <v>#DIV/0!</v>
      </c>
      <c r="AI24" s="46" t="e">
        <f t="shared" si="10"/>
        <v>#DIV/0!</v>
      </c>
      <c r="AJ24" s="46" t="e">
        <f t="shared" si="11"/>
        <v>#DIV/0!</v>
      </c>
      <c r="AK24" s="46" t="e">
        <f t="shared" si="12"/>
        <v>#DIV/0!</v>
      </c>
      <c r="AL24" s="46" t="e">
        <f>T$3+K24/ATM_Conf!$C$5</f>
        <v>#DIV/0!</v>
      </c>
      <c r="AM24" s="46" t="e">
        <f>U$3+L24/ATM_Conf!$C$5</f>
        <v>#DIV/0!</v>
      </c>
      <c r="AN24" s="46" t="e">
        <f>V$3+M24/ATM_Conf!$C$5</f>
        <v>#DIV/0!</v>
      </c>
      <c r="AO24" s="46" t="e">
        <f>W$3+N24/ATM_Conf!$C$5</f>
        <v>#DIV/0!</v>
      </c>
      <c r="AP24" s="46" t="e">
        <f>X$3+O24/ATM_Conf!$C$5</f>
        <v>#DIV/0!</v>
      </c>
      <c r="AQ24" s="46" t="e">
        <f>Y$3+P24/ATM_Conf!$C$5</f>
        <v>#DIV/0!</v>
      </c>
      <c r="AR24" s="46" t="e">
        <f>Z$3+Q24/ATM_Conf!$C$5</f>
        <v>#DIV/0!</v>
      </c>
      <c r="AS24" s="46" t="e">
        <f>AA$3+R24/ATM_Conf!$C$5</f>
        <v>#DIV/0!</v>
      </c>
      <c r="AT24" s="46" t="e">
        <f>AB$3+S24/ATM_Conf!$C$5</f>
        <v>#DIV/0!</v>
      </c>
      <c r="AU24" s="46" t="e">
        <f>BD$3*MIN(1,(ATM_Conf!$C$6-Links!F24)/(ATM_Conf!$C$6-ATM_Conf!$C$7))</f>
        <v>#DIV/0!</v>
      </c>
      <c r="AV24" s="46" t="e">
        <f>BE$3*MIN(1,(ATM_Conf!$C$6-Links!G24)/(ATM_Conf!$C$6-ATM_Conf!$C$7))</f>
        <v>#DIV/0!</v>
      </c>
      <c r="AW24" s="46" t="e">
        <f>BF$3*MIN(1,(ATM_Conf!$C$6-Links!H24)/(ATM_Conf!$C$6-ATM_Conf!$C$7))</f>
        <v>#DIV/0!</v>
      </c>
      <c r="AX24" s="46" t="e">
        <f>BG$3*MIN(1,(ATM_Conf!$C$6-Links!I24)/(ATM_Conf!$C$6-ATM_Conf!$C$7))</f>
        <v>#DIV/0!</v>
      </c>
      <c r="AY24" s="46" t="e">
        <f>BH$3*MIN(1,(ATM_Conf!$C$6-Links!J24)/(ATM_Conf!$C$6-ATM_Conf!$C$7))</f>
        <v>#DIV/0!</v>
      </c>
      <c r="AZ24" s="46" t="e">
        <f>BI$3*MIN(1,(ATM_Conf!$C$6-Links!K24)/(ATM_Conf!$C$6-ATM_Conf!$C$7))</f>
        <v>#DIV/0!</v>
      </c>
      <c r="BA24" s="46" t="e">
        <f>BJ$3*MIN(1,(ATM_Conf!$C$6-Links!L24)/(ATM_Conf!$C$6-ATM_Conf!$C$7))</f>
        <v>#DIV/0!</v>
      </c>
      <c r="BB24" s="46" t="e">
        <f>BK$3*MIN(1,(ATM_Conf!$C$6-Links!M24)/(ATM_Conf!$C$6-ATM_Conf!$C$7))</f>
        <v>#DIV/0!</v>
      </c>
      <c r="BC24" s="46" t="e">
        <f>BL$3*MIN(1,(ATM_Conf!$C$6-Links!N24)/(ATM_Conf!$C$6-ATM_Conf!$C$7))</f>
        <v>#DIV/0!</v>
      </c>
      <c r="BD24" s="46"/>
      <c r="BE24" s="46"/>
      <c r="BF24" s="46"/>
      <c r="BG24" s="46"/>
      <c r="BH24" s="46"/>
      <c r="BI24" s="46"/>
      <c r="BJ24" s="46"/>
      <c r="BK24" s="46"/>
      <c r="BL24" s="46"/>
      <c r="BM24" s="54"/>
      <c r="BN24" s="54"/>
      <c r="BO24" s="54"/>
      <c r="BP24" s="54"/>
      <c r="BQ24" s="54"/>
      <c r="BR24" s="54"/>
      <c r="BS24" s="54"/>
      <c r="BT24" s="54"/>
      <c r="BU24" s="54"/>
      <c r="BV24" s="46" t="e">
        <f t="shared" si="13"/>
        <v>#DIV/0!</v>
      </c>
      <c r="BW24" s="46" t="e">
        <f t="shared" si="14"/>
        <v>#DIV/0!</v>
      </c>
      <c r="BX24" s="46" t="e">
        <f t="shared" si="15"/>
        <v>#DIV/0!</v>
      </c>
      <c r="BY24" s="46" t="e">
        <f t="shared" si="16"/>
        <v>#DIV/0!</v>
      </c>
      <c r="BZ24" s="46" t="e">
        <f t="shared" si="17"/>
        <v>#DIV/0!</v>
      </c>
      <c r="CA24" s="46" t="e">
        <f t="shared" si="18"/>
        <v>#DIV/0!</v>
      </c>
      <c r="CB24" s="46" t="e">
        <f t="shared" si="19"/>
        <v>#DIV/0!</v>
      </c>
      <c r="CC24" s="46" t="e">
        <f t="shared" si="20"/>
        <v>#DIV/0!</v>
      </c>
      <c r="CD24" s="46" t="e">
        <f t="shared" si="21"/>
        <v>#DIV/0!</v>
      </c>
      <c r="CE24" s="56" t="e">
        <f t="shared" si="22"/>
        <v>#DIV/0!</v>
      </c>
      <c r="CF24" s="56" t="e">
        <f t="shared" si="23"/>
        <v>#DIV/0!</v>
      </c>
      <c r="CG24" s="56" t="e">
        <f t="shared" si="24"/>
        <v>#DIV/0!</v>
      </c>
      <c r="CH24" s="56" t="e">
        <f t="shared" si="25"/>
        <v>#DIV/0!</v>
      </c>
      <c r="CI24" s="56" t="e">
        <f t="shared" si="26"/>
        <v>#DIV/0!</v>
      </c>
      <c r="CJ24" s="56" t="e">
        <f t="shared" si="27"/>
        <v>#DIV/0!</v>
      </c>
      <c r="CK24" s="56" t="e">
        <f t="shared" si="28"/>
        <v>#DIV/0!</v>
      </c>
      <c r="CL24" s="56" t="e">
        <f t="shared" si="29"/>
        <v>#DIV/0!</v>
      </c>
      <c r="CM24" s="56" t="e">
        <f t="shared" si="30"/>
        <v>#DIV/0!</v>
      </c>
    </row>
    <row r="25" spans="1:91" x14ac:dyDescent="0.15">
      <c r="A25" s="43">
        <v>23</v>
      </c>
      <c r="B25" s="46">
        <f t="shared" si="34"/>
        <v>1</v>
      </c>
      <c r="C25" s="46">
        <f t="shared" si="33"/>
        <v>1</v>
      </c>
      <c r="D25" s="46">
        <f t="shared" si="33"/>
        <v>1</v>
      </c>
      <c r="E25" s="46">
        <f t="shared" si="33"/>
        <v>1</v>
      </c>
      <c r="F25" s="46">
        <f t="shared" si="33"/>
        <v>1</v>
      </c>
      <c r="G25" s="46">
        <f t="shared" si="33"/>
        <v>1</v>
      </c>
      <c r="H25" s="46">
        <f t="shared" si="33"/>
        <v>1</v>
      </c>
      <c r="I25" s="46">
        <f t="shared" si="33"/>
        <v>1</v>
      </c>
      <c r="J25" s="46">
        <f t="shared" si="33"/>
        <v>1</v>
      </c>
      <c r="K25" s="46" t="e">
        <f>K24+ATM_Conf!$C$5*(T24-AC24)</f>
        <v>#DIV/0!</v>
      </c>
      <c r="L25" s="46" t="e">
        <f>L24+ATM_Conf!$C$5*(U24-AD24)</f>
        <v>#DIV/0!</v>
      </c>
      <c r="M25" s="46" t="e">
        <f>M24+ATM_Conf!$C$5*(V24-AE24)</f>
        <v>#DIV/0!</v>
      </c>
      <c r="N25" s="46" t="e">
        <f>N24+ATM_Conf!$C$5*(W24-AF24)</f>
        <v>#DIV/0!</v>
      </c>
      <c r="O25" s="46" t="e">
        <f>O24+ATM_Conf!$C$5*(X24-AG24)</f>
        <v>#DIV/0!</v>
      </c>
      <c r="P25" s="46" t="e">
        <f>P24+ATM_Conf!$C$5*(Y24-AH24)</f>
        <v>#DIV/0!</v>
      </c>
      <c r="Q25" s="46" t="e">
        <f>Q24+ATM_Conf!$C$5*(Z24-AI24)</f>
        <v>#DIV/0!</v>
      </c>
      <c r="R25" s="46" t="e">
        <f>R24+ATM_Conf!$C$5*(AA24-AJ24)</f>
        <v>#DIV/0!</v>
      </c>
      <c r="S25" s="46" t="e">
        <f>S24+ATM_Conf!$C$5*(AB24-AK24)</f>
        <v>#DIV/0!</v>
      </c>
      <c r="T25" s="46"/>
      <c r="U25" s="46"/>
      <c r="V25" s="46"/>
      <c r="W25" s="46"/>
      <c r="X25" s="46"/>
      <c r="Y25" s="46"/>
      <c r="Z25" s="46"/>
      <c r="AA25" s="46"/>
      <c r="AB25" s="46"/>
      <c r="AC25" s="46" t="e">
        <f t="shared" si="4"/>
        <v>#DIV/0!</v>
      </c>
      <c r="AD25" s="46" t="e">
        <f t="shared" si="5"/>
        <v>#DIV/0!</v>
      </c>
      <c r="AE25" s="46" t="e">
        <f t="shared" si="6"/>
        <v>#DIV/0!</v>
      </c>
      <c r="AF25" s="46" t="e">
        <f t="shared" si="7"/>
        <v>#DIV/0!</v>
      </c>
      <c r="AG25" s="46" t="e">
        <f t="shared" si="8"/>
        <v>#DIV/0!</v>
      </c>
      <c r="AH25" s="46" t="e">
        <f t="shared" si="9"/>
        <v>#DIV/0!</v>
      </c>
      <c r="AI25" s="46" t="e">
        <f t="shared" si="10"/>
        <v>#DIV/0!</v>
      </c>
      <c r="AJ25" s="46" t="e">
        <f t="shared" si="11"/>
        <v>#DIV/0!</v>
      </c>
      <c r="AK25" s="46" t="e">
        <f t="shared" si="12"/>
        <v>#DIV/0!</v>
      </c>
      <c r="AL25" s="46" t="e">
        <f>T$3+K25/ATM_Conf!$C$5</f>
        <v>#DIV/0!</v>
      </c>
      <c r="AM25" s="46" t="e">
        <f>U$3+L25/ATM_Conf!$C$5</f>
        <v>#DIV/0!</v>
      </c>
      <c r="AN25" s="46" t="e">
        <f>V$3+M25/ATM_Conf!$C$5</f>
        <v>#DIV/0!</v>
      </c>
      <c r="AO25" s="46" t="e">
        <f>W$3+N25/ATM_Conf!$C$5</f>
        <v>#DIV/0!</v>
      </c>
      <c r="AP25" s="46" t="e">
        <f>X$3+O25/ATM_Conf!$C$5</f>
        <v>#DIV/0!</v>
      </c>
      <c r="AQ25" s="46" t="e">
        <f>Y$3+P25/ATM_Conf!$C$5</f>
        <v>#DIV/0!</v>
      </c>
      <c r="AR25" s="46" t="e">
        <f>Z$3+Q25/ATM_Conf!$C$5</f>
        <v>#DIV/0!</v>
      </c>
      <c r="AS25" s="46" t="e">
        <f>AA$3+R25/ATM_Conf!$C$5</f>
        <v>#DIV/0!</v>
      </c>
      <c r="AT25" s="46" t="e">
        <f>AB$3+S25/ATM_Conf!$C$5</f>
        <v>#DIV/0!</v>
      </c>
      <c r="AU25" s="46" t="e">
        <f>BD$3*MIN(1,(ATM_Conf!$C$6-Links!F25)/(ATM_Conf!$C$6-ATM_Conf!$C$7))</f>
        <v>#DIV/0!</v>
      </c>
      <c r="AV25" s="46" t="e">
        <f>BE$3*MIN(1,(ATM_Conf!$C$6-Links!G25)/(ATM_Conf!$C$6-ATM_Conf!$C$7))</f>
        <v>#DIV/0!</v>
      </c>
      <c r="AW25" s="46" t="e">
        <f>BF$3*MIN(1,(ATM_Conf!$C$6-Links!H25)/(ATM_Conf!$C$6-ATM_Conf!$C$7))</f>
        <v>#DIV/0!</v>
      </c>
      <c r="AX25" s="46" t="e">
        <f>BG$3*MIN(1,(ATM_Conf!$C$6-Links!I25)/(ATM_Conf!$C$6-ATM_Conf!$C$7))</f>
        <v>#DIV/0!</v>
      </c>
      <c r="AY25" s="46" t="e">
        <f>BH$3*MIN(1,(ATM_Conf!$C$6-Links!J25)/(ATM_Conf!$C$6-ATM_Conf!$C$7))</f>
        <v>#DIV/0!</v>
      </c>
      <c r="AZ25" s="46" t="e">
        <f>BI$3*MIN(1,(ATM_Conf!$C$6-Links!K25)/(ATM_Conf!$C$6-ATM_Conf!$C$7))</f>
        <v>#DIV/0!</v>
      </c>
      <c r="BA25" s="46" t="e">
        <f>BJ$3*MIN(1,(ATM_Conf!$C$6-Links!L25)/(ATM_Conf!$C$6-ATM_Conf!$C$7))</f>
        <v>#DIV/0!</v>
      </c>
      <c r="BB25" s="46" t="e">
        <f>BK$3*MIN(1,(ATM_Conf!$C$6-Links!M25)/(ATM_Conf!$C$6-ATM_Conf!$C$7))</f>
        <v>#DIV/0!</v>
      </c>
      <c r="BC25" s="46" t="e">
        <f>BL$3*MIN(1,(ATM_Conf!$C$6-Links!N25)/(ATM_Conf!$C$6-ATM_Conf!$C$7))</f>
        <v>#DIV/0!</v>
      </c>
      <c r="BD25" s="46"/>
      <c r="BE25" s="46"/>
      <c r="BF25" s="46"/>
      <c r="BG25" s="46"/>
      <c r="BH25" s="46"/>
      <c r="BI25" s="46"/>
      <c r="BJ25" s="46"/>
      <c r="BK25" s="46"/>
      <c r="BL25" s="46"/>
      <c r="BM25" s="54"/>
      <c r="BN25" s="54"/>
      <c r="BO25" s="54"/>
      <c r="BP25" s="54"/>
      <c r="BQ25" s="54"/>
      <c r="BR25" s="54"/>
      <c r="BS25" s="54"/>
      <c r="BT25" s="54"/>
      <c r="BU25" s="54"/>
      <c r="BV25" s="46" t="e">
        <f t="shared" si="13"/>
        <v>#DIV/0!</v>
      </c>
      <c r="BW25" s="46" t="e">
        <f t="shared" si="14"/>
        <v>#DIV/0!</v>
      </c>
      <c r="BX25" s="46" t="e">
        <f t="shared" si="15"/>
        <v>#DIV/0!</v>
      </c>
      <c r="BY25" s="46" t="e">
        <f t="shared" si="16"/>
        <v>#DIV/0!</v>
      </c>
      <c r="BZ25" s="46" t="e">
        <f t="shared" si="17"/>
        <v>#DIV/0!</v>
      </c>
      <c r="CA25" s="46" t="e">
        <f t="shared" si="18"/>
        <v>#DIV/0!</v>
      </c>
      <c r="CB25" s="46" t="e">
        <f t="shared" si="19"/>
        <v>#DIV/0!</v>
      </c>
      <c r="CC25" s="46" t="e">
        <f t="shared" si="20"/>
        <v>#DIV/0!</v>
      </c>
      <c r="CD25" s="46" t="e">
        <f t="shared" si="21"/>
        <v>#DIV/0!</v>
      </c>
      <c r="CE25" s="56" t="e">
        <f t="shared" si="22"/>
        <v>#DIV/0!</v>
      </c>
      <c r="CF25" s="56" t="e">
        <f t="shared" si="23"/>
        <v>#DIV/0!</v>
      </c>
      <c r="CG25" s="56" t="e">
        <f t="shared" si="24"/>
        <v>#DIV/0!</v>
      </c>
      <c r="CH25" s="56" t="e">
        <f t="shared" si="25"/>
        <v>#DIV/0!</v>
      </c>
      <c r="CI25" s="56" t="e">
        <f t="shared" si="26"/>
        <v>#DIV/0!</v>
      </c>
      <c r="CJ25" s="56" t="e">
        <f t="shared" si="27"/>
        <v>#DIV/0!</v>
      </c>
      <c r="CK25" s="56" t="e">
        <f t="shared" si="28"/>
        <v>#DIV/0!</v>
      </c>
      <c r="CL25" s="56" t="e">
        <f t="shared" si="29"/>
        <v>#DIV/0!</v>
      </c>
      <c r="CM25" s="56" t="e">
        <f t="shared" si="30"/>
        <v>#DIV/0!</v>
      </c>
    </row>
    <row r="26" spans="1:91" x14ac:dyDescent="0.15">
      <c r="A26" s="43">
        <v>24</v>
      </c>
      <c r="B26" s="46">
        <f t="shared" si="34"/>
        <v>1</v>
      </c>
      <c r="C26" s="46">
        <f t="shared" si="33"/>
        <v>1</v>
      </c>
      <c r="D26" s="46">
        <f t="shared" si="33"/>
        <v>1</v>
      </c>
      <c r="E26" s="46">
        <f t="shared" si="33"/>
        <v>1</v>
      </c>
      <c r="F26" s="46">
        <f t="shared" si="33"/>
        <v>1</v>
      </c>
      <c r="G26" s="46">
        <f t="shared" si="33"/>
        <v>1</v>
      </c>
      <c r="H26" s="46">
        <f t="shared" si="33"/>
        <v>1</v>
      </c>
      <c r="I26" s="46">
        <f t="shared" si="33"/>
        <v>1</v>
      </c>
      <c r="J26" s="46">
        <f t="shared" si="33"/>
        <v>1</v>
      </c>
      <c r="K26" s="46" t="e">
        <f>K25+ATM_Conf!$C$5*(T25-AC25)</f>
        <v>#DIV/0!</v>
      </c>
      <c r="L26" s="46" t="e">
        <f>L25+ATM_Conf!$C$5*(U25-AD25)</f>
        <v>#DIV/0!</v>
      </c>
      <c r="M26" s="46" t="e">
        <f>M25+ATM_Conf!$C$5*(V25-AE25)</f>
        <v>#DIV/0!</v>
      </c>
      <c r="N26" s="46" t="e">
        <f>N25+ATM_Conf!$C$5*(W25-AF25)</f>
        <v>#DIV/0!</v>
      </c>
      <c r="O26" s="46" t="e">
        <f>O25+ATM_Conf!$C$5*(X25-AG25)</f>
        <v>#DIV/0!</v>
      </c>
      <c r="P26" s="46" t="e">
        <f>P25+ATM_Conf!$C$5*(Y25-AH25)</f>
        <v>#DIV/0!</v>
      </c>
      <c r="Q26" s="46" t="e">
        <f>Q25+ATM_Conf!$C$5*(Z25-AI25)</f>
        <v>#DIV/0!</v>
      </c>
      <c r="R26" s="46" t="e">
        <f>R25+ATM_Conf!$C$5*(AA25-AJ25)</f>
        <v>#DIV/0!</v>
      </c>
      <c r="S26" s="46" t="e">
        <f>S25+ATM_Conf!$C$5*(AB25-AK25)</f>
        <v>#DIV/0!</v>
      </c>
      <c r="T26" s="46"/>
      <c r="U26" s="46"/>
      <c r="V26" s="46"/>
      <c r="W26" s="46"/>
      <c r="X26" s="46"/>
      <c r="Y26" s="46"/>
      <c r="Z26" s="46"/>
      <c r="AA26" s="46"/>
      <c r="AB26" s="46"/>
      <c r="AC26" s="46" t="e">
        <f t="shared" si="4"/>
        <v>#DIV/0!</v>
      </c>
      <c r="AD26" s="46" t="e">
        <f t="shared" si="5"/>
        <v>#DIV/0!</v>
      </c>
      <c r="AE26" s="46" t="e">
        <f t="shared" si="6"/>
        <v>#DIV/0!</v>
      </c>
      <c r="AF26" s="46" t="e">
        <f t="shared" si="7"/>
        <v>#DIV/0!</v>
      </c>
      <c r="AG26" s="46" t="e">
        <f t="shared" si="8"/>
        <v>#DIV/0!</v>
      </c>
      <c r="AH26" s="46" t="e">
        <f t="shared" si="9"/>
        <v>#DIV/0!</v>
      </c>
      <c r="AI26" s="46" t="e">
        <f t="shared" si="10"/>
        <v>#DIV/0!</v>
      </c>
      <c r="AJ26" s="46" t="e">
        <f t="shared" si="11"/>
        <v>#DIV/0!</v>
      </c>
      <c r="AK26" s="46" t="e">
        <f t="shared" si="12"/>
        <v>#DIV/0!</v>
      </c>
      <c r="AL26" s="46" t="e">
        <f>T$3+K26/ATM_Conf!$C$5</f>
        <v>#DIV/0!</v>
      </c>
      <c r="AM26" s="46" t="e">
        <f>U$3+L26/ATM_Conf!$C$5</f>
        <v>#DIV/0!</v>
      </c>
      <c r="AN26" s="46" t="e">
        <f>V$3+M26/ATM_Conf!$C$5</f>
        <v>#DIV/0!</v>
      </c>
      <c r="AO26" s="46" t="e">
        <f>W$3+N26/ATM_Conf!$C$5</f>
        <v>#DIV/0!</v>
      </c>
      <c r="AP26" s="46" t="e">
        <f>X$3+O26/ATM_Conf!$C$5</f>
        <v>#DIV/0!</v>
      </c>
      <c r="AQ26" s="46" t="e">
        <f>Y$3+P26/ATM_Conf!$C$5</f>
        <v>#DIV/0!</v>
      </c>
      <c r="AR26" s="46" t="e">
        <f>Z$3+Q26/ATM_Conf!$C$5</f>
        <v>#DIV/0!</v>
      </c>
      <c r="AS26" s="46" t="e">
        <f>AA$3+R26/ATM_Conf!$C$5</f>
        <v>#DIV/0!</v>
      </c>
      <c r="AT26" s="46" t="e">
        <f>AB$3+S26/ATM_Conf!$C$5</f>
        <v>#DIV/0!</v>
      </c>
      <c r="AU26" s="46" t="e">
        <f>BD$3*MIN(1,(ATM_Conf!$C$6-Links!F26)/(ATM_Conf!$C$6-ATM_Conf!$C$7))</f>
        <v>#DIV/0!</v>
      </c>
      <c r="AV26" s="46" t="e">
        <f>BE$3*MIN(1,(ATM_Conf!$C$6-Links!G26)/(ATM_Conf!$C$6-ATM_Conf!$C$7))</f>
        <v>#DIV/0!</v>
      </c>
      <c r="AW26" s="46" t="e">
        <f>BF$3*MIN(1,(ATM_Conf!$C$6-Links!H26)/(ATM_Conf!$C$6-ATM_Conf!$C$7))</f>
        <v>#DIV/0!</v>
      </c>
      <c r="AX26" s="46" t="e">
        <f>BG$3*MIN(1,(ATM_Conf!$C$6-Links!I26)/(ATM_Conf!$C$6-ATM_Conf!$C$7))</f>
        <v>#DIV/0!</v>
      </c>
      <c r="AY26" s="46" t="e">
        <f>BH$3*MIN(1,(ATM_Conf!$C$6-Links!J26)/(ATM_Conf!$C$6-ATM_Conf!$C$7))</f>
        <v>#DIV/0!</v>
      </c>
      <c r="AZ26" s="46" t="e">
        <f>BI$3*MIN(1,(ATM_Conf!$C$6-Links!K26)/(ATM_Conf!$C$6-ATM_Conf!$C$7))</f>
        <v>#DIV/0!</v>
      </c>
      <c r="BA26" s="46" t="e">
        <f>BJ$3*MIN(1,(ATM_Conf!$C$6-Links!L26)/(ATM_Conf!$C$6-ATM_Conf!$C$7))</f>
        <v>#DIV/0!</v>
      </c>
      <c r="BB26" s="46" t="e">
        <f>BK$3*MIN(1,(ATM_Conf!$C$6-Links!M26)/(ATM_Conf!$C$6-ATM_Conf!$C$7))</f>
        <v>#DIV/0!</v>
      </c>
      <c r="BC26" s="46" t="e">
        <f>BL$3*MIN(1,(ATM_Conf!$C$6-Links!N26)/(ATM_Conf!$C$6-ATM_Conf!$C$7))</f>
        <v>#DIV/0!</v>
      </c>
      <c r="BD26" s="46"/>
      <c r="BE26" s="46"/>
      <c r="BF26" s="46"/>
      <c r="BG26" s="46"/>
      <c r="BH26" s="46"/>
      <c r="BI26" s="46"/>
      <c r="BJ26" s="46"/>
      <c r="BK26" s="46"/>
      <c r="BL26" s="46"/>
      <c r="BM26" s="54"/>
      <c r="BN26" s="54"/>
      <c r="BO26" s="54"/>
      <c r="BP26" s="54"/>
      <c r="BQ26" s="54"/>
      <c r="BR26" s="54"/>
      <c r="BS26" s="54"/>
      <c r="BT26" s="54"/>
      <c r="BU26" s="54"/>
      <c r="BV26" s="46" t="e">
        <f t="shared" si="13"/>
        <v>#DIV/0!</v>
      </c>
      <c r="BW26" s="46" t="e">
        <f t="shared" si="14"/>
        <v>#DIV/0!</v>
      </c>
      <c r="BX26" s="46" t="e">
        <f t="shared" si="15"/>
        <v>#DIV/0!</v>
      </c>
      <c r="BY26" s="46" t="e">
        <f t="shared" si="16"/>
        <v>#DIV/0!</v>
      </c>
      <c r="BZ26" s="46" t="e">
        <f t="shared" si="17"/>
        <v>#DIV/0!</v>
      </c>
      <c r="CA26" s="46" t="e">
        <f t="shared" si="18"/>
        <v>#DIV/0!</v>
      </c>
      <c r="CB26" s="46" t="e">
        <f t="shared" si="19"/>
        <v>#DIV/0!</v>
      </c>
      <c r="CC26" s="46" t="e">
        <f t="shared" si="20"/>
        <v>#DIV/0!</v>
      </c>
      <c r="CD26" s="46" t="e">
        <f t="shared" si="21"/>
        <v>#DIV/0!</v>
      </c>
      <c r="CE26" s="56" t="e">
        <f t="shared" si="22"/>
        <v>#DIV/0!</v>
      </c>
      <c r="CF26" s="56" t="e">
        <f t="shared" si="23"/>
        <v>#DIV/0!</v>
      </c>
      <c r="CG26" s="56" t="e">
        <f t="shared" si="24"/>
        <v>#DIV/0!</v>
      </c>
      <c r="CH26" s="56" t="e">
        <f t="shared" si="25"/>
        <v>#DIV/0!</v>
      </c>
      <c r="CI26" s="56" t="e">
        <f t="shared" si="26"/>
        <v>#DIV/0!</v>
      </c>
      <c r="CJ26" s="56" t="e">
        <f t="shared" si="27"/>
        <v>#DIV/0!</v>
      </c>
      <c r="CK26" s="56" t="e">
        <f t="shared" si="28"/>
        <v>#DIV/0!</v>
      </c>
      <c r="CL26" s="56" t="e">
        <f t="shared" si="29"/>
        <v>#DIV/0!</v>
      </c>
      <c r="CM26" s="56" t="e">
        <f t="shared" si="30"/>
        <v>#DIV/0!</v>
      </c>
    </row>
    <row r="27" spans="1:91" x14ac:dyDescent="0.15">
      <c r="A27" s="43">
        <v>25</v>
      </c>
      <c r="B27" s="48">
        <v>1</v>
      </c>
      <c r="C27" s="48">
        <v>1</v>
      </c>
      <c r="D27" s="48">
        <v>1</v>
      </c>
      <c r="E27" s="48">
        <v>1</v>
      </c>
      <c r="F27" s="48">
        <v>1</v>
      </c>
      <c r="G27" s="48">
        <v>1</v>
      </c>
      <c r="H27" s="48">
        <v>1</v>
      </c>
      <c r="I27" s="48">
        <v>1</v>
      </c>
      <c r="J27" s="48">
        <v>1</v>
      </c>
      <c r="K27" s="46" t="e">
        <f>K26+ATM_Conf!$C$5*(T26-AC26)</f>
        <v>#DIV/0!</v>
      </c>
      <c r="L27" s="46" t="e">
        <f>L26+ATM_Conf!$C$5*(U26-AD26)</f>
        <v>#DIV/0!</v>
      </c>
      <c r="M27" s="46" t="e">
        <f>M26+ATM_Conf!$C$5*(V26-AE26)</f>
        <v>#DIV/0!</v>
      </c>
      <c r="N27" s="46" t="e">
        <f>N26+ATM_Conf!$C$5*(W26-AF26)</f>
        <v>#DIV/0!</v>
      </c>
      <c r="O27" s="46" t="e">
        <f>O26+ATM_Conf!$C$5*(X26-AG26)</f>
        <v>#DIV/0!</v>
      </c>
      <c r="P27" s="46" t="e">
        <f>P26+ATM_Conf!$C$5*(Y26-AH26)</f>
        <v>#DIV/0!</v>
      </c>
      <c r="Q27" s="46" t="e">
        <f>Q26+ATM_Conf!$C$5*(Z26-AI26)</f>
        <v>#DIV/0!</v>
      </c>
      <c r="R27" s="46" t="e">
        <f>R26+ATM_Conf!$C$5*(AA26-AJ26)</f>
        <v>#DIV/0!</v>
      </c>
      <c r="S27" s="46" t="e">
        <f>S26+ATM_Conf!$C$5*(AB26-AK26)</f>
        <v>#DIV/0!</v>
      </c>
      <c r="T27" s="46"/>
      <c r="U27" s="46"/>
      <c r="V27" s="46"/>
      <c r="W27" s="46"/>
      <c r="X27" s="46"/>
      <c r="Y27" s="46"/>
      <c r="Z27" s="46"/>
      <c r="AA27" s="46"/>
      <c r="AB27" s="46"/>
      <c r="AC27" s="46" t="e">
        <f t="shared" si="4"/>
        <v>#DIV/0!</v>
      </c>
      <c r="AD27" s="46" t="e">
        <f t="shared" si="5"/>
        <v>#DIV/0!</v>
      </c>
      <c r="AE27" s="46" t="e">
        <f t="shared" si="6"/>
        <v>#DIV/0!</v>
      </c>
      <c r="AF27" s="46" t="e">
        <f t="shared" si="7"/>
        <v>#DIV/0!</v>
      </c>
      <c r="AG27" s="46" t="e">
        <f t="shared" si="8"/>
        <v>#DIV/0!</v>
      </c>
      <c r="AH27" s="46" t="e">
        <f t="shared" si="9"/>
        <v>#DIV/0!</v>
      </c>
      <c r="AI27" s="46" t="e">
        <f t="shared" si="10"/>
        <v>#DIV/0!</v>
      </c>
      <c r="AJ27" s="46" t="e">
        <f t="shared" si="11"/>
        <v>#DIV/0!</v>
      </c>
      <c r="AK27" s="46" t="e">
        <f t="shared" si="12"/>
        <v>#DIV/0!</v>
      </c>
      <c r="AL27" s="46" t="e">
        <f>T$3+K27/ATM_Conf!$C$5</f>
        <v>#DIV/0!</v>
      </c>
      <c r="AM27" s="46" t="e">
        <f>U$3+L27/ATM_Conf!$C$5</f>
        <v>#DIV/0!</v>
      </c>
      <c r="AN27" s="46" t="e">
        <f>V$3+M27/ATM_Conf!$C$5</f>
        <v>#DIV/0!</v>
      </c>
      <c r="AO27" s="46" t="e">
        <f>W$3+N27/ATM_Conf!$C$5</f>
        <v>#DIV/0!</v>
      </c>
      <c r="AP27" s="46" t="e">
        <f>X$3+O27/ATM_Conf!$C$5</f>
        <v>#DIV/0!</v>
      </c>
      <c r="AQ27" s="46" t="e">
        <f>Y$3+P27/ATM_Conf!$C$5</f>
        <v>#DIV/0!</v>
      </c>
      <c r="AR27" s="46" t="e">
        <f>Z$3+Q27/ATM_Conf!$C$5</f>
        <v>#DIV/0!</v>
      </c>
      <c r="AS27" s="46" t="e">
        <f>AA$3+R27/ATM_Conf!$C$5</f>
        <v>#DIV/0!</v>
      </c>
      <c r="AT27" s="46" t="e">
        <f>AB$3+S27/ATM_Conf!$C$5</f>
        <v>#DIV/0!</v>
      </c>
      <c r="AU27" s="46" t="e">
        <f>BD$3*MIN(1,(ATM_Conf!$C$6-Links!F27)/(ATM_Conf!$C$6-ATM_Conf!$C$7))</f>
        <v>#DIV/0!</v>
      </c>
      <c r="AV27" s="46" t="e">
        <f>BE$3*MIN(1,(ATM_Conf!$C$6-Links!G27)/(ATM_Conf!$C$6-ATM_Conf!$C$7))</f>
        <v>#DIV/0!</v>
      </c>
      <c r="AW27" s="46" t="e">
        <f>BF$3*MIN(1,(ATM_Conf!$C$6-Links!H27)/(ATM_Conf!$C$6-ATM_Conf!$C$7))</f>
        <v>#DIV/0!</v>
      </c>
      <c r="AX27" s="46" t="e">
        <f>BG$3*MIN(1,(ATM_Conf!$C$6-Links!I27)/(ATM_Conf!$C$6-ATM_Conf!$C$7))</f>
        <v>#DIV/0!</v>
      </c>
      <c r="AY27" s="46" t="e">
        <f>BH$3*MIN(1,(ATM_Conf!$C$6-Links!J27)/(ATM_Conf!$C$6-ATM_Conf!$C$7))</f>
        <v>#DIV/0!</v>
      </c>
      <c r="AZ27" s="46" t="e">
        <f>BI$3*MIN(1,(ATM_Conf!$C$6-Links!K27)/(ATM_Conf!$C$6-ATM_Conf!$C$7))</f>
        <v>#DIV/0!</v>
      </c>
      <c r="BA27" s="46" t="e">
        <f>BJ$3*MIN(1,(ATM_Conf!$C$6-Links!L27)/(ATM_Conf!$C$6-ATM_Conf!$C$7))</f>
        <v>#DIV/0!</v>
      </c>
      <c r="BB27" s="46" t="e">
        <f>BK$3*MIN(1,(ATM_Conf!$C$6-Links!M27)/(ATM_Conf!$C$6-ATM_Conf!$C$7))</f>
        <v>#DIV/0!</v>
      </c>
      <c r="BC27" s="46" t="e">
        <f>BL$3*MIN(1,(ATM_Conf!$C$6-Links!N27)/(ATM_Conf!$C$6-ATM_Conf!$C$7))</f>
        <v>#DIV/0!</v>
      </c>
      <c r="BD27" s="46"/>
      <c r="BE27" s="46"/>
      <c r="BF27" s="46"/>
      <c r="BG27" s="46"/>
      <c r="BH27" s="46"/>
      <c r="BI27" s="46"/>
      <c r="BJ27" s="46"/>
      <c r="BK27" s="46"/>
      <c r="BL27" s="46"/>
      <c r="BM27" s="54">
        <f>(B27-B15)^2</f>
        <v>0</v>
      </c>
      <c r="BN27" s="54">
        <f t="shared" ref="BN27:BU27" si="35">(C27-C15)^2</f>
        <v>0</v>
      </c>
      <c r="BO27" s="54">
        <f t="shared" si="35"/>
        <v>0</v>
      </c>
      <c r="BP27" s="54">
        <f t="shared" si="35"/>
        <v>0</v>
      </c>
      <c r="BQ27" s="54">
        <f t="shared" si="35"/>
        <v>0</v>
      </c>
      <c r="BR27" s="54">
        <f t="shared" si="35"/>
        <v>0</v>
      </c>
      <c r="BS27" s="54">
        <f t="shared" si="35"/>
        <v>0</v>
      </c>
      <c r="BT27" s="54">
        <f t="shared" si="35"/>
        <v>0</v>
      </c>
      <c r="BU27" s="54">
        <f t="shared" si="35"/>
        <v>0</v>
      </c>
      <c r="BV27" s="46" t="e">
        <f t="shared" si="13"/>
        <v>#DIV/0!</v>
      </c>
      <c r="BW27" s="46" t="e">
        <f t="shared" si="14"/>
        <v>#DIV/0!</v>
      </c>
      <c r="BX27" s="46" t="e">
        <f t="shared" si="15"/>
        <v>#DIV/0!</v>
      </c>
      <c r="BY27" s="46" t="e">
        <f t="shared" si="16"/>
        <v>#DIV/0!</v>
      </c>
      <c r="BZ27" s="46" t="e">
        <f t="shared" si="17"/>
        <v>#DIV/0!</v>
      </c>
      <c r="CA27" s="46" t="e">
        <f t="shared" si="18"/>
        <v>#DIV/0!</v>
      </c>
      <c r="CB27" s="46" t="e">
        <f t="shared" si="19"/>
        <v>#DIV/0!</v>
      </c>
      <c r="CC27" s="46" t="e">
        <f t="shared" si="20"/>
        <v>#DIV/0!</v>
      </c>
      <c r="CD27" s="46" t="e">
        <f t="shared" si="21"/>
        <v>#DIV/0!</v>
      </c>
      <c r="CE27" s="56" t="e">
        <f t="shared" si="22"/>
        <v>#DIV/0!</v>
      </c>
      <c r="CF27" s="56" t="e">
        <f t="shared" si="23"/>
        <v>#DIV/0!</v>
      </c>
      <c r="CG27" s="56" t="e">
        <f t="shared" si="24"/>
        <v>#DIV/0!</v>
      </c>
      <c r="CH27" s="56" t="e">
        <f t="shared" si="25"/>
        <v>#DIV/0!</v>
      </c>
      <c r="CI27" s="56" t="e">
        <f t="shared" si="26"/>
        <v>#DIV/0!</v>
      </c>
      <c r="CJ27" s="56" t="e">
        <f t="shared" si="27"/>
        <v>#DIV/0!</v>
      </c>
      <c r="CK27" s="56" t="e">
        <f t="shared" si="28"/>
        <v>#DIV/0!</v>
      </c>
      <c r="CL27" s="56" t="e">
        <f t="shared" si="29"/>
        <v>#DIV/0!</v>
      </c>
      <c r="CM27" s="56" t="e">
        <f t="shared" si="30"/>
        <v>#DIV/0!</v>
      </c>
    </row>
    <row r="28" spans="1:91" x14ac:dyDescent="0.15">
      <c r="A28" s="43">
        <v>26</v>
      </c>
      <c r="B28" s="46">
        <f>B$27</f>
        <v>1</v>
      </c>
      <c r="C28" s="46">
        <f t="shared" ref="C28:J28" si="36">C$27</f>
        <v>1</v>
      </c>
      <c r="D28" s="46">
        <f t="shared" si="36"/>
        <v>1</v>
      </c>
      <c r="E28" s="46">
        <f t="shared" si="36"/>
        <v>1</v>
      </c>
      <c r="F28" s="46">
        <f t="shared" si="36"/>
        <v>1</v>
      </c>
      <c r="G28" s="46">
        <f t="shared" si="36"/>
        <v>1</v>
      </c>
      <c r="H28" s="46">
        <f t="shared" si="36"/>
        <v>1</v>
      </c>
      <c r="I28" s="46">
        <f t="shared" si="36"/>
        <v>1</v>
      </c>
      <c r="J28" s="46">
        <f t="shared" si="36"/>
        <v>1</v>
      </c>
      <c r="K28" s="46" t="e">
        <f>K27+ATM_Conf!$C$5*(T27-AC27)</f>
        <v>#DIV/0!</v>
      </c>
      <c r="L28" s="46" t="e">
        <f>L27+ATM_Conf!$C$5*(U27-AD27)</f>
        <v>#DIV/0!</v>
      </c>
      <c r="M28" s="46" t="e">
        <f>M27+ATM_Conf!$C$5*(V27-AE27)</f>
        <v>#DIV/0!</v>
      </c>
      <c r="N28" s="46" t="e">
        <f>N27+ATM_Conf!$C$5*(W27-AF27)</f>
        <v>#DIV/0!</v>
      </c>
      <c r="O28" s="46" t="e">
        <f>O27+ATM_Conf!$C$5*(X27-AG27)</f>
        <v>#DIV/0!</v>
      </c>
      <c r="P28" s="46" t="e">
        <f>P27+ATM_Conf!$C$5*(Y27-AH27)</f>
        <v>#DIV/0!</v>
      </c>
      <c r="Q28" s="46" t="e">
        <f>Q27+ATM_Conf!$C$5*(Z27-AI27)</f>
        <v>#DIV/0!</v>
      </c>
      <c r="R28" s="46" t="e">
        <f>R27+ATM_Conf!$C$5*(AA27-AJ27)</f>
        <v>#DIV/0!</v>
      </c>
      <c r="S28" s="46" t="e">
        <f>S27+ATM_Conf!$C$5*(AB27-AK27)</f>
        <v>#DIV/0!</v>
      </c>
      <c r="T28" s="46"/>
      <c r="U28" s="46"/>
      <c r="V28" s="46"/>
      <c r="W28" s="46"/>
      <c r="X28" s="46"/>
      <c r="Y28" s="46"/>
      <c r="Z28" s="46"/>
      <c r="AA28" s="46"/>
      <c r="AB28" s="46"/>
      <c r="AC28" s="46" t="e">
        <f t="shared" si="4"/>
        <v>#DIV/0!</v>
      </c>
      <c r="AD28" s="46" t="e">
        <f t="shared" si="5"/>
        <v>#DIV/0!</v>
      </c>
      <c r="AE28" s="46" t="e">
        <f t="shared" si="6"/>
        <v>#DIV/0!</v>
      </c>
      <c r="AF28" s="46" t="e">
        <f t="shared" si="7"/>
        <v>#DIV/0!</v>
      </c>
      <c r="AG28" s="46" t="e">
        <f t="shared" si="8"/>
        <v>#DIV/0!</v>
      </c>
      <c r="AH28" s="46" t="e">
        <f t="shared" si="9"/>
        <v>#DIV/0!</v>
      </c>
      <c r="AI28" s="46" t="e">
        <f t="shared" si="10"/>
        <v>#DIV/0!</v>
      </c>
      <c r="AJ28" s="46" t="e">
        <f t="shared" si="11"/>
        <v>#DIV/0!</v>
      </c>
      <c r="AK28" s="46" t="e">
        <f t="shared" si="12"/>
        <v>#DIV/0!</v>
      </c>
      <c r="AL28" s="46" t="e">
        <f>T$3+K28/ATM_Conf!$C$5</f>
        <v>#DIV/0!</v>
      </c>
      <c r="AM28" s="46" t="e">
        <f>U$3+L28/ATM_Conf!$C$5</f>
        <v>#DIV/0!</v>
      </c>
      <c r="AN28" s="46" t="e">
        <f>V$3+M28/ATM_Conf!$C$5</f>
        <v>#DIV/0!</v>
      </c>
      <c r="AO28" s="46" t="e">
        <f>W$3+N28/ATM_Conf!$C$5</f>
        <v>#DIV/0!</v>
      </c>
      <c r="AP28" s="46" t="e">
        <f>X$3+O28/ATM_Conf!$C$5</f>
        <v>#DIV/0!</v>
      </c>
      <c r="AQ28" s="46" t="e">
        <f>Y$3+P28/ATM_Conf!$C$5</f>
        <v>#DIV/0!</v>
      </c>
      <c r="AR28" s="46" t="e">
        <f>Z$3+Q28/ATM_Conf!$C$5</f>
        <v>#DIV/0!</v>
      </c>
      <c r="AS28" s="46" t="e">
        <f>AA$3+R28/ATM_Conf!$C$5</f>
        <v>#DIV/0!</v>
      </c>
      <c r="AT28" s="46" t="e">
        <f>AB$3+S28/ATM_Conf!$C$5</f>
        <v>#DIV/0!</v>
      </c>
      <c r="AU28" s="46" t="e">
        <f>BD$3*MIN(1,(ATM_Conf!$C$6-Links!F28)/(ATM_Conf!$C$6-ATM_Conf!$C$7))</f>
        <v>#DIV/0!</v>
      </c>
      <c r="AV28" s="46" t="e">
        <f>BE$3*MIN(1,(ATM_Conf!$C$6-Links!G28)/(ATM_Conf!$C$6-ATM_Conf!$C$7))</f>
        <v>#DIV/0!</v>
      </c>
      <c r="AW28" s="46" t="e">
        <f>BF$3*MIN(1,(ATM_Conf!$C$6-Links!H28)/(ATM_Conf!$C$6-ATM_Conf!$C$7))</f>
        <v>#DIV/0!</v>
      </c>
      <c r="AX28" s="46" t="e">
        <f>BG$3*MIN(1,(ATM_Conf!$C$6-Links!I28)/(ATM_Conf!$C$6-ATM_Conf!$C$7))</f>
        <v>#DIV/0!</v>
      </c>
      <c r="AY28" s="46" t="e">
        <f>BH$3*MIN(1,(ATM_Conf!$C$6-Links!J28)/(ATM_Conf!$C$6-ATM_Conf!$C$7))</f>
        <v>#DIV/0!</v>
      </c>
      <c r="AZ28" s="46" t="e">
        <f>BI$3*MIN(1,(ATM_Conf!$C$6-Links!K28)/(ATM_Conf!$C$6-ATM_Conf!$C$7))</f>
        <v>#DIV/0!</v>
      </c>
      <c r="BA28" s="46" t="e">
        <f>BJ$3*MIN(1,(ATM_Conf!$C$6-Links!L28)/(ATM_Conf!$C$6-ATM_Conf!$C$7))</f>
        <v>#DIV/0!</v>
      </c>
      <c r="BB28" s="46" t="e">
        <f>BK$3*MIN(1,(ATM_Conf!$C$6-Links!M28)/(ATM_Conf!$C$6-ATM_Conf!$C$7))</f>
        <v>#DIV/0!</v>
      </c>
      <c r="BC28" s="46" t="e">
        <f>BL$3*MIN(1,(ATM_Conf!$C$6-Links!N28)/(ATM_Conf!$C$6-ATM_Conf!$C$7))</f>
        <v>#DIV/0!</v>
      </c>
      <c r="BD28" s="46"/>
      <c r="BE28" s="46"/>
      <c r="BF28" s="46"/>
      <c r="BG28" s="46"/>
      <c r="BH28" s="46"/>
      <c r="BI28" s="46"/>
      <c r="BJ28" s="46"/>
      <c r="BK28" s="46"/>
      <c r="BL28" s="46"/>
      <c r="BM28" s="54"/>
      <c r="BN28" s="54"/>
      <c r="BO28" s="54"/>
      <c r="BP28" s="54"/>
      <c r="BQ28" s="54"/>
      <c r="BR28" s="54"/>
      <c r="BS28" s="54"/>
      <c r="BT28" s="54"/>
      <c r="BU28" s="54"/>
      <c r="BV28" s="46" t="e">
        <f t="shared" si="13"/>
        <v>#DIV/0!</v>
      </c>
      <c r="BW28" s="46" t="e">
        <f t="shared" si="14"/>
        <v>#DIV/0!</v>
      </c>
      <c r="BX28" s="46" t="e">
        <f t="shared" si="15"/>
        <v>#DIV/0!</v>
      </c>
      <c r="BY28" s="46" t="e">
        <f t="shared" si="16"/>
        <v>#DIV/0!</v>
      </c>
      <c r="BZ28" s="46" t="e">
        <f t="shared" si="17"/>
        <v>#DIV/0!</v>
      </c>
      <c r="CA28" s="46" t="e">
        <f t="shared" si="18"/>
        <v>#DIV/0!</v>
      </c>
      <c r="CB28" s="46" t="e">
        <f t="shared" si="19"/>
        <v>#DIV/0!</v>
      </c>
      <c r="CC28" s="46" t="e">
        <f t="shared" si="20"/>
        <v>#DIV/0!</v>
      </c>
      <c r="CD28" s="46" t="e">
        <f t="shared" si="21"/>
        <v>#DIV/0!</v>
      </c>
      <c r="CE28" s="56" t="e">
        <f t="shared" si="22"/>
        <v>#DIV/0!</v>
      </c>
      <c r="CF28" s="56" t="e">
        <f t="shared" si="23"/>
        <v>#DIV/0!</v>
      </c>
      <c r="CG28" s="56" t="e">
        <f t="shared" si="24"/>
        <v>#DIV/0!</v>
      </c>
      <c r="CH28" s="56" t="e">
        <f t="shared" si="25"/>
        <v>#DIV/0!</v>
      </c>
      <c r="CI28" s="56" t="e">
        <f t="shared" si="26"/>
        <v>#DIV/0!</v>
      </c>
      <c r="CJ28" s="56" t="e">
        <f t="shared" si="27"/>
        <v>#DIV/0!</v>
      </c>
      <c r="CK28" s="56" t="e">
        <f t="shared" si="28"/>
        <v>#DIV/0!</v>
      </c>
      <c r="CL28" s="56" t="e">
        <f t="shared" si="29"/>
        <v>#DIV/0!</v>
      </c>
      <c r="CM28" s="56" t="e">
        <f t="shared" si="30"/>
        <v>#DIV/0!</v>
      </c>
    </row>
    <row r="29" spans="1:91" x14ac:dyDescent="0.15">
      <c r="A29" s="43">
        <v>27</v>
      </c>
      <c r="B29" s="46">
        <f t="shared" ref="B29:J38" si="37">B$27</f>
        <v>1</v>
      </c>
      <c r="C29" s="46">
        <f t="shared" si="37"/>
        <v>1</v>
      </c>
      <c r="D29" s="46">
        <f t="shared" si="37"/>
        <v>1</v>
      </c>
      <c r="E29" s="46">
        <f t="shared" si="37"/>
        <v>1</v>
      </c>
      <c r="F29" s="46">
        <f t="shared" si="37"/>
        <v>1</v>
      </c>
      <c r="G29" s="46">
        <f t="shared" si="37"/>
        <v>1</v>
      </c>
      <c r="H29" s="46">
        <f t="shared" si="37"/>
        <v>1</v>
      </c>
      <c r="I29" s="46">
        <f t="shared" si="37"/>
        <v>1</v>
      </c>
      <c r="J29" s="46">
        <f t="shared" si="37"/>
        <v>1</v>
      </c>
      <c r="K29" s="46" t="e">
        <f>K28+ATM_Conf!$C$5*(T28-AC28)</f>
        <v>#DIV/0!</v>
      </c>
      <c r="L29" s="46" t="e">
        <f>L28+ATM_Conf!$C$5*(U28-AD28)</f>
        <v>#DIV/0!</v>
      </c>
      <c r="M29" s="46" t="e">
        <f>M28+ATM_Conf!$C$5*(V28-AE28)</f>
        <v>#DIV/0!</v>
      </c>
      <c r="N29" s="46" t="e">
        <f>N28+ATM_Conf!$C$5*(W28-AF28)</f>
        <v>#DIV/0!</v>
      </c>
      <c r="O29" s="46" t="e">
        <f>O28+ATM_Conf!$C$5*(X28-AG28)</f>
        <v>#DIV/0!</v>
      </c>
      <c r="P29" s="46" t="e">
        <f>P28+ATM_Conf!$C$5*(Y28-AH28)</f>
        <v>#DIV/0!</v>
      </c>
      <c r="Q29" s="46" t="e">
        <f>Q28+ATM_Conf!$C$5*(Z28-AI28)</f>
        <v>#DIV/0!</v>
      </c>
      <c r="R29" s="46" t="e">
        <f>R28+ATM_Conf!$C$5*(AA28-AJ28)</f>
        <v>#DIV/0!</v>
      </c>
      <c r="S29" s="46" t="e">
        <f>S28+ATM_Conf!$C$5*(AB28-AK28)</f>
        <v>#DIV/0!</v>
      </c>
      <c r="T29" s="46"/>
      <c r="U29" s="46"/>
      <c r="V29" s="46"/>
      <c r="W29" s="46"/>
      <c r="X29" s="46"/>
      <c r="Y29" s="46"/>
      <c r="Z29" s="46"/>
      <c r="AA29" s="46"/>
      <c r="AB29" s="46"/>
      <c r="AC29" s="46" t="e">
        <f t="shared" si="4"/>
        <v>#DIV/0!</v>
      </c>
      <c r="AD29" s="46" t="e">
        <f t="shared" si="5"/>
        <v>#DIV/0!</v>
      </c>
      <c r="AE29" s="46" t="e">
        <f t="shared" si="6"/>
        <v>#DIV/0!</v>
      </c>
      <c r="AF29" s="46" t="e">
        <f t="shared" si="7"/>
        <v>#DIV/0!</v>
      </c>
      <c r="AG29" s="46" t="e">
        <f t="shared" si="8"/>
        <v>#DIV/0!</v>
      </c>
      <c r="AH29" s="46" t="e">
        <f t="shared" si="9"/>
        <v>#DIV/0!</v>
      </c>
      <c r="AI29" s="46" t="e">
        <f t="shared" si="10"/>
        <v>#DIV/0!</v>
      </c>
      <c r="AJ29" s="46" t="e">
        <f t="shared" si="11"/>
        <v>#DIV/0!</v>
      </c>
      <c r="AK29" s="46" t="e">
        <f t="shared" si="12"/>
        <v>#DIV/0!</v>
      </c>
      <c r="AL29" s="46" t="e">
        <f>T$3+K29/ATM_Conf!$C$5</f>
        <v>#DIV/0!</v>
      </c>
      <c r="AM29" s="46" t="e">
        <f>U$3+L29/ATM_Conf!$C$5</f>
        <v>#DIV/0!</v>
      </c>
      <c r="AN29" s="46" t="e">
        <f>V$3+M29/ATM_Conf!$C$5</f>
        <v>#DIV/0!</v>
      </c>
      <c r="AO29" s="46" t="e">
        <f>W$3+N29/ATM_Conf!$C$5</f>
        <v>#DIV/0!</v>
      </c>
      <c r="AP29" s="46" t="e">
        <f>X$3+O29/ATM_Conf!$C$5</f>
        <v>#DIV/0!</v>
      </c>
      <c r="AQ29" s="46" t="e">
        <f>Y$3+P29/ATM_Conf!$C$5</f>
        <v>#DIV/0!</v>
      </c>
      <c r="AR29" s="46" t="e">
        <f>Z$3+Q29/ATM_Conf!$C$5</f>
        <v>#DIV/0!</v>
      </c>
      <c r="AS29" s="46" t="e">
        <f>AA$3+R29/ATM_Conf!$C$5</f>
        <v>#DIV/0!</v>
      </c>
      <c r="AT29" s="46" t="e">
        <f>AB$3+S29/ATM_Conf!$C$5</f>
        <v>#DIV/0!</v>
      </c>
      <c r="AU29" s="46" t="e">
        <f>BD$3*MIN(1,(ATM_Conf!$C$6-Links!F29)/(ATM_Conf!$C$6-ATM_Conf!$C$7))</f>
        <v>#DIV/0!</v>
      </c>
      <c r="AV29" s="46" t="e">
        <f>BE$3*MIN(1,(ATM_Conf!$C$6-Links!G29)/(ATM_Conf!$C$6-ATM_Conf!$C$7))</f>
        <v>#DIV/0!</v>
      </c>
      <c r="AW29" s="46" t="e">
        <f>BF$3*MIN(1,(ATM_Conf!$C$6-Links!H29)/(ATM_Conf!$C$6-ATM_Conf!$C$7))</f>
        <v>#DIV/0!</v>
      </c>
      <c r="AX29" s="46" t="e">
        <f>BG$3*MIN(1,(ATM_Conf!$C$6-Links!I29)/(ATM_Conf!$C$6-ATM_Conf!$C$7))</f>
        <v>#DIV/0!</v>
      </c>
      <c r="AY29" s="46" t="e">
        <f>BH$3*MIN(1,(ATM_Conf!$C$6-Links!J29)/(ATM_Conf!$C$6-ATM_Conf!$C$7))</f>
        <v>#DIV/0!</v>
      </c>
      <c r="AZ29" s="46" t="e">
        <f>BI$3*MIN(1,(ATM_Conf!$C$6-Links!K29)/(ATM_Conf!$C$6-ATM_Conf!$C$7))</f>
        <v>#DIV/0!</v>
      </c>
      <c r="BA29" s="46" t="e">
        <f>BJ$3*MIN(1,(ATM_Conf!$C$6-Links!L29)/(ATM_Conf!$C$6-ATM_Conf!$C$7))</f>
        <v>#DIV/0!</v>
      </c>
      <c r="BB29" s="46" t="e">
        <f>BK$3*MIN(1,(ATM_Conf!$C$6-Links!M29)/(ATM_Conf!$C$6-ATM_Conf!$C$7))</f>
        <v>#DIV/0!</v>
      </c>
      <c r="BC29" s="46" t="e">
        <f>BL$3*MIN(1,(ATM_Conf!$C$6-Links!N29)/(ATM_Conf!$C$6-ATM_Conf!$C$7))</f>
        <v>#DIV/0!</v>
      </c>
      <c r="BD29" s="46"/>
      <c r="BE29" s="46"/>
      <c r="BF29" s="46"/>
      <c r="BG29" s="46"/>
      <c r="BH29" s="46"/>
      <c r="BI29" s="46"/>
      <c r="BJ29" s="46"/>
      <c r="BK29" s="46"/>
      <c r="BL29" s="46"/>
      <c r="BM29" s="54"/>
      <c r="BN29" s="54"/>
      <c r="BO29" s="54"/>
      <c r="BP29" s="54"/>
      <c r="BQ29" s="54"/>
      <c r="BR29" s="54"/>
      <c r="BS29" s="54"/>
      <c r="BT29" s="54"/>
      <c r="BU29" s="54"/>
      <c r="BV29" s="46" t="e">
        <f t="shared" si="13"/>
        <v>#DIV/0!</v>
      </c>
      <c r="BW29" s="46" t="e">
        <f t="shared" si="14"/>
        <v>#DIV/0!</v>
      </c>
      <c r="BX29" s="46" t="e">
        <f t="shared" si="15"/>
        <v>#DIV/0!</v>
      </c>
      <c r="BY29" s="46" t="e">
        <f t="shared" si="16"/>
        <v>#DIV/0!</v>
      </c>
      <c r="BZ29" s="46" t="e">
        <f t="shared" si="17"/>
        <v>#DIV/0!</v>
      </c>
      <c r="CA29" s="46" t="e">
        <f t="shared" si="18"/>
        <v>#DIV/0!</v>
      </c>
      <c r="CB29" s="46" t="e">
        <f t="shared" si="19"/>
        <v>#DIV/0!</v>
      </c>
      <c r="CC29" s="46" t="e">
        <f t="shared" si="20"/>
        <v>#DIV/0!</v>
      </c>
      <c r="CD29" s="46" t="e">
        <f t="shared" si="21"/>
        <v>#DIV/0!</v>
      </c>
      <c r="CE29" s="56" t="e">
        <f t="shared" si="22"/>
        <v>#DIV/0!</v>
      </c>
      <c r="CF29" s="56" t="e">
        <f t="shared" si="23"/>
        <v>#DIV/0!</v>
      </c>
      <c r="CG29" s="56" t="e">
        <f t="shared" si="24"/>
        <v>#DIV/0!</v>
      </c>
      <c r="CH29" s="56" t="e">
        <f t="shared" si="25"/>
        <v>#DIV/0!</v>
      </c>
      <c r="CI29" s="56" t="e">
        <f t="shared" si="26"/>
        <v>#DIV/0!</v>
      </c>
      <c r="CJ29" s="56" t="e">
        <f t="shared" si="27"/>
        <v>#DIV/0!</v>
      </c>
      <c r="CK29" s="56" t="e">
        <f t="shared" si="28"/>
        <v>#DIV/0!</v>
      </c>
      <c r="CL29" s="56" t="e">
        <f t="shared" si="29"/>
        <v>#DIV/0!</v>
      </c>
      <c r="CM29" s="56" t="e">
        <f t="shared" si="30"/>
        <v>#DIV/0!</v>
      </c>
    </row>
    <row r="30" spans="1:91" x14ac:dyDescent="0.15">
      <c r="A30" s="43">
        <v>28</v>
      </c>
      <c r="B30" s="46">
        <f t="shared" si="37"/>
        <v>1</v>
      </c>
      <c r="C30" s="46">
        <f t="shared" si="37"/>
        <v>1</v>
      </c>
      <c r="D30" s="46">
        <f t="shared" si="37"/>
        <v>1</v>
      </c>
      <c r="E30" s="46">
        <f t="shared" si="37"/>
        <v>1</v>
      </c>
      <c r="F30" s="46">
        <f t="shared" si="37"/>
        <v>1</v>
      </c>
      <c r="G30" s="46">
        <f t="shared" si="37"/>
        <v>1</v>
      </c>
      <c r="H30" s="46">
        <f t="shared" si="37"/>
        <v>1</v>
      </c>
      <c r="I30" s="46">
        <f t="shared" si="37"/>
        <v>1</v>
      </c>
      <c r="J30" s="46">
        <f t="shared" si="37"/>
        <v>1</v>
      </c>
      <c r="K30" s="46" t="e">
        <f>K29+ATM_Conf!$C$5*(T29-AC29)</f>
        <v>#DIV/0!</v>
      </c>
      <c r="L30" s="46" t="e">
        <f>L29+ATM_Conf!$C$5*(U29-AD29)</f>
        <v>#DIV/0!</v>
      </c>
      <c r="M30" s="46" t="e">
        <f>M29+ATM_Conf!$C$5*(V29-AE29)</f>
        <v>#DIV/0!</v>
      </c>
      <c r="N30" s="46" t="e">
        <f>N29+ATM_Conf!$C$5*(W29-AF29)</f>
        <v>#DIV/0!</v>
      </c>
      <c r="O30" s="46" t="e">
        <f>O29+ATM_Conf!$C$5*(X29-AG29)</f>
        <v>#DIV/0!</v>
      </c>
      <c r="P30" s="46" t="e">
        <f>P29+ATM_Conf!$C$5*(Y29-AH29)</f>
        <v>#DIV/0!</v>
      </c>
      <c r="Q30" s="46" t="e">
        <f>Q29+ATM_Conf!$C$5*(Z29-AI29)</f>
        <v>#DIV/0!</v>
      </c>
      <c r="R30" s="46" t="e">
        <f>R29+ATM_Conf!$C$5*(AA29-AJ29)</f>
        <v>#DIV/0!</v>
      </c>
      <c r="S30" s="46" t="e">
        <f>S29+ATM_Conf!$C$5*(AB29-AK29)</f>
        <v>#DIV/0!</v>
      </c>
      <c r="T30" s="46"/>
      <c r="U30" s="46"/>
      <c r="V30" s="46"/>
      <c r="W30" s="46"/>
      <c r="X30" s="46"/>
      <c r="Y30" s="46"/>
      <c r="Z30" s="46"/>
      <c r="AA30" s="46"/>
      <c r="AB30" s="46"/>
      <c r="AC30" s="46" t="e">
        <f t="shared" si="4"/>
        <v>#DIV/0!</v>
      </c>
      <c r="AD30" s="46" t="e">
        <f t="shared" si="5"/>
        <v>#DIV/0!</v>
      </c>
      <c r="AE30" s="46" t="e">
        <f t="shared" si="6"/>
        <v>#DIV/0!</v>
      </c>
      <c r="AF30" s="46" t="e">
        <f t="shared" si="7"/>
        <v>#DIV/0!</v>
      </c>
      <c r="AG30" s="46" t="e">
        <f t="shared" si="8"/>
        <v>#DIV/0!</v>
      </c>
      <c r="AH30" s="46" t="e">
        <f t="shared" si="9"/>
        <v>#DIV/0!</v>
      </c>
      <c r="AI30" s="46" t="e">
        <f t="shared" si="10"/>
        <v>#DIV/0!</v>
      </c>
      <c r="AJ30" s="46" t="e">
        <f t="shared" si="11"/>
        <v>#DIV/0!</v>
      </c>
      <c r="AK30" s="46" t="e">
        <f t="shared" si="12"/>
        <v>#DIV/0!</v>
      </c>
      <c r="AL30" s="46" t="e">
        <f>T$3+K30/ATM_Conf!$C$5</f>
        <v>#DIV/0!</v>
      </c>
      <c r="AM30" s="46" t="e">
        <f>U$3+L30/ATM_Conf!$C$5</f>
        <v>#DIV/0!</v>
      </c>
      <c r="AN30" s="46" t="e">
        <f>V$3+M30/ATM_Conf!$C$5</f>
        <v>#DIV/0!</v>
      </c>
      <c r="AO30" s="46" t="e">
        <f>W$3+N30/ATM_Conf!$C$5</f>
        <v>#DIV/0!</v>
      </c>
      <c r="AP30" s="46" t="e">
        <f>X$3+O30/ATM_Conf!$C$5</f>
        <v>#DIV/0!</v>
      </c>
      <c r="AQ30" s="46" t="e">
        <f>Y$3+P30/ATM_Conf!$C$5</f>
        <v>#DIV/0!</v>
      </c>
      <c r="AR30" s="46" t="e">
        <f>Z$3+Q30/ATM_Conf!$C$5</f>
        <v>#DIV/0!</v>
      </c>
      <c r="AS30" s="46" t="e">
        <f>AA$3+R30/ATM_Conf!$C$5</f>
        <v>#DIV/0!</v>
      </c>
      <c r="AT30" s="46" t="e">
        <f>AB$3+S30/ATM_Conf!$C$5</f>
        <v>#DIV/0!</v>
      </c>
      <c r="AU30" s="46" t="e">
        <f>BD$3*MIN(1,(ATM_Conf!$C$6-Links!F30)/(ATM_Conf!$C$6-ATM_Conf!$C$7))</f>
        <v>#DIV/0!</v>
      </c>
      <c r="AV30" s="46" t="e">
        <f>BE$3*MIN(1,(ATM_Conf!$C$6-Links!G30)/(ATM_Conf!$C$6-ATM_Conf!$C$7))</f>
        <v>#DIV/0!</v>
      </c>
      <c r="AW30" s="46" t="e">
        <f>BF$3*MIN(1,(ATM_Conf!$C$6-Links!H30)/(ATM_Conf!$C$6-ATM_Conf!$C$7))</f>
        <v>#DIV/0!</v>
      </c>
      <c r="AX30" s="46" t="e">
        <f>BG$3*MIN(1,(ATM_Conf!$C$6-Links!I30)/(ATM_Conf!$C$6-ATM_Conf!$C$7))</f>
        <v>#DIV/0!</v>
      </c>
      <c r="AY30" s="46" t="e">
        <f>BH$3*MIN(1,(ATM_Conf!$C$6-Links!J30)/(ATM_Conf!$C$6-ATM_Conf!$C$7))</f>
        <v>#DIV/0!</v>
      </c>
      <c r="AZ30" s="46" t="e">
        <f>BI$3*MIN(1,(ATM_Conf!$C$6-Links!K30)/(ATM_Conf!$C$6-ATM_Conf!$C$7))</f>
        <v>#DIV/0!</v>
      </c>
      <c r="BA30" s="46" t="e">
        <f>BJ$3*MIN(1,(ATM_Conf!$C$6-Links!L30)/(ATM_Conf!$C$6-ATM_Conf!$C$7))</f>
        <v>#DIV/0!</v>
      </c>
      <c r="BB30" s="46" t="e">
        <f>BK$3*MIN(1,(ATM_Conf!$C$6-Links!M30)/(ATM_Conf!$C$6-ATM_Conf!$C$7))</f>
        <v>#DIV/0!</v>
      </c>
      <c r="BC30" s="46" t="e">
        <f>BL$3*MIN(1,(ATM_Conf!$C$6-Links!N30)/(ATM_Conf!$C$6-ATM_Conf!$C$7))</f>
        <v>#DIV/0!</v>
      </c>
      <c r="BD30" s="46"/>
      <c r="BE30" s="46"/>
      <c r="BF30" s="46"/>
      <c r="BG30" s="46"/>
      <c r="BH30" s="46"/>
      <c r="BI30" s="46"/>
      <c r="BJ30" s="46"/>
      <c r="BK30" s="46"/>
      <c r="BL30" s="46"/>
      <c r="BM30" s="54"/>
      <c r="BN30" s="54"/>
      <c r="BO30" s="54"/>
      <c r="BP30" s="54"/>
      <c r="BQ30" s="54"/>
      <c r="BR30" s="54"/>
      <c r="BS30" s="54"/>
      <c r="BT30" s="54"/>
      <c r="BU30" s="54"/>
      <c r="BV30" s="46" t="e">
        <f t="shared" si="13"/>
        <v>#DIV/0!</v>
      </c>
      <c r="BW30" s="46" t="e">
        <f t="shared" si="14"/>
        <v>#DIV/0!</v>
      </c>
      <c r="BX30" s="46" t="e">
        <f t="shared" si="15"/>
        <v>#DIV/0!</v>
      </c>
      <c r="BY30" s="46" t="e">
        <f t="shared" si="16"/>
        <v>#DIV/0!</v>
      </c>
      <c r="BZ30" s="46" t="e">
        <f t="shared" si="17"/>
        <v>#DIV/0!</v>
      </c>
      <c r="CA30" s="46" t="e">
        <f t="shared" si="18"/>
        <v>#DIV/0!</v>
      </c>
      <c r="CB30" s="46" t="e">
        <f t="shared" si="19"/>
        <v>#DIV/0!</v>
      </c>
      <c r="CC30" s="46" t="e">
        <f t="shared" si="20"/>
        <v>#DIV/0!</v>
      </c>
      <c r="CD30" s="46" t="e">
        <f t="shared" si="21"/>
        <v>#DIV/0!</v>
      </c>
      <c r="CE30" s="56" t="e">
        <f t="shared" si="22"/>
        <v>#DIV/0!</v>
      </c>
      <c r="CF30" s="56" t="e">
        <f t="shared" si="23"/>
        <v>#DIV/0!</v>
      </c>
      <c r="CG30" s="56" t="e">
        <f t="shared" si="24"/>
        <v>#DIV/0!</v>
      </c>
      <c r="CH30" s="56" t="e">
        <f t="shared" si="25"/>
        <v>#DIV/0!</v>
      </c>
      <c r="CI30" s="56" t="e">
        <f t="shared" si="26"/>
        <v>#DIV/0!</v>
      </c>
      <c r="CJ30" s="56" t="e">
        <f t="shared" si="27"/>
        <v>#DIV/0!</v>
      </c>
      <c r="CK30" s="56" t="e">
        <f t="shared" si="28"/>
        <v>#DIV/0!</v>
      </c>
      <c r="CL30" s="56" t="e">
        <f t="shared" si="29"/>
        <v>#DIV/0!</v>
      </c>
      <c r="CM30" s="56" t="e">
        <f t="shared" si="30"/>
        <v>#DIV/0!</v>
      </c>
    </row>
    <row r="31" spans="1:91" x14ac:dyDescent="0.15">
      <c r="A31" s="43">
        <v>29</v>
      </c>
      <c r="B31" s="46">
        <f t="shared" si="37"/>
        <v>1</v>
      </c>
      <c r="C31" s="46">
        <f t="shared" si="37"/>
        <v>1</v>
      </c>
      <c r="D31" s="46">
        <f t="shared" si="37"/>
        <v>1</v>
      </c>
      <c r="E31" s="46">
        <f t="shared" si="37"/>
        <v>1</v>
      </c>
      <c r="F31" s="46">
        <f t="shared" si="37"/>
        <v>1</v>
      </c>
      <c r="G31" s="46">
        <f t="shared" si="37"/>
        <v>1</v>
      </c>
      <c r="H31" s="46">
        <f t="shared" si="37"/>
        <v>1</v>
      </c>
      <c r="I31" s="46">
        <f t="shared" si="37"/>
        <v>1</v>
      </c>
      <c r="J31" s="46">
        <f t="shared" si="37"/>
        <v>1</v>
      </c>
      <c r="K31" s="46" t="e">
        <f>K30+ATM_Conf!$C$5*(T30-AC30)</f>
        <v>#DIV/0!</v>
      </c>
      <c r="L31" s="46" t="e">
        <f>L30+ATM_Conf!$C$5*(U30-AD30)</f>
        <v>#DIV/0!</v>
      </c>
      <c r="M31" s="46" t="e">
        <f>M30+ATM_Conf!$C$5*(V30-AE30)</f>
        <v>#DIV/0!</v>
      </c>
      <c r="N31" s="46" t="e">
        <f>N30+ATM_Conf!$C$5*(W30-AF30)</f>
        <v>#DIV/0!</v>
      </c>
      <c r="O31" s="46" t="e">
        <f>O30+ATM_Conf!$C$5*(X30-AG30)</f>
        <v>#DIV/0!</v>
      </c>
      <c r="P31" s="46" t="e">
        <f>P30+ATM_Conf!$C$5*(Y30-AH30)</f>
        <v>#DIV/0!</v>
      </c>
      <c r="Q31" s="46" t="e">
        <f>Q30+ATM_Conf!$C$5*(Z30-AI30)</f>
        <v>#DIV/0!</v>
      </c>
      <c r="R31" s="46" t="e">
        <f>R30+ATM_Conf!$C$5*(AA30-AJ30)</f>
        <v>#DIV/0!</v>
      </c>
      <c r="S31" s="46" t="e">
        <f>S30+ATM_Conf!$C$5*(AB30-AK30)</f>
        <v>#DIV/0!</v>
      </c>
      <c r="T31" s="46"/>
      <c r="U31" s="46"/>
      <c r="V31" s="46"/>
      <c r="W31" s="46"/>
      <c r="X31" s="46"/>
      <c r="Y31" s="46"/>
      <c r="Z31" s="46"/>
      <c r="AA31" s="46"/>
      <c r="AB31" s="46"/>
      <c r="AC31" s="46" t="e">
        <f t="shared" si="4"/>
        <v>#DIV/0!</v>
      </c>
      <c r="AD31" s="46" t="e">
        <f t="shared" si="5"/>
        <v>#DIV/0!</v>
      </c>
      <c r="AE31" s="46" t="e">
        <f t="shared" si="6"/>
        <v>#DIV/0!</v>
      </c>
      <c r="AF31" s="46" t="e">
        <f t="shared" si="7"/>
        <v>#DIV/0!</v>
      </c>
      <c r="AG31" s="46" t="e">
        <f t="shared" si="8"/>
        <v>#DIV/0!</v>
      </c>
      <c r="AH31" s="46" t="e">
        <f t="shared" si="9"/>
        <v>#DIV/0!</v>
      </c>
      <c r="AI31" s="46" t="e">
        <f t="shared" si="10"/>
        <v>#DIV/0!</v>
      </c>
      <c r="AJ31" s="46" t="e">
        <f t="shared" si="11"/>
        <v>#DIV/0!</v>
      </c>
      <c r="AK31" s="46" t="e">
        <f t="shared" si="12"/>
        <v>#DIV/0!</v>
      </c>
      <c r="AL31" s="46" t="e">
        <f>T$3+K31/ATM_Conf!$C$5</f>
        <v>#DIV/0!</v>
      </c>
      <c r="AM31" s="46" t="e">
        <f>U$3+L31/ATM_Conf!$C$5</f>
        <v>#DIV/0!</v>
      </c>
      <c r="AN31" s="46" t="e">
        <f>V$3+M31/ATM_Conf!$C$5</f>
        <v>#DIV/0!</v>
      </c>
      <c r="AO31" s="46" t="e">
        <f>W$3+N31/ATM_Conf!$C$5</f>
        <v>#DIV/0!</v>
      </c>
      <c r="AP31" s="46" t="e">
        <f>X$3+O31/ATM_Conf!$C$5</f>
        <v>#DIV/0!</v>
      </c>
      <c r="AQ31" s="46" t="e">
        <f>Y$3+P31/ATM_Conf!$C$5</f>
        <v>#DIV/0!</v>
      </c>
      <c r="AR31" s="46" t="e">
        <f>Z$3+Q31/ATM_Conf!$C$5</f>
        <v>#DIV/0!</v>
      </c>
      <c r="AS31" s="46" t="e">
        <f>AA$3+R31/ATM_Conf!$C$5</f>
        <v>#DIV/0!</v>
      </c>
      <c r="AT31" s="46" t="e">
        <f>AB$3+S31/ATM_Conf!$C$5</f>
        <v>#DIV/0!</v>
      </c>
      <c r="AU31" s="46" t="e">
        <f>BD$3*MIN(1,(ATM_Conf!$C$6-Links!F31)/(ATM_Conf!$C$6-ATM_Conf!$C$7))</f>
        <v>#DIV/0!</v>
      </c>
      <c r="AV31" s="46" t="e">
        <f>BE$3*MIN(1,(ATM_Conf!$C$6-Links!G31)/(ATM_Conf!$C$6-ATM_Conf!$C$7))</f>
        <v>#DIV/0!</v>
      </c>
      <c r="AW31" s="46" t="e">
        <f>BF$3*MIN(1,(ATM_Conf!$C$6-Links!H31)/(ATM_Conf!$C$6-ATM_Conf!$C$7))</f>
        <v>#DIV/0!</v>
      </c>
      <c r="AX31" s="46" t="e">
        <f>BG$3*MIN(1,(ATM_Conf!$C$6-Links!I31)/(ATM_Conf!$C$6-ATM_Conf!$C$7))</f>
        <v>#DIV/0!</v>
      </c>
      <c r="AY31" s="46" t="e">
        <f>BH$3*MIN(1,(ATM_Conf!$C$6-Links!J31)/(ATM_Conf!$C$6-ATM_Conf!$C$7))</f>
        <v>#DIV/0!</v>
      </c>
      <c r="AZ31" s="46" t="e">
        <f>BI$3*MIN(1,(ATM_Conf!$C$6-Links!K31)/(ATM_Conf!$C$6-ATM_Conf!$C$7))</f>
        <v>#DIV/0!</v>
      </c>
      <c r="BA31" s="46" t="e">
        <f>BJ$3*MIN(1,(ATM_Conf!$C$6-Links!L31)/(ATM_Conf!$C$6-ATM_Conf!$C$7))</f>
        <v>#DIV/0!</v>
      </c>
      <c r="BB31" s="46" t="e">
        <f>BK$3*MIN(1,(ATM_Conf!$C$6-Links!M31)/(ATM_Conf!$C$6-ATM_Conf!$C$7))</f>
        <v>#DIV/0!</v>
      </c>
      <c r="BC31" s="46" t="e">
        <f>BL$3*MIN(1,(ATM_Conf!$C$6-Links!N31)/(ATM_Conf!$C$6-ATM_Conf!$C$7))</f>
        <v>#DIV/0!</v>
      </c>
      <c r="BD31" s="46"/>
      <c r="BE31" s="46"/>
      <c r="BF31" s="46"/>
      <c r="BG31" s="46"/>
      <c r="BH31" s="46"/>
      <c r="BI31" s="46"/>
      <c r="BJ31" s="46"/>
      <c r="BK31" s="46"/>
      <c r="BL31" s="46"/>
      <c r="BM31" s="54"/>
      <c r="BN31" s="54"/>
      <c r="BO31" s="54"/>
      <c r="BP31" s="54"/>
      <c r="BQ31" s="54"/>
      <c r="BR31" s="54"/>
      <c r="BS31" s="54"/>
      <c r="BT31" s="54"/>
      <c r="BU31" s="54"/>
      <c r="BV31" s="46" t="e">
        <f t="shared" si="13"/>
        <v>#DIV/0!</v>
      </c>
      <c r="BW31" s="46" t="e">
        <f t="shared" si="14"/>
        <v>#DIV/0!</v>
      </c>
      <c r="BX31" s="46" t="e">
        <f t="shared" si="15"/>
        <v>#DIV/0!</v>
      </c>
      <c r="BY31" s="46" t="e">
        <f t="shared" si="16"/>
        <v>#DIV/0!</v>
      </c>
      <c r="BZ31" s="46" t="e">
        <f t="shared" si="17"/>
        <v>#DIV/0!</v>
      </c>
      <c r="CA31" s="46" t="e">
        <f t="shared" si="18"/>
        <v>#DIV/0!</v>
      </c>
      <c r="CB31" s="46" t="e">
        <f t="shared" si="19"/>
        <v>#DIV/0!</v>
      </c>
      <c r="CC31" s="46" t="e">
        <f t="shared" si="20"/>
        <v>#DIV/0!</v>
      </c>
      <c r="CD31" s="46" t="e">
        <f t="shared" si="21"/>
        <v>#DIV/0!</v>
      </c>
      <c r="CE31" s="56" t="e">
        <f t="shared" si="22"/>
        <v>#DIV/0!</v>
      </c>
      <c r="CF31" s="56" t="e">
        <f t="shared" si="23"/>
        <v>#DIV/0!</v>
      </c>
      <c r="CG31" s="56" t="e">
        <f t="shared" si="24"/>
        <v>#DIV/0!</v>
      </c>
      <c r="CH31" s="56" t="e">
        <f t="shared" si="25"/>
        <v>#DIV/0!</v>
      </c>
      <c r="CI31" s="56" t="e">
        <f t="shared" si="26"/>
        <v>#DIV/0!</v>
      </c>
      <c r="CJ31" s="56" t="e">
        <f t="shared" si="27"/>
        <v>#DIV/0!</v>
      </c>
      <c r="CK31" s="56" t="e">
        <f t="shared" si="28"/>
        <v>#DIV/0!</v>
      </c>
      <c r="CL31" s="56" t="e">
        <f t="shared" si="29"/>
        <v>#DIV/0!</v>
      </c>
      <c r="CM31" s="56" t="e">
        <f t="shared" si="30"/>
        <v>#DIV/0!</v>
      </c>
    </row>
    <row r="32" spans="1:91" x14ac:dyDescent="0.15">
      <c r="A32" s="43">
        <v>30</v>
      </c>
      <c r="B32" s="46">
        <f t="shared" si="37"/>
        <v>1</v>
      </c>
      <c r="C32" s="46">
        <f t="shared" si="37"/>
        <v>1</v>
      </c>
      <c r="D32" s="46">
        <f t="shared" si="37"/>
        <v>1</v>
      </c>
      <c r="E32" s="46">
        <f t="shared" si="37"/>
        <v>1</v>
      </c>
      <c r="F32" s="46">
        <f t="shared" si="37"/>
        <v>1</v>
      </c>
      <c r="G32" s="46">
        <f t="shared" si="37"/>
        <v>1</v>
      </c>
      <c r="H32" s="46">
        <f t="shared" si="37"/>
        <v>1</v>
      </c>
      <c r="I32" s="46">
        <f t="shared" si="37"/>
        <v>1</v>
      </c>
      <c r="J32" s="46">
        <f t="shared" si="37"/>
        <v>1</v>
      </c>
      <c r="K32" s="46" t="e">
        <f>K31+ATM_Conf!$C$5*(T31-AC31)</f>
        <v>#DIV/0!</v>
      </c>
      <c r="L32" s="46" t="e">
        <f>L31+ATM_Conf!$C$5*(U31-AD31)</f>
        <v>#DIV/0!</v>
      </c>
      <c r="M32" s="46" t="e">
        <f>M31+ATM_Conf!$C$5*(V31-AE31)</f>
        <v>#DIV/0!</v>
      </c>
      <c r="N32" s="46" t="e">
        <f>N31+ATM_Conf!$C$5*(W31-AF31)</f>
        <v>#DIV/0!</v>
      </c>
      <c r="O32" s="46" t="e">
        <f>O31+ATM_Conf!$C$5*(X31-AG31)</f>
        <v>#DIV/0!</v>
      </c>
      <c r="P32" s="46" t="e">
        <f>P31+ATM_Conf!$C$5*(Y31-AH31)</f>
        <v>#DIV/0!</v>
      </c>
      <c r="Q32" s="46" t="e">
        <f>Q31+ATM_Conf!$C$5*(Z31-AI31)</f>
        <v>#DIV/0!</v>
      </c>
      <c r="R32" s="46" t="e">
        <f>R31+ATM_Conf!$C$5*(AA31-AJ31)</f>
        <v>#DIV/0!</v>
      </c>
      <c r="S32" s="46" t="e">
        <f>S31+ATM_Conf!$C$5*(AB31-AK31)</f>
        <v>#DIV/0!</v>
      </c>
      <c r="T32" s="46"/>
      <c r="U32" s="46"/>
      <c r="V32" s="46"/>
      <c r="W32" s="46"/>
      <c r="X32" s="46"/>
      <c r="Y32" s="46"/>
      <c r="Z32" s="46"/>
      <c r="AA32" s="46"/>
      <c r="AB32" s="46"/>
      <c r="AC32" s="46" t="e">
        <f t="shared" si="4"/>
        <v>#DIV/0!</v>
      </c>
      <c r="AD32" s="46" t="e">
        <f t="shared" si="5"/>
        <v>#DIV/0!</v>
      </c>
      <c r="AE32" s="46" t="e">
        <f t="shared" si="6"/>
        <v>#DIV/0!</v>
      </c>
      <c r="AF32" s="46" t="e">
        <f t="shared" si="7"/>
        <v>#DIV/0!</v>
      </c>
      <c r="AG32" s="46" t="e">
        <f t="shared" si="8"/>
        <v>#DIV/0!</v>
      </c>
      <c r="AH32" s="46" t="e">
        <f t="shared" si="9"/>
        <v>#DIV/0!</v>
      </c>
      <c r="AI32" s="46" t="e">
        <f t="shared" si="10"/>
        <v>#DIV/0!</v>
      </c>
      <c r="AJ32" s="46" t="e">
        <f t="shared" si="11"/>
        <v>#DIV/0!</v>
      </c>
      <c r="AK32" s="46" t="e">
        <f t="shared" si="12"/>
        <v>#DIV/0!</v>
      </c>
      <c r="AL32" s="46" t="e">
        <f>T$3+K32/ATM_Conf!$C$5</f>
        <v>#DIV/0!</v>
      </c>
      <c r="AM32" s="46" t="e">
        <f>U$3+L32/ATM_Conf!$C$5</f>
        <v>#DIV/0!</v>
      </c>
      <c r="AN32" s="46" t="e">
        <f>V$3+M32/ATM_Conf!$C$5</f>
        <v>#DIV/0!</v>
      </c>
      <c r="AO32" s="46" t="e">
        <f>W$3+N32/ATM_Conf!$C$5</f>
        <v>#DIV/0!</v>
      </c>
      <c r="AP32" s="46" t="e">
        <f>X$3+O32/ATM_Conf!$C$5</f>
        <v>#DIV/0!</v>
      </c>
      <c r="AQ32" s="46" t="e">
        <f>Y$3+P32/ATM_Conf!$C$5</f>
        <v>#DIV/0!</v>
      </c>
      <c r="AR32" s="46" t="e">
        <f>Z$3+Q32/ATM_Conf!$C$5</f>
        <v>#DIV/0!</v>
      </c>
      <c r="AS32" s="46" t="e">
        <f>AA$3+R32/ATM_Conf!$C$5</f>
        <v>#DIV/0!</v>
      </c>
      <c r="AT32" s="46" t="e">
        <f>AB$3+S32/ATM_Conf!$C$5</f>
        <v>#DIV/0!</v>
      </c>
      <c r="AU32" s="46" t="e">
        <f>BD$3*MIN(1,(ATM_Conf!$C$6-Links!F32)/(ATM_Conf!$C$6-ATM_Conf!$C$7))</f>
        <v>#DIV/0!</v>
      </c>
      <c r="AV32" s="46" t="e">
        <f>BE$3*MIN(1,(ATM_Conf!$C$6-Links!G32)/(ATM_Conf!$C$6-ATM_Conf!$C$7))</f>
        <v>#DIV/0!</v>
      </c>
      <c r="AW32" s="46" t="e">
        <f>BF$3*MIN(1,(ATM_Conf!$C$6-Links!H32)/(ATM_Conf!$C$6-ATM_Conf!$C$7))</f>
        <v>#DIV/0!</v>
      </c>
      <c r="AX32" s="46" t="e">
        <f>BG$3*MIN(1,(ATM_Conf!$C$6-Links!I32)/(ATM_Conf!$C$6-ATM_Conf!$C$7))</f>
        <v>#DIV/0!</v>
      </c>
      <c r="AY32" s="46" t="e">
        <f>BH$3*MIN(1,(ATM_Conf!$C$6-Links!J32)/(ATM_Conf!$C$6-ATM_Conf!$C$7))</f>
        <v>#DIV/0!</v>
      </c>
      <c r="AZ32" s="46" t="e">
        <f>BI$3*MIN(1,(ATM_Conf!$C$6-Links!K32)/(ATM_Conf!$C$6-ATM_Conf!$C$7))</f>
        <v>#DIV/0!</v>
      </c>
      <c r="BA32" s="46" t="e">
        <f>BJ$3*MIN(1,(ATM_Conf!$C$6-Links!L32)/(ATM_Conf!$C$6-ATM_Conf!$C$7))</f>
        <v>#DIV/0!</v>
      </c>
      <c r="BB32" s="46" t="e">
        <f>BK$3*MIN(1,(ATM_Conf!$C$6-Links!M32)/(ATM_Conf!$C$6-ATM_Conf!$C$7))</f>
        <v>#DIV/0!</v>
      </c>
      <c r="BC32" s="46" t="e">
        <f>BL$3*MIN(1,(ATM_Conf!$C$6-Links!N32)/(ATM_Conf!$C$6-ATM_Conf!$C$7))</f>
        <v>#DIV/0!</v>
      </c>
      <c r="BD32" s="46"/>
      <c r="BE32" s="46"/>
      <c r="BF32" s="46"/>
      <c r="BG32" s="46"/>
      <c r="BH32" s="46"/>
      <c r="BI32" s="46"/>
      <c r="BJ32" s="46"/>
      <c r="BK32" s="46"/>
      <c r="BL32" s="46"/>
      <c r="BM32" s="54"/>
      <c r="BN32" s="54"/>
      <c r="BO32" s="54"/>
      <c r="BP32" s="54"/>
      <c r="BQ32" s="54"/>
      <c r="BR32" s="54"/>
      <c r="BS32" s="54"/>
      <c r="BT32" s="54"/>
      <c r="BU32" s="54"/>
      <c r="BV32" s="46" t="e">
        <f t="shared" si="13"/>
        <v>#DIV/0!</v>
      </c>
      <c r="BW32" s="46" t="e">
        <f t="shared" si="14"/>
        <v>#DIV/0!</v>
      </c>
      <c r="BX32" s="46" t="e">
        <f t="shared" si="15"/>
        <v>#DIV/0!</v>
      </c>
      <c r="BY32" s="46" t="e">
        <f t="shared" si="16"/>
        <v>#DIV/0!</v>
      </c>
      <c r="BZ32" s="46" t="e">
        <f t="shared" si="17"/>
        <v>#DIV/0!</v>
      </c>
      <c r="CA32" s="46" t="e">
        <f t="shared" si="18"/>
        <v>#DIV/0!</v>
      </c>
      <c r="CB32" s="46" t="e">
        <f t="shared" si="19"/>
        <v>#DIV/0!</v>
      </c>
      <c r="CC32" s="46" t="e">
        <f t="shared" si="20"/>
        <v>#DIV/0!</v>
      </c>
      <c r="CD32" s="46" t="e">
        <f t="shared" si="21"/>
        <v>#DIV/0!</v>
      </c>
      <c r="CE32" s="56" t="e">
        <f t="shared" si="22"/>
        <v>#DIV/0!</v>
      </c>
      <c r="CF32" s="56" t="e">
        <f t="shared" si="23"/>
        <v>#DIV/0!</v>
      </c>
      <c r="CG32" s="56" t="e">
        <f t="shared" si="24"/>
        <v>#DIV/0!</v>
      </c>
      <c r="CH32" s="56" t="e">
        <f t="shared" si="25"/>
        <v>#DIV/0!</v>
      </c>
      <c r="CI32" s="56" t="e">
        <f t="shared" si="26"/>
        <v>#DIV/0!</v>
      </c>
      <c r="CJ32" s="56" t="e">
        <f t="shared" si="27"/>
        <v>#DIV/0!</v>
      </c>
      <c r="CK32" s="56" t="e">
        <f t="shared" si="28"/>
        <v>#DIV/0!</v>
      </c>
      <c r="CL32" s="56" t="e">
        <f t="shared" si="29"/>
        <v>#DIV/0!</v>
      </c>
      <c r="CM32" s="56" t="e">
        <f t="shared" si="30"/>
        <v>#DIV/0!</v>
      </c>
    </row>
    <row r="33" spans="1:91" x14ac:dyDescent="0.15">
      <c r="A33" s="43">
        <v>31</v>
      </c>
      <c r="B33" s="46">
        <f t="shared" si="37"/>
        <v>1</v>
      </c>
      <c r="C33" s="46">
        <f t="shared" si="37"/>
        <v>1</v>
      </c>
      <c r="D33" s="46">
        <f t="shared" si="37"/>
        <v>1</v>
      </c>
      <c r="E33" s="46">
        <f t="shared" si="37"/>
        <v>1</v>
      </c>
      <c r="F33" s="46">
        <f t="shared" si="37"/>
        <v>1</v>
      </c>
      <c r="G33" s="46">
        <f t="shared" si="37"/>
        <v>1</v>
      </c>
      <c r="H33" s="46">
        <f t="shared" si="37"/>
        <v>1</v>
      </c>
      <c r="I33" s="46">
        <f t="shared" si="37"/>
        <v>1</v>
      </c>
      <c r="J33" s="46">
        <f t="shared" si="37"/>
        <v>1</v>
      </c>
      <c r="K33" s="46" t="e">
        <f>K32+ATM_Conf!$C$5*(T32-AC32)</f>
        <v>#DIV/0!</v>
      </c>
      <c r="L33" s="46" t="e">
        <f>L32+ATM_Conf!$C$5*(U32-AD32)</f>
        <v>#DIV/0!</v>
      </c>
      <c r="M33" s="46" t="e">
        <f>M32+ATM_Conf!$C$5*(V32-AE32)</f>
        <v>#DIV/0!</v>
      </c>
      <c r="N33" s="46" t="e">
        <f>N32+ATM_Conf!$C$5*(W32-AF32)</f>
        <v>#DIV/0!</v>
      </c>
      <c r="O33" s="46" t="e">
        <f>O32+ATM_Conf!$C$5*(X32-AG32)</f>
        <v>#DIV/0!</v>
      </c>
      <c r="P33" s="46" t="e">
        <f>P32+ATM_Conf!$C$5*(Y32-AH32)</f>
        <v>#DIV/0!</v>
      </c>
      <c r="Q33" s="46" t="e">
        <f>Q32+ATM_Conf!$C$5*(Z32-AI32)</f>
        <v>#DIV/0!</v>
      </c>
      <c r="R33" s="46" t="e">
        <f>R32+ATM_Conf!$C$5*(AA32-AJ32)</f>
        <v>#DIV/0!</v>
      </c>
      <c r="S33" s="46" t="e">
        <f>S32+ATM_Conf!$C$5*(AB32-AK32)</f>
        <v>#DIV/0!</v>
      </c>
      <c r="T33" s="46"/>
      <c r="U33" s="46"/>
      <c r="V33" s="46"/>
      <c r="W33" s="46"/>
      <c r="X33" s="46"/>
      <c r="Y33" s="46"/>
      <c r="Z33" s="46"/>
      <c r="AA33" s="46"/>
      <c r="AB33" s="46"/>
      <c r="AC33" s="46" t="e">
        <f t="shared" si="4"/>
        <v>#DIV/0!</v>
      </c>
      <c r="AD33" s="46" t="e">
        <f t="shared" si="5"/>
        <v>#DIV/0!</v>
      </c>
      <c r="AE33" s="46" t="e">
        <f t="shared" si="6"/>
        <v>#DIV/0!</v>
      </c>
      <c r="AF33" s="46" t="e">
        <f t="shared" si="7"/>
        <v>#DIV/0!</v>
      </c>
      <c r="AG33" s="46" t="e">
        <f t="shared" si="8"/>
        <v>#DIV/0!</v>
      </c>
      <c r="AH33" s="46" t="e">
        <f t="shared" si="9"/>
        <v>#DIV/0!</v>
      </c>
      <c r="AI33" s="46" t="e">
        <f t="shared" si="10"/>
        <v>#DIV/0!</v>
      </c>
      <c r="AJ33" s="46" t="e">
        <f t="shared" si="11"/>
        <v>#DIV/0!</v>
      </c>
      <c r="AK33" s="46" t="e">
        <f t="shared" si="12"/>
        <v>#DIV/0!</v>
      </c>
      <c r="AL33" s="46" t="e">
        <f>T$3+K33/ATM_Conf!$C$5</f>
        <v>#DIV/0!</v>
      </c>
      <c r="AM33" s="46" t="e">
        <f>U$3+L33/ATM_Conf!$C$5</f>
        <v>#DIV/0!</v>
      </c>
      <c r="AN33" s="46" t="e">
        <f>V$3+M33/ATM_Conf!$C$5</f>
        <v>#DIV/0!</v>
      </c>
      <c r="AO33" s="46" t="e">
        <f>W$3+N33/ATM_Conf!$C$5</f>
        <v>#DIV/0!</v>
      </c>
      <c r="AP33" s="46" t="e">
        <f>X$3+O33/ATM_Conf!$C$5</f>
        <v>#DIV/0!</v>
      </c>
      <c r="AQ33" s="46" t="e">
        <f>Y$3+P33/ATM_Conf!$C$5</f>
        <v>#DIV/0!</v>
      </c>
      <c r="AR33" s="46" t="e">
        <f>Z$3+Q33/ATM_Conf!$C$5</f>
        <v>#DIV/0!</v>
      </c>
      <c r="AS33" s="46" t="e">
        <f>AA$3+R33/ATM_Conf!$C$5</f>
        <v>#DIV/0!</v>
      </c>
      <c r="AT33" s="46" t="e">
        <f>AB$3+S33/ATM_Conf!$C$5</f>
        <v>#DIV/0!</v>
      </c>
      <c r="AU33" s="46" t="e">
        <f>BD$3*MIN(1,(ATM_Conf!$C$6-Links!F33)/(ATM_Conf!$C$6-ATM_Conf!$C$7))</f>
        <v>#DIV/0!</v>
      </c>
      <c r="AV33" s="46" t="e">
        <f>BE$3*MIN(1,(ATM_Conf!$C$6-Links!G33)/(ATM_Conf!$C$6-ATM_Conf!$C$7))</f>
        <v>#DIV/0!</v>
      </c>
      <c r="AW33" s="46" t="e">
        <f>BF$3*MIN(1,(ATM_Conf!$C$6-Links!H33)/(ATM_Conf!$C$6-ATM_Conf!$C$7))</f>
        <v>#DIV/0!</v>
      </c>
      <c r="AX33" s="46" t="e">
        <f>BG$3*MIN(1,(ATM_Conf!$C$6-Links!I33)/(ATM_Conf!$C$6-ATM_Conf!$C$7))</f>
        <v>#DIV/0!</v>
      </c>
      <c r="AY33" s="46" t="e">
        <f>BH$3*MIN(1,(ATM_Conf!$C$6-Links!J33)/(ATM_Conf!$C$6-ATM_Conf!$C$7))</f>
        <v>#DIV/0!</v>
      </c>
      <c r="AZ33" s="46" t="e">
        <f>BI$3*MIN(1,(ATM_Conf!$C$6-Links!K33)/(ATM_Conf!$C$6-ATM_Conf!$C$7))</f>
        <v>#DIV/0!</v>
      </c>
      <c r="BA33" s="46" t="e">
        <f>BJ$3*MIN(1,(ATM_Conf!$C$6-Links!L33)/(ATM_Conf!$C$6-ATM_Conf!$C$7))</f>
        <v>#DIV/0!</v>
      </c>
      <c r="BB33" s="46" t="e">
        <f>BK$3*MIN(1,(ATM_Conf!$C$6-Links!M33)/(ATM_Conf!$C$6-ATM_Conf!$C$7))</f>
        <v>#DIV/0!</v>
      </c>
      <c r="BC33" s="46" t="e">
        <f>BL$3*MIN(1,(ATM_Conf!$C$6-Links!N33)/(ATM_Conf!$C$6-ATM_Conf!$C$7))</f>
        <v>#DIV/0!</v>
      </c>
      <c r="BD33" s="46"/>
      <c r="BE33" s="46"/>
      <c r="BF33" s="46"/>
      <c r="BG33" s="46"/>
      <c r="BH33" s="46"/>
      <c r="BI33" s="46"/>
      <c r="BJ33" s="46"/>
      <c r="BK33" s="46"/>
      <c r="BL33" s="46"/>
      <c r="BM33" s="54"/>
      <c r="BN33" s="54"/>
      <c r="BO33" s="54"/>
      <c r="BP33" s="54"/>
      <c r="BQ33" s="54"/>
      <c r="BR33" s="54"/>
      <c r="BS33" s="54"/>
      <c r="BT33" s="54"/>
      <c r="BU33" s="54"/>
      <c r="BV33" s="46" t="e">
        <f t="shared" si="13"/>
        <v>#DIV/0!</v>
      </c>
      <c r="BW33" s="46" t="e">
        <f t="shared" si="14"/>
        <v>#DIV/0!</v>
      </c>
      <c r="BX33" s="46" t="e">
        <f t="shared" si="15"/>
        <v>#DIV/0!</v>
      </c>
      <c r="BY33" s="46" t="e">
        <f t="shared" si="16"/>
        <v>#DIV/0!</v>
      </c>
      <c r="BZ33" s="46" t="e">
        <f t="shared" si="17"/>
        <v>#DIV/0!</v>
      </c>
      <c r="CA33" s="46" t="e">
        <f t="shared" si="18"/>
        <v>#DIV/0!</v>
      </c>
      <c r="CB33" s="46" t="e">
        <f t="shared" si="19"/>
        <v>#DIV/0!</v>
      </c>
      <c r="CC33" s="46" t="e">
        <f t="shared" si="20"/>
        <v>#DIV/0!</v>
      </c>
      <c r="CD33" s="46" t="e">
        <f t="shared" si="21"/>
        <v>#DIV/0!</v>
      </c>
      <c r="CE33" s="56" t="e">
        <f t="shared" si="22"/>
        <v>#DIV/0!</v>
      </c>
      <c r="CF33" s="56" t="e">
        <f t="shared" si="23"/>
        <v>#DIV/0!</v>
      </c>
      <c r="CG33" s="56" t="e">
        <f t="shared" si="24"/>
        <v>#DIV/0!</v>
      </c>
      <c r="CH33" s="56" t="e">
        <f t="shared" si="25"/>
        <v>#DIV/0!</v>
      </c>
      <c r="CI33" s="56" t="e">
        <f t="shared" si="26"/>
        <v>#DIV/0!</v>
      </c>
      <c r="CJ33" s="56" t="e">
        <f t="shared" si="27"/>
        <v>#DIV/0!</v>
      </c>
      <c r="CK33" s="56" t="e">
        <f t="shared" si="28"/>
        <v>#DIV/0!</v>
      </c>
      <c r="CL33" s="56" t="e">
        <f t="shared" si="29"/>
        <v>#DIV/0!</v>
      </c>
      <c r="CM33" s="56" t="e">
        <f t="shared" si="30"/>
        <v>#DIV/0!</v>
      </c>
    </row>
    <row r="34" spans="1:91" x14ac:dyDescent="0.15">
      <c r="A34" s="43">
        <v>32</v>
      </c>
      <c r="B34" s="46">
        <f t="shared" si="37"/>
        <v>1</v>
      </c>
      <c r="C34" s="46">
        <f t="shared" si="37"/>
        <v>1</v>
      </c>
      <c r="D34" s="46">
        <f t="shared" si="37"/>
        <v>1</v>
      </c>
      <c r="E34" s="46">
        <f t="shared" si="37"/>
        <v>1</v>
      </c>
      <c r="F34" s="46">
        <f t="shared" si="37"/>
        <v>1</v>
      </c>
      <c r="G34" s="46">
        <f t="shared" si="37"/>
        <v>1</v>
      </c>
      <c r="H34" s="46">
        <f t="shared" si="37"/>
        <v>1</v>
      </c>
      <c r="I34" s="46">
        <f t="shared" si="37"/>
        <v>1</v>
      </c>
      <c r="J34" s="46">
        <f t="shared" si="37"/>
        <v>1</v>
      </c>
      <c r="K34" s="46" t="e">
        <f>K33+ATM_Conf!$C$5*(T33-AC33)</f>
        <v>#DIV/0!</v>
      </c>
      <c r="L34" s="46" t="e">
        <f>L33+ATM_Conf!$C$5*(U33-AD33)</f>
        <v>#DIV/0!</v>
      </c>
      <c r="M34" s="46" t="e">
        <f>M33+ATM_Conf!$C$5*(V33-AE33)</f>
        <v>#DIV/0!</v>
      </c>
      <c r="N34" s="46" t="e">
        <f>N33+ATM_Conf!$C$5*(W33-AF33)</f>
        <v>#DIV/0!</v>
      </c>
      <c r="O34" s="46" t="e">
        <f>O33+ATM_Conf!$C$5*(X33-AG33)</f>
        <v>#DIV/0!</v>
      </c>
      <c r="P34" s="46" t="e">
        <f>P33+ATM_Conf!$C$5*(Y33-AH33)</f>
        <v>#DIV/0!</v>
      </c>
      <c r="Q34" s="46" t="e">
        <f>Q33+ATM_Conf!$C$5*(Z33-AI33)</f>
        <v>#DIV/0!</v>
      </c>
      <c r="R34" s="46" t="e">
        <f>R33+ATM_Conf!$C$5*(AA33-AJ33)</f>
        <v>#DIV/0!</v>
      </c>
      <c r="S34" s="46" t="e">
        <f>S33+ATM_Conf!$C$5*(AB33-AK33)</f>
        <v>#DIV/0!</v>
      </c>
      <c r="T34" s="46"/>
      <c r="U34" s="46"/>
      <c r="V34" s="46"/>
      <c r="W34" s="46"/>
      <c r="X34" s="46"/>
      <c r="Y34" s="46"/>
      <c r="Z34" s="46"/>
      <c r="AA34" s="46"/>
      <c r="AB34" s="46"/>
      <c r="AC34" s="46" t="e">
        <f t="shared" si="4"/>
        <v>#DIV/0!</v>
      </c>
      <c r="AD34" s="46" t="e">
        <f t="shared" si="5"/>
        <v>#DIV/0!</v>
      </c>
      <c r="AE34" s="46" t="e">
        <f t="shared" si="6"/>
        <v>#DIV/0!</v>
      </c>
      <c r="AF34" s="46" t="e">
        <f t="shared" si="7"/>
        <v>#DIV/0!</v>
      </c>
      <c r="AG34" s="46" t="e">
        <f t="shared" si="8"/>
        <v>#DIV/0!</v>
      </c>
      <c r="AH34" s="46" t="e">
        <f t="shared" si="9"/>
        <v>#DIV/0!</v>
      </c>
      <c r="AI34" s="46" t="e">
        <f t="shared" si="10"/>
        <v>#DIV/0!</v>
      </c>
      <c r="AJ34" s="46" t="e">
        <f t="shared" si="11"/>
        <v>#DIV/0!</v>
      </c>
      <c r="AK34" s="46" t="e">
        <f t="shared" si="12"/>
        <v>#DIV/0!</v>
      </c>
      <c r="AL34" s="46" t="e">
        <f>T$3+K34/ATM_Conf!$C$5</f>
        <v>#DIV/0!</v>
      </c>
      <c r="AM34" s="46" t="e">
        <f>U$3+L34/ATM_Conf!$C$5</f>
        <v>#DIV/0!</v>
      </c>
      <c r="AN34" s="46" t="e">
        <f>V$3+M34/ATM_Conf!$C$5</f>
        <v>#DIV/0!</v>
      </c>
      <c r="AO34" s="46" t="e">
        <f>W$3+N34/ATM_Conf!$C$5</f>
        <v>#DIV/0!</v>
      </c>
      <c r="AP34" s="46" t="e">
        <f>X$3+O34/ATM_Conf!$C$5</f>
        <v>#DIV/0!</v>
      </c>
      <c r="AQ34" s="46" t="e">
        <f>Y$3+P34/ATM_Conf!$C$5</f>
        <v>#DIV/0!</v>
      </c>
      <c r="AR34" s="46" t="e">
        <f>Z$3+Q34/ATM_Conf!$C$5</f>
        <v>#DIV/0!</v>
      </c>
      <c r="AS34" s="46" t="e">
        <f>AA$3+R34/ATM_Conf!$C$5</f>
        <v>#DIV/0!</v>
      </c>
      <c r="AT34" s="46" t="e">
        <f>AB$3+S34/ATM_Conf!$C$5</f>
        <v>#DIV/0!</v>
      </c>
      <c r="AU34" s="46" t="e">
        <f>BD$3*MIN(1,(ATM_Conf!$C$6-Links!F34)/(ATM_Conf!$C$6-ATM_Conf!$C$7))</f>
        <v>#DIV/0!</v>
      </c>
      <c r="AV34" s="46" t="e">
        <f>BE$3*MIN(1,(ATM_Conf!$C$6-Links!G34)/(ATM_Conf!$C$6-ATM_Conf!$C$7))</f>
        <v>#DIV/0!</v>
      </c>
      <c r="AW34" s="46" t="e">
        <f>BF$3*MIN(1,(ATM_Conf!$C$6-Links!H34)/(ATM_Conf!$C$6-ATM_Conf!$C$7))</f>
        <v>#DIV/0!</v>
      </c>
      <c r="AX34" s="46" t="e">
        <f>BG$3*MIN(1,(ATM_Conf!$C$6-Links!I34)/(ATM_Conf!$C$6-ATM_Conf!$C$7))</f>
        <v>#DIV/0!</v>
      </c>
      <c r="AY34" s="46" t="e">
        <f>BH$3*MIN(1,(ATM_Conf!$C$6-Links!J34)/(ATM_Conf!$C$6-ATM_Conf!$C$7))</f>
        <v>#DIV/0!</v>
      </c>
      <c r="AZ34" s="46" t="e">
        <f>BI$3*MIN(1,(ATM_Conf!$C$6-Links!K34)/(ATM_Conf!$C$6-ATM_Conf!$C$7))</f>
        <v>#DIV/0!</v>
      </c>
      <c r="BA34" s="46" t="e">
        <f>BJ$3*MIN(1,(ATM_Conf!$C$6-Links!L34)/(ATM_Conf!$C$6-ATM_Conf!$C$7))</f>
        <v>#DIV/0!</v>
      </c>
      <c r="BB34" s="46" t="e">
        <f>BK$3*MIN(1,(ATM_Conf!$C$6-Links!M34)/(ATM_Conf!$C$6-ATM_Conf!$C$7))</f>
        <v>#DIV/0!</v>
      </c>
      <c r="BC34" s="46" t="e">
        <f>BL$3*MIN(1,(ATM_Conf!$C$6-Links!N34)/(ATM_Conf!$C$6-ATM_Conf!$C$7))</f>
        <v>#DIV/0!</v>
      </c>
      <c r="BD34" s="46"/>
      <c r="BE34" s="46"/>
      <c r="BF34" s="46"/>
      <c r="BG34" s="46"/>
      <c r="BH34" s="46"/>
      <c r="BI34" s="46"/>
      <c r="BJ34" s="46"/>
      <c r="BK34" s="46"/>
      <c r="BL34" s="46"/>
      <c r="BM34" s="54"/>
      <c r="BN34" s="54"/>
      <c r="BO34" s="54"/>
      <c r="BP34" s="54"/>
      <c r="BQ34" s="54"/>
      <c r="BR34" s="54"/>
      <c r="BS34" s="54"/>
      <c r="BT34" s="54"/>
      <c r="BU34" s="54"/>
      <c r="BV34" s="46" t="e">
        <f t="shared" si="13"/>
        <v>#DIV/0!</v>
      </c>
      <c r="BW34" s="46" t="e">
        <f t="shared" si="14"/>
        <v>#DIV/0!</v>
      </c>
      <c r="BX34" s="46" t="e">
        <f t="shared" si="15"/>
        <v>#DIV/0!</v>
      </c>
      <c r="BY34" s="46" t="e">
        <f t="shared" si="16"/>
        <v>#DIV/0!</v>
      </c>
      <c r="BZ34" s="46" t="e">
        <f t="shared" si="17"/>
        <v>#DIV/0!</v>
      </c>
      <c r="CA34" s="46" t="e">
        <f t="shared" si="18"/>
        <v>#DIV/0!</v>
      </c>
      <c r="CB34" s="46" t="e">
        <f t="shared" si="19"/>
        <v>#DIV/0!</v>
      </c>
      <c r="CC34" s="46" t="e">
        <f t="shared" si="20"/>
        <v>#DIV/0!</v>
      </c>
      <c r="CD34" s="46" t="e">
        <f t="shared" si="21"/>
        <v>#DIV/0!</v>
      </c>
      <c r="CE34" s="56" t="e">
        <f t="shared" si="22"/>
        <v>#DIV/0!</v>
      </c>
      <c r="CF34" s="56" t="e">
        <f t="shared" si="23"/>
        <v>#DIV/0!</v>
      </c>
      <c r="CG34" s="56" t="e">
        <f t="shared" si="24"/>
        <v>#DIV/0!</v>
      </c>
      <c r="CH34" s="56" t="e">
        <f t="shared" si="25"/>
        <v>#DIV/0!</v>
      </c>
      <c r="CI34" s="56" t="e">
        <f t="shared" si="26"/>
        <v>#DIV/0!</v>
      </c>
      <c r="CJ34" s="56" t="e">
        <f t="shared" si="27"/>
        <v>#DIV/0!</v>
      </c>
      <c r="CK34" s="56" t="e">
        <f t="shared" si="28"/>
        <v>#DIV/0!</v>
      </c>
      <c r="CL34" s="56" t="e">
        <f t="shared" si="29"/>
        <v>#DIV/0!</v>
      </c>
      <c r="CM34" s="56" t="e">
        <f t="shared" si="30"/>
        <v>#DIV/0!</v>
      </c>
    </row>
    <row r="35" spans="1:91" x14ac:dyDescent="0.15">
      <c r="A35" s="43">
        <v>33</v>
      </c>
      <c r="B35" s="46">
        <f t="shared" si="37"/>
        <v>1</v>
      </c>
      <c r="C35" s="46">
        <f t="shared" si="37"/>
        <v>1</v>
      </c>
      <c r="D35" s="46">
        <f t="shared" si="37"/>
        <v>1</v>
      </c>
      <c r="E35" s="46">
        <f t="shared" si="37"/>
        <v>1</v>
      </c>
      <c r="F35" s="46">
        <f t="shared" si="37"/>
        <v>1</v>
      </c>
      <c r="G35" s="46">
        <f t="shared" si="37"/>
        <v>1</v>
      </c>
      <c r="H35" s="46">
        <f t="shared" si="37"/>
        <v>1</v>
      </c>
      <c r="I35" s="46">
        <f t="shared" si="37"/>
        <v>1</v>
      </c>
      <c r="J35" s="46">
        <f t="shared" si="37"/>
        <v>1</v>
      </c>
      <c r="K35" s="46" t="e">
        <f>K34+ATM_Conf!$C$5*(T34-AC34)</f>
        <v>#DIV/0!</v>
      </c>
      <c r="L35" s="46" t="e">
        <f>L34+ATM_Conf!$C$5*(U34-AD34)</f>
        <v>#DIV/0!</v>
      </c>
      <c r="M35" s="46" t="e">
        <f>M34+ATM_Conf!$C$5*(V34-AE34)</f>
        <v>#DIV/0!</v>
      </c>
      <c r="N35" s="46" t="e">
        <f>N34+ATM_Conf!$C$5*(W34-AF34)</f>
        <v>#DIV/0!</v>
      </c>
      <c r="O35" s="46" t="e">
        <f>O34+ATM_Conf!$C$5*(X34-AG34)</f>
        <v>#DIV/0!</v>
      </c>
      <c r="P35" s="46" t="e">
        <f>P34+ATM_Conf!$C$5*(Y34-AH34)</f>
        <v>#DIV/0!</v>
      </c>
      <c r="Q35" s="46" t="e">
        <f>Q34+ATM_Conf!$C$5*(Z34-AI34)</f>
        <v>#DIV/0!</v>
      </c>
      <c r="R35" s="46" t="e">
        <f>R34+ATM_Conf!$C$5*(AA34-AJ34)</f>
        <v>#DIV/0!</v>
      </c>
      <c r="S35" s="46" t="e">
        <f>S34+ATM_Conf!$C$5*(AB34-AK34)</f>
        <v>#DIV/0!</v>
      </c>
      <c r="T35" s="46"/>
      <c r="U35" s="46"/>
      <c r="V35" s="46"/>
      <c r="W35" s="46"/>
      <c r="X35" s="46"/>
      <c r="Y35" s="46"/>
      <c r="Z35" s="46"/>
      <c r="AA35" s="46"/>
      <c r="AB35" s="46"/>
      <c r="AC35" s="46" t="e">
        <f t="shared" si="4"/>
        <v>#DIV/0!</v>
      </c>
      <c r="AD35" s="46" t="e">
        <f t="shared" si="5"/>
        <v>#DIV/0!</v>
      </c>
      <c r="AE35" s="46" t="e">
        <f t="shared" si="6"/>
        <v>#DIV/0!</v>
      </c>
      <c r="AF35" s="46" t="e">
        <f t="shared" si="7"/>
        <v>#DIV/0!</v>
      </c>
      <c r="AG35" s="46" t="e">
        <f t="shared" si="8"/>
        <v>#DIV/0!</v>
      </c>
      <c r="AH35" s="46" t="e">
        <f t="shared" si="9"/>
        <v>#DIV/0!</v>
      </c>
      <c r="AI35" s="46" t="e">
        <f t="shared" si="10"/>
        <v>#DIV/0!</v>
      </c>
      <c r="AJ35" s="46" t="e">
        <f t="shared" si="11"/>
        <v>#DIV/0!</v>
      </c>
      <c r="AK35" s="46" t="e">
        <f t="shared" si="12"/>
        <v>#DIV/0!</v>
      </c>
      <c r="AL35" s="46" t="e">
        <f>T$3+K35/ATM_Conf!$C$5</f>
        <v>#DIV/0!</v>
      </c>
      <c r="AM35" s="46" t="e">
        <f>U$3+L35/ATM_Conf!$C$5</f>
        <v>#DIV/0!</v>
      </c>
      <c r="AN35" s="46" t="e">
        <f>V$3+M35/ATM_Conf!$C$5</f>
        <v>#DIV/0!</v>
      </c>
      <c r="AO35" s="46" t="e">
        <f>W$3+N35/ATM_Conf!$C$5</f>
        <v>#DIV/0!</v>
      </c>
      <c r="AP35" s="46" t="e">
        <f>X$3+O35/ATM_Conf!$C$5</f>
        <v>#DIV/0!</v>
      </c>
      <c r="AQ35" s="46" t="e">
        <f>Y$3+P35/ATM_Conf!$C$5</f>
        <v>#DIV/0!</v>
      </c>
      <c r="AR35" s="46" t="e">
        <f>Z$3+Q35/ATM_Conf!$C$5</f>
        <v>#DIV/0!</v>
      </c>
      <c r="AS35" s="46" t="e">
        <f>AA$3+R35/ATM_Conf!$C$5</f>
        <v>#DIV/0!</v>
      </c>
      <c r="AT35" s="46" t="e">
        <f>AB$3+S35/ATM_Conf!$C$5</f>
        <v>#DIV/0!</v>
      </c>
      <c r="AU35" s="46" t="e">
        <f>BD$3*MIN(1,(ATM_Conf!$C$6-Links!F35)/(ATM_Conf!$C$6-ATM_Conf!$C$7))</f>
        <v>#DIV/0!</v>
      </c>
      <c r="AV35" s="46" t="e">
        <f>BE$3*MIN(1,(ATM_Conf!$C$6-Links!G35)/(ATM_Conf!$C$6-ATM_Conf!$C$7))</f>
        <v>#DIV/0!</v>
      </c>
      <c r="AW35" s="46" t="e">
        <f>BF$3*MIN(1,(ATM_Conf!$C$6-Links!H35)/(ATM_Conf!$C$6-ATM_Conf!$C$7))</f>
        <v>#DIV/0!</v>
      </c>
      <c r="AX35" s="46" t="e">
        <f>BG$3*MIN(1,(ATM_Conf!$C$6-Links!I35)/(ATM_Conf!$C$6-ATM_Conf!$C$7))</f>
        <v>#DIV/0!</v>
      </c>
      <c r="AY35" s="46" t="e">
        <f>BH$3*MIN(1,(ATM_Conf!$C$6-Links!J35)/(ATM_Conf!$C$6-ATM_Conf!$C$7))</f>
        <v>#DIV/0!</v>
      </c>
      <c r="AZ35" s="46" t="e">
        <f>BI$3*MIN(1,(ATM_Conf!$C$6-Links!K35)/(ATM_Conf!$C$6-ATM_Conf!$C$7))</f>
        <v>#DIV/0!</v>
      </c>
      <c r="BA35" s="46" t="e">
        <f>BJ$3*MIN(1,(ATM_Conf!$C$6-Links!L35)/(ATM_Conf!$C$6-ATM_Conf!$C$7))</f>
        <v>#DIV/0!</v>
      </c>
      <c r="BB35" s="46" t="e">
        <f>BK$3*MIN(1,(ATM_Conf!$C$6-Links!M35)/(ATM_Conf!$C$6-ATM_Conf!$C$7))</f>
        <v>#DIV/0!</v>
      </c>
      <c r="BC35" s="46" t="e">
        <f>BL$3*MIN(1,(ATM_Conf!$C$6-Links!N35)/(ATM_Conf!$C$6-ATM_Conf!$C$7))</f>
        <v>#DIV/0!</v>
      </c>
      <c r="BD35" s="46"/>
      <c r="BE35" s="46"/>
      <c r="BF35" s="46"/>
      <c r="BG35" s="46"/>
      <c r="BH35" s="46"/>
      <c r="BI35" s="46"/>
      <c r="BJ35" s="46"/>
      <c r="BK35" s="46"/>
      <c r="BL35" s="46"/>
      <c r="BM35" s="54"/>
      <c r="BN35" s="54"/>
      <c r="BO35" s="54"/>
      <c r="BP35" s="54"/>
      <c r="BQ35" s="54"/>
      <c r="BR35" s="54"/>
      <c r="BS35" s="54"/>
      <c r="BT35" s="54"/>
      <c r="BU35" s="54"/>
      <c r="BV35" s="46" t="e">
        <f t="shared" si="13"/>
        <v>#DIV/0!</v>
      </c>
      <c r="BW35" s="46" t="e">
        <f t="shared" si="14"/>
        <v>#DIV/0!</v>
      </c>
      <c r="BX35" s="46" t="e">
        <f t="shared" si="15"/>
        <v>#DIV/0!</v>
      </c>
      <c r="BY35" s="46" t="e">
        <f t="shared" si="16"/>
        <v>#DIV/0!</v>
      </c>
      <c r="BZ35" s="46" t="e">
        <f t="shared" si="17"/>
        <v>#DIV/0!</v>
      </c>
      <c r="CA35" s="46" t="e">
        <f t="shared" si="18"/>
        <v>#DIV/0!</v>
      </c>
      <c r="CB35" s="46" t="e">
        <f t="shared" si="19"/>
        <v>#DIV/0!</v>
      </c>
      <c r="CC35" s="46" t="e">
        <f t="shared" si="20"/>
        <v>#DIV/0!</v>
      </c>
      <c r="CD35" s="46" t="e">
        <f t="shared" si="21"/>
        <v>#DIV/0!</v>
      </c>
      <c r="CE35" s="56" t="e">
        <f t="shared" si="22"/>
        <v>#DIV/0!</v>
      </c>
      <c r="CF35" s="56" t="e">
        <f t="shared" si="23"/>
        <v>#DIV/0!</v>
      </c>
      <c r="CG35" s="56" t="e">
        <f t="shared" si="24"/>
        <v>#DIV/0!</v>
      </c>
      <c r="CH35" s="56" t="e">
        <f t="shared" si="25"/>
        <v>#DIV/0!</v>
      </c>
      <c r="CI35" s="56" t="e">
        <f t="shared" si="26"/>
        <v>#DIV/0!</v>
      </c>
      <c r="CJ35" s="56" t="e">
        <f t="shared" si="27"/>
        <v>#DIV/0!</v>
      </c>
      <c r="CK35" s="56" t="e">
        <f t="shared" si="28"/>
        <v>#DIV/0!</v>
      </c>
      <c r="CL35" s="56" t="e">
        <f t="shared" si="29"/>
        <v>#DIV/0!</v>
      </c>
      <c r="CM35" s="56" t="e">
        <f t="shared" si="30"/>
        <v>#DIV/0!</v>
      </c>
    </row>
    <row r="36" spans="1:91" x14ac:dyDescent="0.15">
      <c r="A36" s="43">
        <v>34</v>
      </c>
      <c r="B36" s="46">
        <f t="shared" si="37"/>
        <v>1</v>
      </c>
      <c r="C36" s="46">
        <f t="shared" si="37"/>
        <v>1</v>
      </c>
      <c r="D36" s="46">
        <f t="shared" si="37"/>
        <v>1</v>
      </c>
      <c r="E36" s="46">
        <f t="shared" si="37"/>
        <v>1</v>
      </c>
      <c r="F36" s="46">
        <f t="shared" si="37"/>
        <v>1</v>
      </c>
      <c r="G36" s="46">
        <f t="shared" si="37"/>
        <v>1</v>
      </c>
      <c r="H36" s="46">
        <f t="shared" si="37"/>
        <v>1</v>
      </c>
      <c r="I36" s="46">
        <f t="shared" si="37"/>
        <v>1</v>
      </c>
      <c r="J36" s="46">
        <f t="shared" si="37"/>
        <v>1</v>
      </c>
      <c r="K36" s="46" t="e">
        <f>K35+ATM_Conf!$C$5*(T35-AC35)</f>
        <v>#DIV/0!</v>
      </c>
      <c r="L36" s="46" t="e">
        <f>L35+ATM_Conf!$C$5*(U35-AD35)</f>
        <v>#DIV/0!</v>
      </c>
      <c r="M36" s="46" t="e">
        <f>M35+ATM_Conf!$C$5*(V35-AE35)</f>
        <v>#DIV/0!</v>
      </c>
      <c r="N36" s="46" t="e">
        <f>N35+ATM_Conf!$C$5*(W35-AF35)</f>
        <v>#DIV/0!</v>
      </c>
      <c r="O36" s="46" t="e">
        <f>O35+ATM_Conf!$C$5*(X35-AG35)</f>
        <v>#DIV/0!</v>
      </c>
      <c r="P36" s="46" t="e">
        <f>P35+ATM_Conf!$C$5*(Y35-AH35)</f>
        <v>#DIV/0!</v>
      </c>
      <c r="Q36" s="46" t="e">
        <f>Q35+ATM_Conf!$C$5*(Z35-AI35)</f>
        <v>#DIV/0!</v>
      </c>
      <c r="R36" s="46" t="e">
        <f>R35+ATM_Conf!$C$5*(AA35-AJ35)</f>
        <v>#DIV/0!</v>
      </c>
      <c r="S36" s="46" t="e">
        <f>S35+ATM_Conf!$C$5*(AB35-AK35)</f>
        <v>#DIV/0!</v>
      </c>
      <c r="T36" s="46"/>
      <c r="U36" s="46"/>
      <c r="V36" s="46"/>
      <c r="W36" s="46"/>
      <c r="X36" s="46"/>
      <c r="Y36" s="46"/>
      <c r="Z36" s="46"/>
      <c r="AA36" s="46"/>
      <c r="AB36" s="46"/>
      <c r="AC36" s="46" t="e">
        <f t="shared" si="4"/>
        <v>#DIV/0!</v>
      </c>
      <c r="AD36" s="46" t="e">
        <f t="shared" si="5"/>
        <v>#DIV/0!</v>
      </c>
      <c r="AE36" s="46" t="e">
        <f t="shared" si="6"/>
        <v>#DIV/0!</v>
      </c>
      <c r="AF36" s="46" t="e">
        <f t="shared" si="7"/>
        <v>#DIV/0!</v>
      </c>
      <c r="AG36" s="46" t="e">
        <f t="shared" si="8"/>
        <v>#DIV/0!</v>
      </c>
      <c r="AH36" s="46" t="e">
        <f t="shared" si="9"/>
        <v>#DIV/0!</v>
      </c>
      <c r="AI36" s="46" t="e">
        <f t="shared" si="10"/>
        <v>#DIV/0!</v>
      </c>
      <c r="AJ36" s="46" t="e">
        <f t="shared" si="11"/>
        <v>#DIV/0!</v>
      </c>
      <c r="AK36" s="46" t="e">
        <f t="shared" si="12"/>
        <v>#DIV/0!</v>
      </c>
      <c r="AL36" s="46" t="e">
        <f>T$3+K36/ATM_Conf!$C$5</f>
        <v>#DIV/0!</v>
      </c>
      <c r="AM36" s="46" t="e">
        <f>U$3+L36/ATM_Conf!$C$5</f>
        <v>#DIV/0!</v>
      </c>
      <c r="AN36" s="46" t="e">
        <f>V$3+M36/ATM_Conf!$C$5</f>
        <v>#DIV/0!</v>
      </c>
      <c r="AO36" s="46" t="e">
        <f>W$3+N36/ATM_Conf!$C$5</f>
        <v>#DIV/0!</v>
      </c>
      <c r="AP36" s="46" t="e">
        <f>X$3+O36/ATM_Conf!$C$5</f>
        <v>#DIV/0!</v>
      </c>
      <c r="AQ36" s="46" t="e">
        <f>Y$3+P36/ATM_Conf!$C$5</f>
        <v>#DIV/0!</v>
      </c>
      <c r="AR36" s="46" t="e">
        <f>Z$3+Q36/ATM_Conf!$C$5</f>
        <v>#DIV/0!</v>
      </c>
      <c r="AS36" s="46" t="e">
        <f>AA$3+R36/ATM_Conf!$C$5</f>
        <v>#DIV/0!</v>
      </c>
      <c r="AT36" s="46" t="e">
        <f>AB$3+S36/ATM_Conf!$C$5</f>
        <v>#DIV/0!</v>
      </c>
      <c r="AU36" s="46" t="e">
        <f>BD$3*MIN(1,(ATM_Conf!$C$6-Links!F36)/(ATM_Conf!$C$6-ATM_Conf!$C$7))</f>
        <v>#DIV/0!</v>
      </c>
      <c r="AV36" s="46" t="e">
        <f>BE$3*MIN(1,(ATM_Conf!$C$6-Links!G36)/(ATM_Conf!$C$6-ATM_Conf!$C$7))</f>
        <v>#DIV/0!</v>
      </c>
      <c r="AW36" s="46" t="e">
        <f>BF$3*MIN(1,(ATM_Conf!$C$6-Links!H36)/(ATM_Conf!$C$6-ATM_Conf!$C$7))</f>
        <v>#DIV/0!</v>
      </c>
      <c r="AX36" s="46" t="e">
        <f>BG$3*MIN(1,(ATM_Conf!$C$6-Links!I36)/(ATM_Conf!$C$6-ATM_Conf!$C$7))</f>
        <v>#DIV/0!</v>
      </c>
      <c r="AY36" s="46" t="e">
        <f>BH$3*MIN(1,(ATM_Conf!$C$6-Links!J36)/(ATM_Conf!$C$6-ATM_Conf!$C$7))</f>
        <v>#DIV/0!</v>
      </c>
      <c r="AZ36" s="46" t="e">
        <f>BI$3*MIN(1,(ATM_Conf!$C$6-Links!K36)/(ATM_Conf!$C$6-ATM_Conf!$C$7))</f>
        <v>#DIV/0!</v>
      </c>
      <c r="BA36" s="46" t="e">
        <f>BJ$3*MIN(1,(ATM_Conf!$C$6-Links!L36)/(ATM_Conf!$C$6-ATM_Conf!$C$7))</f>
        <v>#DIV/0!</v>
      </c>
      <c r="BB36" s="46" t="e">
        <f>BK$3*MIN(1,(ATM_Conf!$C$6-Links!M36)/(ATM_Conf!$C$6-ATM_Conf!$C$7))</f>
        <v>#DIV/0!</v>
      </c>
      <c r="BC36" s="46" t="e">
        <f>BL$3*MIN(1,(ATM_Conf!$C$6-Links!N36)/(ATM_Conf!$C$6-ATM_Conf!$C$7))</f>
        <v>#DIV/0!</v>
      </c>
      <c r="BD36" s="46"/>
      <c r="BE36" s="46"/>
      <c r="BF36" s="46"/>
      <c r="BG36" s="46"/>
      <c r="BH36" s="46"/>
      <c r="BI36" s="46"/>
      <c r="BJ36" s="46"/>
      <c r="BK36" s="46"/>
      <c r="BL36" s="46"/>
      <c r="BM36" s="54"/>
      <c r="BN36" s="54"/>
      <c r="BO36" s="54"/>
      <c r="BP36" s="54"/>
      <c r="BQ36" s="54"/>
      <c r="BR36" s="54"/>
      <c r="BS36" s="54"/>
      <c r="BT36" s="54"/>
      <c r="BU36" s="54"/>
      <c r="BV36" s="46" t="e">
        <f t="shared" si="13"/>
        <v>#DIV/0!</v>
      </c>
      <c r="BW36" s="46" t="e">
        <f t="shared" si="14"/>
        <v>#DIV/0!</v>
      </c>
      <c r="BX36" s="46" t="e">
        <f t="shared" si="15"/>
        <v>#DIV/0!</v>
      </c>
      <c r="BY36" s="46" t="e">
        <f t="shared" si="16"/>
        <v>#DIV/0!</v>
      </c>
      <c r="BZ36" s="46" t="e">
        <f t="shared" si="17"/>
        <v>#DIV/0!</v>
      </c>
      <c r="CA36" s="46" t="e">
        <f t="shared" si="18"/>
        <v>#DIV/0!</v>
      </c>
      <c r="CB36" s="46" t="e">
        <f t="shared" si="19"/>
        <v>#DIV/0!</v>
      </c>
      <c r="CC36" s="46" t="e">
        <f t="shared" si="20"/>
        <v>#DIV/0!</v>
      </c>
      <c r="CD36" s="46" t="e">
        <f t="shared" si="21"/>
        <v>#DIV/0!</v>
      </c>
      <c r="CE36" s="56" t="e">
        <f t="shared" si="22"/>
        <v>#DIV/0!</v>
      </c>
      <c r="CF36" s="56" t="e">
        <f t="shared" si="23"/>
        <v>#DIV/0!</v>
      </c>
      <c r="CG36" s="56" t="e">
        <f t="shared" si="24"/>
        <v>#DIV/0!</v>
      </c>
      <c r="CH36" s="56" t="e">
        <f t="shared" si="25"/>
        <v>#DIV/0!</v>
      </c>
      <c r="CI36" s="56" t="e">
        <f t="shared" si="26"/>
        <v>#DIV/0!</v>
      </c>
      <c r="CJ36" s="56" t="e">
        <f t="shared" si="27"/>
        <v>#DIV/0!</v>
      </c>
      <c r="CK36" s="56" t="e">
        <f t="shared" si="28"/>
        <v>#DIV/0!</v>
      </c>
      <c r="CL36" s="56" t="e">
        <f t="shared" si="29"/>
        <v>#DIV/0!</v>
      </c>
      <c r="CM36" s="56" t="e">
        <f t="shared" si="30"/>
        <v>#DIV/0!</v>
      </c>
    </row>
    <row r="37" spans="1:91" x14ac:dyDescent="0.15">
      <c r="A37" s="43">
        <v>35</v>
      </c>
      <c r="B37" s="46">
        <f t="shared" si="37"/>
        <v>1</v>
      </c>
      <c r="C37" s="46">
        <f t="shared" si="37"/>
        <v>1</v>
      </c>
      <c r="D37" s="46">
        <f t="shared" si="37"/>
        <v>1</v>
      </c>
      <c r="E37" s="46">
        <f t="shared" si="37"/>
        <v>1</v>
      </c>
      <c r="F37" s="46">
        <f t="shared" si="37"/>
        <v>1</v>
      </c>
      <c r="G37" s="46">
        <f t="shared" si="37"/>
        <v>1</v>
      </c>
      <c r="H37" s="46">
        <f t="shared" si="37"/>
        <v>1</v>
      </c>
      <c r="I37" s="46">
        <f t="shared" si="37"/>
        <v>1</v>
      </c>
      <c r="J37" s="46">
        <f t="shared" si="37"/>
        <v>1</v>
      </c>
      <c r="K37" s="46" t="e">
        <f>K36+ATM_Conf!$C$5*(T36-AC36)</f>
        <v>#DIV/0!</v>
      </c>
      <c r="L37" s="46" t="e">
        <f>L36+ATM_Conf!$C$5*(U36-AD36)</f>
        <v>#DIV/0!</v>
      </c>
      <c r="M37" s="46" t="e">
        <f>M36+ATM_Conf!$C$5*(V36-AE36)</f>
        <v>#DIV/0!</v>
      </c>
      <c r="N37" s="46" t="e">
        <f>N36+ATM_Conf!$C$5*(W36-AF36)</f>
        <v>#DIV/0!</v>
      </c>
      <c r="O37" s="46" t="e">
        <f>O36+ATM_Conf!$C$5*(X36-AG36)</f>
        <v>#DIV/0!</v>
      </c>
      <c r="P37" s="46" t="e">
        <f>P36+ATM_Conf!$C$5*(Y36-AH36)</f>
        <v>#DIV/0!</v>
      </c>
      <c r="Q37" s="46" t="e">
        <f>Q36+ATM_Conf!$C$5*(Z36-AI36)</f>
        <v>#DIV/0!</v>
      </c>
      <c r="R37" s="46" t="e">
        <f>R36+ATM_Conf!$C$5*(AA36-AJ36)</f>
        <v>#DIV/0!</v>
      </c>
      <c r="S37" s="46" t="e">
        <f>S36+ATM_Conf!$C$5*(AB36-AK36)</f>
        <v>#DIV/0!</v>
      </c>
      <c r="T37" s="46"/>
      <c r="U37" s="46"/>
      <c r="V37" s="46"/>
      <c r="W37" s="46"/>
      <c r="X37" s="46"/>
      <c r="Y37" s="46"/>
      <c r="Z37" s="46"/>
      <c r="AA37" s="46"/>
      <c r="AB37" s="46"/>
      <c r="AC37" s="46" t="e">
        <f t="shared" si="4"/>
        <v>#DIV/0!</v>
      </c>
      <c r="AD37" s="46" t="e">
        <f t="shared" si="5"/>
        <v>#DIV/0!</v>
      </c>
      <c r="AE37" s="46" t="e">
        <f t="shared" si="6"/>
        <v>#DIV/0!</v>
      </c>
      <c r="AF37" s="46" t="e">
        <f t="shared" si="7"/>
        <v>#DIV/0!</v>
      </c>
      <c r="AG37" s="46" t="e">
        <f t="shared" si="8"/>
        <v>#DIV/0!</v>
      </c>
      <c r="AH37" s="46" t="e">
        <f t="shared" si="9"/>
        <v>#DIV/0!</v>
      </c>
      <c r="AI37" s="46" t="e">
        <f t="shared" si="10"/>
        <v>#DIV/0!</v>
      </c>
      <c r="AJ37" s="46" t="e">
        <f t="shared" si="11"/>
        <v>#DIV/0!</v>
      </c>
      <c r="AK37" s="46" t="e">
        <f t="shared" si="12"/>
        <v>#DIV/0!</v>
      </c>
      <c r="AL37" s="46" t="e">
        <f>T$3+K37/ATM_Conf!$C$5</f>
        <v>#DIV/0!</v>
      </c>
      <c r="AM37" s="46" t="e">
        <f>U$3+L37/ATM_Conf!$C$5</f>
        <v>#DIV/0!</v>
      </c>
      <c r="AN37" s="46" t="e">
        <f>V$3+M37/ATM_Conf!$C$5</f>
        <v>#DIV/0!</v>
      </c>
      <c r="AO37" s="46" t="e">
        <f>W$3+N37/ATM_Conf!$C$5</f>
        <v>#DIV/0!</v>
      </c>
      <c r="AP37" s="46" t="e">
        <f>X$3+O37/ATM_Conf!$C$5</f>
        <v>#DIV/0!</v>
      </c>
      <c r="AQ37" s="46" t="e">
        <f>Y$3+P37/ATM_Conf!$C$5</f>
        <v>#DIV/0!</v>
      </c>
      <c r="AR37" s="46" t="e">
        <f>Z$3+Q37/ATM_Conf!$C$5</f>
        <v>#DIV/0!</v>
      </c>
      <c r="AS37" s="46" t="e">
        <f>AA$3+R37/ATM_Conf!$C$5</f>
        <v>#DIV/0!</v>
      </c>
      <c r="AT37" s="46" t="e">
        <f>AB$3+S37/ATM_Conf!$C$5</f>
        <v>#DIV/0!</v>
      </c>
      <c r="AU37" s="46" t="e">
        <f>BD$3*MIN(1,(ATM_Conf!$C$6-Links!F37)/(ATM_Conf!$C$6-ATM_Conf!$C$7))</f>
        <v>#DIV/0!</v>
      </c>
      <c r="AV37" s="46" t="e">
        <f>BE$3*MIN(1,(ATM_Conf!$C$6-Links!G37)/(ATM_Conf!$C$6-ATM_Conf!$C$7))</f>
        <v>#DIV/0!</v>
      </c>
      <c r="AW37" s="46" t="e">
        <f>BF$3*MIN(1,(ATM_Conf!$C$6-Links!H37)/(ATM_Conf!$C$6-ATM_Conf!$C$7))</f>
        <v>#DIV/0!</v>
      </c>
      <c r="AX37" s="46" t="e">
        <f>BG$3*MIN(1,(ATM_Conf!$C$6-Links!I37)/(ATM_Conf!$C$6-ATM_Conf!$C$7))</f>
        <v>#DIV/0!</v>
      </c>
      <c r="AY37" s="46" t="e">
        <f>BH$3*MIN(1,(ATM_Conf!$C$6-Links!J37)/(ATM_Conf!$C$6-ATM_Conf!$C$7))</f>
        <v>#DIV/0!</v>
      </c>
      <c r="AZ37" s="46" t="e">
        <f>BI$3*MIN(1,(ATM_Conf!$C$6-Links!K37)/(ATM_Conf!$C$6-ATM_Conf!$C$7))</f>
        <v>#DIV/0!</v>
      </c>
      <c r="BA37" s="46" t="e">
        <f>BJ$3*MIN(1,(ATM_Conf!$C$6-Links!L37)/(ATM_Conf!$C$6-ATM_Conf!$C$7))</f>
        <v>#DIV/0!</v>
      </c>
      <c r="BB37" s="46" t="e">
        <f>BK$3*MIN(1,(ATM_Conf!$C$6-Links!M37)/(ATM_Conf!$C$6-ATM_Conf!$C$7))</f>
        <v>#DIV/0!</v>
      </c>
      <c r="BC37" s="46" t="e">
        <f>BL$3*MIN(1,(ATM_Conf!$C$6-Links!N37)/(ATM_Conf!$C$6-ATM_Conf!$C$7))</f>
        <v>#DIV/0!</v>
      </c>
      <c r="BD37" s="46"/>
      <c r="BE37" s="46"/>
      <c r="BF37" s="46"/>
      <c r="BG37" s="46"/>
      <c r="BH37" s="46"/>
      <c r="BI37" s="46"/>
      <c r="BJ37" s="46"/>
      <c r="BK37" s="46"/>
      <c r="BL37" s="46"/>
      <c r="BM37" s="54"/>
      <c r="BN37" s="54"/>
      <c r="BO37" s="54"/>
      <c r="BP37" s="54"/>
      <c r="BQ37" s="54"/>
      <c r="BR37" s="54"/>
      <c r="BS37" s="54"/>
      <c r="BT37" s="54"/>
      <c r="BU37" s="54"/>
      <c r="BV37" s="46" t="e">
        <f t="shared" si="13"/>
        <v>#DIV/0!</v>
      </c>
      <c r="BW37" s="46" t="e">
        <f t="shared" si="14"/>
        <v>#DIV/0!</v>
      </c>
      <c r="BX37" s="46" t="e">
        <f t="shared" si="15"/>
        <v>#DIV/0!</v>
      </c>
      <c r="BY37" s="46" t="e">
        <f t="shared" si="16"/>
        <v>#DIV/0!</v>
      </c>
      <c r="BZ37" s="46" t="e">
        <f t="shared" si="17"/>
        <v>#DIV/0!</v>
      </c>
      <c r="CA37" s="46" t="e">
        <f t="shared" si="18"/>
        <v>#DIV/0!</v>
      </c>
      <c r="CB37" s="46" t="e">
        <f t="shared" si="19"/>
        <v>#DIV/0!</v>
      </c>
      <c r="CC37" s="46" t="e">
        <f t="shared" si="20"/>
        <v>#DIV/0!</v>
      </c>
      <c r="CD37" s="46" t="e">
        <f t="shared" si="21"/>
        <v>#DIV/0!</v>
      </c>
      <c r="CE37" s="56" t="e">
        <f t="shared" si="22"/>
        <v>#DIV/0!</v>
      </c>
      <c r="CF37" s="56" t="e">
        <f t="shared" si="23"/>
        <v>#DIV/0!</v>
      </c>
      <c r="CG37" s="56" t="e">
        <f t="shared" si="24"/>
        <v>#DIV/0!</v>
      </c>
      <c r="CH37" s="56" t="e">
        <f t="shared" si="25"/>
        <v>#DIV/0!</v>
      </c>
      <c r="CI37" s="56" t="e">
        <f t="shared" si="26"/>
        <v>#DIV/0!</v>
      </c>
      <c r="CJ37" s="56" t="e">
        <f t="shared" si="27"/>
        <v>#DIV/0!</v>
      </c>
      <c r="CK37" s="56" t="e">
        <f t="shared" si="28"/>
        <v>#DIV/0!</v>
      </c>
      <c r="CL37" s="56" t="e">
        <f t="shared" si="29"/>
        <v>#DIV/0!</v>
      </c>
      <c r="CM37" s="56" t="e">
        <f t="shared" si="30"/>
        <v>#DIV/0!</v>
      </c>
    </row>
    <row r="38" spans="1:91" x14ac:dyDescent="0.15">
      <c r="A38" s="43">
        <v>36</v>
      </c>
      <c r="B38" s="46">
        <f t="shared" si="37"/>
        <v>1</v>
      </c>
      <c r="C38" s="46">
        <f t="shared" si="37"/>
        <v>1</v>
      </c>
      <c r="D38" s="46">
        <f t="shared" si="37"/>
        <v>1</v>
      </c>
      <c r="E38" s="46">
        <f t="shared" si="37"/>
        <v>1</v>
      </c>
      <c r="F38" s="46">
        <f t="shared" si="37"/>
        <v>1</v>
      </c>
      <c r="G38" s="46">
        <f t="shared" si="37"/>
        <v>1</v>
      </c>
      <c r="H38" s="46">
        <f t="shared" si="37"/>
        <v>1</v>
      </c>
      <c r="I38" s="46">
        <f t="shared" si="37"/>
        <v>1</v>
      </c>
      <c r="J38" s="46">
        <f t="shared" si="37"/>
        <v>1</v>
      </c>
      <c r="K38" s="46" t="e">
        <f>K37+ATM_Conf!$C$5*(T37-AC37)</f>
        <v>#DIV/0!</v>
      </c>
      <c r="L38" s="46" t="e">
        <f>L37+ATM_Conf!$C$5*(U37-AD37)</f>
        <v>#DIV/0!</v>
      </c>
      <c r="M38" s="46" t="e">
        <f>M37+ATM_Conf!$C$5*(V37-AE37)</f>
        <v>#DIV/0!</v>
      </c>
      <c r="N38" s="46" t="e">
        <f>N37+ATM_Conf!$C$5*(W37-AF37)</f>
        <v>#DIV/0!</v>
      </c>
      <c r="O38" s="46" t="e">
        <f>O37+ATM_Conf!$C$5*(X37-AG37)</f>
        <v>#DIV/0!</v>
      </c>
      <c r="P38" s="46" t="e">
        <f>P37+ATM_Conf!$C$5*(Y37-AH37)</f>
        <v>#DIV/0!</v>
      </c>
      <c r="Q38" s="46" t="e">
        <f>Q37+ATM_Conf!$C$5*(Z37-AI37)</f>
        <v>#DIV/0!</v>
      </c>
      <c r="R38" s="46" t="e">
        <f>R37+ATM_Conf!$C$5*(AA37-AJ37)</f>
        <v>#DIV/0!</v>
      </c>
      <c r="S38" s="46" t="e">
        <f>S37+ATM_Conf!$C$5*(AB37-AK37)</f>
        <v>#DIV/0!</v>
      </c>
      <c r="T38" s="46"/>
      <c r="U38" s="46"/>
      <c r="V38" s="46"/>
      <c r="W38" s="46"/>
      <c r="X38" s="46"/>
      <c r="Y38" s="46"/>
      <c r="Z38" s="46"/>
      <c r="AA38" s="46"/>
      <c r="AB38" s="46"/>
      <c r="AC38" s="46" t="e">
        <f t="shared" si="4"/>
        <v>#DIV/0!</v>
      </c>
      <c r="AD38" s="46" t="e">
        <f t="shared" si="5"/>
        <v>#DIV/0!</v>
      </c>
      <c r="AE38" s="46" t="e">
        <f t="shared" si="6"/>
        <v>#DIV/0!</v>
      </c>
      <c r="AF38" s="46" t="e">
        <f t="shared" si="7"/>
        <v>#DIV/0!</v>
      </c>
      <c r="AG38" s="46" t="e">
        <f t="shared" si="8"/>
        <v>#DIV/0!</v>
      </c>
      <c r="AH38" s="46" t="e">
        <f t="shared" si="9"/>
        <v>#DIV/0!</v>
      </c>
      <c r="AI38" s="46" t="e">
        <f t="shared" si="10"/>
        <v>#DIV/0!</v>
      </c>
      <c r="AJ38" s="46" t="e">
        <f t="shared" si="11"/>
        <v>#DIV/0!</v>
      </c>
      <c r="AK38" s="46" t="e">
        <f t="shared" si="12"/>
        <v>#DIV/0!</v>
      </c>
      <c r="AL38" s="46" t="e">
        <f>T$3+K38/ATM_Conf!$C$5</f>
        <v>#DIV/0!</v>
      </c>
      <c r="AM38" s="46" t="e">
        <f>U$3+L38/ATM_Conf!$C$5</f>
        <v>#DIV/0!</v>
      </c>
      <c r="AN38" s="46" t="e">
        <f>V$3+M38/ATM_Conf!$C$5</f>
        <v>#DIV/0!</v>
      </c>
      <c r="AO38" s="46" t="e">
        <f>W$3+N38/ATM_Conf!$C$5</f>
        <v>#DIV/0!</v>
      </c>
      <c r="AP38" s="46" t="e">
        <f>X$3+O38/ATM_Conf!$C$5</f>
        <v>#DIV/0!</v>
      </c>
      <c r="AQ38" s="46" t="e">
        <f>Y$3+P38/ATM_Conf!$C$5</f>
        <v>#DIV/0!</v>
      </c>
      <c r="AR38" s="46" t="e">
        <f>Z$3+Q38/ATM_Conf!$C$5</f>
        <v>#DIV/0!</v>
      </c>
      <c r="AS38" s="46" t="e">
        <f>AA$3+R38/ATM_Conf!$C$5</f>
        <v>#DIV/0!</v>
      </c>
      <c r="AT38" s="46" t="e">
        <f>AB$3+S38/ATM_Conf!$C$5</f>
        <v>#DIV/0!</v>
      </c>
      <c r="AU38" s="46" t="e">
        <f>BD$3*MIN(1,(ATM_Conf!$C$6-Links!F38)/(ATM_Conf!$C$6-ATM_Conf!$C$7))</f>
        <v>#DIV/0!</v>
      </c>
      <c r="AV38" s="46" t="e">
        <f>BE$3*MIN(1,(ATM_Conf!$C$6-Links!G38)/(ATM_Conf!$C$6-ATM_Conf!$C$7))</f>
        <v>#DIV/0!</v>
      </c>
      <c r="AW38" s="46" t="e">
        <f>BF$3*MIN(1,(ATM_Conf!$C$6-Links!H38)/(ATM_Conf!$C$6-ATM_Conf!$C$7))</f>
        <v>#DIV/0!</v>
      </c>
      <c r="AX38" s="46" t="e">
        <f>BG$3*MIN(1,(ATM_Conf!$C$6-Links!I38)/(ATM_Conf!$C$6-ATM_Conf!$C$7))</f>
        <v>#DIV/0!</v>
      </c>
      <c r="AY38" s="46" t="e">
        <f>BH$3*MIN(1,(ATM_Conf!$C$6-Links!J38)/(ATM_Conf!$C$6-ATM_Conf!$C$7))</f>
        <v>#DIV/0!</v>
      </c>
      <c r="AZ38" s="46" t="e">
        <f>BI$3*MIN(1,(ATM_Conf!$C$6-Links!K38)/(ATM_Conf!$C$6-ATM_Conf!$C$7))</f>
        <v>#DIV/0!</v>
      </c>
      <c r="BA38" s="46" t="e">
        <f>BJ$3*MIN(1,(ATM_Conf!$C$6-Links!L38)/(ATM_Conf!$C$6-ATM_Conf!$C$7))</f>
        <v>#DIV/0!</v>
      </c>
      <c r="BB38" s="46" t="e">
        <f>BK$3*MIN(1,(ATM_Conf!$C$6-Links!M38)/(ATM_Conf!$C$6-ATM_Conf!$C$7))</f>
        <v>#DIV/0!</v>
      </c>
      <c r="BC38" s="46" t="e">
        <f>BL$3*MIN(1,(ATM_Conf!$C$6-Links!N38)/(ATM_Conf!$C$6-ATM_Conf!$C$7))</f>
        <v>#DIV/0!</v>
      </c>
      <c r="BD38" s="46"/>
      <c r="BE38" s="46"/>
      <c r="BF38" s="46"/>
      <c r="BG38" s="46"/>
      <c r="BH38" s="46"/>
      <c r="BI38" s="46"/>
      <c r="BJ38" s="46"/>
      <c r="BK38" s="46"/>
      <c r="BL38" s="46"/>
      <c r="BM38" s="54"/>
      <c r="BN38" s="54"/>
      <c r="BO38" s="54"/>
      <c r="BP38" s="54"/>
      <c r="BQ38" s="54"/>
      <c r="BR38" s="54"/>
      <c r="BS38" s="54"/>
      <c r="BT38" s="54"/>
      <c r="BU38" s="54"/>
      <c r="BV38" s="46" t="e">
        <f t="shared" si="13"/>
        <v>#DIV/0!</v>
      </c>
      <c r="BW38" s="46" t="e">
        <f t="shared" si="14"/>
        <v>#DIV/0!</v>
      </c>
      <c r="BX38" s="46" t="e">
        <f t="shared" si="15"/>
        <v>#DIV/0!</v>
      </c>
      <c r="BY38" s="46" t="e">
        <f t="shared" si="16"/>
        <v>#DIV/0!</v>
      </c>
      <c r="BZ38" s="46" t="e">
        <f t="shared" si="17"/>
        <v>#DIV/0!</v>
      </c>
      <c r="CA38" s="46" t="e">
        <f t="shared" si="18"/>
        <v>#DIV/0!</v>
      </c>
      <c r="CB38" s="46" t="e">
        <f t="shared" si="19"/>
        <v>#DIV/0!</v>
      </c>
      <c r="CC38" s="46" t="e">
        <f t="shared" si="20"/>
        <v>#DIV/0!</v>
      </c>
      <c r="CD38" s="46" t="e">
        <f t="shared" si="21"/>
        <v>#DIV/0!</v>
      </c>
      <c r="CE38" s="56" t="e">
        <f t="shared" si="22"/>
        <v>#DIV/0!</v>
      </c>
      <c r="CF38" s="56" t="e">
        <f t="shared" si="23"/>
        <v>#DIV/0!</v>
      </c>
      <c r="CG38" s="56" t="e">
        <f t="shared" si="24"/>
        <v>#DIV/0!</v>
      </c>
      <c r="CH38" s="56" t="e">
        <f t="shared" si="25"/>
        <v>#DIV/0!</v>
      </c>
      <c r="CI38" s="56" t="e">
        <f t="shared" si="26"/>
        <v>#DIV/0!</v>
      </c>
      <c r="CJ38" s="56" t="e">
        <f t="shared" si="27"/>
        <v>#DIV/0!</v>
      </c>
      <c r="CK38" s="56" t="e">
        <f t="shared" si="28"/>
        <v>#DIV/0!</v>
      </c>
      <c r="CL38" s="56" t="e">
        <f t="shared" si="29"/>
        <v>#DIV/0!</v>
      </c>
      <c r="CM38" s="56" t="e">
        <f t="shared" si="30"/>
        <v>#DIV/0!</v>
      </c>
    </row>
    <row r="39" spans="1:91" x14ac:dyDescent="0.15">
      <c r="A39" s="43">
        <v>37</v>
      </c>
      <c r="B39" s="48">
        <v>1</v>
      </c>
      <c r="C39" s="48">
        <v>1</v>
      </c>
      <c r="D39" s="48">
        <v>1</v>
      </c>
      <c r="E39" s="48">
        <v>1</v>
      </c>
      <c r="F39" s="48">
        <v>1</v>
      </c>
      <c r="G39" s="48">
        <v>1</v>
      </c>
      <c r="H39" s="48">
        <v>1</v>
      </c>
      <c r="I39" s="48">
        <v>1</v>
      </c>
      <c r="J39" s="48">
        <v>1</v>
      </c>
      <c r="K39" s="46" t="e">
        <f>K38+ATM_Conf!$C$5*(T38-AC38)</f>
        <v>#DIV/0!</v>
      </c>
      <c r="L39" s="46" t="e">
        <f>L38+ATM_Conf!$C$5*(U38-AD38)</f>
        <v>#DIV/0!</v>
      </c>
      <c r="M39" s="46" t="e">
        <f>M38+ATM_Conf!$C$5*(V38-AE38)</f>
        <v>#DIV/0!</v>
      </c>
      <c r="N39" s="46" t="e">
        <f>N38+ATM_Conf!$C$5*(W38-AF38)</f>
        <v>#DIV/0!</v>
      </c>
      <c r="O39" s="46" t="e">
        <f>O38+ATM_Conf!$C$5*(X38-AG38)</f>
        <v>#DIV/0!</v>
      </c>
      <c r="P39" s="46" t="e">
        <f>P38+ATM_Conf!$C$5*(Y38-AH38)</f>
        <v>#DIV/0!</v>
      </c>
      <c r="Q39" s="46" t="e">
        <f>Q38+ATM_Conf!$C$5*(Z38-AI38)</f>
        <v>#DIV/0!</v>
      </c>
      <c r="R39" s="46" t="e">
        <f>R38+ATM_Conf!$C$5*(AA38-AJ38)</f>
        <v>#DIV/0!</v>
      </c>
      <c r="S39" s="46" t="e">
        <f>S38+ATM_Conf!$C$5*(AB38-AK38)</f>
        <v>#DIV/0!</v>
      </c>
      <c r="T39" s="46"/>
      <c r="U39" s="46"/>
      <c r="V39" s="46"/>
      <c r="W39" s="46"/>
      <c r="X39" s="46"/>
      <c r="Y39" s="46"/>
      <c r="Z39" s="46"/>
      <c r="AA39" s="46"/>
      <c r="AB39" s="46"/>
      <c r="AC39" s="46" t="e">
        <f t="shared" si="4"/>
        <v>#DIV/0!</v>
      </c>
      <c r="AD39" s="46" t="e">
        <f t="shared" si="5"/>
        <v>#DIV/0!</v>
      </c>
      <c r="AE39" s="46" t="e">
        <f t="shared" si="6"/>
        <v>#DIV/0!</v>
      </c>
      <c r="AF39" s="46" t="e">
        <f t="shared" si="7"/>
        <v>#DIV/0!</v>
      </c>
      <c r="AG39" s="46" t="e">
        <f t="shared" si="8"/>
        <v>#DIV/0!</v>
      </c>
      <c r="AH39" s="46" t="e">
        <f t="shared" si="9"/>
        <v>#DIV/0!</v>
      </c>
      <c r="AI39" s="46" t="e">
        <f t="shared" si="10"/>
        <v>#DIV/0!</v>
      </c>
      <c r="AJ39" s="46" t="e">
        <f t="shared" si="11"/>
        <v>#DIV/0!</v>
      </c>
      <c r="AK39" s="46" t="e">
        <f t="shared" si="12"/>
        <v>#DIV/0!</v>
      </c>
      <c r="AL39" s="46" t="e">
        <f>T$3+K39/ATM_Conf!$C$5</f>
        <v>#DIV/0!</v>
      </c>
      <c r="AM39" s="46" t="e">
        <f>U$3+L39/ATM_Conf!$C$5</f>
        <v>#DIV/0!</v>
      </c>
      <c r="AN39" s="46" t="e">
        <f>V$3+M39/ATM_Conf!$C$5</f>
        <v>#DIV/0!</v>
      </c>
      <c r="AO39" s="46" t="e">
        <f>W$3+N39/ATM_Conf!$C$5</f>
        <v>#DIV/0!</v>
      </c>
      <c r="AP39" s="46" t="e">
        <f>X$3+O39/ATM_Conf!$C$5</f>
        <v>#DIV/0!</v>
      </c>
      <c r="AQ39" s="46" t="e">
        <f>Y$3+P39/ATM_Conf!$C$5</f>
        <v>#DIV/0!</v>
      </c>
      <c r="AR39" s="46" t="e">
        <f>Z$3+Q39/ATM_Conf!$C$5</f>
        <v>#DIV/0!</v>
      </c>
      <c r="AS39" s="46" t="e">
        <f>AA$3+R39/ATM_Conf!$C$5</f>
        <v>#DIV/0!</v>
      </c>
      <c r="AT39" s="46" t="e">
        <f>AB$3+S39/ATM_Conf!$C$5</f>
        <v>#DIV/0!</v>
      </c>
      <c r="AU39" s="46" t="e">
        <f>BD$3*MIN(1,(ATM_Conf!$C$6-Links!F39)/(ATM_Conf!$C$6-ATM_Conf!$C$7))</f>
        <v>#DIV/0!</v>
      </c>
      <c r="AV39" s="46" t="e">
        <f>BE$3*MIN(1,(ATM_Conf!$C$6-Links!G39)/(ATM_Conf!$C$6-ATM_Conf!$C$7))</f>
        <v>#DIV/0!</v>
      </c>
      <c r="AW39" s="46" t="e">
        <f>BF$3*MIN(1,(ATM_Conf!$C$6-Links!H39)/(ATM_Conf!$C$6-ATM_Conf!$C$7))</f>
        <v>#DIV/0!</v>
      </c>
      <c r="AX39" s="46" t="e">
        <f>BG$3*MIN(1,(ATM_Conf!$C$6-Links!I39)/(ATM_Conf!$C$6-ATM_Conf!$C$7))</f>
        <v>#DIV/0!</v>
      </c>
      <c r="AY39" s="46" t="e">
        <f>BH$3*MIN(1,(ATM_Conf!$C$6-Links!J39)/(ATM_Conf!$C$6-ATM_Conf!$C$7))</f>
        <v>#DIV/0!</v>
      </c>
      <c r="AZ39" s="46" t="e">
        <f>BI$3*MIN(1,(ATM_Conf!$C$6-Links!K39)/(ATM_Conf!$C$6-ATM_Conf!$C$7))</f>
        <v>#DIV/0!</v>
      </c>
      <c r="BA39" s="46" t="e">
        <f>BJ$3*MIN(1,(ATM_Conf!$C$6-Links!L39)/(ATM_Conf!$C$6-ATM_Conf!$C$7))</f>
        <v>#DIV/0!</v>
      </c>
      <c r="BB39" s="46" t="e">
        <f>BK$3*MIN(1,(ATM_Conf!$C$6-Links!M39)/(ATM_Conf!$C$6-ATM_Conf!$C$7))</f>
        <v>#DIV/0!</v>
      </c>
      <c r="BC39" s="46" t="e">
        <f>BL$3*MIN(1,(ATM_Conf!$C$6-Links!N39)/(ATM_Conf!$C$6-ATM_Conf!$C$7))</f>
        <v>#DIV/0!</v>
      </c>
      <c r="BD39" s="46"/>
      <c r="BE39" s="46"/>
      <c r="BF39" s="46"/>
      <c r="BG39" s="46"/>
      <c r="BH39" s="46"/>
      <c r="BI39" s="46"/>
      <c r="BJ39" s="46"/>
      <c r="BK39" s="46"/>
      <c r="BL39" s="46"/>
      <c r="BM39" s="54">
        <f>(B39-B27)^2</f>
        <v>0</v>
      </c>
      <c r="BN39" s="54">
        <f t="shared" ref="BN39:BU39" si="38">(C39-C27)^2</f>
        <v>0</v>
      </c>
      <c r="BO39" s="54">
        <f t="shared" si="38"/>
        <v>0</v>
      </c>
      <c r="BP39" s="54">
        <f t="shared" si="38"/>
        <v>0</v>
      </c>
      <c r="BQ39" s="54">
        <f t="shared" si="38"/>
        <v>0</v>
      </c>
      <c r="BR39" s="54">
        <f t="shared" si="38"/>
        <v>0</v>
      </c>
      <c r="BS39" s="54">
        <f t="shared" si="38"/>
        <v>0</v>
      </c>
      <c r="BT39" s="54">
        <f t="shared" si="38"/>
        <v>0</v>
      </c>
      <c r="BU39" s="54">
        <f t="shared" si="38"/>
        <v>0</v>
      </c>
      <c r="BV39" s="46" t="e">
        <f t="shared" si="13"/>
        <v>#DIV/0!</v>
      </c>
      <c r="BW39" s="46" t="e">
        <f t="shared" si="14"/>
        <v>#DIV/0!</v>
      </c>
      <c r="BX39" s="46" t="e">
        <f t="shared" si="15"/>
        <v>#DIV/0!</v>
      </c>
      <c r="BY39" s="46" t="e">
        <f t="shared" si="16"/>
        <v>#DIV/0!</v>
      </c>
      <c r="BZ39" s="46" t="e">
        <f t="shared" si="17"/>
        <v>#DIV/0!</v>
      </c>
      <c r="CA39" s="46" t="e">
        <f t="shared" si="18"/>
        <v>#DIV/0!</v>
      </c>
      <c r="CB39" s="46" t="e">
        <f t="shared" si="19"/>
        <v>#DIV/0!</v>
      </c>
      <c r="CC39" s="46" t="e">
        <f t="shared" si="20"/>
        <v>#DIV/0!</v>
      </c>
      <c r="CD39" s="46" t="e">
        <f t="shared" si="21"/>
        <v>#DIV/0!</v>
      </c>
      <c r="CE39" s="56" t="e">
        <f t="shared" si="22"/>
        <v>#DIV/0!</v>
      </c>
      <c r="CF39" s="56" t="e">
        <f t="shared" si="23"/>
        <v>#DIV/0!</v>
      </c>
      <c r="CG39" s="56" t="e">
        <f t="shared" si="24"/>
        <v>#DIV/0!</v>
      </c>
      <c r="CH39" s="56" t="e">
        <f t="shared" si="25"/>
        <v>#DIV/0!</v>
      </c>
      <c r="CI39" s="56" t="e">
        <f t="shared" si="26"/>
        <v>#DIV/0!</v>
      </c>
      <c r="CJ39" s="56" t="e">
        <f t="shared" si="27"/>
        <v>#DIV/0!</v>
      </c>
      <c r="CK39" s="56" t="e">
        <f t="shared" si="28"/>
        <v>#DIV/0!</v>
      </c>
      <c r="CL39" s="56" t="e">
        <f t="shared" si="29"/>
        <v>#DIV/0!</v>
      </c>
      <c r="CM39" s="56" t="e">
        <f t="shared" si="30"/>
        <v>#DIV/0!</v>
      </c>
    </row>
    <row r="40" spans="1:91" x14ac:dyDescent="0.15">
      <c r="A40" s="43">
        <v>38</v>
      </c>
      <c r="B40" s="46">
        <f>B$39</f>
        <v>1</v>
      </c>
      <c r="C40" s="46">
        <f t="shared" ref="C40:J50" si="39">C$39</f>
        <v>1</v>
      </c>
      <c r="D40" s="46">
        <f t="shared" si="39"/>
        <v>1</v>
      </c>
      <c r="E40" s="46">
        <f t="shared" si="39"/>
        <v>1</v>
      </c>
      <c r="F40" s="46">
        <f t="shared" si="39"/>
        <v>1</v>
      </c>
      <c r="G40" s="46">
        <f t="shared" si="39"/>
        <v>1</v>
      </c>
      <c r="H40" s="46">
        <f t="shared" si="39"/>
        <v>1</v>
      </c>
      <c r="I40" s="46">
        <f t="shared" si="39"/>
        <v>1</v>
      </c>
      <c r="J40" s="46">
        <f t="shared" si="39"/>
        <v>1</v>
      </c>
      <c r="K40" s="46" t="e">
        <f>K39+ATM_Conf!$C$5*(T39-AC39)</f>
        <v>#DIV/0!</v>
      </c>
      <c r="L40" s="46" t="e">
        <f>L39+ATM_Conf!$C$5*(U39-AD39)</f>
        <v>#DIV/0!</v>
      </c>
      <c r="M40" s="46" t="e">
        <f>M39+ATM_Conf!$C$5*(V39-AE39)</f>
        <v>#DIV/0!</v>
      </c>
      <c r="N40" s="46" t="e">
        <f>N39+ATM_Conf!$C$5*(W39-AF39)</f>
        <v>#DIV/0!</v>
      </c>
      <c r="O40" s="46" t="e">
        <f>O39+ATM_Conf!$C$5*(X39-AG39)</f>
        <v>#DIV/0!</v>
      </c>
      <c r="P40" s="46" t="e">
        <f>P39+ATM_Conf!$C$5*(Y39-AH39)</f>
        <v>#DIV/0!</v>
      </c>
      <c r="Q40" s="46" t="e">
        <f>Q39+ATM_Conf!$C$5*(Z39-AI39)</f>
        <v>#DIV/0!</v>
      </c>
      <c r="R40" s="46" t="e">
        <f>R39+ATM_Conf!$C$5*(AA39-AJ39)</f>
        <v>#DIV/0!</v>
      </c>
      <c r="S40" s="46" t="e">
        <f>S39+ATM_Conf!$C$5*(AB39-AK39)</f>
        <v>#DIV/0!</v>
      </c>
      <c r="T40" s="46"/>
      <c r="U40" s="46"/>
      <c r="V40" s="46"/>
      <c r="W40" s="46"/>
      <c r="X40" s="46"/>
      <c r="Y40" s="46"/>
      <c r="Z40" s="46"/>
      <c r="AA40" s="46"/>
      <c r="AB40" s="46"/>
      <c r="AC40" s="46" t="e">
        <f t="shared" si="4"/>
        <v>#DIV/0!</v>
      </c>
      <c r="AD40" s="46" t="e">
        <f t="shared" si="5"/>
        <v>#DIV/0!</v>
      </c>
      <c r="AE40" s="46" t="e">
        <f t="shared" si="6"/>
        <v>#DIV/0!</v>
      </c>
      <c r="AF40" s="46" t="e">
        <f t="shared" si="7"/>
        <v>#DIV/0!</v>
      </c>
      <c r="AG40" s="46" t="e">
        <f t="shared" si="8"/>
        <v>#DIV/0!</v>
      </c>
      <c r="AH40" s="46" t="e">
        <f t="shared" si="9"/>
        <v>#DIV/0!</v>
      </c>
      <c r="AI40" s="46" t="e">
        <f t="shared" si="10"/>
        <v>#DIV/0!</v>
      </c>
      <c r="AJ40" s="46" t="e">
        <f t="shared" si="11"/>
        <v>#DIV/0!</v>
      </c>
      <c r="AK40" s="46" t="e">
        <f t="shared" si="12"/>
        <v>#DIV/0!</v>
      </c>
      <c r="AL40" s="46" t="e">
        <f>T$3+K40/ATM_Conf!$C$5</f>
        <v>#DIV/0!</v>
      </c>
      <c r="AM40" s="46" t="e">
        <f>U$3+L40/ATM_Conf!$C$5</f>
        <v>#DIV/0!</v>
      </c>
      <c r="AN40" s="46" t="e">
        <f>V$3+M40/ATM_Conf!$C$5</f>
        <v>#DIV/0!</v>
      </c>
      <c r="AO40" s="46" t="e">
        <f>W$3+N40/ATM_Conf!$C$5</f>
        <v>#DIV/0!</v>
      </c>
      <c r="AP40" s="46" t="e">
        <f>X$3+O40/ATM_Conf!$C$5</f>
        <v>#DIV/0!</v>
      </c>
      <c r="AQ40" s="46" t="e">
        <f>Y$3+P40/ATM_Conf!$C$5</f>
        <v>#DIV/0!</v>
      </c>
      <c r="AR40" s="46" t="e">
        <f>Z$3+Q40/ATM_Conf!$C$5</f>
        <v>#DIV/0!</v>
      </c>
      <c r="AS40" s="46" t="e">
        <f>AA$3+R40/ATM_Conf!$C$5</f>
        <v>#DIV/0!</v>
      </c>
      <c r="AT40" s="46" t="e">
        <f>AB$3+S40/ATM_Conf!$C$5</f>
        <v>#DIV/0!</v>
      </c>
      <c r="AU40" s="46" t="e">
        <f>BD$3*MIN(1,(ATM_Conf!$C$6-Links!F40)/(ATM_Conf!$C$6-ATM_Conf!$C$7))</f>
        <v>#DIV/0!</v>
      </c>
      <c r="AV40" s="46" t="e">
        <f>BE$3*MIN(1,(ATM_Conf!$C$6-Links!G40)/(ATM_Conf!$C$6-ATM_Conf!$C$7))</f>
        <v>#DIV/0!</v>
      </c>
      <c r="AW40" s="46" t="e">
        <f>BF$3*MIN(1,(ATM_Conf!$C$6-Links!H40)/(ATM_Conf!$C$6-ATM_Conf!$C$7))</f>
        <v>#DIV/0!</v>
      </c>
      <c r="AX40" s="46" t="e">
        <f>BG$3*MIN(1,(ATM_Conf!$C$6-Links!I40)/(ATM_Conf!$C$6-ATM_Conf!$C$7))</f>
        <v>#DIV/0!</v>
      </c>
      <c r="AY40" s="46" t="e">
        <f>BH$3*MIN(1,(ATM_Conf!$C$6-Links!J40)/(ATM_Conf!$C$6-ATM_Conf!$C$7))</f>
        <v>#DIV/0!</v>
      </c>
      <c r="AZ40" s="46" t="e">
        <f>BI$3*MIN(1,(ATM_Conf!$C$6-Links!K40)/(ATM_Conf!$C$6-ATM_Conf!$C$7))</f>
        <v>#DIV/0!</v>
      </c>
      <c r="BA40" s="46" t="e">
        <f>BJ$3*MIN(1,(ATM_Conf!$C$6-Links!L40)/(ATM_Conf!$C$6-ATM_Conf!$C$7))</f>
        <v>#DIV/0!</v>
      </c>
      <c r="BB40" s="46" t="e">
        <f>BK$3*MIN(1,(ATM_Conf!$C$6-Links!M40)/(ATM_Conf!$C$6-ATM_Conf!$C$7))</f>
        <v>#DIV/0!</v>
      </c>
      <c r="BC40" s="46" t="e">
        <f>BL$3*MIN(1,(ATM_Conf!$C$6-Links!N40)/(ATM_Conf!$C$6-ATM_Conf!$C$7))</f>
        <v>#DIV/0!</v>
      </c>
      <c r="BD40" s="46"/>
      <c r="BE40" s="46"/>
      <c r="BF40" s="46"/>
      <c r="BG40" s="46"/>
      <c r="BH40" s="46"/>
      <c r="BI40" s="46"/>
      <c r="BJ40" s="46"/>
      <c r="BK40" s="46"/>
      <c r="BL40" s="46"/>
      <c r="BM40" s="54"/>
      <c r="BN40" s="54"/>
      <c r="BO40" s="54"/>
      <c r="BP40" s="54"/>
      <c r="BQ40" s="54"/>
      <c r="BR40" s="54"/>
      <c r="BS40" s="54"/>
      <c r="BT40" s="54"/>
      <c r="BU40" s="54"/>
      <c r="BV40" s="46" t="e">
        <f t="shared" si="13"/>
        <v>#DIV/0!</v>
      </c>
      <c r="BW40" s="46" t="e">
        <f t="shared" si="14"/>
        <v>#DIV/0!</v>
      </c>
      <c r="BX40" s="46" t="e">
        <f t="shared" si="15"/>
        <v>#DIV/0!</v>
      </c>
      <c r="BY40" s="46" t="e">
        <f t="shared" si="16"/>
        <v>#DIV/0!</v>
      </c>
      <c r="BZ40" s="46" t="e">
        <f t="shared" si="17"/>
        <v>#DIV/0!</v>
      </c>
      <c r="CA40" s="46" t="e">
        <f t="shared" si="18"/>
        <v>#DIV/0!</v>
      </c>
      <c r="CB40" s="46" t="e">
        <f t="shared" si="19"/>
        <v>#DIV/0!</v>
      </c>
      <c r="CC40" s="46" t="e">
        <f t="shared" si="20"/>
        <v>#DIV/0!</v>
      </c>
      <c r="CD40" s="46" t="e">
        <f t="shared" si="21"/>
        <v>#DIV/0!</v>
      </c>
      <c r="CE40" s="56" t="e">
        <f t="shared" si="22"/>
        <v>#DIV/0!</v>
      </c>
      <c r="CF40" s="56" t="e">
        <f t="shared" si="23"/>
        <v>#DIV/0!</v>
      </c>
      <c r="CG40" s="56" t="e">
        <f t="shared" si="24"/>
        <v>#DIV/0!</v>
      </c>
      <c r="CH40" s="56" t="e">
        <f t="shared" si="25"/>
        <v>#DIV/0!</v>
      </c>
      <c r="CI40" s="56" t="e">
        <f t="shared" si="26"/>
        <v>#DIV/0!</v>
      </c>
      <c r="CJ40" s="56" t="e">
        <f t="shared" si="27"/>
        <v>#DIV/0!</v>
      </c>
      <c r="CK40" s="56" t="e">
        <f t="shared" si="28"/>
        <v>#DIV/0!</v>
      </c>
      <c r="CL40" s="56" t="e">
        <f t="shared" si="29"/>
        <v>#DIV/0!</v>
      </c>
      <c r="CM40" s="56" t="e">
        <f t="shared" si="30"/>
        <v>#DIV/0!</v>
      </c>
    </row>
    <row r="41" spans="1:91" x14ac:dyDescent="0.15">
      <c r="A41" s="43">
        <v>39</v>
      </c>
      <c r="B41" s="46">
        <f t="shared" ref="B41:B50" si="40">B$39</f>
        <v>1</v>
      </c>
      <c r="C41" s="46">
        <f t="shared" si="39"/>
        <v>1</v>
      </c>
      <c r="D41" s="46">
        <f t="shared" si="39"/>
        <v>1</v>
      </c>
      <c r="E41" s="46">
        <f t="shared" si="39"/>
        <v>1</v>
      </c>
      <c r="F41" s="46">
        <f t="shared" si="39"/>
        <v>1</v>
      </c>
      <c r="G41" s="46">
        <f t="shared" si="39"/>
        <v>1</v>
      </c>
      <c r="H41" s="46">
        <f t="shared" si="39"/>
        <v>1</v>
      </c>
      <c r="I41" s="46">
        <f t="shared" si="39"/>
        <v>1</v>
      </c>
      <c r="J41" s="46">
        <f t="shared" si="39"/>
        <v>1</v>
      </c>
      <c r="K41" s="46" t="e">
        <f>K40+ATM_Conf!$C$5*(T40-AC40)</f>
        <v>#DIV/0!</v>
      </c>
      <c r="L41" s="46" t="e">
        <f>L40+ATM_Conf!$C$5*(U40-AD40)</f>
        <v>#DIV/0!</v>
      </c>
      <c r="M41" s="46" t="e">
        <f>M40+ATM_Conf!$C$5*(V40-AE40)</f>
        <v>#DIV/0!</v>
      </c>
      <c r="N41" s="46" t="e">
        <f>N40+ATM_Conf!$C$5*(W40-AF40)</f>
        <v>#DIV/0!</v>
      </c>
      <c r="O41" s="46" t="e">
        <f>O40+ATM_Conf!$C$5*(X40-AG40)</f>
        <v>#DIV/0!</v>
      </c>
      <c r="P41" s="46" t="e">
        <f>P40+ATM_Conf!$C$5*(Y40-AH40)</f>
        <v>#DIV/0!</v>
      </c>
      <c r="Q41" s="46" t="e">
        <f>Q40+ATM_Conf!$C$5*(Z40-AI40)</f>
        <v>#DIV/0!</v>
      </c>
      <c r="R41" s="46" t="e">
        <f>R40+ATM_Conf!$C$5*(AA40-AJ40)</f>
        <v>#DIV/0!</v>
      </c>
      <c r="S41" s="46" t="e">
        <f>S40+ATM_Conf!$C$5*(AB40-AK40)</f>
        <v>#DIV/0!</v>
      </c>
      <c r="T41" s="46"/>
      <c r="U41" s="46"/>
      <c r="V41" s="46"/>
      <c r="W41" s="46"/>
      <c r="X41" s="46"/>
      <c r="Y41" s="46"/>
      <c r="Z41" s="46"/>
      <c r="AA41" s="46"/>
      <c r="AB41" s="46"/>
      <c r="AC41" s="46" t="e">
        <f t="shared" si="4"/>
        <v>#DIV/0!</v>
      </c>
      <c r="AD41" s="46" t="e">
        <f t="shared" si="5"/>
        <v>#DIV/0!</v>
      </c>
      <c r="AE41" s="46" t="e">
        <f t="shared" si="6"/>
        <v>#DIV/0!</v>
      </c>
      <c r="AF41" s="46" t="e">
        <f t="shared" si="7"/>
        <v>#DIV/0!</v>
      </c>
      <c r="AG41" s="46" t="e">
        <f t="shared" si="8"/>
        <v>#DIV/0!</v>
      </c>
      <c r="AH41" s="46" t="e">
        <f t="shared" si="9"/>
        <v>#DIV/0!</v>
      </c>
      <c r="AI41" s="46" t="e">
        <f t="shared" si="10"/>
        <v>#DIV/0!</v>
      </c>
      <c r="AJ41" s="46" t="e">
        <f t="shared" si="11"/>
        <v>#DIV/0!</v>
      </c>
      <c r="AK41" s="46" t="e">
        <f t="shared" si="12"/>
        <v>#DIV/0!</v>
      </c>
      <c r="AL41" s="46" t="e">
        <f>T$3+K41/ATM_Conf!$C$5</f>
        <v>#DIV/0!</v>
      </c>
      <c r="AM41" s="46" t="e">
        <f>U$3+L41/ATM_Conf!$C$5</f>
        <v>#DIV/0!</v>
      </c>
      <c r="AN41" s="46" t="e">
        <f>V$3+M41/ATM_Conf!$C$5</f>
        <v>#DIV/0!</v>
      </c>
      <c r="AO41" s="46" t="e">
        <f>W$3+N41/ATM_Conf!$C$5</f>
        <v>#DIV/0!</v>
      </c>
      <c r="AP41" s="46" t="e">
        <f>X$3+O41/ATM_Conf!$C$5</f>
        <v>#DIV/0!</v>
      </c>
      <c r="AQ41" s="46" t="e">
        <f>Y$3+P41/ATM_Conf!$C$5</f>
        <v>#DIV/0!</v>
      </c>
      <c r="AR41" s="46" t="e">
        <f>Z$3+Q41/ATM_Conf!$C$5</f>
        <v>#DIV/0!</v>
      </c>
      <c r="AS41" s="46" t="e">
        <f>AA$3+R41/ATM_Conf!$C$5</f>
        <v>#DIV/0!</v>
      </c>
      <c r="AT41" s="46" t="e">
        <f>AB$3+S41/ATM_Conf!$C$5</f>
        <v>#DIV/0!</v>
      </c>
      <c r="AU41" s="46" t="e">
        <f>BD$3*MIN(1,(ATM_Conf!$C$6-Links!F41)/(ATM_Conf!$C$6-ATM_Conf!$C$7))</f>
        <v>#DIV/0!</v>
      </c>
      <c r="AV41" s="46" t="e">
        <f>BE$3*MIN(1,(ATM_Conf!$C$6-Links!G41)/(ATM_Conf!$C$6-ATM_Conf!$C$7))</f>
        <v>#DIV/0!</v>
      </c>
      <c r="AW41" s="46" t="e">
        <f>BF$3*MIN(1,(ATM_Conf!$C$6-Links!H41)/(ATM_Conf!$C$6-ATM_Conf!$C$7))</f>
        <v>#DIV/0!</v>
      </c>
      <c r="AX41" s="46" t="e">
        <f>BG$3*MIN(1,(ATM_Conf!$C$6-Links!I41)/(ATM_Conf!$C$6-ATM_Conf!$C$7))</f>
        <v>#DIV/0!</v>
      </c>
      <c r="AY41" s="46" t="e">
        <f>BH$3*MIN(1,(ATM_Conf!$C$6-Links!J41)/(ATM_Conf!$C$6-ATM_Conf!$C$7))</f>
        <v>#DIV/0!</v>
      </c>
      <c r="AZ41" s="46" t="e">
        <f>BI$3*MIN(1,(ATM_Conf!$C$6-Links!K41)/(ATM_Conf!$C$6-ATM_Conf!$C$7))</f>
        <v>#DIV/0!</v>
      </c>
      <c r="BA41" s="46" t="e">
        <f>BJ$3*MIN(1,(ATM_Conf!$C$6-Links!L41)/(ATM_Conf!$C$6-ATM_Conf!$C$7))</f>
        <v>#DIV/0!</v>
      </c>
      <c r="BB41" s="46" t="e">
        <f>BK$3*MIN(1,(ATM_Conf!$C$6-Links!M41)/(ATM_Conf!$C$6-ATM_Conf!$C$7))</f>
        <v>#DIV/0!</v>
      </c>
      <c r="BC41" s="46" t="e">
        <f>BL$3*MIN(1,(ATM_Conf!$C$6-Links!N41)/(ATM_Conf!$C$6-ATM_Conf!$C$7))</f>
        <v>#DIV/0!</v>
      </c>
      <c r="BD41" s="46"/>
      <c r="BE41" s="46"/>
      <c r="BF41" s="46"/>
      <c r="BG41" s="46"/>
      <c r="BH41" s="46"/>
      <c r="BI41" s="46"/>
      <c r="BJ41" s="46"/>
      <c r="BK41" s="46"/>
      <c r="BL41" s="46"/>
      <c r="BM41" s="54"/>
      <c r="BN41" s="54"/>
      <c r="BO41" s="54"/>
      <c r="BP41" s="54"/>
      <c r="BQ41" s="54"/>
      <c r="BR41" s="54"/>
      <c r="BS41" s="54"/>
      <c r="BT41" s="54"/>
      <c r="BU41" s="54"/>
      <c r="BV41" s="46" t="e">
        <f t="shared" si="13"/>
        <v>#DIV/0!</v>
      </c>
      <c r="BW41" s="46" t="e">
        <f t="shared" si="14"/>
        <v>#DIV/0!</v>
      </c>
      <c r="BX41" s="46" t="e">
        <f t="shared" si="15"/>
        <v>#DIV/0!</v>
      </c>
      <c r="BY41" s="46" t="e">
        <f t="shared" si="16"/>
        <v>#DIV/0!</v>
      </c>
      <c r="BZ41" s="46" t="e">
        <f t="shared" si="17"/>
        <v>#DIV/0!</v>
      </c>
      <c r="CA41" s="46" t="e">
        <f t="shared" si="18"/>
        <v>#DIV/0!</v>
      </c>
      <c r="CB41" s="46" t="e">
        <f t="shared" si="19"/>
        <v>#DIV/0!</v>
      </c>
      <c r="CC41" s="46" t="e">
        <f t="shared" si="20"/>
        <v>#DIV/0!</v>
      </c>
      <c r="CD41" s="46" t="e">
        <f t="shared" si="21"/>
        <v>#DIV/0!</v>
      </c>
      <c r="CE41" s="56" t="e">
        <f t="shared" si="22"/>
        <v>#DIV/0!</v>
      </c>
      <c r="CF41" s="56" t="e">
        <f t="shared" si="23"/>
        <v>#DIV/0!</v>
      </c>
      <c r="CG41" s="56" t="e">
        <f t="shared" si="24"/>
        <v>#DIV/0!</v>
      </c>
      <c r="CH41" s="56" t="e">
        <f t="shared" si="25"/>
        <v>#DIV/0!</v>
      </c>
      <c r="CI41" s="56" t="e">
        <f t="shared" si="26"/>
        <v>#DIV/0!</v>
      </c>
      <c r="CJ41" s="56" t="e">
        <f t="shared" si="27"/>
        <v>#DIV/0!</v>
      </c>
      <c r="CK41" s="56" t="e">
        <f t="shared" si="28"/>
        <v>#DIV/0!</v>
      </c>
      <c r="CL41" s="56" t="e">
        <f t="shared" si="29"/>
        <v>#DIV/0!</v>
      </c>
      <c r="CM41" s="56" t="e">
        <f t="shared" si="30"/>
        <v>#DIV/0!</v>
      </c>
    </row>
    <row r="42" spans="1:91" x14ac:dyDescent="0.15">
      <c r="A42" s="43">
        <v>40</v>
      </c>
      <c r="B42" s="46">
        <f t="shared" si="40"/>
        <v>1</v>
      </c>
      <c r="C42" s="46">
        <f t="shared" si="39"/>
        <v>1</v>
      </c>
      <c r="D42" s="46">
        <f t="shared" si="39"/>
        <v>1</v>
      </c>
      <c r="E42" s="46">
        <f t="shared" si="39"/>
        <v>1</v>
      </c>
      <c r="F42" s="46">
        <f t="shared" si="39"/>
        <v>1</v>
      </c>
      <c r="G42" s="46">
        <f t="shared" si="39"/>
        <v>1</v>
      </c>
      <c r="H42" s="46">
        <f t="shared" si="39"/>
        <v>1</v>
      </c>
      <c r="I42" s="46">
        <f t="shared" si="39"/>
        <v>1</v>
      </c>
      <c r="J42" s="46">
        <f t="shared" si="39"/>
        <v>1</v>
      </c>
      <c r="K42" s="46" t="e">
        <f>K41+ATM_Conf!$C$5*(T41-AC41)</f>
        <v>#DIV/0!</v>
      </c>
      <c r="L42" s="46" t="e">
        <f>L41+ATM_Conf!$C$5*(U41-AD41)</f>
        <v>#DIV/0!</v>
      </c>
      <c r="M42" s="46" t="e">
        <f>M41+ATM_Conf!$C$5*(V41-AE41)</f>
        <v>#DIV/0!</v>
      </c>
      <c r="N42" s="46" t="e">
        <f>N41+ATM_Conf!$C$5*(W41-AF41)</f>
        <v>#DIV/0!</v>
      </c>
      <c r="O42" s="46" t="e">
        <f>O41+ATM_Conf!$C$5*(X41-AG41)</f>
        <v>#DIV/0!</v>
      </c>
      <c r="P42" s="46" t="e">
        <f>P41+ATM_Conf!$C$5*(Y41-AH41)</f>
        <v>#DIV/0!</v>
      </c>
      <c r="Q42" s="46" t="e">
        <f>Q41+ATM_Conf!$C$5*(Z41-AI41)</f>
        <v>#DIV/0!</v>
      </c>
      <c r="R42" s="46" t="e">
        <f>R41+ATM_Conf!$C$5*(AA41-AJ41)</f>
        <v>#DIV/0!</v>
      </c>
      <c r="S42" s="46" t="e">
        <f>S41+ATM_Conf!$C$5*(AB41-AK41)</f>
        <v>#DIV/0!</v>
      </c>
      <c r="T42" s="46"/>
      <c r="U42" s="46"/>
      <c r="V42" s="46"/>
      <c r="W42" s="46"/>
      <c r="X42" s="46"/>
      <c r="Y42" s="46"/>
      <c r="Z42" s="46"/>
      <c r="AA42" s="46"/>
      <c r="AB42" s="46"/>
      <c r="AC42" s="46" t="e">
        <f t="shared" si="4"/>
        <v>#DIV/0!</v>
      </c>
      <c r="AD42" s="46" t="e">
        <f t="shared" si="5"/>
        <v>#DIV/0!</v>
      </c>
      <c r="AE42" s="46" t="e">
        <f t="shared" si="6"/>
        <v>#DIV/0!</v>
      </c>
      <c r="AF42" s="46" t="e">
        <f t="shared" si="7"/>
        <v>#DIV/0!</v>
      </c>
      <c r="AG42" s="46" t="e">
        <f t="shared" si="8"/>
        <v>#DIV/0!</v>
      </c>
      <c r="AH42" s="46" t="e">
        <f t="shared" si="9"/>
        <v>#DIV/0!</v>
      </c>
      <c r="AI42" s="46" t="e">
        <f t="shared" si="10"/>
        <v>#DIV/0!</v>
      </c>
      <c r="AJ42" s="46" t="e">
        <f t="shared" si="11"/>
        <v>#DIV/0!</v>
      </c>
      <c r="AK42" s="46" t="e">
        <f t="shared" si="12"/>
        <v>#DIV/0!</v>
      </c>
      <c r="AL42" s="46" t="e">
        <f>T$3+K42/ATM_Conf!$C$5</f>
        <v>#DIV/0!</v>
      </c>
      <c r="AM42" s="46" t="e">
        <f>U$3+L42/ATM_Conf!$C$5</f>
        <v>#DIV/0!</v>
      </c>
      <c r="AN42" s="46" t="e">
        <f>V$3+M42/ATM_Conf!$C$5</f>
        <v>#DIV/0!</v>
      </c>
      <c r="AO42" s="46" t="e">
        <f>W$3+N42/ATM_Conf!$C$5</f>
        <v>#DIV/0!</v>
      </c>
      <c r="AP42" s="46" t="e">
        <f>X$3+O42/ATM_Conf!$C$5</f>
        <v>#DIV/0!</v>
      </c>
      <c r="AQ42" s="46" t="e">
        <f>Y$3+P42/ATM_Conf!$C$5</f>
        <v>#DIV/0!</v>
      </c>
      <c r="AR42" s="46" t="e">
        <f>Z$3+Q42/ATM_Conf!$C$5</f>
        <v>#DIV/0!</v>
      </c>
      <c r="AS42" s="46" t="e">
        <f>AA$3+R42/ATM_Conf!$C$5</f>
        <v>#DIV/0!</v>
      </c>
      <c r="AT42" s="46" t="e">
        <f>AB$3+S42/ATM_Conf!$C$5</f>
        <v>#DIV/0!</v>
      </c>
      <c r="AU42" s="46" t="e">
        <f>BD$3*MIN(1,(ATM_Conf!$C$6-Links!F42)/(ATM_Conf!$C$6-ATM_Conf!$C$7))</f>
        <v>#DIV/0!</v>
      </c>
      <c r="AV42" s="46" t="e">
        <f>BE$3*MIN(1,(ATM_Conf!$C$6-Links!G42)/(ATM_Conf!$C$6-ATM_Conf!$C$7))</f>
        <v>#DIV/0!</v>
      </c>
      <c r="AW42" s="46" t="e">
        <f>BF$3*MIN(1,(ATM_Conf!$C$6-Links!H42)/(ATM_Conf!$C$6-ATM_Conf!$C$7))</f>
        <v>#DIV/0!</v>
      </c>
      <c r="AX42" s="46" t="e">
        <f>BG$3*MIN(1,(ATM_Conf!$C$6-Links!I42)/(ATM_Conf!$C$6-ATM_Conf!$C$7))</f>
        <v>#DIV/0!</v>
      </c>
      <c r="AY42" s="46" t="e">
        <f>BH$3*MIN(1,(ATM_Conf!$C$6-Links!J42)/(ATM_Conf!$C$6-ATM_Conf!$C$7))</f>
        <v>#DIV/0!</v>
      </c>
      <c r="AZ42" s="46" t="e">
        <f>BI$3*MIN(1,(ATM_Conf!$C$6-Links!K42)/(ATM_Conf!$C$6-ATM_Conf!$C$7))</f>
        <v>#DIV/0!</v>
      </c>
      <c r="BA42" s="46" t="e">
        <f>BJ$3*MIN(1,(ATM_Conf!$C$6-Links!L42)/(ATM_Conf!$C$6-ATM_Conf!$C$7))</f>
        <v>#DIV/0!</v>
      </c>
      <c r="BB42" s="46" t="e">
        <f>BK$3*MIN(1,(ATM_Conf!$C$6-Links!M42)/(ATM_Conf!$C$6-ATM_Conf!$C$7))</f>
        <v>#DIV/0!</v>
      </c>
      <c r="BC42" s="46" t="e">
        <f>BL$3*MIN(1,(ATM_Conf!$C$6-Links!N42)/(ATM_Conf!$C$6-ATM_Conf!$C$7))</f>
        <v>#DIV/0!</v>
      </c>
      <c r="BD42" s="46"/>
      <c r="BE42" s="46"/>
      <c r="BF42" s="46"/>
      <c r="BG42" s="46"/>
      <c r="BH42" s="46"/>
      <c r="BI42" s="46"/>
      <c r="BJ42" s="46"/>
      <c r="BK42" s="46"/>
      <c r="BL42" s="46"/>
      <c r="BM42" s="54"/>
      <c r="BN42" s="54"/>
      <c r="BO42" s="54"/>
      <c r="BP42" s="54"/>
      <c r="BQ42" s="54"/>
      <c r="BR42" s="54"/>
      <c r="BS42" s="54"/>
      <c r="BT42" s="54"/>
      <c r="BU42" s="54"/>
      <c r="BV42" s="46" t="e">
        <f t="shared" si="13"/>
        <v>#DIV/0!</v>
      </c>
      <c r="BW42" s="46" t="e">
        <f t="shared" si="14"/>
        <v>#DIV/0!</v>
      </c>
      <c r="BX42" s="46" t="e">
        <f t="shared" si="15"/>
        <v>#DIV/0!</v>
      </c>
      <c r="BY42" s="46" t="e">
        <f t="shared" si="16"/>
        <v>#DIV/0!</v>
      </c>
      <c r="BZ42" s="46" t="e">
        <f t="shared" si="17"/>
        <v>#DIV/0!</v>
      </c>
      <c r="CA42" s="46" t="e">
        <f t="shared" si="18"/>
        <v>#DIV/0!</v>
      </c>
      <c r="CB42" s="46" t="e">
        <f t="shared" si="19"/>
        <v>#DIV/0!</v>
      </c>
      <c r="CC42" s="46" t="e">
        <f t="shared" si="20"/>
        <v>#DIV/0!</v>
      </c>
      <c r="CD42" s="46" t="e">
        <f t="shared" si="21"/>
        <v>#DIV/0!</v>
      </c>
      <c r="CE42" s="56" t="e">
        <f t="shared" si="22"/>
        <v>#DIV/0!</v>
      </c>
      <c r="CF42" s="56" t="e">
        <f t="shared" si="23"/>
        <v>#DIV/0!</v>
      </c>
      <c r="CG42" s="56" t="e">
        <f t="shared" si="24"/>
        <v>#DIV/0!</v>
      </c>
      <c r="CH42" s="56" t="e">
        <f t="shared" si="25"/>
        <v>#DIV/0!</v>
      </c>
      <c r="CI42" s="56" t="e">
        <f t="shared" si="26"/>
        <v>#DIV/0!</v>
      </c>
      <c r="CJ42" s="56" t="e">
        <f t="shared" si="27"/>
        <v>#DIV/0!</v>
      </c>
      <c r="CK42" s="56" t="e">
        <f t="shared" si="28"/>
        <v>#DIV/0!</v>
      </c>
      <c r="CL42" s="56" t="e">
        <f t="shared" si="29"/>
        <v>#DIV/0!</v>
      </c>
      <c r="CM42" s="56" t="e">
        <f t="shared" si="30"/>
        <v>#DIV/0!</v>
      </c>
    </row>
    <row r="43" spans="1:91" x14ac:dyDescent="0.15">
      <c r="A43" s="43">
        <v>41</v>
      </c>
      <c r="B43" s="46">
        <f t="shared" si="40"/>
        <v>1</v>
      </c>
      <c r="C43" s="46">
        <f t="shared" si="39"/>
        <v>1</v>
      </c>
      <c r="D43" s="46">
        <f t="shared" si="39"/>
        <v>1</v>
      </c>
      <c r="E43" s="46">
        <f t="shared" si="39"/>
        <v>1</v>
      </c>
      <c r="F43" s="46">
        <f t="shared" si="39"/>
        <v>1</v>
      </c>
      <c r="G43" s="46">
        <f t="shared" si="39"/>
        <v>1</v>
      </c>
      <c r="H43" s="46">
        <f t="shared" si="39"/>
        <v>1</v>
      </c>
      <c r="I43" s="46">
        <f t="shared" si="39"/>
        <v>1</v>
      </c>
      <c r="J43" s="46">
        <f t="shared" si="39"/>
        <v>1</v>
      </c>
      <c r="K43" s="46" t="e">
        <f>K42+ATM_Conf!$C$5*(T42-AC42)</f>
        <v>#DIV/0!</v>
      </c>
      <c r="L43" s="46" t="e">
        <f>L42+ATM_Conf!$C$5*(U42-AD42)</f>
        <v>#DIV/0!</v>
      </c>
      <c r="M43" s="46" t="e">
        <f>M42+ATM_Conf!$C$5*(V42-AE42)</f>
        <v>#DIV/0!</v>
      </c>
      <c r="N43" s="46" t="e">
        <f>N42+ATM_Conf!$C$5*(W42-AF42)</f>
        <v>#DIV/0!</v>
      </c>
      <c r="O43" s="46" t="e">
        <f>O42+ATM_Conf!$C$5*(X42-AG42)</f>
        <v>#DIV/0!</v>
      </c>
      <c r="P43" s="46" t="e">
        <f>P42+ATM_Conf!$C$5*(Y42-AH42)</f>
        <v>#DIV/0!</v>
      </c>
      <c r="Q43" s="46" t="e">
        <f>Q42+ATM_Conf!$C$5*(Z42-AI42)</f>
        <v>#DIV/0!</v>
      </c>
      <c r="R43" s="46" t="e">
        <f>R42+ATM_Conf!$C$5*(AA42-AJ42)</f>
        <v>#DIV/0!</v>
      </c>
      <c r="S43" s="46" t="e">
        <f>S42+ATM_Conf!$C$5*(AB42-AK42)</f>
        <v>#DIV/0!</v>
      </c>
      <c r="T43" s="46"/>
      <c r="U43" s="46"/>
      <c r="V43" s="46"/>
      <c r="W43" s="46"/>
      <c r="X43" s="46"/>
      <c r="Y43" s="46"/>
      <c r="Z43" s="46"/>
      <c r="AA43" s="46"/>
      <c r="AB43" s="46"/>
      <c r="AC43" s="46" t="e">
        <f t="shared" si="4"/>
        <v>#DIV/0!</v>
      </c>
      <c r="AD43" s="46" t="e">
        <f t="shared" si="5"/>
        <v>#DIV/0!</v>
      </c>
      <c r="AE43" s="46" t="e">
        <f t="shared" si="6"/>
        <v>#DIV/0!</v>
      </c>
      <c r="AF43" s="46" t="e">
        <f t="shared" si="7"/>
        <v>#DIV/0!</v>
      </c>
      <c r="AG43" s="46" t="e">
        <f t="shared" si="8"/>
        <v>#DIV/0!</v>
      </c>
      <c r="AH43" s="46" t="e">
        <f t="shared" si="9"/>
        <v>#DIV/0!</v>
      </c>
      <c r="AI43" s="46" t="e">
        <f t="shared" si="10"/>
        <v>#DIV/0!</v>
      </c>
      <c r="AJ43" s="46" t="e">
        <f t="shared" si="11"/>
        <v>#DIV/0!</v>
      </c>
      <c r="AK43" s="46" t="e">
        <f t="shared" si="12"/>
        <v>#DIV/0!</v>
      </c>
      <c r="AL43" s="46" t="e">
        <f>T$3+K43/ATM_Conf!$C$5</f>
        <v>#DIV/0!</v>
      </c>
      <c r="AM43" s="46" t="e">
        <f>U$3+L43/ATM_Conf!$C$5</f>
        <v>#DIV/0!</v>
      </c>
      <c r="AN43" s="46" t="e">
        <f>V$3+M43/ATM_Conf!$C$5</f>
        <v>#DIV/0!</v>
      </c>
      <c r="AO43" s="46" t="e">
        <f>W$3+N43/ATM_Conf!$C$5</f>
        <v>#DIV/0!</v>
      </c>
      <c r="AP43" s="46" t="e">
        <f>X$3+O43/ATM_Conf!$C$5</f>
        <v>#DIV/0!</v>
      </c>
      <c r="AQ43" s="46" t="e">
        <f>Y$3+P43/ATM_Conf!$C$5</f>
        <v>#DIV/0!</v>
      </c>
      <c r="AR43" s="46" t="e">
        <f>Z$3+Q43/ATM_Conf!$C$5</f>
        <v>#DIV/0!</v>
      </c>
      <c r="AS43" s="46" t="e">
        <f>AA$3+R43/ATM_Conf!$C$5</f>
        <v>#DIV/0!</v>
      </c>
      <c r="AT43" s="46" t="e">
        <f>AB$3+S43/ATM_Conf!$C$5</f>
        <v>#DIV/0!</v>
      </c>
      <c r="AU43" s="46" t="e">
        <f>BD$3*MIN(1,(ATM_Conf!$C$6-Links!F43)/(ATM_Conf!$C$6-ATM_Conf!$C$7))</f>
        <v>#DIV/0!</v>
      </c>
      <c r="AV43" s="46" t="e">
        <f>BE$3*MIN(1,(ATM_Conf!$C$6-Links!G43)/(ATM_Conf!$C$6-ATM_Conf!$C$7))</f>
        <v>#DIV/0!</v>
      </c>
      <c r="AW43" s="46" t="e">
        <f>BF$3*MIN(1,(ATM_Conf!$C$6-Links!H43)/(ATM_Conf!$C$6-ATM_Conf!$C$7))</f>
        <v>#DIV/0!</v>
      </c>
      <c r="AX43" s="46" t="e">
        <f>BG$3*MIN(1,(ATM_Conf!$C$6-Links!I43)/(ATM_Conf!$C$6-ATM_Conf!$C$7))</f>
        <v>#DIV/0!</v>
      </c>
      <c r="AY43" s="46" t="e">
        <f>BH$3*MIN(1,(ATM_Conf!$C$6-Links!J43)/(ATM_Conf!$C$6-ATM_Conf!$C$7))</f>
        <v>#DIV/0!</v>
      </c>
      <c r="AZ43" s="46" t="e">
        <f>BI$3*MIN(1,(ATM_Conf!$C$6-Links!K43)/(ATM_Conf!$C$6-ATM_Conf!$C$7))</f>
        <v>#DIV/0!</v>
      </c>
      <c r="BA43" s="46" t="e">
        <f>BJ$3*MIN(1,(ATM_Conf!$C$6-Links!L43)/(ATM_Conf!$C$6-ATM_Conf!$C$7))</f>
        <v>#DIV/0!</v>
      </c>
      <c r="BB43" s="46" t="e">
        <f>BK$3*MIN(1,(ATM_Conf!$C$6-Links!M43)/(ATM_Conf!$C$6-ATM_Conf!$C$7))</f>
        <v>#DIV/0!</v>
      </c>
      <c r="BC43" s="46" t="e">
        <f>BL$3*MIN(1,(ATM_Conf!$C$6-Links!N43)/(ATM_Conf!$C$6-ATM_Conf!$C$7))</f>
        <v>#DIV/0!</v>
      </c>
      <c r="BD43" s="46"/>
      <c r="BE43" s="46"/>
      <c r="BF43" s="46"/>
      <c r="BG43" s="46"/>
      <c r="BH43" s="46"/>
      <c r="BI43" s="46"/>
      <c r="BJ43" s="46"/>
      <c r="BK43" s="46"/>
      <c r="BL43" s="46"/>
      <c r="BM43" s="54"/>
      <c r="BN43" s="54"/>
      <c r="BO43" s="54"/>
      <c r="BP43" s="54"/>
      <c r="BQ43" s="54"/>
      <c r="BR43" s="54"/>
      <c r="BS43" s="54"/>
      <c r="BT43" s="54"/>
      <c r="BU43" s="54"/>
      <c r="BV43" s="46" t="e">
        <f t="shared" si="13"/>
        <v>#DIV/0!</v>
      </c>
      <c r="BW43" s="46" t="e">
        <f t="shared" si="14"/>
        <v>#DIV/0!</v>
      </c>
      <c r="BX43" s="46" t="e">
        <f t="shared" si="15"/>
        <v>#DIV/0!</v>
      </c>
      <c r="BY43" s="46" t="e">
        <f t="shared" si="16"/>
        <v>#DIV/0!</v>
      </c>
      <c r="BZ43" s="46" t="e">
        <f t="shared" si="17"/>
        <v>#DIV/0!</v>
      </c>
      <c r="CA43" s="46" t="e">
        <f t="shared" si="18"/>
        <v>#DIV/0!</v>
      </c>
      <c r="CB43" s="46" t="e">
        <f t="shared" si="19"/>
        <v>#DIV/0!</v>
      </c>
      <c r="CC43" s="46" t="e">
        <f t="shared" si="20"/>
        <v>#DIV/0!</v>
      </c>
      <c r="CD43" s="46" t="e">
        <f t="shared" si="21"/>
        <v>#DIV/0!</v>
      </c>
      <c r="CE43" s="56" t="e">
        <f t="shared" si="22"/>
        <v>#DIV/0!</v>
      </c>
      <c r="CF43" s="56" t="e">
        <f t="shared" si="23"/>
        <v>#DIV/0!</v>
      </c>
      <c r="CG43" s="56" t="e">
        <f t="shared" si="24"/>
        <v>#DIV/0!</v>
      </c>
      <c r="CH43" s="56" t="e">
        <f t="shared" si="25"/>
        <v>#DIV/0!</v>
      </c>
      <c r="CI43" s="56" t="e">
        <f t="shared" si="26"/>
        <v>#DIV/0!</v>
      </c>
      <c r="CJ43" s="56" t="e">
        <f t="shared" si="27"/>
        <v>#DIV/0!</v>
      </c>
      <c r="CK43" s="56" t="e">
        <f t="shared" si="28"/>
        <v>#DIV/0!</v>
      </c>
      <c r="CL43" s="56" t="e">
        <f t="shared" si="29"/>
        <v>#DIV/0!</v>
      </c>
      <c r="CM43" s="56" t="e">
        <f t="shared" si="30"/>
        <v>#DIV/0!</v>
      </c>
    </row>
    <row r="44" spans="1:91" x14ac:dyDescent="0.15">
      <c r="A44" s="43">
        <v>42</v>
      </c>
      <c r="B44" s="46">
        <f t="shared" si="40"/>
        <v>1</v>
      </c>
      <c r="C44" s="46">
        <f t="shared" si="39"/>
        <v>1</v>
      </c>
      <c r="D44" s="46">
        <f t="shared" si="39"/>
        <v>1</v>
      </c>
      <c r="E44" s="46">
        <f t="shared" si="39"/>
        <v>1</v>
      </c>
      <c r="F44" s="46">
        <f t="shared" si="39"/>
        <v>1</v>
      </c>
      <c r="G44" s="46">
        <f t="shared" si="39"/>
        <v>1</v>
      </c>
      <c r="H44" s="46">
        <f t="shared" si="39"/>
        <v>1</v>
      </c>
      <c r="I44" s="46">
        <f t="shared" si="39"/>
        <v>1</v>
      </c>
      <c r="J44" s="46">
        <f t="shared" si="39"/>
        <v>1</v>
      </c>
      <c r="K44" s="46" t="e">
        <f>K43+ATM_Conf!$C$5*(T43-AC43)</f>
        <v>#DIV/0!</v>
      </c>
      <c r="L44" s="46" t="e">
        <f>L43+ATM_Conf!$C$5*(U43-AD43)</f>
        <v>#DIV/0!</v>
      </c>
      <c r="M44" s="46" t="e">
        <f>M43+ATM_Conf!$C$5*(V43-AE43)</f>
        <v>#DIV/0!</v>
      </c>
      <c r="N44" s="46" t="e">
        <f>N43+ATM_Conf!$C$5*(W43-AF43)</f>
        <v>#DIV/0!</v>
      </c>
      <c r="O44" s="46" t="e">
        <f>O43+ATM_Conf!$C$5*(X43-AG43)</f>
        <v>#DIV/0!</v>
      </c>
      <c r="P44" s="46" t="e">
        <f>P43+ATM_Conf!$C$5*(Y43-AH43)</f>
        <v>#DIV/0!</v>
      </c>
      <c r="Q44" s="46" t="e">
        <f>Q43+ATM_Conf!$C$5*(Z43-AI43)</f>
        <v>#DIV/0!</v>
      </c>
      <c r="R44" s="46" t="e">
        <f>R43+ATM_Conf!$C$5*(AA43-AJ43)</f>
        <v>#DIV/0!</v>
      </c>
      <c r="S44" s="46" t="e">
        <f>S43+ATM_Conf!$C$5*(AB43-AK43)</f>
        <v>#DIV/0!</v>
      </c>
      <c r="T44" s="46"/>
      <c r="U44" s="46"/>
      <c r="V44" s="46"/>
      <c r="W44" s="46"/>
      <c r="X44" s="46"/>
      <c r="Y44" s="46"/>
      <c r="Z44" s="46"/>
      <c r="AA44" s="46"/>
      <c r="AB44" s="46"/>
      <c r="AC44" s="46" t="e">
        <f t="shared" si="4"/>
        <v>#DIV/0!</v>
      </c>
      <c r="AD44" s="46" t="e">
        <f t="shared" si="5"/>
        <v>#DIV/0!</v>
      </c>
      <c r="AE44" s="46" t="e">
        <f t="shared" si="6"/>
        <v>#DIV/0!</v>
      </c>
      <c r="AF44" s="46" t="e">
        <f t="shared" si="7"/>
        <v>#DIV/0!</v>
      </c>
      <c r="AG44" s="46" t="e">
        <f t="shared" si="8"/>
        <v>#DIV/0!</v>
      </c>
      <c r="AH44" s="46" t="e">
        <f t="shared" si="9"/>
        <v>#DIV/0!</v>
      </c>
      <c r="AI44" s="46" t="e">
        <f t="shared" si="10"/>
        <v>#DIV/0!</v>
      </c>
      <c r="AJ44" s="46" t="e">
        <f t="shared" si="11"/>
        <v>#DIV/0!</v>
      </c>
      <c r="AK44" s="46" t="e">
        <f t="shared" si="12"/>
        <v>#DIV/0!</v>
      </c>
      <c r="AL44" s="46" t="e">
        <f>T$3+K44/ATM_Conf!$C$5</f>
        <v>#DIV/0!</v>
      </c>
      <c r="AM44" s="46" t="e">
        <f>U$3+L44/ATM_Conf!$C$5</f>
        <v>#DIV/0!</v>
      </c>
      <c r="AN44" s="46" t="e">
        <f>V$3+M44/ATM_Conf!$C$5</f>
        <v>#DIV/0!</v>
      </c>
      <c r="AO44" s="46" t="e">
        <f>W$3+N44/ATM_Conf!$C$5</f>
        <v>#DIV/0!</v>
      </c>
      <c r="AP44" s="46" t="e">
        <f>X$3+O44/ATM_Conf!$C$5</f>
        <v>#DIV/0!</v>
      </c>
      <c r="AQ44" s="46" t="e">
        <f>Y$3+P44/ATM_Conf!$C$5</f>
        <v>#DIV/0!</v>
      </c>
      <c r="AR44" s="46" t="e">
        <f>Z$3+Q44/ATM_Conf!$C$5</f>
        <v>#DIV/0!</v>
      </c>
      <c r="AS44" s="46" t="e">
        <f>AA$3+R44/ATM_Conf!$C$5</f>
        <v>#DIV/0!</v>
      </c>
      <c r="AT44" s="46" t="e">
        <f>AB$3+S44/ATM_Conf!$C$5</f>
        <v>#DIV/0!</v>
      </c>
      <c r="AU44" s="46" t="e">
        <f>BD$3*MIN(1,(ATM_Conf!$C$6-Links!F44)/(ATM_Conf!$C$6-ATM_Conf!$C$7))</f>
        <v>#DIV/0!</v>
      </c>
      <c r="AV44" s="46" t="e">
        <f>BE$3*MIN(1,(ATM_Conf!$C$6-Links!G44)/(ATM_Conf!$C$6-ATM_Conf!$C$7))</f>
        <v>#DIV/0!</v>
      </c>
      <c r="AW44" s="46" t="e">
        <f>BF$3*MIN(1,(ATM_Conf!$C$6-Links!H44)/(ATM_Conf!$C$6-ATM_Conf!$C$7))</f>
        <v>#DIV/0!</v>
      </c>
      <c r="AX44" s="46" t="e">
        <f>BG$3*MIN(1,(ATM_Conf!$C$6-Links!I44)/(ATM_Conf!$C$6-ATM_Conf!$C$7))</f>
        <v>#DIV/0!</v>
      </c>
      <c r="AY44" s="46" t="e">
        <f>BH$3*MIN(1,(ATM_Conf!$C$6-Links!J44)/(ATM_Conf!$C$6-ATM_Conf!$C$7))</f>
        <v>#DIV/0!</v>
      </c>
      <c r="AZ44" s="46" t="e">
        <f>BI$3*MIN(1,(ATM_Conf!$C$6-Links!K44)/(ATM_Conf!$C$6-ATM_Conf!$C$7))</f>
        <v>#DIV/0!</v>
      </c>
      <c r="BA44" s="46" t="e">
        <f>BJ$3*MIN(1,(ATM_Conf!$C$6-Links!L44)/(ATM_Conf!$C$6-ATM_Conf!$C$7))</f>
        <v>#DIV/0!</v>
      </c>
      <c r="BB44" s="46" t="e">
        <f>BK$3*MIN(1,(ATM_Conf!$C$6-Links!M44)/(ATM_Conf!$C$6-ATM_Conf!$C$7))</f>
        <v>#DIV/0!</v>
      </c>
      <c r="BC44" s="46" t="e">
        <f>BL$3*MIN(1,(ATM_Conf!$C$6-Links!N44)/(ATM_Conf!$C$6-ATM_Conf!$C$7))</f>
        <v>#DIV/0!</v>
      </c>
      <c r="BD44" s="46"/>
      <c r="BE44" s="46"/>
      <c r="BF44" s="46"/>
      <c r="BG44" s="46"/>
      <c r="BH44" s="46"/>
      <c r="BI44" s="46"/>
      <c r="BJ44" s="46"/>
      <c r="BK44" s="46"/>
      <c r="BL44" s="46"/>
      <c r="BM44" s="54"/>
      <c r="BN44" s="54"/>
      <c r="BO44" s="54"/>
      <c r="BP44" s="54"/>
      <c r="BQ44" s="54"/>
      <c r="BR44" s="54"/>
      <c r="BS44" s="54"/>
      <c r="BT44" s="54"/>
      <c r="BU44" s="54"/>
      <c r="BV44" s="46" t="e">
        <f t="shared" si="13"/>
        <v>#DIV/0!</v>
      </c>
      <c r="BW44" s="46" t="e">
        <f t="shared" si="14"/>
        <v>#DIV/0!</v>
      </c>
      <c r="BX44" s="46" t="e">
        <f t="shared" si="15"/>
        <v>#DIV/0!</v>
      </c>
      <c r="BY44" s="46" t="e">
        <f t="shared" si="16"/>
        <v>#DIV/0!</v>
      </c>
      <c r="BZ44" s="46" t="e">
        <f t="shared" si="17"/>
        <v>#DIV/0!</v>
      </c>
      <c r="CA44" s="46" t="e">
        <f t="shared" si="18"/>
        <v>#DIV/0!</v>
      </c>
      <c r="CB44" s="46" t="e">
        <f t="shared" si="19"/>
        <v>#DIV/0!</v>
      </c>
      <c r="CC44" s="46" t="e">
        <f t="shared" si="20"/>
        <v>#DIV/0!</v>
      </c>
      <c r="CD44" s="46" t="e">
        <f t="shared" si="21"/>
        <v>#DIV/0!</v>
      </c>
      <c r="CE44" s="56" t="e">
        <f t="shared" si="22"/>
        <v>#DIV/0!</v>
      </c>
      <c r="CF44" s="56" t="e">
        <f t="shared" si="23"/>
        <v>#DIV/0!</v>
      </c>
      <c r="CG44" s="56" t="e">
        <f t="shared" si="24"/>
        <v>#DIV/0!</v>
      </c>
      <c r="CH44" s="56" t="e">
        <f t="shared" si="25"/>
        <v>#DIV/0!</v>
      </c>
      <c r="CI44" s="56" t="e">
        <f t="shared" si="26"/>
        <v>#DIV/0!</v>
      </c>
      <c r="CJ44" s="56" t="e">
        <f t="shared" si="27"/>
        <v>#DIV/0!</v>
      </c>
      <c r="CK44" s="56" t="e">
        <f t="shared" si="28"/>
        <v>#DIV/0!</v>
      </c>
      <c r="CL44" s="56" t="e">
        <f t="shared" si="29"/>
        <v>#DIV/0!</v>
      </c>
      <c r="CM44" s="56" t="e">
        <f t="shared" si="30"/>
        <v>#DIV/0!</v>
      </c>
    </row>
    <row r="45" spans="1:91" x14ac:dyDescent="0.15">
      <c r="A45" s="43">
        <v>43</v>
      </c>
      <c r="B45" s="46">
        <f t="shared" si="40"/>
        <v>1</v>
      </c>
      <c r="C45" s="46">
        <f t="shared" si="39"/>
        <v>1</v>
      </c>
      <c r="D45" s="46">
        <f t="shared" si="39"/>
        <v>1</v>
      </c>
      <c r="E45" s="46">
        <f t="shared" si="39"/>
        <v>1</v>
      </c>
      <c r="F45" s="46">
        <f t="shared" si="39"/>
        <v>1</v>
      </c>
      <c r="G45" s="46">
        <f t="shared" si="39"/>
        <v>1</v>
      </c>
      <c r="H45" s="46">
        <f t="shared" si="39"/>
        <v>1</v>
      </c>
      <c r="I45" s="46">
        <f t="shared" si="39"/>
        <v>1</v>
      </c>
      <c r="J45" s="46">
        <f t="shared" si="39"/>
        <v>1</v>
      </c>
      <c r="K45" s="46" t="e">
        <f>K44+ATM_Conf!$C$5*(T44-AC44)</f>
        <v>#DIV/0!</v>
      </c>
      <c r="L45" s="46" t="e">
        <f>L44+ATM_Conf!$C$5*(U44-AD44)</f>
        <v>#DIV/0!</v>
      </c>
      <c r="M45" s="46" t="e">
        <f>M44+ATM_Conf!$C$5*(V44-AE44)</f>
        <v>#DIV/0!</v>
      </c>
      <c r="N45" s="46" t="e">
        <f>N44+ATM_Conf!$C$5*(W44-AF44)</f>
        <v>#DIV/0!</v>
      </c>
      <c r="O45" s="46" t="e">
        <f>O44+ATM_Conf!$C$5*(X44-AG44)</f>
        <v>#DIV/0!</v>
      </c>
      <c r="P45" s="46" t="e">
        <f>P44+ATM_Conf!$C$5*(Y44-AH44)</f>
        <v>#DIV/0!</v>
      </c>
      <c r="Q45" s="46" t="e">
        <f>Q44+ATM_Conf!$C$5*(Z44-AI44)</f>
        <v>#DIV/0!</v>
      </c>
      <c r="R45" s="46" t="e">
        <f>R44+ATM_Conf!$C$5*(AA44-AJ44)</f>
        <v>#DIV/0!</v>
      </c>
      <c r="S45" s="46" t="e">
        <f>S44+ATM_Conf!$C$5*(AB44-AK44)</f>
        <v>#DIV/0!</v>
      </c>
      <c r="T45" s="46"/>
      <c r="U45" s="46"/>
      <c r="V45" s="46"/>
      <c r="W45" s="46"/>
      <c r="X45" s="46"/>
      <c r="Y45" s="46"/>
      <c r="Z45" s="46"/>
      <c r="AA45" s="46"/>
      <c r="AB45" s="46"/>
      <c r="AC45" s="46" t="e">
        <f t="shared" si="4"/>
        <v>#DIV/0!</v>
      </c>
      <c r="AD45" s="46" t="e">
        <f t="shared" si="5"/>
        <v>#DIV/0!</v>
      </c>
      <c r="AE45" s="46" t="e">
        <f t="shared" si="6"/>
        <v>#DIV/0!</v>
      </c>
      <c r="AF45" s="46" t="e">
        <f t="shared" si="7"/>
        <v>#DIV/0!</v>
      </c>
      <c r="AG45" s="46" t="e">
        <f t="shared" si="8"/>
        <v>#DIV/0!</v>
      </c>
      <c r="AH45" s="46" t="e">
        <f t="shared" si="9"/>
        <v>#DIV/0!</v>
      </c>
      <c r="AI45" s="46" t="e">
        <f t="shared" si="10"/>
        <v>#DIV/0!</v>
      </c>
      <c r="AJ45" s="46" t="e">
        <f t="shared" si="11"/>
        <v>#DIV/0!</v>
      </c>
      <c r="AK45" s="46" t="e">
        <f t="shared" si="12"/>
        <v>#DIV/0!</v>
      </c>
      <c r="AL45" s="46" t="e">
        <f>T$3+K45/ATM_Conf!$C$5</f>
        <v>#DIV/0!</v>
      </c>
      <c r="AM45" s="46" t="e">
        <f>U$3+L45/ATM_Conf!$C$5</f>
        <v>#DIV/0!</v>
      </c>
      <c r="AN45" s="46" t="e">
        <f>V$3+M45/ATM_Conf!$C$5</f>
        <v>#DIV/0!</v>
      </c>
      <c r="AO45" s="46" t="e">
        <f>W$3+N45/ATM_Conf!$C$5</f>
        <v>#DIV/0!</v>
      </c>
      <c r="AP45" s="46" t="e">
        <f>X$3+O45/ATM_Conf!$C$5</f>
        <v>#DIV/0!</v>
      </c>
      <c r="AQ45" s="46" t="e">
        <f>Y$3+P45/ATM_Conf!$C$5</f>
        <v>#DIV/0!</v>
      </c>
      <c r="AR45" s="46" t="e">
        <f>Z$3+Q45/ATM_Conf!$C$5</f>
        <v>#DIV/0!</v>
      </c>
      <c r="AS45" s="46" t="e">
        <f>AA$3+R45/ATM_Conf!$C$5</f>
        <v>#DIV/0!</v>
      </c>
      <c r="AT45" s="46" t="e">
        <f>AB$3+S45/ATM_Conf!$C$5</f>
        <v>#DIV/0!</v>
      </c>
      <c r="AU45" s="46" t="e">
        <f>BD$3*MIN(1,(ATM_Conf!$C$6-Links!F45)/(ATM_Conf!$C$6-ATM_Conf!$C$7))</f>
        <v>#DIV/0!</v>
      </c>
      <c r="AV45" s="46" t="e">
        <f>BE$3*MIN(1,(ATM_Conf!$C$6-Links!G45)/(ATM_Conf!$C$6-ATM_Conf!$C$7))</f>
        <v>#DIV/0!</v>
      </c>
      <c r="AW45" s="46" t="e">
        <f>BF$3*MIN(1,(ATM_Conf!$C$6-Links!H45)/(ATM_Conf!$C$6-ATM_Conf!$C$7))</f>
        <v>#DIV/0!</v>
      </c>
      <c r="AX45" s="46" t="e">
        <f>BG$3*MIN(1,(ATM_Conf!$C$6-Links!I45)/(ATM_Conf!$C$6-ATM_Conf!$C$7))</f>
        <v>#DIV/0!</v>
      </c>
      <c r="AY45" s="46" t="e">
        <f>BH$3*MIN(1,(ATM_Conf!$C$6-Links!J45)/(ATM_Conf!$C$6-ATM_Conf!$C$7))</f>
        <v>#DIV/0!</v>
      </c>
      <c r="AZ45" s="46" t="e">
        <f>BI$3*MIN(1,(ATM_Conf!$C$6-Links!K45)/(ATM_Conf!$C$6-ATM_Conf!$C$7))</f>
        <v>#DIV/0!</v>
      </c>
      <c r="BA45" s="46" t="e">
        <f>BJ$3*MIN(1,(ATM_Conf!$C$6-Links!L45)/(ATM_Conf!$C$6-ATM_Conf!$C$7))</f>
        <v>#DIV/0!</v>
      </c>
      <c r="BB45" s="46" t="e">
        <f>BK$3*MIN(1,(ATM_Conf!$C$6-Links!M45)/(ATM_Conf!$C$6-ATM_Conf!$C$7))</f>
        <v>#DIV/0!</v>
      </c>
      <c r="BC45" s="46" t="e">
        <f>BL$3*MIN(1,(ATM_Conf!$C$6-Links!N45)/(ATM_Conf!$C$6-ATM_Conf!$C$7))</f>
        <v>#DIV/0!</v>
      </c>
      <c r="BD45" s="46"/>
      <c r="BE45" s="46"/>
      <c r="BF45" s="46"/>
      <c r="BG45" s="46"/>
      <c r="BH45" s="46"/>
      <c r="BI45" s="46"/>
      <c r="BJ45" s="46"/>
      <c r="BK45" s="46"/>
      <c r="BL45" s="46"/>
      <c r="BM45" s="54"/>
      <c r="BN45" s="54"/>
      <c r="BO45" s="54"/>
      <c r="BP45" s="54"/>
      <c r="BQ45" s="54"/>
      <c r="BR45" s="54"/>
      <c r="BS45" s="54"/>
      <c r="BT45" s="54"/>
      <c r="BU45" s="54"/>
      <c r="BV45" s="46" t="e">
        <f t="shared" si="13"/>
        <v>#DIV/0!</v>
      </c>
      <c r="BW45" s="46" t="e">
        <f t="shared" si="14"/>
        <v>#DIV/0!</v>
      </c>
      <c r="BX45" s="46" t="e">
        <f t="shared" si="15"/>
        <v>#DIV/0!</v>
      </c>
      <c r="BY45" s="46" t="e">
        <f t="shared" si="16"/>
        <v>#DIV/0!</v>
      </c>
      <c r="BZ45" s="46" t="e">
        <f t="shared" si="17"/>
        <v>#DIV/0!</v>
      </c>
      <c r="CA45" s="46" t="e">
        <f t="shared" si="18"/>
        <v>#DIV/0!</v>
      </c>
      <c r="CB45" s="46" t="e">
        <f t="shared" si="19"/>
        <v>#DIV/0!</v>
      </c>
      <c r="CC45" s="46" t="e">
        <f t="shared" si="20"/>
        <v>#DIV/0!</v>
      </c>
      <c r="CD45" s="46" t="e">
        <f t="shared" si="21"/>
        <v>#DIV/0!</v>
      </c>
      <c r="CE45" s="56" t="e">
        <f t="shared" si="22"/>
        <v>#DIV/0!</v>
      </c>
      <c r="CF45" s="56" t="e">
        <f t="shared" si="23"/>
        <v>#DIV/0!</v>
      </c>
      <c r="CG45" s="56" t="e">
        <f t="shared" si="24"/>
        <v>#DIV/0!</v>
      </c>
      <c r="CH45" s="56" t="e">
        <f t="shared" si="25"/>
        <v>#DIV/0!</v>
      </c>
      <c r="CI45" s="56" t="e">
        <f t="shared" si="26"/>
        <v>#DIV/0!</v>
      </c>
      <c r="CJ45" s="56" t="e">
        <f t="shared" si="27"/>
        <v>#DIV/0!</v>
      </c>
      <c r="CK45" s="56" t="e">
        <f t="shared" si="28"/>
        <v>#DIV/0!</v>
      </c>
      <c r="CL45" s="56" t="e">
        <f t="shared" si="29"/>
        <v>#DIV/0!</v>
      </c>
      <c r="CM45" s="56" t="e">
        <f t="shared" si="30"/>
        <v>#DIV/0!</v>
      </c>
    </row>
    <row r="46" spans="1:91" x14ac:dyDescent="0.15">
      <c r="A46" s="43">
        <v>44</v>
      </c>
      <c r="B46" s="46">
        <f t="shared" si="40"/>
        <v>1</v>
      </c>
      <c r="C46" s="46">
        <f t="shared" si="39"/>
        <v>1</v>
      </c>
      <c r="D46" s="46">
        <f t="shared" si="39"/>
        <v>1</v>
      </c>
      <c r="E46" s="46">
        <f t="shared" si="39"/>
        <v>1</v>
      </c>
      <c r="F46" s="46">
        <f t="shared" si="39"/>
        <v>1</v>
      </c>
      <c r="G46" s="46">
        <f t="shared" si="39"/>
        <v>1</v>
      </c>
      <c r="H46" s="46">
        <f t="shared" si="39"/>
        <v>1</v>
      </c>
      <c r="I46" s="46">
        <f t="shared" si="39"/>
        <v>1</v>
      </c>
      <c r="J46" s="46">
        <f t="shared" si="39"/>
        <v>1</v>
      </c>
      <c r="K46" s="46" t="e">
        <f>K45+ATM_Conf!$C$5*(T45-AC45)</f>
        <v>#DIV/0!</v>
      </c>
      <c r="L46" s="46" t="e">
        <f>L45+ATM_Conf!$C$5*(U45-AD45)</f>
        <v>#DIV/0!</v>
      </c>
      <c r="M46" s="46" t="e">
        <f>M45+ATM_Conf!$C$5*(V45-AE45)</f>
        <v>#DIV/0!</v>
      </c>
      <c r="N46" s="46" t="e">
        <f>N45+ATM_Conf!$C$5*(W45-AF45)</f>
        <v>#DIV/0!</v>
      </c>
      <c r="O46" s="46" t="e">
        <f>O45+ATM_Conf!$C$5*(X45-AG45)</f>
        <v>#DIV/0!</v>
      </c>
      <c r="P46" s="46" t="e">
        <f>P45+ATM_Conf!$C$5*(Y45-AH45)</f>
        <v>#DIV/0!</v>
      </c>
      <c r="Q46" s="46" t="e">
        <f>Q45+ATM_Conf!$C$5*(Z45-AI45)</f>
        <v>#DIV/0!</v>
      </c>
      <c r="R46" s="46" t="e">
        <f>R45+ATM_Conf!$C$5*(AA45-AJ45)</f>
        <v>#DIV/0!</v>
      </c>
      <c r="S46" s="46" t="e">
        <f>S45+ATM_Conf!$C$5*(AB45-AK45)</f>
        <v>#DIV/0!</v>
      </c>
      <c r="T46" s="46"/>
      <c r="U46" s="46"/>
      <c r="V46" s="46"/>
      <c r="W46" s="46"/>
      <c r="X46" s="46"/>
      <c r="Y46" s="46"/>
      <c r="Z46" s="46"/>
      <c r="AA46" s="46"/>
      <c r="AB46" s="46"/>
      <c r="AC46" s="46" t="e">
        <f t="shared" si="4"/>
        <v>#DIV/0!</v>
      </c>
      <c r="AD46" s="46" t="e">
        <f t="shared" si="5"/>
        <v>#DIV/0!</v>
      </c>
      <c r="AE46" s="46" t="e">
        <f t="shared" si="6"/>
        <v>#DIV/0!</v>
      </c>
      <c r="AF46" s="46" t="e">
        <f t="shared" si="7"/>
        <v>#DIV/0!</v>
      </c>
      <c r="AG46" s="46" t="e">
        <f t="shared" si="8"/>
        <v>#DIV/0!</v>
      </c>
      <c r="AH46" s="46" t="e">
        <f t="shared" si="9"/>
        <v>#DIV/0!</v>
      </c>
      <c r="AI46" s="46" t="e">
        <f t="shared" si="10"/>
        <v>#DIV/0!</v>
      </c>
      <c r="AJ46" s="46" t="e">
        <f t="shared" si="11"/>
        <v>#DIV/0!</v>
      </c>
      <c r="AK46" s="46" t="e">
        <f t="shared" si="12"/>
        <v>#DIV/0!</v>
      </c>
      <c r="AL46" s="46" t="e">
        <f>T$3+K46/ATM_Conf!$C$5</f>
        <v>#DIV/0!</v>
      </c>
      <c r="AM46" s="46" t="e">
        <f>U$3+L46/ATM_Conf!$C$5</f>
        <v>#DIV/0!</v>
      </c>
      <c r="AN46" s="46" t="e">
        <f>V$3+M46/ATM_Conf!$C$5</f>
        <v>#DIV/0!</v>
      </c>
      <c r="AO46" s="46" t="e">
        <f>W$3+N46/ATM_Conf!$C$5</f>
        <v>#DIV/0!</v>
      </c>
      <c r="AP46" s="46" t="e">
        <f>X$3+O46/ATM_Conf!$C$5</f>
        <v>#DIV/0!</v>
      </c>
      <c r="AQ46" s="46" t="e">
        <f>Y$3+P46/ATM_Conf!$C$5</f>
        <v>#DIV/0!</v>
      </c>
      <c r="AR46" s="46" t="e">
        <f>Z$3+Q46/ATM_Conf!$C$5</f>
        <v>#DIV/0!</v>
      </c>
      <c r="AS46" s="46" t="e">
        <f>AA$3+R46/ATM_Conf!$C$5</f>
        <v>#DIV/0!</v>
      </c>
      <c r="AT46" s="46" t="e">
        <f>AB$3+S46/ATM_Conf!$C$5</f>
        <v>#DIV/0!</v>
      </c>
      <c r="AU46" s="46" t="e">
        <f>BD$3*MIN(1,(ATM_Conf!$C$6-Links!F46)/(ATM_Conf!$C$6-ATM_Conf!$C$7))</f>
        <v>#DIV/0!</v>
      </c>
      <c r="AV46" s="46" t="e">
        <f>BE$3*MIN(1,(ATM_Conf!$C$6-Links!G46)/(ATM_Conf!$C$6-ATM_Conf!$C$7))</f>
        <v>#DIV/0!</v>
      </c>
      <c r="AW46" s="46" t="e">
        <f>BF$3*MIN(1,(ATM_Conf!$C$6-Links!H46)/(ATM_Conf!$C$6-ATM_Conf!$C$7))</f>
        <v>#DIV/0!</v>
      </c>
      <c r="AX46" s="46" t="e">
        <f>BG$3*MIN(1,(ATM_Conf!$C$6-Links!I46)/(ATM_Conf!$C$6-ATM_Conf!$C$7))</f>
        <v>#DIV/0!</v>
      </c>
      <c r="AY46" s="46" t="e">
        <f>BH$3*MIN(1,(ATM_Conf!$C$6-Links!J46)/(ATM_Conf!$C$6-ATM_Conf!$C$7))</f>
        <v>#DIV/0!</v>
      </c>
      <c r="AZ46" s="46" t="e">
        <f>BI$3*MIN(1,(ATM_Conf!$C$6-Links!K46)/(ATM_Conf!$C$6-ATM_Conf!$C$7))</f>
        <v>#DIV/0!</v>
      </c>
      <c r="BA46" s="46" t="e">
        <f>BJ$3*MIN(1,(ATM_Conf!$C$6-Links!L46)/(ATM_Conf!$C$6-ATM_Conf!$C$7))</f>
        <v>#DIV/0!</v>
      </c>
      <c r="BB46" s="46" t="e">
        <f>BK$3*MIN(1,(ATM_Conf!$C$6-Links!M46)/(ATM_Conf!$C$6-ATM_Conf!$C$7))</f>
        <v>#DIV/0!</v>
      </c>
      <c r="BC46" s="46" t="e">
        <f>BL$3*MIN(1,(ATM_Conf!$C$6-Links!N46)/(ATM_Conf!$C$6-ATM_Conf!$C$7))</f>
        <v>#DIV/0!</v>
      </c>
      <c r="BD46" s="46"/>
      <c r="BE46" s="46"/>
      <c r="BF46" s="46"/>
      <c r="BG46" s="46"/>
      <c r="BH46" s="46"/>
      <c r="BI46" s="46"/>
      <c r="BJ46" s="46"/>
      <c r="BK46" s="46"/>
      <c r="BL46" s="46"/>
      <c r="BM46" s="54"/>
      <c r="BN46" s="54"/>
      <c r="BO46" s="54"/>
      <c r="BP46" s="54"/>
      <c r="BQ46" s="54"/>
      <c r="BR46" s="54"/>
      <c r="BS46" s="54"/>
      <c r="BT46" s="54"/>
      <c r="BU46" s="54"/>
      <c r="BV46" s="46" t="e">
        <f t="shared" si="13"/>
        <v>#DIV/0!</v>
      </c>
      <c r="BW46" s="46" t="e">
        <f t="shared" si="14"/>
        <v>#DIV/0!</v>
      </c>
      <c r="BX46" s="46" t="e">
        <f t="shared" si="15"/>
        <v>#DIV/0!</v>
      </c>
      <c r="BY46" s="46" t="e">
        <f t="shared" si="16"/>
        <v>#DIV/0!</v>
      </c>
      <c r="BZ46" s="46" t="e">
        <f t="shared" si="17"/>
        <v>#DIV/0!</v>
      </c>
      <c r="CA46" s="46" t="e">
        <f t="shared" si="18"/>
        <v>#DIV/0!</v>
      </c>
      <c r="CB46" s="46" t="e">
        <f t="shared" si="19"/>
        <v>#DIV/0!</v>
      </c>
      <c r="CC46" s="46" t="e">
        <f t="shared" si="20"/>
        <v>#DIV/0!</v>
      </c>
      <c r="CD46" s="46" t="e">
        <f t="shared" si="21"/>
        <v>#DIV/0!</v>
      </c>
      <c r="CE46" s="56" t="e">
        <f t="shared" si="22"/>
        <v>#DIV/0!</v>
      </c>
      <c r="CF46" s="56" t="e">
        <f t="shared" si="23"/>
        <v>#DIV/0!</v>
      </c>
      <c r="CG46" s="56" t="e">
        <f t="shared" si="24"/>
        <v>#DIV/0!</v>
      </c>
      <c r="CH46" s="56" t="e">
        <f t="shared" si="25"/>
        <v>#DIV/0!</v>
      </c>
      <c r="CI46" s="56" t="e">
        <f t="shared" si="26"/>
        <v>#DIV/0!</v>
      </c>
      <c r="CJ46" s="56" t="e">
        <f t="shared" si="27"/>
        <v>#DIV/0!</v>
      </c>
      <c r="CK46" s="56" t="e">
        <f t="shared" si="28"/>
        <v>#DIV/0!</v>
      </c>
      <c r="CL46" s="56" t="e">
        <f t="shared" si="29"/>
        <v>#DIV/0!</v>
      </c>
      <c r="CM46" s="56" t="e">
        <f t="shared" si="30"/>
        <v>#DIV/0!</v>
      </c>
    </row>
    <row r="47" spans="1:91" x14ac:dyDescent="0.15">
      <c r="A47" s="43">
        <v>45</v>
      </c>
      <c r="B47" s="46">
        <f t="shared" si="40"/>
        <v>1</v>
      </c>
      <c r="C47" s="46">
        <f t="shared" si="39"/>
        <v>1</v>
      </c>
      <c r="D47" s="46">
        <f t="shared" si="39"/>
        <v>1</v>
      </c>
      <c r="E47" s="46">
        <f t="shared" si="39"/>
        <v>1</v>
      </c>
      <c r="F47" s="46">
        <f t="shared" si="39"/>
        <v>1</v>
      </c>
      <c r="G47" s="46">
        <f t="shared" si="39"/>
        <v>1</v>
      </c>
      <c r="H47" s="46">
        <f t="shared" si="39"/>
        <v>1</v>
      </c>
      <c r="I47" s="46">
        <f t="shared" si="39"/>
        <v>1</v>
      </c>
      <c r="J47" s="46">
        <f t="shared" si="39"/>
        <v>1</v>
      </c>
      <c r="K47" s="46" t="e">
        <f>K46+ATM_Conf!$C$5*(T46-AC46)</f>
        <v>#DIV/0!</v>
      </c>
      <c r="L47" s="46" t="e">
        <f>L46+ATM_Conf!$C$5*(U46-AD46)</f>
        <v>#DIV/0!</v>
      </c>
      <c r="M47" s="46" t="e">
        <f>M46+ATM_Conf!$C$5*(V46-AE46)</f>
        <v>#DIV/0!</v>
      </c>
      <c r="N47" s="46" t="e">
        <f>N46+ATM_Conf!$C$5*(W46-AF46)</f>
        <v>#DIV/0!</v>
      </c>
      <c r="O47" s="46" t="e">
        <f>O46+ATM_Conf!$C$5*(X46-AG46)</f>
        <v>#DIV/0!</v>
      </c>
      <c r="P47" s="46" t="e">
        <f>P46+ATM_Conf!$C$5*(Y46-AH46)</f>
        <v>#DIV/0!</v>
      </c>
      <c r="Q47" s="46" t="e">
        <f>Q46+ATM_Conf!$C$5*(Z46-AI46)</f>
        <v>#DIV/0!</v>
      </c>
      <c r="R47" s="46" t="e">
        <f>R46+ATM_Conf!$C$5*(AA46-AJ46)</f>
        <v>#DIV/0!</v>
      </c>
      <c r="S47" s="46" t="e">
        <f>S46+ATM_Conf!$C$5*(AB46-AK46)</f>
        <v>#DIV/0!</v>
      </c>
      <c r="T47" s="46"/>
      <c r="U47" s="46"/>
      <c r="V47" s="46"/>
      <c r="W47" s="46"/>
      <c r="X47" s="46"/>
      <c r="Y47" s="46"/>
      <c r="Z47" s="46"/>
      <c r="AA47" s="46"/>
      <c r="AB47" s="46"/>
      <c r="AC47" s="46" t="e">
        <f t="shared" si="4"/>
        <v>#DIV/0!</v>
      </c>
      <c r="AD47" s="46" t="e">
        <f t="shared" si="5"/>
        <v>#DIV/0!</v>
      </c>
      <c r="AE47" s="46" t="e">
        <f t="shared" si="6"/>
        <v>#DIV/0!</v>
      </c>
      <c r="AF47" s="46" t="e">
        <f t="shared" si="7"/>
        <v>#DIV/0!</v>
      </c>
      <c r="AG47" s="46" t="e">
        <f t="shared" si="8"/>
        <v>#DIV/0!</v>
      </c>
      <c r="AH47" s="46" t="e">
        <f t="shared" si="9"/>
        <v>#DIV/0!</v>
      </c>
      <c r="AI47" s="46" t="e">
        <f t="shared" si="10"/>
        <v>#DIV/0!</v>
      </c>
      <c r="AJ47" s="46" t="e">
        <f t="shared" si="11"/>
        <v>#DIV/0!</v>
      </c>
      <c r="AK47" s="46" t="e">
        <f t="shared" si="12"/>
        <v>#DIV/0!</v>
      </c>
      <c r="AL47" s="46" t="e">
        <f>T$3+K47/ATM_Conf!$C$5</f>
        <v>#DIV/0!</v>
      </c>
      <c r="AM47" s="46" t="e">
        <f>U$3+L47/ATM_Conf!$C$5</f>
        <v>#DIV/0!</v>
      </c>
      <c r="AN47" s="46" t="e">
        <f>V$3+M47/ATM_Conf!$C$5</f>
        <v>#DIV/0!</v>
      </c>
      <c r="AO47" s="46" t="e">
        <f>W$3+N47/ATM_Conf!$C$5</f>
        <v>#DIV/0!</v>
      </c>
      <c r="AP47" s="46" t="e">
        <f>X$3+O47/ATM_Conf!$C$5</f>
        <v>#DIV/0!</v>
      </c>
      <c r="AQ47" s="46" t="e">
        <f>Y$3+P47/ATM_Conf!$C$5</f>
        <v>#DIV/0!</v>
      </c>
      <c r="AR47" s="46" t="e">
        <f>Z$3+Q47/ATM_Conf!$C$5</f>
        <v>#DIV/0!</v>
      </c>
      <c r="AS47" s="46" t="e">
        <f>AA$3+R47/ATM_Conf!$C$5</f>
        <v>#DIV/0!</v>
      </c>
      <c r="AT47" s="46" t="e">
        <f>AB$3+S47/ATM_Conf!$C$5</f>
        <v>#DIV/0!</v>
      </c>
      <c r="AU47" s="46" t="e">
        <f>BD$3*MIN(1,(ATM_Conf!$C$6-Links!F47)/(ATM_Conf!$C$6-ATM_Conf!$C$7))</f>
        <v>#DIV/0!</v>
      </c>
      <c r="AV47" s="46" t="e">
        <f>BE$3*MIN(1,(ATM_Conf!$C$6-Links!G47)/(ATM_Conf!$C$6-ATM_Conf!$C$7))</f>
        <v>#DIV/0!</v>
      </c>
      <c r="AW47" s="46" t="e">
        <f>BF$3*MIN(1,(ATM_Conf!$C$6-Links!H47)/(ATM_Conf!$C$6-ATM_Conf!$C$7))</f>
        <v>#DIV/0!</v>
      </c>
      <c r="AX47" s="46" t="e">
        <f>BG$3*MIN(1,(ATM_Conf!$C$6-Links!I47)/(ATM_Conf!$C$6-ATM_Conf!$C$7))</f>
        <v>#DIV/0!</v>
      </c>
      <c r="AY47" s="46" t="e">
        <f>BH$3*MIN(1,(ATM_Conf!$C$6-Links!J47)/(ATM_Conf!$C$6-ATM_Conf!$C$7))</f>
        <v>#DIV/0!</v>
      </c>
      <c r="AZ47" s="46" t="e">
        <f>BI$3*MIN(1,(ATM_Conf!$C$6-Links!K47)/(ATM_Conf!$C$6-ATM_Conf!$C$7))</f>
        <v>#DIV/0!</v>
      </c>
      <c r="BA47" s="46" t="e">
        <f>BJ$3*MIN(1,(ATM_Conf!$C$6-Links!L47)/(ATM_Conf!$C$6-ATM_Conf!$C$7))</f>
        <v>#DIV/0!</v>
      </c>
      <c r="BB47" s="46" t="e">
        <f>BK$3*MIN(1,(ATM_Conf!$C$6-Links!M47)/(ATM_Conf!$C$6-ATM_Conf!$C$7))</f>
        <v>#DIV/0!</v>
      </c>
      <c r="BC47" s="46" t="e">
        <f>BL$3*MIN(1,(ATM_Conf!$C$6-Links!N47)/(ATM_Conf!$C$6-ATM_Conf!$C$7))</f>
        <v>#DIV/0!</v>
      </c>
      <c r="BD47" s="46"/>
      <c r="BE47" s="46"/>
      <c r="BF47" s="46"/>
      <c r="BG47" s="46"/>
      <c r="BH47" s="46"/>
      <c r="BI47" s="46"/>
      <c r="BJ47" s="46"/>
      <c r="BK47" s="46"/>
      <c r="BL47" s="46"/>
      <c r="BM47" s="54"/>
      <c r="BN47" s="54"/>
      <c r="BO47" s="54"/>
      <c r="BP47" s="54"/>
      <c r="BQ47" s="54"/>
      <c r="BR47" s="54"/>
      <c r="BS47" s="54"/>
      <c r="BT47" s="54"/>
      <c r="BU47" s="54"/>
      <c r="BV47" s="46" t="e">
        <f t="shared" si="13"/>
        <v>#DIV/0!</v>
      </c>
      <c r="BW47" s="46" t="e">
        <f t="shared" si="14"/>
        <v>#DIV/0!</v>
      </c>
      <c r="BX47" s="46" t="e">
        <f t="shared" si="15"/>
        <v>#DIV/0!</v>
      </c>
      <c r="BY47" s="46" t="e">
        <f t="shared" si="16"/>
        <v>#DIV/0!</v>
      </c>
      <c r="BZ47" s="46" t="e">
        <f t="shared" si="17"/>
        <v>#DIV/0!</v>
      </c>
      <c r="CA47" s="46" t="e">
        <f t="shared" si="18"/>
        <v>#DIV/0!</v>
      </c>
      <c r="CB47" s="46" t="e">
        <f t="shared" si="19"/>
        <v>#DIV/0!</v>
      </c>
      <c r="CC47" s="46" t="e">
        <f t="shared" si="20"/>
        <v>#DIV/0!</v>
      </c>
      <c r="CD47" s="46" t="e">
        <f t="shared" si="21"/>
        <v>#DIV/0!</v>
      </c>
      <c r="CE47" s="56" t="e">
        <f t="shared" si="22"/>
        <v>#DIV/0!</v>
      </c>
      <c r="CF47" s="56" t="e">
        <f t="shared" si="23"/>
        <v>#DIV/0!</v>
      </c>
      <c r="CG47" s="56" t="e">
        <f t="shared" si="24"/>
        <v>#DIV/0!</v>
      </c>
      <c r="CH47" s="56" t="e">
        <f t="shared" si="25"/>
        <v>#DIV/0!</v>
      </c>
      <c r="CI47" s="56" t="e">
        <f t="shared" si="26"/>
        <v>#DIV/0!</v>
      </c>
      <c r="CJ47" s="56" t="e">
        <f t="shared" si="27"/>
        <v>#DIV/0!</v>
      </c>
      <c r="CK47" s="56" t="e">
        <f t="shared" si="28"/>
        <v>#DIV/0!</v>
      </c>
      <c r="CL47" s="56" t="e">
        <f t="shared" si="29"/>
        <v>#DIV/0!</v>
      </c>
      <c r="CM47" s="56" t="e">
        <f t="shared" si="30"/>
        <v>#DIV/0!</v>
      </c>
    </row>
    <row r="48" spans="1:91" x14ac:dyDescent="0.15">
      <c r="A48" s="43">
        <v>46</v>
      </c>
      <c r="B48" s="46">
        <f t="shared" si="40"/>
        <v>1</v>
      </c>
      <c r="C48" s="46">
        <f t="shared" si="39"/>
        <v>1</v>
      </c>
      <c r="D48" s="46">
        <f t="shared" si="39"/>
        <v>1</v>
      </c>
      <c r="E48" s="46">
        <f t="shared" si="39"/>
        <v>1</v>
      </c>
      <c r="F48" s="46">
        <f t="shared" si="39"/>
        <v>1</v>
      </c>
      <c r="G48" s="46">
        <f t="shared" si="39"/>
        <v>1</v>
      </c>
      <c r="H48" s="46">
        <f t="shared" si="39"/>
        <v>1</v>
      </c>
      <c r="I48" s="46">
        <f t="shared" si="39"/>
        <v>1</v>
      </c>
      <c r="J48" s="46">
        <f t="shared" si="39"/>
        <v>1</v>
      </c>
      <c r="K48" s="46" t="e">
        <f>K47+ATM_Conf!$C$5*(T47-AC47)</f>
        <v>#DIV/0!</v>
      </c>
      <c r="L48" s="46" t="e">
        <f>L47+ATM_Conf!$C$5*(U47-AD47)</f>
        <v>#DIV/0!</v>
      </c>
      <c r="M48" s="46" t="e">
        <f>M47+ATM_Conf!$C$5*(V47-AE47)</f>
        <v>#DIV/0!</v>
      </c>
      <c r="N48" s="46" t="e">
        <f>N47+ATM_Conf!$C$5*(W47-AF47)</f>
        <v>#DIV/0!</v>
      </c>
      <c r="O48" s="46" t="e">
        <f>O47+ATM_Conf!$C$5*(X47-AG47)</f>
        <v>#DIV/0!</v>
      </c>
      <c r="P48" s="46" t="e">
        <f>P47+ATM_Conf!$C$5*(Y47-AH47)</f>
        <v>#DIV/0!</v>
      </c>
      <c r="Q48" s="46" t="e">
        <f>Q47+ATM_Conf!$C$5*(Z47-AI47)</f>
        <v>#DIV/0!</v>
      </c>
      <c r="R48" s="46" t="e">
        <f>R47+ATM_Conf!$C$5*(AA47-AJ47)</f>
        <v>#DIV/0!</v>
      </c>
      <c r="S48" s="46" t="e">
        <f>S47+ATM_Conf!$C$5*(AB47-AK47)</f>
        <v>#DIV/0!</v>
      </c>
      <c r="T48" s="46"/>
      <c r="U48" s="46"/>
      <c r="V48" s="46"/>
      <c r="W48" s="46"/>
      <c r="X48" s="46"/>
      <c r="Y48" s="46"/>
      <c r="Z48" s="46"/>
      <c r="AA48" s="46"/>
      <c r="AB48" s="46"/>
      <c r="AC48" s="46" t="e">
        <f t="shared" si="4"/>
        <v>#DIV/0!</v>
      </c>
      <c r="AD48" s="46" t="e">
        <f t="shared" si="5"/>
        <v>#DIV/0!</v>
      </c>
      <c r="AE48" s="46" t="e">
        <f t="shared" si="6"/>
        <v>#DIV/0!</v>
      </c>
      <c r="AF48" s="46" t="e">
        <f t="shared" si="7"/>
        <v>#DIV/0!</v>
      </c>
      <c r="AG48" s="46" t="e">
        <f t="shared" si="8"/>
        <v>#DIV/0!</v>
      </c>
      <c r="AH48" s="46" t="e">
        <f t="shared" si="9"/>
        <v>#DIV/0!</v>
      </c>
      <c r="AI48" s="46" t="e">
        <f t="shared" si="10"/>
        <v>#DIV/0!</v>
      </c>
      <c r="AJ48" s="46" t="e">
        <f t="shared" si="11"/>
        <v>#DIV/0!</v>
      </c>
      <c r="AK48" s="46" t="e">
        <f t="shared" si="12"/>
        <v>#DIV/0!</v>
      </c>
      <c r="AL48" s="46" t="e">
        <f>T$3+K48/ATM_Conf!$C$5</f>
        <v>#DIV/0!</v>
      </c>
      <c r="AM48" s="46" t="e">
        <f>U$3+L48/ATM_Conf!$C$5</f>
        <v>#DIV/0!</v>
      </c>
      <c r="AN48" s="46" t="e">
        <f>V$3+M48/ATM_Conf!$C$5</f>
        <v>#DIV/0!</v>
      </c>
      <c r="AO48" s="46" t="e">
        <f>W$3+N48/ATM_Conf!$C$5</f>
        <v>#DIV/0!</v>
      </c>
      <c r="AP48" s="46" t="e">
        <f>X$3+O48/ATM_Conf!$C$5</f>
        <v>#DIV/0!</v>
      </c>
      <c r="AQ48" s="46" t="e">
        <f>Y$3+P48/ATM_Conf!$C$5</f>
        <v>#DIV/0!</v>
      </c>
      <c r="AR48" s="46" t="e">
        <f>Z$3+Q48/ATM_Conf!$C$5</f>
        <v>#DIV/0!</v>
      </c>
      <c r="AS48" s="46" t="e">
        <f>AA$3+R48/ATM_Conf!$C$5</f>
        <v>#DIV/0!</v>
      </c>
      <c r="AT48" s="46" t="e">
        <f>AB$3+S48/ATM_Conf!$C$5</f>
        <v>#DIV/0!</v>
      </c>
      <c r="AU48" s="46" t="e">
        <f>BD$3*MIN(1,(ATM_Conf!$C$6-Links!F48)/(ATM_Conf!$C$6-ATM_Conf!$C$7))</f>
        <v>#DIV/0!</v>
      </c>
      <c r="AV48" s="46" t="e">
        <f>BE$3*MIN(1,(ATM_Conf!$C$6-Links!G48)/(ATM_Conf!$C$6-ATM_Conf!$C$7))</f>
        <v>#DIV/0!</v>
      </c>
      <c r="AW48" s="46" t="e">
        <f>BF$3*MIN(1,(ATM_Conf!$C$6-Links!H48)/(ATM_Conf!$C$6-ATM_Conf!$C$7))</f>
        <v>#DIV/0!</v>
      </c>
      <c r="AX48" s="46" t="e">
        <f>BG$3*MIN(1,(ATM_Conf!$C$6-Links!I48)/(ATM_Conf!$C$6-ATM_Conf!$C$7))</f>
        <v>#DIV/0!</v>
      </c>
      <c r="AY48" s="46" t="e">
        <f>BH$3*MIN(1,(ATM_Conf!$C$6-Links!J48)/(ATM_Conf!$C$6-ATM_Conf!$C$7))</f>
        <v>#DIV/0!</v>
      </c>
      <c r="AZ48" s="46" t="e">
        <f>BI$3*MIN(1,(ATM_Conf!$C$6-Links!K48)/(ATM_Conf!$C$6-ATM_Conf!$C$7))</f>
        <v>#DIV/0!</v>
      </c>
      <c r="BA48" s="46" t="e">
        <f>BJ$3*MIN(1,(ATM_Conf!$C$6-Links!L48)/(ATM_Conf!$C$6-ATM_Conf!$C$7))</f>
        <v>#DIV/0!</v>
      </c>
      <c r="BB48" s="46" t="e">
        <f>BK$3*MIN(1,(ATM_Conf!$C$6-Links!M48)/(ATM_Conf!$C$6-ATM_Conf!$C$7))</f>
        <v>#DIV/0!</v>
      </c>
      <c r="BC48" s="46" t="e">
        <f>BL$3*MIN(1,(ATM_Conf!$C$6-Links!N48)/(ATM_Conf!$C$6-ATM_Conf!$C$7))</f>
        <v>#DIV/0!</v>
      </c>
      <c r="BD48" s="46"/>
      <c r="BE48" s="46"/>
      <c r="BF48" s="46"/>
      <c r="BG48" s="46"/>
      <c r="BH48" s="46"/>
      <c r="BI48" s="46"/>
      <c r="BJ48" s="46"/>
      <c r="BK48" s="46"/>
      <c r="BL48" s="46"/>
      <c r="BM48" s="54"/>
      <c r="BN48" s="54"/>
      <c r="BO48" s="54"/>
      <c r="BP48" s="54"/>
      <c r="BQ48" s="54"/>
      <c r="BR48" s="54"/>
      <c r="BS48" s="54"/>
      <c r="BT48" s="54"/>
      <c r="BU48" s="54"/>
      <c r="BV48" s="46" t="e">
        <f t="shared" si="13"/>
        <v>#DIV/0!</v>
      </c>
      <c r="BW48" s="46" t="e">
        <f t="shared" si="14"/>
        <v>#DIV/0!</v>
      </c>
      <c r="BX48" s="46" t="e">
        <f t="shared" si="15"/>
        <v>#DIV/0!</v>
      </c>
      <c r="BY48" s="46" t="e">
        <f t="shared" si="16"/>
        <v>#DIV/0!</v>
      </c>
      <c r="BZ48" s="46" t="e">
        <f t="shared" si="17"/>
        <v>#DIV/0!</v>
      </c>
      <c r="CA48" s="46" t="e">
        <f t="shared" si="18"/>
        <v>#DIV/0!</v>
      </c>
      <c r="CB48" s="46" t="e">
        <f t="shared" si="19"/>
        <v>#DIV/0!</v>
      </c>
      <c r="CC48" s="46" t="e">
        <f t="shared" si="20"/>
        <v>#DIV/0!</v>
      </c>
      <c r="CD48" s="46" t="e">
        <f t="shared" si="21"/>
        <v>#DIV/0!</v>
      </c>
      <c r="CE48" s="56" t="e">
        <f t="shared" si="22"/>
        <v>#DIV/0!</v>
      </c>
      <c r="CF48" s="56" t="e">
        <f t="shared" si="23"/>
        <v>#DIV/0!</v>
      </c>
      <c r="CG48" s="56" t="e">
        <f t="shared" si="24"/>
        <v>#DIV/0!</v>
      </c>
      <c r="CH48" s="56" t="e">
        <f t="shared" si="25"/>
        <v>#DIV/0!</v>
      </c>
      <c r="CI48" s="56" t="e">
        <f t="shared" si="26"/>
        <v>#DIV/0!</v>
      </c>
      <c r="CJ48" s="56" t="e">
        <f t="shared" si="27"/>
        <v>#DIV/0!</v>
      </c>
      <c r="CK48" s="56" t="e">
        <f t="shared" si="28"/>
        <v>#DIV/0!</v>
      </c>
      <c r="CL48" s="56" t="e">
        <f t="shared" si="29"/>
        <v>#DIV/0!</v>
      </c>
      <c r="CM48" s="56" t="e">
        <f t="shared" si="30"/>
        <v>#DIV/0!</v>
      </c>
    </row>
    <row r="49" spans="1:91" x14ac:dyDescent="0.15">
      <c r="A49" s="43">
        <v>47</v>
      </c>
      <c r="B49" s="46">
        <f t="shared" si="40"/>
        <v>1</v>
      </c>
      <c r="C49" s="46">
        <f t="shared" si="39"/>
        <v>1</v>
      </c>
      <c r="D49" s="46">
        <f t="shared" si="39"/>
        <v>1</v>
      </c>
      <c r="E49" s="46">
        <f t="shared" si="39"/>
        <v>1</v>
      </c>
      <c r="F49" s="46">
        <f t="shared" si="39"/>
        <v>1</v>
      </c>
      <c r="G49" s="46">
        <f t="shared" si="39"/>
        <v>1</v>
      </c>
      <c r="H49" s="46">
        <f t="shared" si="39"/>
        <v>1</v>
      </c>
      <c r="I49" s="46">
        <f t="shared" si="39"/>
        <v>1</v>
      </c>
      <c r="J49" s="46">
        <f t="shared" si="39"/>
        <v>1</v>
      </c>
      <c r="K49" s="46" t="e">
        <f>K48+ATM_Conf!$C$5*(T48-AC48)</f>
        <v>#DIV/0!</v>
      </c>
      <c r="L49" s="46" t="e">
        <f>L48+ATM_Conf!$C$5*(U48-AD48)</f>
        <v>#DIV/0!</v>
      </c>
      <c r="M49" s="46" t="e">
        <f>M48+ATM_Conf!$C$5*(V48-AE48)</f>
        <v>#DIV/0!</v>
      </c>
      <c r="N49" s="46" t="e">
        <f>N48+ATM_Conf!$C$5*(W48-AF48)</f>
        <v>#DIV/0!</v>
      </c>
      <c r="O49" s="46" t="e">
        <f>O48+ATM_Conf!$C$5*(X48-AG48)</f>
        <v>#DIV/0!</v>
      </c>
      <c r="P49" s="46" t="e">
        <f>P48+ATM_Conf!$C$5*(Y48-AH48)</f>
        <v>#DIV/0!</v>
      </c>
      <c r="Q49" s="46" t="e">
        <f>Q48+ATM_Conf!$C$5*(Z48-AI48)</f>
        <v>#DIV/0!</v>
      </c>
      <c r="R49" s="46" t="e">
        <f>R48+ATM_Conf!$C$5*(AA48-AJ48)</f>
        <v>#DIV/0!</v>
      </c>
      <c r="S49" s="46" t="e">
        <f>S48+ATM_Conf!$C$5*(AB48-AK48)</f>
        <v>#DIV/0!</v>
      </c>
      <c r="T49" s="46"/>
      <c r="U49" s="46"/>
      <c r="V49" s="46"/>
      <c r="W49" s="46"/>
      <c r="X49" s="46"/>
      <c r="Y49" s="46"/>
      <c r="Z49" s="46"/>
      <c r="AA49" s="46"/>
      <c r="AB49" s="46"/>
      <c r="AC49" s="46" t="e">
        <f t="shared" si="4"/>
        <v>#DIV/0!</v>
      </c>
      <c r="AD49" s="46" t="e">
        <f t="shared" si="5"/>
        <v>#DIV/0!</v>
      </c>
      <c r="AE49" s="46" t="e">
        <f t="shared" si="6"/>
        <v>#DIV/0!</v>
      </c>
      <c r="AF49" s="46" t="e">
        <f t="shared" si="7"/>
        <v>#DIV/0!</v>
      </c>
      <c r="AG49" s="46" t="e">
        <f t="shared" si="8"/>
        <v>#DIV/0!</v>
      </c>
      <c r="AH49" s="46" t="e">
        <f t="shared" si="9"/>
        <v>#DIV/0!</v>
      </c>
      <c r="AI49" s="46" t="e">
        <f t="shared" si="10"/>
        <v>#DIV/0!</v>
      </c>
      <c r="AJ49" s="46" t="e">
        <f t="shared" si="11"/>
        <v>#DIV/0!</v>
      </c>
      <c r="AK49" s="46" t="e">
        <f t="shared" si="12"/>
        <v>#DIV/0!</v>
      </c>
      <c r="AL49" s="46" t="e">
        <f>T$3+K49/ATM_Conf!$C$5</f>
        <v>#DIV/0!</v>
      </c>
      <c r="AM49" s="46" t="e">
        <f>U$3+L49/ATM_Conf!$C$5</f>
        <v>#DIV/0!</v>
      </c>
      <c r="AN49" s="46" t="e">
        <f>V$3+M49/ATM_Conf!$C$5</f>
        <v>#DIV/0!</v>
      </c>
      <c r="AO49" s="46" t="e">
        <f>W$3+N49/ATM_Conf!$C$5</f>
        <v>#DIV/0!</v>
      </c>
      <c r="AP49" s="46" t="e">
        <f>X$3+O49/ATM_Conf!$C$5</f>
        <v>#DIV/0!</v>
      </c>
      <c r="AQ49" s="46" t="e">
        <f>Y$3+P49/ATM_Conf!$C$5</f>
        <v>#DIV/0!</v>
      </c>
      <c r="AR49" s="46" t="e">
        <f>Z$3+Q49/ATM_Conf!$C$5</f>
        <v>#DIV/0!</v>
      </c>
      <c r="AS49" s="46" t="e">
        <f>AA$3+R49/ATM_Conf!$C$5</f>
        <v>#DIV/0!</v>
      </c>
      <c r="AT49" s="46" t="e">
        <f>AB$3+S49/ATM_Conf!$C$5</f>
        <v>#DIV/0!</v>
      </c>
      <c r="AU49" s="46" t="e">
        <f>BD$3*MIN(1,(ATM_Conf!$C$6-Links!F49)/(ATM_Conf!$C$6-ATM_Conf!$C$7))</f>
        <v>#DIV/0!</v>
      </c>
      <c r="AV49" s="46" t="e">
        <f>BE$3*MIN(1,(ATM_Conf!$C$6-Links!G49)/(ATM_Conf!$C$6-ATM_Conf!$C$7))</f>
        <v>#DIV/0!</v>
      </c>
      <c r="AW49" s="46" t="e">
        <f>BF$3*MIN(1,(ATM_Conf!$C$6-Links!H49)/(ATM_Conf!$C$6-ATM_Conf!$C$7))</f>
        <v>#DIV/0!</v>
      </c>
      <c r="AX49" s="46" t="e">
        <f>BG$3*MIN(1,(ATM_Conf!$C$6-Links!I49)/(ATM_Conf!$C$6-ATM_Conf!$C$7))</f>
        <v>#DIV/0!</v>
      </c>
      <c r="AY49" s="46" t="e">
        <f>BH$3*MIN(1,(ATM_Conf!$C$6-Links!J49)/(ATM_Conf!$C$6-ATM_Conf!$C$7))</f>
        <v>#DIV/0!</v>
      </c>
      <c r="AZ49" s="46" t="e">
        <f>BI$3*MIN(1,(ATM_Conf!$C$6-Links!K49)/(ATM_Conf!$C$6-ATM_Conf!$C$7))</f>
        <v>#DIV/0!</v>
      </c>
      <c r="BA49" s="46" t="e">
        <f>BJ$3*MIN(1,(ATM_Conf!$C$6-Links!L49)/(ATM_Conf!$C$6-ATM_Conf!$C$7))</f>
        <v>#DIV/0!</v>
      </c>
      <c r="BB49" s="46" t="e">
        <f>BK$3*MIN(1,(ATM_Conf!$C$6-Links!M49)/(ATM_Conf!$C$6-ATM_Conf!$C$7))</f>
        <v>#DIV/0!</v>
      </c>
      <c r="BC49" s="46" t="e">
        <f>BL$3*MIN(1,(ATM_Conf!$C$6-Links!N49)/(ATM_Conf!$C$6-ATM_Conf!$C$7))</f>
        <v>#DIV/0!</v>
      </c>
      <c r="BD49" s="46"/>
      <c r="BE49" s="46"/>
      <c r="BF49" s="46"/>
      <c r="BG49" s="46"/>
      <c r="BH49" s="46"/>
      <c r="BI49" s="46"/>
      <c r="BJ49" s="46"/>
      <c r="BK49" s="46"/>
      <c r="BL49" s="46"/>
      <c r="BM49" s="54"/>
      <c r="BN49" s="54"/>
      <c r="BO49" s="54"/>
      <c r="BP49" s="54"/>
      <c r="BQ49" s="54"/>
      <c r="BR49" s="54"/>
      <c r="BS49" s="54"/>
      <c r="BT49" s="54"/>
      <c r="BU49" s="54"/>
      <c r="BV49" s="46" t="e">
        <f t="shared" si="13"/>
        <v>#DIV/0!</v>
      </c>
      <c r="BW49" s="46" t="e">
        <f t="shared" si="14"/>
        <v>#DIV/0!</v>
      </c>
      <c r="BX49" s="46" t="e">
        <f t="shared" si="15"/>
        <v>#DIV/0!</v>
      </c>
      <c r="BY49" s="46" t="e">
        <f t="shared" si="16"/>
        <v>#DIV/0!</v>
      </c>
      <c r="BZ49" s="46" t="e">
        <f t="shared" si="17"/>
        <v>#DIV/0!</v>
      </c>
      <c r="CA49" s="46" t="e">
        <f t="shared" si="18"/>
        <v>#DIV/0!</v>
      </c>
      <c r="CB49" s="46" t="e">
        <f t="shared" si="19"/>
        <v>#DIV/0!</v>
      </c>
      <c r="CC49" s="46" t="e">
        <f t="shared" si="20"/>
        <v>#DIV/0!</v>
      </c>
      <c r="CD49" s="46" t="e">
        <f t="shared" si="21"/>
        <v>#DIV/0!</v>
      </c>
      <c r="CE49" s="56" t="e">
        <f t="shared" si="22"/>
        <v>#DIV/0!</v>
      </c>
      <c r="CF49" s="56" t="e">
        <f t="shared" si="23"/>
        <v>#DIV/0!</v>
      </c>
      <c r="CG49" s="56" t="e">
        <f t="shared" si="24"/>
        <v>#DIV/0!</v>
      </c>
      <c r="CH49" s="56" t="e">
        <f t="shared" si="25"/>
        <v>#DIV/0!</v>
      </c>
      <c r="CI49" s="56" t="e">
        <f t="shared" si="26"/>
        <v>#DIV/0!</v>
      </c>
      <c r="CJ49" s="56" t="e">
        <f t="shared" si="27"/>
        <v>#DIV/0!</v>
      </c>
      <c r="CK49" s="56" t="e">
        <f t="shared" si="28"/>
        <v>#DIV/0!</v>
      </c>
      <c r="CL49" s="56" t="e">
        <f t="shared" si="29"/>
        <v>#DIV/0!</v>
      </c>
      <c r="CM49" s="56" t="e">
        <f t="shared" si="30"/>
        <v>#DIV/0!</v>
      </c>
    </row>
    <row r="50" spans="1:91" x14ac:dyDescent="0.15">
      <c r="A50" s="43">
        <v>48</v>
      </c>
      <c r="B50" s="46">
        <f t="shared" si="40"/>
        <v>1</v>
      </c>
      <c r="C50" s="46">
        <f t="shared" si="39"/>
        <v>1</v>
      </c>
      <c r="D50" s="46">
        <f t="shared" si="39"/>
        <v>1</v>
      </c>
      <c r="E50" s="46">
        <f t="shared" si="39"/>
        <v>1</v>
      </c>
      <c r="F50" s="46">
        <f t="shared" si="39"/>
        <v>1</v>
      </c>
      <c r="G50" s="46">
        <f t="shared" si="39"/>
        <v>1</v>
      </c>
      <c r="H50" s="46">
        <f t="shared" si="39"/>
        <v>1</v>
      </c>
      <c r="I50" s="46">
        <f t="shared" si="39"/>
        <v>1</v>
      </c>
      <c r="J50" s="46">
        <f t="shared" si="39"/>
        <v>1</v>
      </c>
      <c r="K50" s="46" t="e">
        <f>K49+ATM_Conf!$C$5*(T49-AC49)</f>
        <v>#DIV/0!</v>
      </c>
      <c r="L50" s="46" t="e">
        <f>L49+ATM_Conf!$C$5*(U49-AD49)</f>
        <v>#DIV/0!</v>
      </c>
      <c r="M50" s="46" t="e">
        <f>M49+ATM_Conf!$C$5*(V49-AE49)</f>
        <v>#DIV/0!</v>
      </c>
      <c r="N50" s="46" t="e">
        <f>N49+ATM_Conf!$C$5*(W49-AF49)</f>
        <v>#DIV/0!</v>
      </c>
      <c r="O50" s="46" t="e">
        <f>O49+ATM_Conf!$C$5*(X49-AG49)</f>
        <v>#DIV/0!</v>
      </c>
      <c r="P50" s="46" t="e">
        <f>P49+ATM_Conf!$C$5*(Y49-AH49)</f>
        <v>#DIV/0!</v>
      </c>
      <c r="Q50" s="46" t="e">
        <f>Q49+ATM_Conf!$C$5*(Z49-AI49)</f>
        <v>#DIV/0!</v>
      </c>
      <c r="R50" s="46" t="e">
        <f>R49+ATM_Conf!$C$5*(AA49-AJ49)</f>
        <v>#DIV/0!</v>
      </c>
      <c r="S50" s="46" t="e">
        <f>S49+ATM_Conf!$C$5*(AB49-AK49)</f>
        <v>#DIV/0!</v>
      </c>
      <c r="T50" s="46"/>
      <c r="U50" s="46"/>
      <c r="V50" s="46"/>
      <c r="W50" s="46"/>
      <c r="X50" s="46"/>
      <c r="Y50" s="46"/>
      <c r="Z50" s="46"/>
      <c r="AA50" s="46"/>
      <c r="AB50" s="46"/>
      <c r="AC50" s="46" t="e">
        <f t="shared" si="4"/>
        <v>#DIV/0!</v>
      </c>
      <c r="AD50" s="46" t="e">
        <f t="shared" si="5"/>
        <v>#DIV/0!</v>
      </c>
      <c r="AE50" s="46" t="e">
        <f t="shared" si="6"/>
        <v>#DIV/0!</v>
      </c>
      <c r="AF50" s="46" t="e">
        <f t="shared" si="7"/>
        <v>#DIV/0!</v>
      </c>
      <c r="AG50" s="46" t="e">
        <f t="shared" si="8"/>
        <v>#DIV/0!</v>
      </c>
      <c r="AH50" s="46" t="e">
        <f t="shared" si="9"/>
        <v>#DIV/0!</v>
      </c>
      <c r="AI50" s="46" t="e">
        <f t="shared" si="10"/>
        <v>#DIV/0!</v>
      </c>
      <c r="AJ50" s="46" t="e">
        <f t="shared" si="11"/>
        <v>#DIV/0!</v>
      </c>
      <c r="AK50" s="46" t="e">
        <f t="shared" si="12"/>
        <v>#DIV/0!</v>
      </c>
      <c r="AL50" s="46" t="e">
        <f>T$3+K50/ATM_Conf!$C$5</f>
        <v>#DIV/0!</v>
      </c>
      <c r="AM50" s="46" t="e">
        <f>U$3+L50/ATM_Conf!$C$5</f>
        <v>#DIV/0!</v>
      </c>
      <c r="AN50" s="46" t="e">
        <f>V$3+M50/ATM_Conf!$C$5</f>
        <v>#DIV/0!</v>
      </c>
      <c r="AO50" s="46" t="e">
        <f>W$3+N50/ATM_Conf!$C$5</f>
        <v>#DIV/0!</v>
      </c>
      <c r="AP50" s="46" t="e">
        <f>X$3+O50/ATM_Conf!$C$5</f>
        <v>#DIV/0!</v>
      </c>
      <c r="AQ50" s="46" t="e">
        <f>Y$3+P50/ATM_Conf!$C$5</f>
        <v>#DIV/0!</v>
      </c>
      <c r="AR50" s="46" t="e">
        <f>Z$3+Q50/ATM_Conf!$C$5</f>
        <v>#DIV/0!</v>
      </c>
      <c r="AS50" s="46" t="e">
        <f>AA$3+R50/ATM_Conf!$C$5</f>
        <v>#DIV/0!</v>
      </c>
      <c r="AT50" s="46" t="e">
        <f>AB$3+S50/ATM_Conf!$C$5</f>
        <v>#DIV/0!</v>
      </c>
      <c r="AU50" s="46" t="e">
        <f>BD$3*MIN(1,(ATM_Conf!$C$6-Links!F50)/(ATM_Conf!$C$6-ATM_Conf!$C$7))</f>
        <v>#DIV/0!</v>
      </c>
      <c r="AV50" s="46" t="e">
        <f>BE$3*MIN(1,(ATM_Conf!$C$6-Links!G50)/(ATM_Conf!$C$6-ATM_Conf!$C$7))</f>
        <v>#DIV/0!</v>
      </c>
      <c r="AW50" s="46" t="e">
        <f>BF$3*MIN(1,(ATM_Conf!$C$6-Links!H50)/(ATM_Conf!$C$6-ATM_Conf!$C$7))</f>
        <v>#DIV/0!</v>
      </c>
      <c r="AX50" s="46" t="e">
        <f>BG$3*MIN(1,(ATM_Conf!$C$6-Links!I50)/(ATM_Conf!$C$6-ATM_Conf!$C$7))</f>
        <v>#DIV/0!</v>
      </c>
      <c r="AY50" s="46" t="e">
        <f>BH$3*MIN(1,(ATM_Conf!$C$6-Links!J50)/(ATM_Conf!$C$6-ATM_Conf!$C$7))</f>
        <v>#DIV/0!</v>
      </c>
      <c r="AZ50" s="46" t="e">
        <f>BI$3*MIN(1,(ATM_Conf!$C$6-Links!K50)/(ATM_Conf!$C$6-ATM_Conf!$C$7))</f>
        <v>#DIV/0!</v>
      </c>
      <c r="BA50" s="46" t="e">
        <f>BJ$3*MIN(1,(ATM_Conf!$C$6-Links!L50)/(ATM_Conf!$C$6-ATM_Conf!$C$7))</f>
        <v>#DIV/0!</v>
      </c>
      <c r="BB50" s="46" t="e">
        <f>BK$3*MIN(1,(ATM_Conf!$C$6-Links!M50)/(ATM_Conf!$C$6-ATM_Conf!$C$7))</f>
        <v>#DIV/0!</v>
      </c>
      <c r="BC50" s="46" t="e">
        <f>BL$3*MIN(1,(ATM_Conf!$C$6-Links!N50)/(ATM_Conf!$C$6-ATM_Conf!$C$7))</f>
        <v>#DIV/0!</v>
      </c>
      <c r="BD50" s="46"/>
      <c r="BE50" s="46"/>
      <c r="BF50" s="46"/>
      <c r="BG50" s="46"/>
      <c r="BH50" s="46"/>
      <c r="BI50" s="46"/>
      <c r="BJ50" s="46"/>
      <c r="BK50" s="46"/>
      <c r="BL50" s="46"/>
      <c r="BM50" s="54"/>
      <c r="BN50" s="54"/>
      <c r="BO50" s="54"/>
      <c r="BP50" s="54"/>
      <c r="BQ50" s="54"/>
      <c r="BR50" s="54"/>
      <c r="BS50" s="54"/>
      <c r="BT50" s="54"/>
      <c r="BU50" s="54"/>
      <c r="BV50" s="46" t="e">
        <f t="shared" si="13"/>
        <v>#DIV/0!</v>
      </c>
      <c r="BW50" s="46" t="e">
        <f t="shared" si="14"/>
        <v>#DIV/0!</v>
      </c>
      <c r="BX50" s="46" t="e">
        <f t="shared" si="15"/>
        <v>#DIV/0!</v>
      </c>
      <c r="BY50" s="46" t="e">
        <f t="shared" si="16"/>
        <v>#DIV/0!</v>
      </c>
      <c r="BZ50" s="46" t="e">
        <f t="shared" si="17"/>
        <v>#DIV/0!</v>
      </c>
      <c r="CA50" s="46" t="e">
        <f t="shared" si="18"/>
        <v>#DIV/0!</v>
      </c>
      <c r="CB50" s="46" t="e">
        <f t="shared" si="19"/>
        <v>#DIV/0!</v>
      </c>
      <c r="CC50" s="46" t="e">
        <f t="shared" si="20"/>
        <v>#DIV/0!</v>
      </c>
      <c r="CD50" s="46" t="e">
        <f t="shared" si="21"/>
        <v>#DIV/0!</v>
      </c>
      <c r="CE50" s="56" t="e">
        <f t="shared" si="22"/>
        <v>#DIV/0!</v>
      </c>
      <c r="CF50" s="56" t="e">
        <f t="shared" si="23"/>
        <v>#DIV/0!</v>
      </c>
      <c r="CG50" s="56" t="e">
        <f t="shared" si="24"/>
        <v>#DIV/0!</v>
      </c>
      <c r="CH50" s="56" t="e">
        <f t="shared" si="25"/>
        <v>#DIV/0!</v>
      </c>
      <c r="CI50" s="56" t="e">
        <f t="shared" si="26"/>
        <v>#DIV/0!</v>
      </c>
      <c r="CJ50" s="56" t="e">
        <f t="shared" si="27"/>
        <v>#DIV/0!</v>
      </c>
      <c r="CK50" s="56" t="e">
        <f t="shared" si="28"/>
        <v>#DIV/0!</v>
      </c>
      <c r="CL50" s="56" t="e">
        <f t="shared" si="29"/>
        <v>#DIV/0!</v>
      </c>
      <c r="CM50" s="56" t="e">
        <f t="shared" si="30"/>
        <v>#DIV/0!</v>
      </c>
    </row>
    <row r="51" spans="1:91" x14ac:dyDescent="0.15">
      <c r="A51" s="43">
        <v>49</v>
      </c>
      <c r="B51" s="48">
        <v>1</v>
      </c>
      <c r="C51" s="48">
        <v>1</v>
      </c>
      <c r="D51" s="48">
        <v>1</v>
      </c>
      <c r="E51" s="48">
        <v>1</v>
      </c>
      <c r="F51" s="48">
        <v>1</v>
      </c>
      <c r="G51" s="48">
        <v>1</v>
      </c>
      <c r="H51" s="48">
        <v>1</v>
      </c>
      <c r="I51" s="48">
        <v>1</v>
      </c>
      <c r="J51" s="48">
        <v>1</v>
      </c>
      <c r="K51" s="46" t="e">
        <f>K50+ATM_Conf!$C$5*(T50-AC50)</f>
        <v>#DIV/0!</v>
      </c>
      <c r="L51" s="46" t="e">
        <f>L50+ATM_Conf!$C$5*(U50-AD50)</f>
        <v>#DIV/0!</v>
      </c>
      <c r="M51" s="46" t="e">
        <f>M50+ATM_Conf!$C$5*(V50-AE50)</f>
        <v>#DIV/0!</v>
      </c>
      <c r="N51" s="46" t="e">
        <f>N50+ATM_Conf!$C$5*(W50-AF50)</f>
        <v>#DIV/0!</v>
      </c>
      <c r="O51" s="46" t="e">
        <f>O50+ATM_Conf!$C$5*(X50-AG50)</f>
        <v>#DIV/0!</v>
      </c>
      <c r="P51" s="46" t="e">
        <f>P50+ATM_Conf!$C$5*(Y50-AH50)</f>
        <v>#DIV/0!</v>
      </c>
      <c r="Q51" s="46" t="e">
        <f>Q50+ATM_Conf!$C$5*(Z50-AI50)</f>
        <v>#DIV/0!</v>
      </c>
      <c r="R51" s="46" t="e">
        <f>R50+ATM_Conf!$C$5*(AA50-AJ50)</f>
        <v>#DIV/0!</v>
      </c>
      <c r="S51" s="46" t="e">
        <f>S50+ATM_Conf!$C$5*(AB50-AK50)</f>
        <v>#DIV/0!</v>
      </c>
      <c r="T51" s="46"/>
      <c r="U51" s="46"/>
      <c r="V51" s="46"/>
      <c r="W51" s="46"/>
      <c r="X51" s="46"/>
      <c r="Y51" s="46"/>
      <c r="Z51" s="46"/>
      <c r="AA51" s="46"/>
      <c r="AB51" s="46"/>
      <c r="AC51" s="46" t="e">
        <f t="shared" si="4"/>
        <v>#DIV/0!</v>
      </c>
      <c r="AD51" s="46" t="e">
        <f t="shared" si="5"/>
        <v>#DIV/0!</v>
      </c>
      <c r="AE51" s="46" t="e">
        <f t="shared" si="6"/>
        <v>#DIV/0!</v>
      </c>
      <c r="AF51" s="46" t="e">
        <f t="shared" si="7"/>
        <v>#DIV/0!</v>
      </c>
      <c r="AG51" s="46" t="e">
        <f t="shared" si="8"/>
        <v>#DIV/0!</v>
      </c>
      <c r="AH51" s="46" t="e">
        <f t="shared" si="9"/>
        <v>#DIV/0!</v>
      </c>
      <c r="AI51" s="46" t="e">
        <f t="shared" si="10"/>
        <v>#DIV/0!</v>
      </c>
      <c r="AJ51" s="46" t="e">
        <f t="shared" si="11"/>
        <v>#DIV/0!</v>
      </c>
      <c r="AK51" s="46" t="e">
        <f t="shared" si="12"/>
        <v>#DIV/0!</v>
      </c>
      <c r="AL51" s="46" t="e">
        <f>T$3+K51/ATM_Conf!$C$5</f>
        <v>#DIV/0!</v>
      </c>
      <c r="AM51" s="46" t="e">
        <f>U$3+L51/ATM_Conf!$C$5</f>
        <v>#DIV/0!</v>
      </c>
      <c r="AN51" s="46" t="e">
        <f>V$3+M51/ATM_Conf!$C$5</f>
        <v>#DIV/0!</v>
      </c>
      <c r="AO51" s="46" t="e">
        <f>W$3+N51/ATM_Conf!$C$5</f>
        <v>#DIV/0!</v>
      </c>
      <c r="AP51" s="46" t="e">
        <f>X$3+O51/ATM_Conf!$C$5</f>
        <v>#DIV/0!</v>
      </c>
      <c r="AQ51" s="46" t="e">
        <f>Y$3+P51/ATM_Conf!$C$5</f>
        <v>#DIV/0!</v>
      </c>
      <c r="AR51" s="46" t="e">
        <f>Z$3+Q51/ATM_Conf!$C$5</f>
        <v>#DIV/0!</v>
      </c>
      <c r="AS51" s="46" t="e">
        <f>AA$3+R51/ATM_Conf!$C$5</f>
        <v>#DIV/0!</v>
      </c>
      <c r="AT51" s="46" t="e">
        <f>AB$3+S51/ATM_Conf!$C$5</f>
        <v>#DIV/0!</v>
      </c>
      <c r="AU51" s="46" t="e">
        <f>BD$3*MIN(1,(ATM_Conf!$C$6-Links!F51)/(ATM_Conf!$C$6-ATM_Conf!$C$7))</f>
        <v>#DIV/0!</v>
      </c>
      <c r="AV51" s="46" t="e">
        <f>BE$3*MIN(1,(ATM_Conf!$C$6-Links!G51)/(ATM_Conf!$C$6-ATM_Conf!$C$7))</f>
        <v>#DIV/0!</v>
      </c>
      <c r="AW51" s="46" t="e">
        <f>BF$3*MIN(1,(ATM_Conf!$C$6-Links!H51)/(ATM_Conf!$C$6-ATM_Conf!$C$7))</f>
        <v>#DIV/0!</v>
      </c>
      <c r="AX51" s="46" t="e">
        <f>BG$3*MIN(1,(ATM_Conf!$C$6-Links!I51)/(ATM_Conf!$C$6-ATM_Conf!$C$7))</f>
        <v>#DIV/0!</v>
      </c>
      <c r="AY51" s="46" t="e">
        <f>BH$3*MIN(1,(ATM_Conf!$C$6-Links!J51)/(ATM_Conf!$C$6-ATM_Conf!$C$7))</f>
        <v>#DIV/0!</v>
      </c>
      <c r="AZ51" s="46" t="e">
        <f>BI$3*MIN(1,(ATM_Conf!$C$6-Links!K51)/(ATM_Conf!$C$6-ATM_Conf!$C$7))</f>
        <v>#DIV/0!</v>
      </c>
      <c r="BA51" s="46" t="e">
        <f>BJ$3*MIN(1,(ATM_Conf!$C$6-Links!L51)/(ATM_Conf!$C$6-ATM_Conf!$C$7))</f>
        <v>#DIV/0!</v>
      </c>
      <c r="BB51" s="46" t="e">
        <f>BK$3*MIN(1,(ATM_Conf!$C$6-Links!M51)/(ATM_Conf!$C$6-ATM_Conf!$C$7))</f>
        <v>#DIV/0!</v>
      </c>
      <c r="BC51" s="46" t="e">
        <f>BL$3*MIN(1,(ATM_Conf!$C$6-Links!N51)/(ATM_Conf!$C$6-ATM_Conf!$C$7))</f>
        <v>#DIV/0!</v>
      </c>
      <c r="BD51" s="46"/>
      <c r="BE51" s="46"/>
      <c r="BF51" s="46"/>
      <c r="BG51" s="46"/>
      <c r="BH51" s="46"/>
      <c r="BI51" s="46"/>
      <c r="BJ51" s="46"/>
      <c r="BK51" s="46"/>
      <c r="BL51" s="46"/>
      <c r="BM51" s="54">
        <f>(B51-B39)^2</f>
        <v>0</v>
      </c>
      <c r="BN51" s="54">
        <f t="shared" ref="BN51:BU51" si="41">(C51-C39)^2</f>
        <v>0</v>
      </c>
      <c r="BO51" s="54">
        <f t="shared" si="41"/>
        <v>0</v>
      </c>
      <c r="BP51" s="54">
        <f t="shared" si="41"/>
        <v>0</v>
      </c>
      <c r="BQ51" s="54">
        <f t="shared" si="41"/>
        <v>0</v>
      </c>
      <c r="BR51" s="54">
        <f t="shared" si="41"/>
        <v>0</v>
      </c>
      <c r="BS51" s="54">
        <f t="shared" si="41"/>
        <v>0</v>
      </c>
      <c r="BT51" s="54">
        <f t="shared" si="41"/>
        <v>0</v>
      </c>
      <c r="BU51" s="54">
        <f t="shared" si="41"/>
        <v>0</v>
      </c>
      <c r="BV51" s="46" t="e">
        <f t="shared" si="13"/>
        <v>#DIV/0!</v>
      </c>
      <c r="BW51" s="46" t="e">
        <f t="shared" si="14"/>
        <v>#DIV/0!</v>
      </c>
      <c r="BX51" s="46" t="e">
        <f t="shared" si="15"/>
        <v>#DIV/0!</v>
      </c>
      <c r="BY51" s="46" t="e">
        <f t="shared" si="16"/>
        <v>#DIV/0!</v>
      </c>
      <c r="BZ51" s="46" t="e">
        <f t="shared" si="17"/>
        <v>#DIV/0!</v>
      </c>
      <c r="CA51" s="46" t="e">
        <f t="shared" si="18"/>
        <v>#DIV/0!</v>
      </c>
      <c r="CB51" s="46" t="e">
        <f t="shared" si="19"/>
        <v>#DIV/0!</v>
      </c>
      <c r="CC51" s="46" t="e">
        <f t="shared" si="20"/>
        <v>#DIV/0!</v>
      </c>
      <c r="CD51" s="46" t="e">
        <f t="shared" si="21"/>
        <v>#DIV/0!</v>
      </c>
      <c r="CE51" s="56" t="e">
        <f t="shared" si="22"/>
        <v>#DIV/0!</v>
      </c>
      <c r="CF51" s="56" t="e">
        <f t="shared" si="23"/>
        <v>#DIV/0!</v>
      </c>
      <c r="CG51" s="56" t="e">
        <f t="shared" si="24"/>
        <v>#DIV/0!</v>
      </c>
      <c r="CH51" s="56" t="e">
        <f t="shared" si="25"/>
        <v>#DIV/0!</v>
      </c>
      <c r="CI51" s="56" t="e">
        <f t="shared" si="26"/>
        <v>#DIV/0!</v>
      </c>
      <c r="CJ51" s="56" t="e">
        <f t="shared" si="27"/>
        <v>#DIV/0!</v>
      </c>
      <c r="CK51" s="56" t="e">
        <f t="shared" si="28"/>
        <v>#DIV/0!</v>
      </c>
      <c r="CL51" s="56" t="e">
        <f t="shared" si="29"/>
        <v>#DIV/0!</v>
      </c>
      <c r="CM51" s="56" t="e">
        <f t="shared" si="30"/>
        <v>#DIV/0!</v>
      </c>
    </row>
    <row r="52" spans="1:91" x14ac:dyDescent="0.15">
      <c r="A52" s="43">
        <v>50</v>
      </c>
      <c r="B52" s="46">
        <f>B$51</f>
        <v>1</v>
      </c>
      <c r="C52" s="46">
        <f t="shared" ref="C52:J62" si="42">C$51</f>
        <v>1</v>
      </c>
      <c r="D52" s="46">
        <f t="shared" si="42"/>
        <v>1</v>
      </c>
      <c r="E52" s="46">
        <f t="shared" si="42"/>
        <v>1</v>
      </c>
      <c r="F52" s="46">
        <f t="shared" si="42"/>
        <v>1</v>
      </c>
      <c r="G52" s="46">
        <f t="shared" si="42"/>
        <v>1</v>
      </c>
      <c r="H52" s="46">
        <f t="shared" si="42"/>
        <v>1</v>
      </c>
      <c r="I52" s="46">
        <f t="shared" si="42"/>
        <v>1</v>
      </c>
      <c r="J52" s="46">
        <f t="shared" si="42"/>
        <v>1</v>
      </c>
      <c r="K52" s="46" t="e">
        <f>K51+ATM_Conf!$C$5*(T51-AC51)</f>
        <v>#DIV/0!</v>
      </c>
      <c r="L52" s="46" t="e">
        <f>L51+ATM_Conf!$C$5*(U51-AD51)</f>
        <v>#DIV/0!</v>
      </c>
      <c r="M52" s="46" t="e">
        <f>M51+ATM_Conf!$C$5*(V51-AE51)</f>
        <v>#DIV/0!</v>
      </c>
      <c r="N52" s="46" t="e">
        <f>N51+ATM_Conf!$C$5*(W51-AF51)</f>
        <v>#DIV/0!</v>
      </c>
      <c r="O52" s="46" t="e">
        <f>O51+ATM_Conf!$C$5*(X51-AG51)</f>
        <v>#DIV/0!</v>
      </c>
      <c r="P52" s="46" t="e">
        <f>P51+ATM_Conf!$C$5*(Y51-AH51)</f>
        <v>#DIV/0!</v>
      </c>
      <c r="Q52" s="46" t="e">
        <f>Q51+ATM_Conf!$C$5*(Z51-AI51)</f>
        <v>#DIV/0!</v>
      </c>
      <c r="R52" s="46" t="e">
        <f>R51+ATM_Conf!$C$5*(AA51-AJ51)</f>
        <v>#DIV/0!</v>
      </c>
      <c r="S52" s="46" t="e">
        <f>S51+ATM_Conf!$C$5*(AB51-AK51)</f>
        <v>#DIV/0!</v>
      </c>
      <c r="T52" s="46"/>
      <c r="U52" s="46"/>
      <c r="V52" s="46"/>
      <c r="W52" s="46"/>
      <c r="X52" s="46"/>
      <c r="Y52" s="46"/>
      <c r="Z52" s="46"/>
      <c r="AA52" s="46"/>
      <c r="AB52" s="46"/>
      <c r="AC52" s="46" t="e">
        <f t="shared" si="4"/>
        <v>#DIV/0!</v>
      </c>
      <c r="AD52" s="46" t="e">
        <f t="shared" si="5"/>
        <v>#DIV/0!</v>
      </c>
      <c r="AE52" s="46" t="e">
        <f t="shared" si="6"/>
        <v>#DIV/0!</v>
      </c>
      <c r="AF52" s="46" t="e">
        <f t="shared" si="7"/>
        <v>#DIV/0!</v>
      </c>
      <c r="AG52" s="46" t="e">
        <f t="shared" si="8"/>
        <v>#DIV/0!</v>
      </c>
      <c r="AH52" s="46" t="e">
        <f t="shared" si="9"/>
        <v>#DIV/0!</v>
      </c>
      <c r="AI52" s="46" t="e">
        <f t="shared" si="10"/>
        <v>#DIV/0!</v>
      </c>
      <c r="AJ52" s="46" t="e">
        <f t="shared" si="11"/>
        <v>#DIV/0!</v>
      </c>
      <c r="AK52" s="46" t="e">
        <f t="shared" si="12"/>
        <v>#DIV/0!</v>
      </c>
      <c r="AL52" s="46" t="e">
        <f>T$3+K52/ATM_Conf!$C$5</f>
        <v>#DIV/0!</v>
      </c>
      <c r="AM52" s="46" t="e">
        <f>U$3+L52/ATM_Conf!$C$5</f>
        <v>#DIV/0!</v>
      </c>
      <c r="AN52" s="46" t="e">
        <f>V$3+M52/ATM_Conf!$C$5</f>
        <v>#DIV/0!</v>
      </c>
      <c r="AO52" s="46" t="e">
        <f>W$3+N52/ATM_Conf!$C$5</f>
        <v>#DIV/0!</v>
      </c>
      <c r="AP52" s="46" t="e">
        <f>X$3+O52/ATM_Conf!$C$5</f>
        <v>#DIV/0!</v>
      </c>
      <c r="AQ52" s="46" t="e">
        <f>Y$3+P52/ATM_Conf!$C$5</f>
        <v>#DIV/0!</v>
      </c>
      <c r="AR52" s="46" t="e">
        <f>Z$3+Q52/ATM_Conf!$C$5</f>
        <v>#DIV/0!</v>
      </c>
      <c r="AS52" s="46" t="e">
        <f>AA$3+R52/ATM_Conf!$C$5</f>
        <v>#DIV/0!</v>
      </c>
      <c r="AT52" s="46" t="e">
        <f>AB$3+S52/ATM_Conf!$C$5</f>
        <v>#DIV/0!</v>
      </c>
      <c r="AU52" s="46" t="e">
        <f>BD$3*MIN(1,(ATM_Conf!$C$6-Links!F52)/(ATM_Conf!$C$6-ATM_Conf!$C$7))</f>
        <v>#DIV/0!</v>
      </c>
      <c r="AV52" s="46" t="e">
        <f>BE$3*MIN(1,(ATM_Conf!$C$6-Links!G52)/(ATM_Conf!$C$6-ATM_Conf!$C$7))</f>
        <v>#DIV/0!</v>
      </c>
      <c r="AW52" s="46" t="e">
        <f>BF$3*MIN(1,(ATM_Conf!$C$6-Links!H52)/(ATM_Conf!$C$6-ATM_Conf!$C$7))</f>
        <v>#DIV/0!</v>
      </c>
      <c r="AX52" s="46" t="e">
        <f>BG$3*MIN(1,(ATM_Conf!$C$6-Links!I52)/(ATM_Conf!$C$6-ATM_Conf!$C$7))</f>
        <v>#DIV/0!</v>
      </c>
      <c r="AY52" s="46" t="e">
        <f>BH$3*MIN(1,(ATM_Conf!$C$6-Links!J52)/(ATM_Conf!$C$6-ATM_Conf!$C$7))</f>
        <v>#DIV/0!</v>
      </c>
      <c r="AZ52" s="46" t="e">
        <f>BI$3*MIN(1,(ATM_Conf!$C$6-Links!K52)/(ATM_Conf!$C$6-ATM_Conf!$C$7))</f>
        <v>#DIV/0!</v>
      </c>
      <c r="BA52" s="46" t="e">
        <f>BJ$3*MIN(1,(ATM_Conf!$C$6-Links!L52)/(ATM_Conf!$C$6-ATM_Conf!$C$7))</f>
        <v>#DIV/0!</v>
      </c>
      <c r="BB52" s="46" t="e">
        <f>BK$3*MIN(1,(ATM_Conf!$C$6-Links!M52)/(ATM_Conf!$C$6-ATM_Conf!$C$7))</f>
        <v>#DIV/0!</v>
      </c>
      <c r="BC52" s="46" t="e">
        <f>BL$3*MIN(1,(ATM_Conf!$C$6-Links!N52)/(ATM_Conf!$C$6-ATM_Conf!$C$7))</f>
        <v>#DIV/0!</v>
      </c>
      <c r="BD52" s="46"/>
      <c r="BE52" s="46"/>
      <c r="BF52" s="46"/>
      <c r="BG52" s="46"/>
      <c r="BH52" s="46"/>
      <c r="BI52" s="46"/>
      <c r="BJ52" s="46"/>
      <c r="BK52" s="46"/>
      <c r="BL52" s="46"/>
      <c r="BM52" s="54"/>
      <c r="BN52" s="54"/>
      <c r="BO52" s="54"/>
      <c r="BP52" s="54"/>
      <c r="BQ52" s="54"/>
      <c r="BR52" s="54"/>
      <c r="BS52" s="54"/>
      <c r="BT52" s="54"/>
      <c r="BU52" s="54"/>
      <c r="BV52" s="46" t="e">
        <f t="shared" si="13"/>
        <v>#DIV/0!</v>
      </c>
      <c r="BW52" s="46" t="e">
        <f t="shared" si="14"/>
        <v>#DIV/0!</v>
      </c>
      <c r="BX52" s="46" t="e">
        <f t="shared" si="15"/>
        <v>#DIV/0!</v>
      </c>
      <c r="BY52" s="46" t="e">
        <f t="shared" si="16"/>
        <v>#DIV/0!</v>
      </c>
      <c r="BZ52" s="46" t="e">
        <f t="shared" si="17"/>
        <v>#DIV/0!</v>
      </c>
      <c r="CA52" s="46" t="e">
        <f t="shared" si="18"/>
        <v>#DIV/0!</v>
      </c>
      <c r="CB52" s="46" t="e">
        <f t="shared" si="19"/>
        <v>#DIV/0!</v>
      </c>
      <c r="CC52" s="46" t="e">
        <f t="shared" si="20"/>
        <v>#DIV/0!</v>
      </c>
      <c r="CD52" s="46" t="e">
        <f t="shared" si="21"/>
        <v>#DIV/0!</v>
      </c>
      <c r="CE52" s="56" t="e">
        <f t="shared" si="22"/>
        <v>#DIV/0!</v>
      </c>
      <c r="CF52" s="56" t="e">
        <f t="shared" si="23"/>
        <v>#DIV/0!</v>
      </c>
      <c r="CG52" s="56" t="e">
        <f t="shared" si="24"/>
        <v>#DIV/0!</v>
      </c>
      <c r="CH52" s="56" t="e">
        <f t="shared" si="25"/>
        <v>#DIV/0!</v>
      </c>
      <c r="CI52" s="56" t="e">
        <f t="shared" si="26"/>
        <v>#DIV/0!</v>
      </c>
      <c r="CJ52" s="56" t="e">
        <f t="shared" si="27"/>
        <v>#DIV/0!</v>
      </c>
      <c r="CK52" s="56" t="e">
        <f t="shared" si="28"/>
        <v>#DIV/0!</v>
      </c>
      <c r="CL52" s="56" t="e">
        <f t="shared" si="29"/>
        <v>#DIV/0!</v>
      </c>
      <c r="CM52" s="56" t="e">
        <f t="shared" si="30"/>
        <v>#DIV/0!</v>
      </c>
    </row>
    <row r="53" spans="1:91" x14ac:dyDescent="0.15">
      <c r="A53" s="43">
        <v>51</v>
      </c>
      <c r="B53" s="46">
        <f t="shared" ref="B53:B62" si="43">B$51</f>
        <v>1</v>
      </c>
      <c r="C53" s="46">
        <f t="shared" si="42"/>
        <v>1</v>
      </c>
      <c r="D53" s="46">
        <f t="shared" si="42"/>
        <v>1</v>
      </c>
      <c r="E53" s="46">
        <f t="shared" si="42"/>
        <v>1</v>
      </c>
      <c r="F53" s="46">
        <f t="shared" si="42"/>
        <v>1</v>
      </c>
      <c r="G53" s="46">
        <f t="shared" si="42"/>
        <v>1</v>
      </c>
      <c r="H53" s="46">
        <f t="shared" si="42"/>
        <v>1</v>
      </c>
      <c r="I53" s="46">
        <f t="shared" si="42"/>
        <v>1</v>
      </c>
      <c r="J53" s="46">
        <f t="shared" si="42"/>
        <v>1</v>
      </c>
      <c r="K53" s="46" t="e">
        <f>K52+ATM_Conf!$C$5*(T52-AC52)</f>
        <v>#DIV/0!</v>
      </c>
      <c r="L53" s="46" t="e">
        <f>L52+ATM_Conf!$C$5*(U52-AD52)</f>
        <v>#DIV/0!</v>
      </c>
      <c r="M53" s="46" t="e">
        <f>M52+ATM_Conf!$C$5*(V52-AE52)</f>
        <v>#DIV/0!</v>
      </c>
      <c r="N53" s="46" t="e">
        <f>N52+ATM_Conf!$C$5*(W52-AF52)</f>
        <v>#DIV/0!</v>
      </c>
      <c r="O53" s="46" t="e">
        <f>O52+ATM_Conf!$C$5*(X52-AG52)</f>
        <v>#DIV/0!</v>
      </c>
      <c r="P53" s="46" t="e">
        <f>P52+ATM_Conf!$C$5*(Y52-AH52)</f>
        <v>#DIV/0!</v>
      </c>
      <c r="Q53" s="46" t="e">
        <f>Q52+ATM_Conf!$C$5*(Z52-AI52)</f>
        <v>#DIV/0!</v>
      </c>
      <c r="R53" s="46" t="e">
        <f>R52+ATM_Conf!$C$5*(AA52-AJ52)</f>
        <v>#DIV/0!</v>
      </c>
      <c r="S53" s="46" t="e">
        <f>S52+ATM_Conf!$C$5*(AB52-AK52)</f>
        <v>#DIV/0!</v>
      </c>
      <c r="T53" s="46"/>
      <c r="U53" s="46"/>
      <c r="V53" s="46"/>
      <c r="W53" s="46"/>
      <c r="X53" s="46"/>
      <c r="Y53" s="46"/>
      <c r="Z53" s="46"/>
      <c r="AA53" s="46"/>
      <c r="AB53" s="46"/>
      <c r="AC53" s="46" t="e">
        <f t="shared" si="4"/>
        <v>#DIV/0!</v>
      </c>
      <c r="AD53" s="46" t="e">
        <f t="shared" si="5"/>
        <v>#DIV/0!</v>
      </c>
      <c r="AE53" s="46" t="e">
        <f t="shared" si="6"/>
        <v>#DIV/0!</v>
      </c>
      <c r="AF53" s="46" t="e">
        <f t="shared" si="7"/>
        <v>#DIV/0!</v>
      </c>
      <c r="AG53" s="46" t="e">
        <f t="shared" si="8"/>
        <v>#DIV/0!</v>
      </c>
      <c r="AH53" s="46" t="e">
        <f t="shared" si="9"/>
        <v>#DIV/0!</v>
      </c>
      <c r="AI53" s="46" t="e">
        <f t="shared" si="10"/>
        <v>#DIV/0!</v>
      </c>
      <c r="AJ53" s="46" t="e">
        <f t="shared" si="11"/>
        <v>#DIV/0!</v>
      </c>
      <c r="AK53" s="46" t="e">
        <f t="shared" si="12"/>
        <v>#DIV/0!</v>
      </c>
      <c r="AL53" s="46" t="e">
        <f>T$3+K53/ATM_Conf!$C$5</f>
        <v>#DIV/0!</v>
      </c>
      <c r="AM53" s="46" t="e">
        <f>U$3+L53/ATM_Conf!$C$5</f>
        <v>#DIV/0!</v>
      </c>
      <c r="AN53" s="46" t="e">
        <f>V$3+M53/ATM_Conf!$C$5</f>
        <v>#DIV/0!</v>
      </c>
      <c r="AO53" s="46" t="e">
        <f>W$3+N53/ATM_Conf!$C$5</f>
        <v>#DIV/0!</v>
      </c>
      <c r="AP53" s="46" t="e">
        <f>X$3+O53/ATM_Conf!$C$5</f>
        <v>#DIV/0!</v>
      </c>
      <c r="AQ53" s="46" t="e">
        <f>Y$3+P53/ATM_Conf!$C$5</f>
        <v>#DIV/0!</v>
      </c>
      <c r="AR53" s="46" t="e">
        <f>Z$3+Q53/ATM_Conf!$C$5</f>
        <v>#DIV/0!</v>
      </c>
      <c r="AS53" s="46" t="e">
        <f>AA$3+R53/ATM_Conf!$C$5</f>
        <v>#DIV/0!</v>
      </c>
      <c r="AT53" s="46" t="e">
        <f>AB$3+S53/ATM_Conf!$C$5</f>
        <v>#DIV/0!</v>
      </c>
      <c r="AU53" s="46" t="e">
        <f>BD$3*MIN(1,(ATM_Conf!$C$6-Links!F53)/(ATM_Conf!$C$6-ATM_Conf!$C$7))</f>
        <v>#DIV/0!</v>
      </c>
      <c r="AV53" s="46" t="e">
        <f>BE$3*MIN(1,(ATM_Conf!$C$6-Links!G53)/(ATM_Conf!$C$6-ATM_Conf!$C$7))</f>
        <v>#DIV/0!</v>
      </c>
      <c r="AW53" s="46" t="e">
        <f>BF$3*MIN(1,(ATM_Conf!$C$6-Links!H53)/(ATM_Conf!$C$6-ATM_Conf!$C$7))</f>
        <v>#DIV/0!</v>
      </c>
      <c r="AX53" s="46" t="e">
        <f>BG$3*MIN(1,(ATM_Conf!$C$6-Links!I53)/(ATM_Conf!$C$6-ATM_Conf!$C$7))</f>
        <v>#DIV/0!</v>
      </c>
      <c r="AY53" s="46" t="e">
        <f>BH$3*MIN(1,(ATM_Conf!$C$6-Links!J53)/(ATM_Conf!$C$6-ATM_Conf!$C$7))</f>
        <v>#DIV/0!</v>
      </c>
      <c r="AZ53" s="46" t="e">
        <f>BI$3*MIN(1,(ATM_Conf!$C$6-Links!K53)/(ATM_Conf!$C$6-ATM_Conf!$C$7))</f>
        <v>#DIV/0!</v>
      </c>
      <c r="BA53" s="46" t="e">
        <f>BJ$3*MIN(1,(ATM_Conf!$C$6-Links!L53)/(ATM_Conf!$C$6-ATM_Conf!$C$7))</f>
        <v>#DIV/0!</v>
      </c>
      <c r="BB53" s="46" t="e">
        <f>BK$3*MIN(1,(ATM_Conf!$C$6-Links!M53)/(ATM_Conf!$C$6-ATM_Conf!$C$7))</f>
        <v>#DIV/0!</v>
      </c>
      <c r="BC53" s="46" t="e">
        <f>BL$3*MIN(1,(ATM_Conf!$C$6-Links!N53)/(ATM_Conf!$C$6-ATM_Conf!$C$7))</f>
        <v>#DIV/0!</v>
      </c>
      <c r="BD53" s="46"/>
      <c r="BE53" s="46"/>
      <c r="BF53" s="46"/>
      <c r="BG53" s="46"/>
      <c r="BH53" s="46"/>
      <c r="BI53" s="46"/>
      <c r="BJ53" s="46"/>
      <c r="BK53" s="46"/>
      <c r="BL53" s="46"/>
      <c r="BM53" s="54"/>
      <c r="BN53" s="54"/>
      <c r="BO53" s="54"/>
      <c r="BP53" s="54"/>
      <c r="BQ53" s="54"/>
      <c r="BR53" s="54"/>
      <c r="BS53" s="54"/>
      <c r="BT53" s="54"/>
      <c r="BU53" s="54"/>
      <c r="BV53" s="46" t="e">
        <f t="shared" si="13"/>
        <v>#DIV/0!</v>
      </c>
      <c r="BW53" s="46" t="e">
        <f t="shared" si="14"/>
        <v>#DIV/0!</v>
      </c>
      <c r="BX53" s="46" t="e">
        <f t="shared" si="15"/>
        <v>#DIV/0!</v>
      </c>
      <c r="BY53" s="46" t="e">
        <f t="shared" si="16"/>
        <v>#DIV/0!</v>
      </c>
      <c r="BZ53" s="46" t="e">
        <f t="shared" si="17"/>
        <v>#DIV/0!</v>
      </c>
      <c r="CA53" s="46" t="e">
        <f t="shared" si="18"/>
        <v>#DIV/0!</v>
      </c>
      <c r="CB53" s="46" t="e">
        <f t="shared" si="19"/>
        <v>#DIV/0!</v>
      </c>
      <c r="CC53" s="46" t="e">
        <f t="shared" si="20"/>
        <v>#DIV/0!</v>
      </c>
      <c r="CD53" s="46" t="e">
        <f t="shared" si="21"/>
        <v>#DIV/0!</v>
      </c>
      <c r="CE53" s="56" t="e">
        <f t="shared" si="22"/>
        <v>#DIV/0!</v>
      </c>
      <c r="CF53" s="56" t="e">
        <f t="shared" si="23"/>
        <v>#DIV/0!</v>
      </c>
      <c r="CG53" s="56" t="e">
        <f t="shared" si="24"/>
        <v>#DIV/0!</v>
      </c>
      <c r="CH53" s="56" t="e">
        <f t="shared" si="25"/>
        <v>#DIV/0!</v>
      </c>
      <c r="CI53" s="56" t="e">
        <f t="shared" si="26"/>
        <v>#DIV/0!</v>
      </c>
      <c r="CJ53" s="56" t="e">
        <f t="shared" si="27"/>
        <v>#DIV/0!</v>
      </c>
      <c r="CK53" s="56" t="e">
        <f t="shared" si="28"/>
        <v>#DIV/0!</v>
      </c>
      <c r="CL53" s="56" t="e">
        <f t="shared" si="29"/>
        <v>#DIV/0!</v>
      </c>
      <c r="CM53" s="56" t="e">
        <f t="shared" si="30"/>
        <v>#DIV/0!</v>
      </c>
    </row>
    <row r="54" spans="1:91" x14ac:dyDescent="0.15">
      <c r="A54" s="43">
        <v>52</v>
      </c>
      <c r="B54" s="46">
        <f t="shared" si="43"/>
        <v>1</v>
      </c>
      <c r="C54" s="46">
        <f t="shared" si="42"/>
        <v>1</v>
      </c>
      <c r="D54" s="46">
        <f t="shared" si="42"/>
        <v>1</v>
      </c>
      <c r="E54" s="46">
        <f t="shared" si="42"/>
        <v>1</v>
      </c>
      <c r="F54" s="46">
        <f t="shared" si="42"/>
        <v>1</v>
      </c>
      <c r="G54" s="46">
        <f t="shared" si="42"/>
        <v>1</v>
      </c>
      <c r="H54" s="46">
        <f t="shared" si="42"/>
        <v>1</v>
      </c>
      <c r="I54" s="46">
        <f t="shared" si="42"/>
        <v>1</v>
      </c>
      <c r="J54" s="46">
        <f t="shared" si="42"/>
        <v>1</v>
      </c>
      <c r="K54" s="46" t="e">
        <f>K53+ATM_Conf!$C$5*(T53-AC53)</f>
        <v>#DIV/0!</v>
      </c>
      <c r="L54" s="46" t="e">
        <f>L53+ATM_Conf!$C$5*(U53-AD53)</f>
        <v>#DIV/0!</v>
      </c>
      <c r="M54" s="46" t="e">
        <f>M53+ATM_Conf!$C$5*(V53-AE53)</f>
        <v>#DIV/0!</v>
      </c>
      <c r="N54" s="46" t="e">
        <f>N53+ATM_Conf!$C$5*(W53-AF53)</f>
        <v>#DIV/0!</v>
      </c>
      <c r="O54" s="46" t="e">
        <f>O53+ATM_Conf!$C$5*(X53-AG53)</f>
        <v>#DIV/0!</v>
      </c>
      <c r="P54" s="46" t="e">
        <f>P53+ATM_Conf!$C$5*(Y53-AH53)</f>
        <v>#DIV/0!</v>
      </c>
      <c r="Q54" s="46" t="e">
        <f>Q53+ATM_Conf!$C$5*(Z53-AI53)</f>
        <v>#DIV/0!</v>
      </c>
      <c r="R54" s="46" t="e">
        <f>R53+ATM_Conf!$C$5*(AA53-AJ53)</f>
        <v>#DIV/0!</v>
      </c>
      <c r="S54" s="46" t="e">
        <f>S53+ATM_Conf!$C$5*(AB53-AK53)</f>
        <v>#DIV/0!</v>
      </c>
      <c r="T54" s="46"/>
      <c r="U54" s="46"/>
      <c r="V54" s="46"/>
      <c r="W54" s="46"/>
      <c r="X54" s="46"/>
      <c r="Y54" s="46"/>
      <c r="Z54" s="46"/>
      <c r="AA54" s="46"/>
      <c r="AB54" s="46"/>
      <c r="AC54" s="46" t="e">
        <f t="shared" si="4"/>
        <v>#DIV/0!</v>
      </c>
      <c r="AD54" s="46" t="e">
        <f t="shared" si="5"/>
        <v>#DIV/0!</v>
      </c>
      <c r="AE54" s="46" t="e">
        <f t="shared" si="6"/>
        <v>#DIV/0!</v>
      </c>
      <c r="AF54" s="46" t="e">
        <f t="shared" si="7"/>
        <v>#DIV/0!</v>
      </c>
      <c r="AG54" s="46" t="e">
        <f t="shared" si="8"/>
        <v>#DIV/0!</v>
      </c>
      <c r="AH54" s="46" t="e">
        <f t="shared" si="9"/>
        <v>#DIV/0!</v>
      </c>
      <c r="AI54" s="46" t="e">
        <f t="shared" si="10"/>
        <v>#DIV/0!</v>
      </c>
      <c r="AJ54" s="46" t="e">
        <f t="shared" si="11"/>
        <v>#DIV/0!</v>
      </c>
      <c r="AK54" s="46" t="e">
        <f t="shared" si="12"/>
        <v>#DIV/0!</v>
      </c>
      <c r="AL54" s="46" t="e">
        <f>T$3+K54/ATM_Conf!$C$5</f>
        <v>#DIV/0!</v>
      </c>
      <c r="AM54" s="46" t="e">
        <f>U$3+L54/ATM_Conf!$C$5</f>
        <v>#DIV/0!</v>
      </c>
      <c r="AN54" s="46" t="e">
        <f>V$3+M54/ATM_Conf!$C$5</f>
        <v>#DIV/0!</v>
      </c>
      <c r="AO54" s="46" t="e">
        <f>W$3+N54/ATM_Conf!$C$5</f>
        <v>#DIV/0!</v>
      </c>
      <c r="AP54" s="46" t="e">
        <f>X$3+O54/ATM_Conf!$C$5</f>
        <v>#DIV/0!</v>
      </c>
      <c r="AQ54" s="46" t="e">
        <f>Y$3+P54/ATM_Conf!$C$5</f>
        <v>#DIV/0!</v>
      </c>
      <c r="AR54" s="46" t="e">
        <f>Z$3+Q54/ATM_Conf!$C$5</f>
        <v>#DIV/0!</v>
      </c>
      <c r="AS54" s="46" t="e">
        <f>AA$3+R54/ATM_Conf!$C$5</f>
        <v>#DIV/0!</v>
      </c>
      <c r="AT54" s="46" t="e">
        <f>AB$3+S54/ATM_Conf!$C$5</f>
        <v>#DIV/0!</v>
      </c>
      <c r="AU54" s="46" t="e">
        <f>BD$3*MIN(1,(ATM_Conf!$C$6-Links!F54)/(ATM_Conf!$C$6-ATM_Conf!$C$7))</f>
        <v>#DIV/0!</v>
      </c>
      <c r="AV54" s="46" t="e">
        <f>BE$3*MIN(1,(ATM_Conf!$C$6-Links!G54)/(ATM_Conf!$C$6-ATM_Conf!$C$7))</f>
        <v>#DIV/0!</v>
      </c>
      <c r="AW54" s="46" t="e">
        <f>BF$3*MIN(1,(ATM_Conf!$C$6-Links!H54)/(ATM_Conf!$C$6-ATM_Conf!$C$7))</f>
        <v>#DIV/0!</v>
      </c>
      <c r="AX54" s="46" t="e">
        <f>BG$3*MIN(1,(ATM_Conf!$C$6-Links!I54)/(ATM_Conf!$C$6-ATM_Conf!$C$7))</f>
        <v>#DIV/0!</v>
      </c>
      <c r="AY54" s="46" t="e">
        <f>BH$3*MIN(1,(ATM_Conf!$C$6-Links!J54)/(ATM_Conf!$C$6-ATM_Conf!$C$7))</f>
        <v>#DIV/0!</v>
      </c>
      <c r="AZ54" s="46" t="e">
        <f>BI$3*MIN(1,(ATM_Conf!$C$6-Links!K54)/(ATM_Conf!$C$6-ATM_Conf!$C$7))</f>
        <v>#DIV/0!</v>
      </c>
      <c r="BA54" s="46" t="e">
        <f>BJ$3*MIN(1,(ATM_Conf!$C$6-Links!L54)/(ATM_Conf!$C$6-ATM_Conf!$C$7))</f>
        <v>#DIV/0!</v>
      </c>
      <c r="BB54" s="46" t="e">
        <f>BK$3*MIN(1,(ATM_Conf!$C$6-Links!M54)/(ATM_Conf!$C$6-ATM_Conf!$C$7))</f>
        <v>#DIV/0!</v>
      </c>
      <c r="BC54" s="46" t="e">
        <f>BL$3*MIN(1,(ATM_Conf!$C$6-Links!N54)/(ATM_Conf!$C$6-ATM_Conf!$C$7))</f>
        <v>#DIV/0!</v>
      </c>
      <c r="BD54" s="46"/>
      <c r="BE54" s="46"/>
      <c r="BF54" s="46"/>
      <c r="BG54" s="46"/>
      <c r="BH54" s="46"/>
      <c r="BI54" s="46"/>
      <c r="BJ54" s="46"/>
      <c r="BK54" s="46"/>
      <c r="BL54" s="46"/>
      <c r="BM54" s="54"/>
      <c r="BN54" s="54"/>
      <c r="BO54" s="54"/>
      <c r="BP54" s="54"/>
      <c r="BQ54" s="54"/>
      <c r="BR54" s="54"/>
      <c r="BS54" s="54"/>
      <c r="BT54" s="54"/>
      <c r="BU54" s="54"/>
      <c r="BV54" s="46" t="e">
        <f t="shared" si="13"/>
        <v>#DIV/0!</v>
      </c>
      <c r="BW54" s="46" t="e">
        <f t="shared" si="14"/>
        <v>#DIV/0!</v>
      </c>
      <c r="BX54" s="46" t="e">
        <f t="shared" si="15"/>
        <v>#DIV/0!</v>
      </c>
      <c r="BY54" s="46" t="e">
        <f t="shared" si="16"/>
        <v>#DIV/0!</v>
      </c>
      <c r="BZ54" s="46" t="e">
        <f t="shared" si="17"/>
        <v>#DIV/0!</v>
      </c>
      <c r="CA54" s="46" t="e">
        <f t="shared" si="18"/>
        <v>#DIV/0!</v>
      </c>
      <c r="CB54" s="46" t="e">
        <f t="shared" si="19"/>
        <v>#DIV/0!</v>
      </c>
      <c r="CC54" s="46" t="e">
        <f t="shared" si="20"/>
        <v>#DIV/0!</v>
      </c>
      <c r="CD54" s="46" t="e">
        <f t="shared" si="21"/>
        <v>#DIV/0!</v>
      </c>
      <c r="CE54" s="56" t="e">
        <f t="shared" si="22"/>
        <v>#DIV/0!</v>
      </c>
      <c r="CF54" s="56" t="e">
        <f t="shared" si="23"/>
        <v>#DIV/0!</v>
      </c>
      <c r="CG54" s="56" t="e">
        <f t="shared" si="24"/>
        <v>#DIV/0!</v>
      </c>
      <c r="CH54" s="56" t="e">
        <f t="shared" si="25"/>
        <v>#DIV/0!</v>
      </c>
      <c r="CI54" s="56" t="e">
        <f t="shared" si="26"/>
        <v>#DIV/0!</v>
      </c>
      <c r="CJ54" s="56" t="e">
        <f t="shared" si="27"/>
        <v>#DIV/0!</v>
      </c>
      <c r="CK54" s="56" t="e">
        <f t="shared" si="28"/>
        <v>#DIV/0!</v>
      </c>
      <c r="CL54" s="56" t="e">
        <f t="shared" si="29"/>
        <v>#DIV/0!</v>
      </c>
      <c r="CM54" s="56" t="e">
        <f t="shared" si="30"/>
        <v>#DIV/0!</v>
      </c>
    </row>
    <row r="55" spans="1:91" x14ac:dyDescent="0.15">
      <c r="A55" s="43">
        <v>53</v>
      </c>
      <c r="B55" s="46">
        <f t="shared" si="43"/>
        <v>1</v>
      </c>
      <c r="C55" s="46">
        <f t="shared" si="42"/>
        <v>1</v>
      </c>
      <c r="D55" s="46">
        <f t="shared" si="42"/>
        <v>1</v>
      </c>
      <c r="E55" s="46">
        <f t="shared" si="42"/>
        <v>1</v>
      </c>
      <c r="F55" s="46">
        <f t="shared" si="42"/>
        <v>1</v>
      </c>
      <c r="G55" s="46">
        <f t="shared" si="42"/>
        <v>1</v>
      </c>
      <c r="H55" s="46">
        <f t="shared" si="42"/>
        <v>1</v>
      </c>
      <c r="I55" s="46">
        <f t="shared" si="42"/>
        <v>1</v>
      </c>
      <c r="J55" s="46">
        <f t="shared" si="42"/>
        <v>1</v>
      </c>
      <c r="K55" s="46" t="e">
        <f>K54+ATM_Conf!$C$5*(T54-AC54)</f>
        <v>#DIV/0!</v>
      </c>
      <c r="L55" s="46" t="e">
        <f>L54+ATM_Conf!$C$5*(U54-AD54)</f>
        <v>#DIV/0!</v>
      </c>
      <c r="M55" s="46" t="e">
        <f>M54+ATM_Conf!$C$5*(V54-AE54)</f>
        <v>#DIV/0!</v>
      </c>
      <c r="N55" s="46" t="e">
        <f>N54+ATM_Conf!$C$5*(W54-AF54)</f>
        <v>#DIV/0!</v>
      </c>
      <c r="O55" s="46" t="e">
        <f>O54+ATM_Conf!$C$5*(X54-AG54)</f>
        <v>#DIV/0!</v>
      </c>
      <c r="P55" s="46" t="e">
        <f>P54+ATM_Conf!$C$5*(Y54-AH54)</f>
        <v>#DIV/0!</v>
      </c>
      <c r="Q55" s="46" t="e">
        <f>Q54+ATM_Conf!$C$5*(Z54-AI54)</f>
        <v>#DIV/0!</v>
      </c>
      <c r="R55" s="46" t="e">
        <f>R54+ATM_Conf!$C$5*(AA54-AJ54)</f>
        <v>#DIV/0!</v>
      </c>
      <c r="S55" s="46" t="e">
        <f>S54+ATM_Conf!$C$5*(AB54-AK54)</f>
        <v>#DIV/0!</v>
      </c>
      <c r="T55" s="46"/>
      <c r="U55" s="46"/>
      <c r="V55" s="46"/>
      <c r="W55" s="46"/>
      <c r="X55" s="46"/>
      <c r="Y55" s="46"/>
      <c r="Z55" s="46"/>
      <c r="AA55" s="46"/>
      <c r="AB55" s="46"/>
      <c r="AC55" s="46" t="e">
        <f t="shared" si="4"/>
        <v>#DIV/0!</v>
      </c>
      <c r="AD55" s="46" t="e">
        <f t="shared" si="5"/>
        <v>#DIV/0!</v>
      </c>
      <c r="AE55" s="46" t="e">
        <f t="shared" si="6"/>
        <v>#DIV/0!</v>
      </c>
      <c r="AF55" s="46" t="e">
        <f t="shared" si="7"/>
        <v>#DIV/0!</v>
      </c>
      <c r="AG55" s="46" t="e">
        <f t="shared" si="8"/>
        <v>#DIV/0!</v>
      </c>
      <c r="AH55" s="46" t="e">
        <f t="shared" si="9"/>
        <v>#DIV/0!</v>
      </c>
      <c r="AI55" s="46" t="e">
        <f t="shared" si="10"/>
        <v>#DIV/0!</v>
      </c>
      <c r="AJ55" s="46" t="e">
        <f t="shared" si="11"/>
        <v>#DIV/0!</v>
      </c>
      <c r="AK55" s="46" t="e">
        <f t="shared" si="12"/>
        <v>#DIV/0!</v>
      </c>
      <c r="AL55" s="46" t="e">
        <f>T$3+K55/ATM_Conf!$C$5</f>
        <v>#DIV/0!</v>
      </c>
      <c r="AM55" s="46" t="e">
        <f>U$3+L55/ATM_Conf!$C$5</f>
        <v>#DIV/0!</v>
      </c>
      <c r="AN55" s="46" t="e">
        <f>V$3+M55/ATM_Conf!$C$5</f>
        <v>#DIV/0!</v>
      </c>
      <c r="AO55" s="46" t="e">
        <f>W$3+N55/ATM_Conf!$C$5</f>
        <v>#DIV/0!</v>
      </c>
      <c r="AP55" s="46" t="e">
        <f>X$3+O55/ATM_Conf!$C$5</f>
        <v>#DIV/0!</v>
      </c>
      <c r="AQ55" s="46" t="e">
        <f>Y$3+P55/ATM_Conf!$C$5</f>
        <v>#DIV/0!</v>
      </c>
      <c r="AR55" s="46" t="e">
        <f>Z$3+Q55/ATM_Conf!$C$5</f>
        <v>#DIV/0!</v>
      </c>
      <c r="AS55" s="46" t="e">
        <f>AA$3+R55/ATM_Conf!$C$5</f>
        <v>#DIV/0!</v>
      </c>
      <c r="AT55" s="46" t="e">
        <f>AB$3+S55/ATM_Conf!$C$5</f>
        <v>#DIV/0!</v>
      </c>
      <c r="AU55" s="46" t="e">
        <f>BD$3*MIN(1,(ATM_Conf!$C$6-Links!F55)/(ATM_Conf!$C$6-ATM_Conf!$C$7))</f>
        <v>#DIV/0!</v>
      </c>
      <c r="AV55" s="46" t="e">
        <f>BE$3*MIN(1,(ATM_Conf!$C$6-Links!G55)/(ATM_Conf!$C$6-ATM_Conf!$C$7))</f>
        <v>#DIV/0!</v>
      </c>
      <c r="AW55" s="46" t="e">
        <f>BF$3*MIN(1,(ATM_Conf!$C$6-Links!H55)/(ATM_Conf!$C$6-ATM_Conf!$C$7))</f>
        <v>#DIV/0!</v>
      </c>
      <c r="AX55" s="46" t="e">
        <f>BG$3*MIN(1,(ATM_Conf!$C$6-Links!I55)/(ATM_Conf!$C$6-ATM_Conf!$C$7))</f>
        <v>#DIV/0!</v>
      </c>
      <c r="AY55" s="46" t="e">
        <f>BH$3*MIN(1,(ATM_Conf!$C$6-Links!J55)/(ATM_Conf!$C$6-ATM_Conf!$C$7))</f>
        <v>#DIV/0!</v>
      </c>
      <c r="AZ55" s="46" t="e">
        <f>BI$3*MIN(1,(ATM_Conf!$C$6-Links!K55)/(ATM_Conf!$C$6-ATM_Conf!$C$7))</f>
        <v>#DIV/0!</v>
      </c>
      <c r="BA55" s="46" t="e">
        <f>BJ$3*MIN(1,(ATM_Conf!$C$6-Links!L55)/(ATM_Conf!$C$6-ATM_Conf!$C$7))</f>
        <v>#DIV/0!</v>
      </c>
      <c r="BB55" s="46" t="e">
        <f>BK$3*MIN(1,(ATM_Conf!$C$6-Links!M55)/(ATM_Conf!$C$6-ATM_Conf!$C$7))</f>
        <v>#DIV/0!</v>
      </c>
      <c r="BC55" s="46" t="e">
        <f>BL$3*MIN(1,(ATM_Conf!$C$6-Links!N55)/(ATM_Conf!$C$6-ATM_Conf!$C$7))</f>
        <v>#DIV/0!</v>
      </c>
      <c r="BD55" s="46"/>
      <c r="BE55" s="46"/>
      <c r="BF55" s="46"/>
      <c r="BG55" s="46"/>
      <c r="BH55" s="46"/>
      <c r="BI55" s="46"/>
      <c r="BJ55" s="46"/>
      <c r="BK55" s="46"/>
      <c r="BL55" s="46"/>
      <c r="BM55" s="54"/>
      <c r="BN55" s="54"/>
      <c r="BO55" s="54"/>
      <c r="BP55" s="54"/>
      <c r="BQ55" s="54"/>
      <c r="BR55" s="54"/>
      <c r="BS55" s="54"/>
      <c r="BT55" s="54"/>
      <c r="BU55" s="54"/>
      <c r="BV55" s="46" t="e">
        <f t="shared" si="13"/>
        <v>#DIV/0!</v>
      </c>
      <c r="BW55" s="46" t="e">
        <f t="shared" si="14"/>
        <v>#DIV/0!</v>
      </c>
      <c r="BX55" s="46" t="e">
        <f t="shared" si="15"/>
        <v>#DIV/0!</v>
      </c>
      <c r="BY55" s="46" t="e">
        <f t="shared" si="16"/>
        <v>#DIV/0!</v>
      </c>
      <c r="BZ55" s="46" t="e">
        <f t="shared" si="17"/>
        <v>#DIV/0!</v>
      </c>
      <c r="CA55" s="46" t="e">
        <f t="shared" si="18"/>
        <v>#DIV/0!</v>
      </c>
      <c r="CB55" s="46" t="e">
        <f t="shared" si="19"/>
        <v>#DIV/0!</v>
      </c>
      <c r="CC55" s="46" t="e">
        <f t="shared" si="20"/>
        <v>#DIV/0!</v>
      </c>
      <c r="CD55" s="46" t="e">
        <f t="shared" si="21"/>
        <v>#DIV/0!</v>
      </c>
      <c r="CE55" s="56" t="e">
        <f t="shared" si="22"/>
        <v>#DIV/0!</v>
      </c>
      <c r="CF55" s="56" t="e">
        <f t="shared" si="23"/>
        <v>#DIV/0!</v>
      </c>
      <c r="CG55" s="56" t="e">
        <f t="shared" si="24"/>
        <v>#DIV/0!</v>
      </c>
      <c r="CH55" s="56" t="e">
        <f t="shared" si="25"/>
        <v>#DIV/0!</v>
      </c>
      <c r="CI55" s="56" t="e">
        <f t="shared" si="26"/>
        <v>#DIV/0!</v>
      </c>
      <c r="CJ55" s="56" t="e">
        <f t="shared" si="27"/>
        <v>#DIV/0!</v>
      </c>
      <c r="CK55" s="56" t="e">
        <f t="shared" si="28"/>
        <v>#DIV/0!</v>
      </c>
      <c r="CL55" s="56" t="e">
        <f t="shared" si="29"/>
        <v>#DIV/0!</v>
      </c>
      <c r="CM55" s="56" t="e">
        <f t="shared" si="30"/>
        <v>#DIV/0!</v>
      </c>
    </row>
    <row r="56" spans="1:91" x14ac:dyDescent="0.15">
      <c r="A56" s="43">
        <v>54</v>
      </c>
      <c r="B56" s="46">
        <f t="shared" si="43"/>
        <v>1</v>
      </c>
      <c r="C56" s="46">
        <f t="shared" si="42"/>
        <v>1</v>
      </c>
      <c r="D56" s="46">
        <f t="shared" si="42"/>
        <v>1</v>
      </c>
      <c r="E56" s="46">
        <f t="shared" si="42"/>
        <v>1</v>
      </c>
      <c r="F56" s="46">
        <f t="shared" si="42"/>
        <v>1</v>
      </c>
      <c r="G56" s="46">
        <f t="shared" si="42"/>
        <v>1</v>
      </c>
      <c r="H56" s="46">
        <f t="shared" si="42"/>
        <v>1</v>
      </c>
      <c r="I56" s="46">
        <f t="shared" si="42"/>
        <v>1</v>
      </c>
      <c r="J56" s="46">
        <f t="shared" si="42"/>
        <v>1</v>
      </c>
      <c r="K56" s="46" t="e">
        <f>K55+ATM_Conf!$C$5*(T55-AC55)</f>
        <v>#DIV/0!</v>
      </c>
      <c r="L56" s="46" t="e">
        <f>L55+ATM_Conf!$C$5*(U55-AD55)</f>
        <v>#DIV/0!</v>
      </c>
      <c r="M56" s="46" t="e">
        <f>M55+ATM_Conf!$C$5*(V55-AE55)</f>
        <v>#DIV/0!</v>
      </c>
      <c r="N56" s="46" t="e">
        <f>N55+ATM_Conf!$C$5*(W55-AF55)</f>
        <v>#DIV/0!</v>
      </c>
      <c r="O56" s="46" t="e">
        <f>O55+ATM_Conf!$C$5*(X55-AG55)</f>
        <v>#DIV/0!</v>
      </c>
      <c r="P56" s="46" t="e">
        <f>P55+ATM_Conf!$C$5*(Y55-AH55)</f>
        <v>#DIV/0!</v>
      </c>
      <c r="Q56" s="46" t="e">
        <f>Q55+ATM_Conf!$C$5*(Z55-AI55)</f>
        <v>#DIV/0!</v>
      </c>
      <c r="R56" s="46" t="e">
        <f>R55+ATM_Conf!$C$5*(AA55-AJ55)</f>
        <v>#DIV/0!</v>
      </c>
      <c r="S56" s="46" t="e">
        <f>S55+ATM_Conf!$C$5*(AB55-AK55)</f>
        <v>#DIV/0!</v>
      </c>
      <c r="T56" s="46"/>
      <c r="U56" s="46"/>
      <c r="V56" s="46"/>
      <c r="W56" s="46"/>
      <c r="X56" s="46"/>
      <c r="Y56" s="46"/>
      <c r="Z56" s="46"/>
      <c r="AA56" s="46"/>
      <c r="AB56" s="46"/>
      <c r="AC56" s="46" t="e">
        <f t="shared" si="4"/>
        <v>#DIV/0!</v>
      </c>
      <c r="AD56" s="46" t="e">
        <f t="shared" si="5"/>
        <v>#DIV/0!</v>
      </c>
      <c r="AE56" s="46" t="e">
        <f t="shared" si="6"/>
        <v>#DIV/0!</v>
      </c>
      <c r="AF56" s="46" t="e">
        <f t="shared" si="7"/>
        <v>#DIV/0!</v>
      </c>
      <c r="AG56" s="46" t="e">
        <f t="shared" si="8"/>
        <v>#DIV/0!</v>
      </c>
      <c r="AH56" s="46" t="e">
        <f t="shared" si="9"/>
        <v>#DIV/0!</v>
      </c>
      <c r="AI56" s="46" t="e">
        <f t="shared" si="10"/>
        <v>#DIV/0!</v>
      </c>
      <c r="AJ56" s="46" t="e">
        <f t="shared" si="11"/>
        <v>#DIV/0!</v>
      </c>
      <c r="AK56" s="46" t="e">
        <f t="shared" si="12"/>
        <v>#DIV/0!</v>
      </c>
      <c r="AL56" s="46" t="e">
        <f>T$3+K56/ATM_Conf!$C$5</f>
        <v>#DIV/0!</v>
      </c>
      <c r="AM56" s="46" t="e">
        <f>U$3+L56/ATM_Conf!$C$5</f>
        <v>#DIV/0!</v>
      </c>
      <c r="AN56" s="46" t="e">
        <f>V$3+M56/ATM_Conf!$C$5</f>
        <v>#DIV/0!</v>
      </c>
      <c r="AO56" s="46" t="e">
        <f>W$3+N56/ATM_Conf!$C$5</f>
        <v>#DIV/0!</v>
      </c>
      <c r="AP56" s="46" t="e">
        <f>X$3+O56/ATM_Conf!$C$5</f>
        <v>#DIV/0!</v>
      </c>
      <c r="AQ56" s="46" t="e">
        <f>Y$3+P56/ATM_Conf!$C$5</f>
        <v>#DIV/0!</v>
      </c>
      <c r="AR56" s="46" t="e">
        <f>Z$3+Q56/ATM_Conf!$C$5</f>
        <v>#DIV/0!</v>
      </c>
      <c r="AS56" s="46" t="e">
        <f>AA$3+R56/ATM_Conf!$C$5</f>
        <v>#DIV/0!</v>
      </c>
      <c r="AT56" s="46" t="e">
        <f>AB$3+S56/ATM_Conf!$C$5</f>
        <v>#DIV/0!</v>
      </c>
      <c r="AU56" s="46" t="e">
        <f>BD$3*MIN(1,(ATM_Conf!$C$6-Links!F56)/(ATM_Conf!$C$6-ATM_Conf!$C$7))</f>
        <v>#DIV/0!</v>
      </c>
      <c r="AV56" s="46" t="e">
        <f>BE$3*MIN(1,(ATM_Conf!$C$6-Links!G56)/(ATM_Conf!$C$6-ATM_Conf!$C$7))</f>
        <v>#DIV/0!</v>
      </c>
      <c r="AW56" s="46" t="e">
        <f>BF$3*MIN(1,(ATM_Conf!$C$6-Links!H56)/(ATM_Conf!$C$6-ATM_Conf!$C$7))</f>
        <v>#DIV/0!</v>
      </c>
      <c r="AX56" s="46" t="e">
        <f>BG$3*MIN(1,(ATM_Conf!$C$6-Links!I56)/(ATM_Conf!$C$6-ATM_Conf!$C$7))</f>
        <v>#DIV/0!</v>
      </c>
      <c r="AY56" s="46" t="e">
        <f>BH$3*MIN(1,(ATM_Conf!$C$6-Links!J56)/(ATM_Conf!$C$6-ATM_Conf!$C$7))</f>
        <v>#DIV/0!</v>
      </c>
      <c r="AZ56" s="46" t="e">
        <f>BI$3*MIN(1,(ATM_Conf!$C$6-Links!K56)/(ATM_Conf!$C$6-ATM_Conf!$C$7))</f>
        <v>#DIV/0!</v>
      </c>
      <c r="BA56" s="46" t="e">
        <f>BJ$3*MIN(1,(ATM_Conf!$C$6-Links!L56)/(ATM_Conf!$C$6-ATM_Conf!$C$7))</f>
        <v>#DIV/0!</v>
      </c>
      <c r="BB56" s="46" t="e">
        <f>BK$3*MIN(1,(ATM_Conf!$C$6-Links!M56)/(ATM_Conf!$C$6-ATM_Conf!$C$7))</f>
        <v>#DIV/0!</v>
      </c>
      <c r="BC56" s="46" t="e">
        <f>BL$3*MIN(1,(ATM_Conf!$C$6-Links!N56)/(ATM_Conf!$C$6-ATM_Conf!$C$7))</f>
        <v>#DIV/0!</v>
      </c>
      <c r="BD56" s="46"/>
      <c r="BE56" s="46"/>
      <c r="BF56" s="46"/>
      <c r="BG56" s="46"/>
      <c r="BH56" s="46"/>
      <c r="BI56" s="46"/>
      <c r="BJ56" s="46"/>
      <c r="BK56" s="46"/>
      <c r="BL56" s="46"/>
      <c r="BM56" s="54"/>
      <c r="BN56" s="54"/>
      <c r="BO56" s="54"/>
      <c r="BP56" s="54"/>
      <c r="BQ56" s="54"/>
      <c r="BR56" s="54"/>
      <c r="BS56" s="54"/>
      <c r="BT56" s="54"/>
      <c r="BU56" s="54"/>
      <c r="BV56" s="46" t="e">
        <f t="shared" si="13"/>
        <v>#DIV/0!</v>
      </c>
      <c r="BW56" s="46" t="e">
        <f t="shared" si="14"/>
        <v>#DIV/0!</v>
      </c>
      <c r="BX56" s="46" t="e">
        <f t="shared" si="15"/>
        <v>#DIV/0!</v>
      </c>
      <c r="BY56" s="46" t="e">
        <f t="shared" si="16"/>
        <v>#DIV/0!</v>
      </c>
      <c r="BZ56" s="46" t="e">
        <f t="shared" si="17"/>
        <v>#DIV/0!</v>
      </c>
      <c r="CA56" s="46" t="e">
        <f t="shared" si="18"/>
        <v>#DIV/0!</v>
      </c>
      <c r="CB56" s="46" t="e">
        <f t="shared" si="19"/>
        <v>#DIV/0!</v>
      </c>
      <c r="CC56" s="46" t="e">
        <f t="shared" si="20"/>
        <v>#DIV/0!</v>
      </c>
      <c r="CD56" s="46" t="e">
        <f t="shared" si="21"/>
        <v>#DIV/0!</v>
      </c>
      <c r="CE56" s="56" t="e">
        <f t="shared" si="22"/>
        <v>#DIV/0!</v>
      </c>
      <c r="CF56" s="56" t="e">
        <f t="shared" si="23"/>
        <v>#DIV/0!</v>
      </c>
      <c r="CG56" s="56" t="e">
        <f t="shared" si="24"/>
        <v>#DIV/0!</v>
      </c>
      <c r="CH56" s="56" t="e">
        <f t="shared" si="25"/>
        <v>#DIV/0!</v>
      </c>
      <c r="CI56" s="56" t="e">
        <f t="shared" si="26"/>
        <v>#DIV/0!</v>
      </c>
      <c r="CJ56" s="56" t="e">
        <f t="shared" si="27"/>
        <v>#DIV/0!</v>
      </c>
      <c r="CK56" s="56" t="e">
        <f t="shared" si="28"/>
        <v>#DIV/0!</v>
      </c>
      <c r="CL56" s="56" t="e">
        <f t="shared" si="29"/>
        <v>#DIV/0!</v>
      </c>
      <c r="CM56" s="56" t="e">
        <f t="shared" si="30"/>
        <v>#DIV/0!</v>
      </c>
    </row>
    <row r="57" spans="1:91" x14ac:dyDescent="0.15">
      <c r="A57" s="43">
        <v>55</v>
      </c>
      <c r="B57" s="46">
        <f t="shared" si="43"/>
        <v>1</v>
      </c>
      <c r="C57" s="46">
        <f t="shared" si="42"/>
        <v>1</v>
      </c>
      <c r="D57" s="46">
        <f t="shared" si="42"/>
        <v>1</v>
      </c>
      <c r="E57" s="46">
        <f t="shared" si="42"/>
        <v>1</v>
      </c>
      <c r="F57" s="46">
        <f t="shared" si="42"/>
        <v>1</v>
      </c>
      <c r="G57" s="46">
        <f t="shared" si="42"/>
        <v>1</v>
      </c>
      <c r="H57" s="46">
        <f t="shared" si="42"/>
        <v>1</v>
      </c>
      <c r="I57" s="46">
        <f t="shared" si="42"/>
        <v>1</v>
      </c>
      <c r="J57" s="46">
        <f t="shared" si="42"/>
        <v>1</v>
      </c>
      <c r="K57" s="46" t="e">
        <f>K56+ATM_Conf!$C$5*(T56-AC56)</f>
        <v>#DIV/0!</v>
      </c>
      <c r="L57" s="46" t="e">
        <f>L56+ATM_Conf!$C$5*(U56-AD56)</f>
        <v>#DIV/0!</v>
      </c>
      <c r="M57" s="46" t="e">
        <f>M56+ATM_Conf!$C$5*(V56-AE56)</f>
        <v>#DIV/0!</v>
      </c>
      <c r="N57" s="46" t="e">
        <f>N56+ATM_Conf!$C$5*(W56-AF56)</f>
        <v>#DIV/0!</v>
      </c>
      <c r="O57" s="46" t="e">
        <f>O56+ATM_Conf!$C$5*(X56-AG56)</f>
        <v>#DIV/0!</v>
      </c>
      <c r="P57" s="46" t="e">
        <f>P56+ATM_Conf!$C$5*(Y56-AH56)</f>
        <v>#DIV/0!</v>
      </c>
      <c r="Q57" s="46" t="e">
        <f>Q56+ATM_Conf!$C$5*(Z56-AI56)</f>
        <v>#DIV/0!</v>
      </c>
      <c r="R57" s="46" t="e">
        <f>R56+ATM_Conf!$C$5*(AA56-AJ56)</f>
        <v>#DIV/0!</v>
      </c>
      <c r="S57" s="46" t="e">
        <f>S56+ATM_Conf!$C$5*(AB56-AK56)</f>
        <v>#DIV/0!</v>
      </c>
      <c r="T57" s="46"/>
      <c r="U57" s="46"/>
      <c r="V57" s="46"/>
      <c r="W57" s="46"/>
      <c r="X57" s="46"/>
      <c r="Y57" s="46"/>
      <c r="Z57" s="46"/>
      <c r="AA57" s="46"/>
      <c r="AB57" s="46"/>
      <c r="AC57" s="46" t="e">
        <f t="shared" si="4"/>
        <v>#DIV/0!</v>
      </c>
      <c r="AD57" s="46" t="e">
        <f t="shared" si="5"/>
        <v>#DIV/0!</v>
      </c>
      <c r="AE57" s="46" t="e">
        <f t="shared" si="6"/>
        <v>#DIV/0!</v>
      </c>
      <c r="AF57" s="46" t="e">
        <f t="shared" si="7"/>
        <v>#DIV/0!</v>
      </c>
      <c r="AG57" s="46" t="e">
        <f t="shared" si="8"/>
        <v>#DIV/0!</v>
      </c>
      <c r="AH57" s="46" t="e">
        <f t="shared" si="9"/>
        <v>#DIV/0!</v>
      </c>
      <c r="AI57" s="46" t="e">
        <f t="shared" si="10"/>
        <v>#DIV/0!</v>
      </c>
      <c r="AJ57" s="46" t="e">
        <f t="shared" si="11"/>
        <v>#DIV/0!</v>
      </c>
      <c r="AK57" s="46" t="e">
        <f t="shared" si="12"/>
        <v>#DIV/0!</v>
      </c>
      <c r="AL57" s="46" t="e">
        <f>T$3+K57/ATM_Conf!$C$5</f>
        <v>#DIV/0!</v>
      </c>
      <c r="AM57" s="46" t="e">
        <f>U$3+L57/ATM_Conf!$C$5</f>
        <v>#DIV/0!</v>
      </c>
      <c r="AN57" s="46" t="e">
        <f>V$3+M57/ATM_Conf!$C$5</f>
        <v>#DIV/0!</v>
      </c>
      <c r="AO57" s="46" t="e">
        <f>W$3+N57/ATM_Conf!$C$5</f>
        <v>#DIV/0!</v>
      </c>
      <c r="AP57" s="46" t="e">
        <f>X$3+O57/ATM_Conf!$C$5</f>
        <v>#DIV/0!</v>
      </c>
      <c r="AQ57" s="46" t="e">
        <f>Y$3+P57/ATM_Conf!$C$5</f>
        <v>#DIV/0!</v>
      </c>
      <c r="AR57" s="46" t="e">
        <f>Z$3+Q57/ATM_Conf!$C$5</f>
        <v>#DIV/0!</v>
      </c>
      <c r="AS57" s="46" t="e">
        <f>AA$3+R57/ATM_Conf!$C$5</f>
        <v>#DIV/0!</v>
      </c>
      <c r="AT57" s="46" t="e">
        <f>AB$3+S57/ATM_Conf!$C$5</f>
        <v>#DIV/0!</v>
      </c>
      <c r="AU57" s="46" t="e">
        <f>BD$3*MIN(1,(ATM_Conf!$C$6-Links!F57)/(ATM_Conf!$C$6-ATM_Conf!$C$7))</f>
        <v>#DIV/0!</v>
      </c>
      <c r="AV57" s="46" t="e">
        <f>BE$3*MIN(1,(ATM_Conf!$C$6-Links!G57)/(ATM_Conf!$C$6-ATM_Conf!$C$7))</f>
        <v>#DIV/0!</v>
      </c>
      <c r="AW57" s="46" t="e">
        <f>BF$3*MIN(1,(ATM_Conf!$C$6-Links!H57)/(ATM_Conf!$C$6-ATM_Conf!$C$7))</f>
        <v>#DIV/0!</v>
      </c>
      <c r="AX57" s="46" t="e">
        <f>BG$3*MIN(1,(ATM_Conf!$C$6-Links!I57)/(ATM_Conf!$C$6-ATM_Conf!$C$7))</f>
        <v>#DIV/0!</v>
      </c>
      <c r="AY57" s="46" t="e">
        <f>BH$3*MIN(1,(ATM_Conf!$C$6-Links!J57)/(ATM_Conf!$C$6-ATM_Conf!$C$7))</f>
        <v>#DIV/0!</v>
      </c>
      <c r="AZ57" s="46" t="e">
        <f>BI$3*MIN(1,(ATM_Conf!$C$6-Links!K57)/(ATM_Conf!$C$6-ATM_Conf!$C$7))</f>
        <v>#DIV/0!</v>
      </c>
      <c r="BA57" s="46" t="e">
        <f>BJ$3*MIN(1,(ATM_Conf!$C$6-Links!L57)/(ATM_Conf!$C$6-ATM_Conf!$C$7))</f>
        <v>#DIV/0!</v>
      </c>
      <c r="BB57" s="46" t="e">
        <f>BK$3*MIN(1,(ATM_Conf!$C$6-Links!M57)/(ATM_Conf!$C$6-ATM_Conf!$C$7))</f>
        <v>#DIV/0!</v>
      </c>
      <c r="BC57" s="46" t="e">
        <f>BL$3*MIN(1,(ATM_Conf!$C$6-Links!N57)/(ATM_Conf!$C$6-ATM_Conf!$C$7))</f>
        <v>#DIV/0!</v>
      </c>
      <c r="BD57" s="46"/>
      <c r="BE57" s="46"/>
      <c r="BF57" s="46"/>
      <c r="BG57" s="46"/>
      <c r="BH57" s="46"/>
      <c r="BI57" s="46"/>
      <c r="BJ57" s="46"/>
      <c r="BK57" s="46"/>
      <c r="BL57" s="46"/>
      <c r="BM57" s="54"/>
      <c r="BN57" s="54"/>
      <c r="BO57" s="54"/>
      <c r="BP57" s="54"/>
      <c r="BQ57" s="54"/>
      <c r="BR57" s="54"/>
      <c r="BS57" s="54"/>
      <c r="BT57" s="54"/>
      <c r="BU57" s="54"/>
      <c r="BV57" s="46" t="e">
        <f t="shared" si="13"/>
        <v>#DIV/0!</v>
      </c>
      <c r="BW57" s="46" t="e">
        <f t="shared" si="14"/>
        <v>#DIV/0!</v>
      </c>
      <c r="BX57" s="46" t="e">
        <f t="shared" si="15"/>
        <v>#DIV/0!</v>
      </c>
      <c r="BY57" s="46" t="e">
        <f t="shared" si="16"/>
        <v>#DIV/0!</v>
      </c>
      <c r="BZ57" s="46" t="e">
        <f t="shared" si="17"/>
        <v>#DIV/0!</v>
      </c>
      <c r="CA57" s="46" t="e">
        <f t="shared" si="18"/>
        <v>#DIV/0!</v>
      </c>
      <c r="CB57" s="46" t="e">
        <f t="shared" si="19"/>
        <v>#DIV/0!</v>
      </c>
      <c r="CC57" s="46" t="e">
        <f t="shared" si="20"/>
        <v>#DIV/0!</v>
      </c>
      <c r="CD57" s="46" t="e">
        <f t="shared" si="21"/>
        <v>#DIV/0!</v>
      </c>
      <c r="CE57" s="56" t="e">
        <f t="shared" si="22"/>
        <v>#DIV/0!</v>
      </c>
      <c r="CF57" s="56" t="e">
        <f t="shared" si="23"/>
        <v>#DIV/0!</v>
      </c>
      <c r="CG57" s="56" t="e">
        <f t="shared" si="24"/>
        <v>#DIV/0!</v>
      </c>
      <c r="CH57" s="56" t="e">
        <f t="shared" si="25"/>
        <v>#DIV/0!</v>
      </c>
      <c r="CI57" s="56" t="e">
        <f t="shared" si="26"/>
        <v>#DIV/0!</v>
      </c>
      <c r="CJ57" s="56" t="e">
        <f t="shared" si="27"/>
        <v>#DIV/0!</v>
      </c>
      <c r="CK57" s="56" t="e">
        <f t="shared" si="28"/>
        <v>#DIV/0!</v>
      </c>
      <c r="CL57" s="56" t="e">
        <f t="shared" si="29"/>
        <v>#DIV/0!</v>
      </c>
      <c r="CM57" s="56" t="e">
        <f t="shared" si="30"/>
        <v>#DIV/0!</v>
      </c>
    </row>
    <row r="58" spans="1:91" x14ac:dyDescent="0.15">
      <c r="A58" s="43">
        <v>56</v>
      </c>
      <c r="B58" s="46">
        <f t="shared" si="43"/>
        <v>1</v>
      </c>
      <c r="C58" s="46">
        <f t="shared" si="42"/>
        <v>1</v>
      </c>
      <c r="D58" s="46">
        <f t="shared" si="42"/>
        <v>1</v>
      </c>
      <c r="E58" s="46">
        <f t="shared" si="42"/>
        <v>1</v>
      </c>
      <c r="F58" s="46">
        <f t="shared" si="42"/>
        <v>1</v>
      </c>
      <c r="G58" s="46">
        <f t="shared" si="42"/>
        <v>1</v>
      </c>
      <c r="H58" s="46">
        <f t="shared" si="42"/>
        <v>1</v>
      </c>
      <c r="I58" s="46">
        <f t="shared" si="42"/>
        <v>1</v>
      </c>
      <c r="J58" s="46">
        <f t="shared" si="42"/>
        <v>1</v>
      </c>
      <c r="K58" s="46" t="e">
        <f>K57+ATM_Conf!$C$5*(T57-AC57)</f>
        <v>#DIV/0!</v>
      </c>
      <c r="L58" s="46" t="e">
        <f>L57+ATM_Conf!$C$5*(U57-AD57)</f>
        <v>#DIV/0!</v>
      </c>
      <c r="M58" s="46" t="e">
        <f>M57+ATM_Conf!$C$5*(V57-AE57)</f>
        <v>#DIV/0!</v>
      </c>
      <c r="N58" s="46" t="e">
        <f>N57+ATM_Conf!$C$5*(W57-AF57)</f>
        <v>#DIV/0!</v>
      </c>
      <c r="O58" s="46" t="e">
        <f>O57+ATM_Conf!$C$5*(X57-AG57)</f>
        <v>#DIV/0!</v>
      </c>
      <c r="P58" s="46" t="e">
        <f>P57+ATM_Conf!$C$5*(Y57-AH57)</f>
        <v>#DIV/0!</v>
      </c>
      <c r="Q58" s="46" t="e">
        <f>Q57+ATM_Conf!$C$5*(Z57-AI57)</f>
        <v>#DIV/0!</v>
      </c>
      <c r="R58" s="46" t="e">
        <f>R57+ATM_Conf!$C$5*(AA57-AJ57)</f>
        <v>#DIV/0!</v>
      </c>
      <c r="S58" s="46" t="e">
        <f>S57+ATM_Conf!$C$5*(AB57-AK57)</f>
        <v>#DIV/0!</v>
      </c>
      <c r="T58" s="46"/>
      <c r="U58" s="46"/>
      <c r="V58" s="46"/>
      <c r="W58" s="46"/>
      <c r="X58" s="46"/>
      <c r="Y58" s="46"/>
      <c r="Z58" s="46"/>
      <c r="AA58" s="46"/>
      <c r="AB58" s="46"/>
      <c r="AC58" s="46" t="e">
        <f t="shared" si="4"/>
        <v>#DIV/0!</v>
      </c>
      <c r="AD58" s="46" t="e">
        <f t="shared" si="5"/>
        <v>#DIV/0!</v>
      </c>
      <c r="AE58" s="46" t="e">
        <f t="shared" si="6"/>
        <v>#DIV/0!</v>
      </c>
      <c r="AF58" s="46" t="e">
        <f t="shared" si="7"/>
        <v>#DIV/0!</v>
      </c>
      <c r="AG58" s="46" t="e">
        <f t="shared" si="8"/>
        <v>#DIV/0!</v>
      </c>
      <c r="AH58" s="46" t="e">
        <f t="shared" si="9"/>
        <v>#DIV/0!</v>
      </c>
      <c r="AI58" s="46" t="e">
        <f t="shared" si="10"/>
        <v>#DIV/0!</v>
      </c>
      <c r="AJ58" s="46" t="e">
        <f t="shared" si="11"/>
        <v>#DIV/0!</v>
      </c>
      <c r="AK58" s="46" t="e">
        <f t="shared" si="12"/>
        <v>#DIV/0!</v>
      </c>
      <c r="AL58" s="46" t="e">
        <f>T$3+K58/ATM_Conf!$C$5</f>
        <v>#DIV/0!</v>
      </c>
      <c r="AM58" s="46" t="e">
        <f>U$3+L58/ATM_Conf!$C$5</f>
        <v>#DIV/0!</v>
      </c>
      <c r="AN58" s="46" t="e">
        <f>V$3+M58/ATM_Conf!$C$5</f>
        <v>#DIV/0!</v>
      </c>
      <c r="AO58" s="46" t="e">
        <f>W$3+N58/ATM_Conf!$C$5</f>
        <v>#DIV/0!</v>
      </c>
      <c r="AP58" s="46" t="e">
        <f>X$3+O58/ATM_Conf!$C$5</f>
        <v>#DIV/0!</v>
      </c>
      <c r="AQ58" s="46" t="e">
        <f>Y$3+P58/ATM_Conf!$C$5</f>
        <v>#DIV/0!</v>
      </c>
      <c r="AR58" s="46" t="e">
        <f>Z$3+Q58/ATM_Conf!$C$5</f>
        <v>#DIV/0!</v>
      </c>
      <c r="AS58" s="46" t="e">
        <f>AA$3+R58/ATM_Conf!$C$5</f>
        <v>#DIV/0!</v>
      </c>
      <c r="AT58" s="46" t="e">
        <f>AB$3+S58/ATM_Conf!$C$5</f>
        <v>#DIV/0!</v>
      </c>
      <c r="AU58" s="46" t="e">
        <f>BD$3*MIN(1,(ATM_Conf!$C$6-Links!F58)/(ATM_Conf!$C$6-ATM_Conf!$C$7))</f>
        <v>#DIV/0!</v>
      </c>
      <c r="AV58" s="46" t="e">
        <f>BE$3*MIN(1,(ATM_Conf!$C$6-Links!G58)/(ATM_Conf!$C$6-ATM_Conf!$C$7))</f>
        <v>#DIV/0!</v>
      </c>
      <c r="AW58" s="46" t="e">
        <f>BF$3*MIN(1,(ATM_Conf!$C$6-Links!H58)/(ATM_Conf!$C$6-ATM_Conf!$C$7))</f>
        <v>#DIV/0!</v>
      </c>
      <c r="AX58" s="46" t="e">
        <f>BG$3*MIN(1,(ATM_Conf!$C$6-Links!I58)/(ATM_Conf!$C$6-ATM_Conf!$C$7))</f>
        <v>#DIV/0!</v>
      </c>
      <c r="AY58" s="46" t="e">
        <f>BH$3*MIN(1,(ATM_Conf!$C$6-Links!J58)/(ATM_Conf!$C$6-ATM_Conf!$C$7))</f>
        <v>#DIV/0!</v>
      </c>
      <c r="AZ58" s="46" t="e">
        <f>BI$3*MIN(1,(ATM_Conf!$C$6-Links!K58)/(ATM_Conf!$C$6-ATM_Conf!$C$7))</f>
        <v>#DIV/0!</v>
      </c>
      <c r="BA58" s="46" t="e">
        <f>BJ$3*MIN(1,(ATM_Conf!$C$6-Links!L58)/(ATM_Conf!$C$6-ATM_Conf!$C$7))</f>
        <v>#DIV/0!</v>
      </c>
      <c r="BB58" s="46" t="e">
        <f>BK$3*MIN(1,(ATM_Conf!$C$6-Links!M58)/(ATM_Conf!$C$6-ATM_Conf!$C$7))</f>
        <v>#DIV/0!</v>
      </c>
      <c r="BC58" s="46" t="e">
        <f>BL$3*MIN(1,(ATM_Conf!$C$6-Links!N58)/(ATM_Conf!$C$6-ATM_Conf!$C$7))</f>
        <v>#DIV/0!</v>
      </c>
      <c r="BD58" s="46"/>
      <c r="BE58" s="46"/>
      <c r="BF58" s="46"/>
      <c r="BG58" s="46"/>
      <c r="BH58" s="46"/>
      <c r="BI58" s="46"/>
      <c r="BJ58" s="46"/>
      <c r="BK58" s="46"/>
      <c r="BL58" s="46"/>
      <c r="BM58" s="54"/>
      <c r="BN58" s="54"/>
      <c r="BO58" s="54"/>
      <c r="BP58" s="54"/>
      <c r="BQ58" s="54"/>
      <c r="BR58" s="54"/>
      <c r="BS58" s="54"/>
      <c r="BT58" s="54"/>
      <c r="BU58" s="54"/>
      <c r="BV58" s="46" t="e">
        <f t="shared" si="13"/>
        <v>#DIV/0!</v>
      </c>
      <c r="BW58" s="46" t="e">
        <f t="shared" si="14"/>
        <v>#DIV/0!</v>
      </c>
      <c r="BX58" s="46" t="e">
        <f t="shared" si="15"/>
        <v>#DIV/0!</v>
      </c>
      <c r="BY58" s="46" t="e">
        <f t="shared" si="16"/>
        <v>#DIV/0!</v>
      </c>
      <c r="BZ58" s="46" t="e">
        <f t="shared" si="17"/>
        <v>#DIV/0!</v>
      </c>
      <c r="CA58" s="46" t="e">
        <f t="shared" si="18"/>
        <v>#DIV/0!</v>
      </c>
      <c r="CB58" s="46" t="e">
        <f t="shared" si="19"/>
        <v>#DIV/0!</v>
      </c>
      <c r="CC58" s="46" t="e">
        <f t="shared" si="20"/>
        <v>#DIV/0!</v>
      </c>
      <c r="CD58" s="46" t="e">
        <f t="shared" si="21"/>
        <v>#DIV/0!</v>
      </c>
      <c r="CE58" s="56" t="e">
        <f t="shared" si="22"/>
        <v>#DIV/0!</v>
      </c>
      <c r="CF58" s="56" t="e">
        <f t="shared" si="23"/>
        <v>#DIV/0!</v>
      </c>
      <c r="CG58" s="56" t="e">
        <f t="shared" si="24"/>
        <v>#DIV/0!</v>
      </c>
      <c r="CH58" s="56" t="e">
        <f t="shared" si="25"/>
        <v>#DIV/0!</v>
      </c>
      <c r="CI58" s="56" t="e">
        <f t="shared" si="26"/>
        <v>#DIV/0!</v>
      </c>
      <c r="CJ58" s="56" t="e">
        <f t="shared" si="27"/>
        <v>#DIV/0!</v>
      </c>
      <c r="CK58" s="56" t="e">
        <f t="shared" si="28"/>
        <v>#DIV/0!</v>
      </c>
      <c r="CL58" s="56" t="e">
        <f t="shared" si="29"/>
        <v>#DIV/0!</v>
      </c>
      <c r="CM58" s="56" t="e">
        <f t="shared" si="30"/>
        <v>#DIV/0!</v>
      </c>
    </row>
    <row r="59" spans="1:91" x14ac:dyDescent="0.15">
      <c r="A59" s="43">
        <v>57</v>
      </c>
      <c r="B59" s="46">
        <f t="shared" si="43"/>
        <v>1</v>
      </c>
      <c r="C59" s="46">
        <f t="shared" si="42"/>
        <v>1</v>
      </c>
      <c r="D59" s="46">
        <f t="shared" si="42"/>
        <v>1</v>
      </c>
      <c r="E59" s="46">
        <f t="shared" si="42"/>
        <v>1</v>
      </c>
      <c r="F59" s="46">
        <f t="shared" si="42"/>
        <v>1</v>
      </c>
      <c r="G59" s="46">
        <f t="shared" si="42"/>
        <v>1</v>
      </c>
      <c r="H59" s="46">
        <f t="shared" si="42"/>
        <v>1</v>
      </c>
      <c r="I59" s="46">
        <f t="shared" si="42"/>
        <v>1</v>
      </c>
      <c r="J59" s="46">
        <f t="shared" si="42"/>
        <v>1</v>
      </c>
      <c r="K59" s="46" t="e">
        <f>K58+ATM_Conf!$C$5*(T58-AC58)</f>
        <v>#DIV/0!</v>
      </c>
      <c r="L59" s="46" t="e">
        <f>L58+ATM_Conf!$C$5*(U58-AD58)</f>
        <v>#DIV/0!</v>
      </c>
      <c r="M59" s="46" t="e">
        <f>M58+ATM_Conf!$C$5*(V58-AE58)</f>
        <v>#DIV/0!</v>
      </c>
      <c r="N59" s="46" t="e">
        <f>N58+ATM_Conf!$C$5*(W58-AF58)</f>
        <v>#DIV/0!</v>
      </c>
      <c r="O59" s="46" t="e">
        <f>O58+ATM_Conf!$C$5*(X58-AG58)</f>
        <v>#DIV/0!</v>
      </c>
      <c r="P59" s="46" t="e">
        <f>P58+ATM_Conf!$C$5*(Y58-AH58)</f>
        <v>#DIV/0!</v>
      </c>
      <c r="Q59" s="46" t="e">
        <f>Q58+ATM_Conf!$C$5*(Z58-AI58)</f>
        <v>#DIV/0!</v>
      </c>
      <c r="R59" s="46" t="e">
        <f>R58+ATM_Conf!$C$5*(AA58-AJ58)</f>
        <v>#DIV/0!</v>
      </c>
      <c r="S59" s="46" t="e">
        <f>S58+ATM_Conf!$C$5*(AB58-AK58)</f>
        <v>#DIV/0!</v>
      </c>
      <c r="T59" s="46"/>
      <c r="U59" s="46"/>
      <c r="V59" s="46"/>
      <c r="W59" s="46"/>
      <c r="X59" s="46"/>
      <c r="Y59" s="46"/>
      <c r="Z59" s="46"/>
      <c r="AA59" s="46"/>
      <c r="AB59" s="46"/>
      <c r="AC59" s="46" t="e">
        <f t="shared" si="4"/>
        <v>#DIV/0!</v>
      </c>
      <c r="AD59" s="46" t="e">
        <f t="shared" si="5"/>
        <v>#DIV/0!</v>
      </c>
      <c r="AE59" s="46" t="e">
        <f t="shared" si="6"/>
        <v>#DIV/0!</v>
      </c>
      <c r="AF59" s="46" t="e">
        <f t="shared" si="7"/>
        <v>#DIV/0!</v>
      </c>
      <c r="AG59" s="46" t="e">
        <f t="shared" si="8"/>
        <v>#DIV/0!</v>
      </c>
      <c r="AH59" s="46" t="e">
        <f t="shared" si="9"/>
        <v>#DIV/0!</v>
      </c>
      <c r="AI59" s="46" t="e">
        <f t="shared" si="10"/>
        <v>#DIV/0!</v>
      </c>
      <c r="AJ59" s="46" t="e">
        <f t="shared" si="11"/>
        <v>#DIV/0!</v>
      </c>
      <c r="AK59" s="46" t="e">
        <f t="shared" si="12"/>
        <v>#DIV/0!</v>
      </c>
      <c r="AL59" s="46" t="e">
        <f>T$3+K59/ATM_Conf!$C$5</f>
        <v>#DIV/0!</v>
      </c>
      <c r="AM59" s="46" t="e">
        <f>U$3+L59/ATM_Conf!$C$5</f>
        <v>#DIV/0!</v>
      </c>
      <c r="AN59" s="46" t="e">
        <f>V$3+M59/ATM_Conf!$C$5</f>
        <v>#DIV/0!</v>
      </c>
      <c r="AO59" s="46" t="e">
        <f>W$3+N59/ATM_Conf!$C$5</f>
        <v>#DIV/0!</v>
      </c>
      <c r="AP59" s="46" t="e">
        <f>X$3+O59/ATM_Conf!$C$5</f>
        <v>#DIV/0!</v>
      </c>
      <c r="AQ59" s="46" t="e">
        <f>Y$3+P59/ATM_Conf!$C$5</f>
        <v>#DIV/0!</v>
      </c>
      <c r="AR59" s="46" t="e">
        <f>Z$3+Q59/ATM_Conf!$C$5</f>
        <v>#DIV/0!</v>
      </c>
      <c r="AS59" s="46" t="e">
        <f>AA$3+R59/ATM_Conf!$C$5</f>
        <v>#DIV/0!</v>
      </c>
      <c r="AT59" s="46" t="e">
        <f>AB$3+S59/ATM_Conf!$C$5</f>
        <v>#DIV/0!</v>
      </c>
      <c r="AU59" s="46" t="e">
        <f>BD$3*MIN(1,(ATM_Conf!$C$6-Links!F59)/(ATM_Conf!$C$6-ATM_Conf!$C$7))</f>
        <v>#DIV/0!</v>
      </c>
      <c r="AV59" s="46" t="e">
        <f>BE$3*MIN(1,(ATM_Conf!$C$6-Links!G59)/(ATM_Conf!$C$6-ATM_Conf!$C$7))</f>
        <v>#DIV/0!</v>
      </c>
      <c r="AW59" s="46" t="e">
        <f>BF$3*MIN(1,(ATM_Conf!$C$6-Links!H59)/(ATM_Conf!$C$6-ATM_Conf!$C$7))</f>
        <v>#DIV/0!</v>
      </c>
      <c r="AX59" s="46" t="e">
        <f>BG$3*MIN(1,(ATM_Conf!$C$6-Links!I59)/(ATM_Conf!$C$6-ATM_Conf!$C$7))</f>
        <v>#DIV/0!</v>
      </c>
      <c r="AY59" s="46" t="e">
        <f>BH$3*MIN(1,(ATM_Conf!$C$6-Links!J59)/(ATM_Conf!$C$6-ATM_Conf!$C$7))</f>
        <v>#DIV/0!</v>
      </c>
      <c r="AZ59" s="46" t="e">
        <f>BI$3*MIN(1,(ATM_Conf!$C$6-Links!K59)/(ATM_Conf!$C$6-ATM_Conf!$C$7))</f>
        <v>#DIV/0!</v>
      </c>
      <c r="BA59" s="46" t="e">
        <f>BJ$3*MIN(1,(ATM_Conf!$C$6-Links!L59)/(ATM_Conf!$C$6-ATM_Conf!$C$7))</f>
        <v>#DIV/0!</v>
      </c>
      <c r="BB59" s="46" t="e">
        <f>BK$3*MIN(1,(ATM_Conf!$C$6-Links!M59)/(ATM_Conf!$C$6-ATM_Conf!$C$7))</f>
        <v>#DIV/0!</v>
      </c>
      <c r="BC59" s="46" t="e">
        <f>BL$3*MIN(1,(ATM_Conf!$C$6-Links!N59)/(ATM_Conf!$C$6-ATM_Conf!$C$7))</f>
        <v>#DIV/0!</v>
      </c>
      <c r="BD59" s="46"/>
      <c r="BE59" s="46"/>
      <c r="BF59" s="46"/>
      <c r="BG59" s="46"/>
      <c r="BH59" s="46"/>
      <c r="BI59" s="46"/>
      <c r="BJ59" s="46"/>
      <c r="BK59" s="46"/>
      <c r="BL59" s="46"/>
      <c r="BM59" s="54"/>
      <c r="BN59" s="54"/>
      <c r="BO59" s="54"/>
      <c r="BP59" s="54"/>
      <c r="BQ59" s="54"/>
      <c r="BR59" s="54"/>
      <c r="BS59" s="54"/>
      <c r="BT59" s="54"/>
      <c r="BU59" s="54"/>
      <c r="BV59" s="46" t="e">
        <f t="shared" si="13"/>
        <v>#DIV/0!</v>
      </c>
      <c r="BW59" s="46" t="e">
        <f t="shared" si="14"/>
        <v>#DIV/0!</v>
      </c>
      <c r="BX59" s="46" t="e">
        <f t="shared" si="15"/>
        <v>#DIV/0!</v>
      </c>
      <c r="BY59" s="46" t="e">
        <f t="shared" si="16"/>
        <v>#DIV/0!</v>
      </c>
      <c r="BZ59" s="46" t="e">
        <f t="shared" si="17"/>
        <v>#DIV/0!</v>
      </c>
      <c r="CA59" s="46" t="e">
        <f t="shared" si="18"/>
        <v>#DIV/0!</v>
      </c>
      <c r="CB59" s="46" t="e">
        <f t="shared" si="19"/>
        <v>#DIV/0!</v>
      </c>
      <c r="CC59" s="46" t="e">
        <f t="shared" si="20"/>
        <v>#DIV/0!</v>
      </c>
      <c r="CD59" s="46" t="e">
        <f t="shared" si="21"/>
        <v>#DIV/0!</v>
      </c>
      <c r="CE59" s="56" t="e">
        <f t="shared" si="22"/>
        <v>#DIV/0!</v>
      </c>
      <c r="CF59" s="56" t="e">
        <f t="shared" si="23"/>
        <v>#DIV/0!</v>
      </c>
      <c r="CG59" s="56" t="e">
        <f t="shared" si="24"/>
        <v>#DIV/0!</v>
      </c>
      <c r="CH59" s="56" t="e">
        <f t="shared" si="25"/>
        <v>#DIV/0!</v>
      </c>
      <c r="CI59" s="56" t="e">
        <f t="shared" si="26"/>
        <v>#DIV/0!</v>
      </c>
      <c r="CJ59" s="56" t="e">
        <f t="shared" si="27"/>
        <v>#DIV/0!</v>
      </c>
      <c r="CK59" s="56" t="e">
        <f t="shared" si="28"/>
        <v>#DIV/0!</v>
      </c>
      <c r="CL59" s="56" t="e">
        <f t="shared" si="29"/>
        <v>#DIV/0!</v>
      </c>
      <c r="CM59" s="56" t="e">
        <f t="shared" si="30"/>
        <v>#DIV/0!</v>
      </c>
    </row>
    <row r="60" spans="1:91" x14ac:dyDescent="0.15">
      <c r="A60" s="43">
        <v>58</v>
      </c>
      <c r="B60" s="46">
        <f t="shared" si="43"/>
        <v>1</v>
      </c>
      <c r="C60" s="46">
        <f t="shared" si="42"/>
        <v>1</v>
      </c>
      <c r="D60" s="46">
        <f t="shared" si="42"/>
        <v>1</v>
      </c>
      <c r="E60" s="46">
        <f t="shared" si="42"/>
        <v>1</v>
      </c>
      <c r="F60" s="46">
        <f t="shared" si="42"/>
        <v>1</v>
      </c>
      <c r="G60" s="46">
        <f t="shared" si="42"/>
        <v>1</v>
      </c>
      <c r="H60" s="46">
        <f t="shared" si="42"/>
        <v>1</v>
      </c>
      <c r="I60" s="46">
        <f t="shared" si="42"/>
        <v>1</v>
      </c>
      <c r="J60" s="46">
        <f t="shared" si="42"/>
        <v>1</v>
      </c>
      <c r="K60" s="46" t="e">
        <f>K59+ATM_Conf!$C$5*(T59-AC59)</f>
        <v>#DIV/0!</v>
      </c>
      <c r="L60" s="46" t="e">
        <f>L59+ATM_Conf!$C$5*(U59-AD59)</f>
        <v>#DIV/0!</v>
      </c>
      <c r="M60" s="46" t="e">
        <f>M59+ATM_Conf!$C$5*(V59-AE59)</f>
        <v>#DIV/0!</v>
      </c>
      <c r="N60" s="46" t="e">
        <f>N59+ATM_Conf!$C$5*(W59-AF59)</f>
        <v>#DIV/0!</v>
      </c>
      <c r="O60" s="46" t="e">
        <f>O59+ATM_Conf!$C$5*(X59-AG59)</f>
        <v>#DIV/0!</v>
      </c>
      <c r="P60" s="46" t="e">
        <f>P59+ATM_Conf!$C$5*(Y59-AH59)</f>
        <v>#DIV/0!</v>
      </c>
      <c r="Q60" s="46" t="e">
        <f>Q59+ATM_Conf!$C$5*(Z59-AI59)</f>
        <v>#DIV/0!</v>
      </c>
      <c r="R60" s="46" t="e">
        <f>R59+ATM_Conf!$C$5*(AA59-AJ59)</f>
        <v>#DIV/0!</v>
      </c>
      <c r="S60" s="46" t="e">
        <f>S59+ATM_Conf!$C$5*(AB59-AK59)</f>
        <v>#DIV/0!</v>
      </c>
      <c r="T60" s="46"/>
      <c r="U60" s="46"/>
      <c r="V60" s="46"/>
      <c r="W60" s="46"/>
      <c r="X60" s="46"/>
      <c r="Y60" s="46"/>
      <c r="Z60" s="46"/>
      <c r="AA60" s="46"/>
      <c r="AB60" s="46"/>
      <c r="AC60" s="46" t="e">
        <f t="shared" si="4"/>
        <v>#DIV/0!</v>
      </c>
      <c r="AD60" s="46" t="e">
        <f t="shared" si="5"/>
        <v>#DIV/0!</v>
      </c>
      <c r="AE60" s="46" t="e">
        <f t="shared" si="6"/>
        <v>#DIV/0!</v>
      </c>
      <c r="AF60" s="46" t="e">
        <f t="shared" si="7"/>
        <v>#DIV/0!</v>
      </c>
      <c r="AG60" s="46" t="e">
        <f t="shared" si="8"/>
        <v>#DIV/0!</v>
      </c>
      <c r="AH60" s="46" t="e">
        <f t="shared" si="9"/>
        <v>#DIV/0!</v>
      </c>
      <c r="AI60" s="46" t="e">
        <f t="shared" si="10"/>
        <v>#DIV/0!</v>
      </c>
      <c r="AJ60" s="46" t="e">
        <f t="shared" si="11"/>
        <v>#DIV/0!</v>
      </c>
      <c r="AK60" s="46" t="e">
        <f t="shared" si="12"/>
        <v>#DIV/0!</v>
      </c>
      <c r="AL60" s="46" t="e">
        <f>T$3+K60/ATM_Conf!$C$5</f>
        <v>#DIV/0!</v>
      </c>
      <c r="AM60" s="46" t="e">
        <f>U$3+L60/ATM_Conf!$C$5</f>
        <v>#DIV/0!</v>
      </c>
      <c r="AN60" s="46" t="e">
        <f>V$3+M60/ATM_Conf!$C$5</f>
        <v>#DIV/0!</v>
      </c>
      <c r="AO60" s="46" t="e">
        <f>W$3+N60/ATM_Conf!$C$5</f>
        <v>#DIV/0!</v>
      </c>
      <c r="AP60" s="46" t="e">
        <f>X$3+O60/ATM_Conf!$C$5</f>
        <v>#DIV/0!</v>
      </c>
      <c r="AQ60" s="46" t="e">
        <f>Y$3+P60/ATM_Conf!$C$5</f>
        <v>#DIV/0!</v>
      </c>
      <c r="AR60" s="46" t="e">
        <f>Z$3+Q60/ATM_Conf!$C$5</f>
        <v>#DIV/0!</v>
      </c>
      <c r="AS60" s="46" t="e">
        <f>AA$3+R60/ATM_Conf!$C$5</f>
        <v>#DIV/0!</v>
      </c>
      <c r="AT60" s="46" t="e">
        <f>AB$3+S60/ATM_Conf!$C$5</f>
        <v>#DIV/0!</v>
      </c>
      <c r="AU60" s="46" t="e">
        <f>BD$3*MIN(1,(ATM_Conf!$C$6-Links!F60)/(ATM_Conf!$C$6-ATM_Conf!$C$7))</f>
        <v>#DIV/0!</v>
      </c>
      <c r="AV60" s="46" t="e">
        <f>BE$3*MIN(1,(ATM_Conf!$C$6-Links!G60)/(ATM_Conf!$C$6-ATM_Conf!$C$7))</f>
        <v>#DIV/0!</v>
      </c>
      <c r="AW60" s="46" t="e">
        <f>BF$3*MIN(1,(ATM_Conf!$C$6-Links!H60)/(ATM_Conf!$C$6-ATM_Conf!$C$7))</f>
        <v>#DIV/0!</v>
      </c>
      <c r="AX60" s="46" t="e">
        <f>BG$3*MIN(1,(ATM_Conf!$C$6-Links!I60)/(ATM_Conf!$C$6-ATM_Conf!$C$7))</f>
        <v>#DIV/0!</v>
      </c>
      <c r="AY60" s="46" t="e">
        <f>BH$3*MIN(1,(ATM_Conf!$C$6-Links!J60)/(ATM_Conf!$C$6-ATM_Conf!$C$7))</f>
        <v>#DIV/0!</v>
      </c>
      <c r="AZ60" s="46" t="e">
        <f>BI$3*MIN(1,(ATM_Conf!$C$6-Links!K60)/(ATM_Conf!$C$6-ATM_Conf!$C$7))</f>
        <v>#DIV/0!</v>
      </c>
      <c r="BA60" s="46" t="e">
        <f>BJ$3*MIN(1,(ATM_Conf!$C$6-Links!L60)/(ATM_Conf!$C$6-ATM_Conf!$C$7))</f>
        <v>#DIV/0!</v>
      </c>
      <c r="BB60" s="46" t="e">
        <f>BK$3*MIN(1,(ATM_Conf!$C$6-Links!M60)/(ATM_Conf!$C$6-ATM_Conf!$C$7))</f>
        <v>#DIV/0!</v>
      </c>
      <c r="BC60" s="46" t="e">
        <f>BL$3*MIN(1,(ATM_Conf!$C$6-Links!N60)/(ATM_Conf!$C$6-ATM_Conf!$C$7))</f>
        <v>#DIV/0!</v>
      </c>
      <c r="BD60" s="46"/>
      <c r="BE60" s="46"/>
      <c r="BF60" s="46"/>
      <c r="BG60" s="46"/>
      <c r="BH60" s="46"/>
      <c r="BI60" s="46"/>
      <c r="BJ60" s="46"/>
      <c r="BK60" s="46"/>
      <c r="BL60" s="46"/>
      <c r="BM60" s="54"/>
      <c r="BN60" s="54"/>
      <c r="BO60" s="54"/>
      <c r="BP60" s="54"/>
      <c r="BQ60" s="54"/>
      <c r="BR60" s="54"/>
      <c r="BS60" s="54"/>
      <c r="BT60" s="54"/>
      <c r="BU60" s="54"/>
      <c r="BV60" s="46" t="e">
        <f t="shared" si="13"/>
        <v>#DIV/0!</v>
      </c>
      <c r="BW60" s="46" t="e">
        <f t="shared" si="14"/>
        <v>#DIV/0!</v>
      </c>
      <c r="BX60" s="46" t="e">
        <f t="shared" si="15"/>
        <v>#DIV/0!</v>
      </c>
      <c r="BY60" s="46" t="e">
        <f t="shared" si="16"/>
        <v>#DIV/0!</v>
      </c>
      <c r="BZ60" s="46" t="e">
        <f t="shared" si="17"/>
        <v>#DIV/0!</v>
      </c>
      <c r="CA60" s="46" t="e">
        <f t="shared" si="18"/>
        <v>#DIV/0!</v>
      </c>
      <c r="CB60" s="46" t="e">
        <f t="shared" si="19"/>
        <v>#DIV/0!</v>
      </c>
      <c r="CC60" s="46" t="e">
        <f t="shared" si="20"/>
        <v>#DIV/0!</v>
      </c>
      <c r="CD60" s="46" t="e">
        <f t="shared" si="21"/>
        <v>#DIV/0!</v>
      </c>
      <c r="CE60" s="56" t="e">
        <f t="shared" si="22"/>
        <v>#DIV/0!</v>
      </c>
      <c r="CF60" s="56" t="e">
        <f t="shared" si="23"/>
        <v>#DIV/0!</v>
      </c>
      <c r="CG60" s="56" t="e">
        <f t="shared" si="24"/>
        <v>#DIV/0!</v>
      </c>
      <c r="CH60" s="56" t="e">
        <f t="shared" si="25"/>
        <v>#DIV/0!</v>
      </c>
      <c r="CI60" s="56" t="e">
        <f t="shared" si="26"/>
        <v>#DIV/0!</v>
      </c>
      <c r="CJ60" s="56" t="e">
        <f t="shared" si="27"/>
        <v>#DIV/0!</v>
      </c>
      <c r="CK60" s="56" t="e">
        <f t="shared" si="28"/>
        <v>#DIV/0!</v>
      </c>
      <c r="CL60" s="56" t="e">
        <f t="shared" si="29"/>
        <v>#DIV/0!</v>
      </c>
      <c r="CM60" s="56" t="e">
        <f t="shared" si="30"/>
        <v>#DIV/0!</v>
      </c>
    </row>
    <row r="61" spans="1:91" x14ac:dyDescent="0.15">
      <c r="A61" s="43">
        <v>59</v>
      </c>
      <c r="B61" s="46">
        <f t="shared" si="43"/>
        <v>1</v>
      </c>
      <c r="C61" s="46">
        <f t="shared" si="42"/>
        <v>1</v>
      </c>
      <c r="D61" s="46">
        <f t="shared" si="42"/>
        <v>1</v>
      </c>
      <c r="E61" s="46">
        <f t="shared" si="42"/>
        <v>1</v>
      </c>
      <c r="F61" s="46">
        <f t="shared" si="42"/>
        <v>1</v>
      </c>
      <c r="G61" s="46">
        <f t="shared" si="42"/>
        <v>1</v>
      </c>
      <c r="H61" s="46">
        <f t="shared" si="42"/>
        <v>1</v>
      </c>
      <c r="I61" s="46">
        <f t="shared" si="42"/>
        <v>1</v>
      </c>
      <c r="J61" s="46">
        <f t="shared" si="42"/>
        <v>1</v>
      </c>
      <c r="K61" s="46" t="e">
        <f>K60+ATM_Conf!$C$5*(T60-AC60)</f>
        <v>#DIV/0!</v>
      </c>
      <c r="L61" s="46" t="e">
        <f>L60+ATM_Conf!$C$5*(U60-AD60)</f>
        <v>#DIV/0!</v>
      </c>
      <c r="M61" s="46" t="e">
        <f>M60+ATM_Conf!$C$5*(V60-AE60)</f>
        <v>#DIV/0!</v>
      </c>
      <c r="N61" s="46" t="e">
        <f>N60+ATM_Conf!$C$5*(W60-AF60)</f>
        <v>#DIV/0!</v>
      </c>
      <c r="O61" s="46" t="e">
        <f>O60+ATM_Conf!$C$5*(X60-AG60)</f>
        <v>#DIV/0!</v>
      </c>
      <c r="P61" s="46" t="e">
        <f>P60+ATM_Conf!$C$5*(Y60-AH60)</f>
        <v>#DIV/0!</v>
      </c>
      <c r="Q61" s="46" t="e">
        <f>Q60+ATM_Conf!$C$5*(Z60-AI60)</f>
        <v>#DIV/0!</v>
      </c>
      <c r="R61" s="46" t="e">
        <f>R60+ATM_Conf!$C$5*(AA60-AJ60)</f>
        <v>#DIV/0!</v>
      </c>
      <c r="S61" s="46" t="e">
        <f>S60+ATM_Conf!$C$5*(AB60-AK60)</f>
        <v>#DIV/0!</v>
      </c>
      <c r="T61" s="46"/>
      <c r="U61" s="46"/>
      <c r="V61" s="46"/>
      <c r="W61" s="46"/>
      <c r="X61" s="46"/>
      <c r="Y61" s="46"/>
      <c r="Z61" s="46"/>
      <c r="AA61" s="46"/>
      <c r="AB61" s="46"/>
      <c r="AC61" s="46" t="e">
        <f t="shared" si="4"/>
        <v>#DIV/0!</v>
      </c>
      <c r="AD61" s="46" t="e">
        <f t="shared" si="5"/>
        <v>#DIV/0!</v>
      </c>
      <c r="AE61" s="46" t="e">
        <f t="shared" si="6"/>
        <v>#DIV/0!</v>
      </c>
      <c r="AF61" s="46" t="e">
        <f t="shared" si="7"/>
        <v>#DIV/0!</v>
      </c>
      <c r="AG61" s="46" t="e">
        <f t="shared" si="8"/>
        <v>#DIV/0!</v>
      </c>
      <c r="AH61" s="46" t="e">
        <f t="shared" si="9"/>
        <v>#DIV/0!</v>
      </c>
      <c r="AI61" s="46" t="e">
        <f t="shared" si="10"/>
        <v>#DIV/0!</v>
      </c>
      <c r="AJ61" s="46" t="e">
        <f t="shared" si="11"/>
        <v>#DIV/0!</v>
      </c>
      <c r="AK61" s="46" t="e">
        <f t="shared" si="12"/>
        <v>#DIV/0!</v>
      </c>
      <c r="AL61" s="46" t="e">
        <f>T$3+K61/ATM_Conf!$C$5</f>
        <v>#DIV/0!</v>
      </c>
      <c r="AM61" s="46" t="e">
        <f>U$3+L61/ATM_Conf!$C$5</f>
        <v>#DIV/0!</v>
      </c>
      <c r="AN61" s="46" t="e">
        <f>V$3+M61/ATM_Conf!$C$5</f>
        <v>#DIV/0!</v>
      </c>
      <c r="AO61" s="46" t="e">
        <f>W$3+N61/ATM_Conf!$C$5</f>
        <v>#DIV/0!</v>
      </c>
      <c r="AP61" s="46" t="e">
        <f>X$3+O61/ATM_Conf!$C$5</f>
        <v>#DIV/0!</v>
      </c>
      <c r="AQ61" s="46" t="e">
        <f>Y$3+P61/ATM_Conf!$C$5</f>
        <v>#DIV/0!</v>
      </c>
      <c r="AR61" s="46" t="e">
        <f>Z$3+Q61/ATM_Conf!$C$5</f>
        <v>#DIV/0!</v>
      </c>
      <c r="AS61" s="46" t="e">
        <f>AA$3+R61/ATM_Conf!$C$5</f>
        <v>#DIV/0!</v>
      </c>
      <c r="AT61" s="46" t="e">
        <f>AB$3+S61/ATM_Conf!$C$5</f>
        <v>#DIV/0!</v>
      </c>
      <c r="AU61" s="46" t="e">
        <f>BD$3*MIN(1,(ATM_Conf!$C$6-Links!F61)/(ATM_Conf!$C$6-ATM_Conf!$C$7))</f>
        <v>#DIV/0!</v>
      </c>
      <c r="AV61" s="46" t="e">
        <f>BE$3*MIN(1,(ATM_Conf!$C$6-Links!G61)/(ATM_Conf!$C$6-ATM_Conf!$C$7))</f>
        <v>#DIV/0!</v>
      </c>
      <c r="AW61" s="46" t="e">
        <f>BF$3*MIN(1,(ATM_Conf!$C$6-Links!H61)/(ATM_Conf!$C$6-ATM_Conf!$C$7))</f>
        <v>#DIV/0!</v>
      </c>
      <c r="AX61" s="46" t="e">
        <f>BG$3*MIN(1,(ATM_Conf!$C$6-Links!I61)/(ATM_Conf!$C$6-ATM_Conf!$C$7))</f>
        <v>#DIV/0!</v>
      </c>
      <c r="AY61" s="46" t="e">
        <f>BH$3*MIN(1,(ATM_Conf!$C$6-Links!J61)/(ATM_Conf!$C$6-ATM_Conf!$C$7))</f>
        <v>#DIV/0!</v>
      </c>
      <c r="AZ61" s="46" t="e">
        <f>BI$3*MIN(1,(ATM_Conf!$C$6-Links!K61)/(ATM_Conf!$C$6-ATM_Conf!$C$7))</f>
        <v>#DIV/0!</v>
      </c>
      <c r="BA61" s="46" t="e">
        <f>BJ$3*MIN(1,(ATM_Conf!$C$6-Links!L61)/(ATM_Conf!$C$6-ATM_Conf!$C$7))</f>
        <v>#DIV/0!</v>
      </c>
      <c r="BB61" s="46" t="e">
        <f>BK$3*MIN(1,(ATM_Conf!$C$6-Links!M61)/(ATM_Conf!$C$6-ATM_Conf!$C$7))</f>
        <v>#DIV/0!</v>
      </c>
      <c r="BC61" s="46" t="e">
        <f>BL$3*MIN(1,(ATM_Conf!$C$6-Links!N61)/(ATM_Conf!$C$6-ATM_Conf!$C$7))</f>
        <v>#DIV/0!</v>
      </c>
      <c r="BD61" s="46"/>
      <c r="BE61" s="46"/>
      <c r="BF61" s="46"/>
      <c r="BG61" s="46"/>
      <c r="BH61" s="46"/>
      <c r="BI61" s="46"/>
      <c r="BJ61" s="46"/>
      <c r="BK61" s="46"/>
      <c r="BL61" s="46"/>
      <c r="BM61" s="54"/>
      <c r="BN61" s="54"/>
      <c r="BO61" s="54"/>
      <c r="BP61" s="54"/>
      <c r="BQ61" s="54"/>
      <c r="BR61" s="54"/>
      <c r="BS61" s="54"/>
      <c r="BT61" s="54"/>
      <c r="BU61" s="54"/>
      <c r="BV61" s="46" t="e">
        <f t="shared" si="13"/>
        <v>#DIV/0!</v>
      </c>
      <c r="BW61" s="46" t="e">
        <f t="shared" si="14"/>
        <v>#DIV/0!</v>
      </c>
      <c r="BX61" s="46" t="e">
        <f t="shared" si="15"/>
        <v>#DIV/0!</v>
      </c>
      <c r="BY61" s="46" t="e">
        <f t="shared" si="16"/>
        <v>#DIV/0!</v>
      </c>
      <c r="BZ61" s="46" t="e">
        <f t="shared" si="17"/>
        <v>#DIV/0!</v>
      </c>
      <c r="CA61" s="46" t="e">
        <f t="shared" si="18"/>
        <v>#DIV/0!</v>
      </c>
      <c r="CB61" s="46" t="e">
        <f t="shared" si="19"/>
        <v>#DIV/0!</v>
      </c>
      <c r="CC61" s="46" t="e">
        <f t="shared" si="20"/>
        <v>#DIV/0!</v>
      </c>
      <c r="CD61" s="46" t="e">
        <f t="shared" si="21"/>
        <v>#DIV/0!</v>
      </c>
      <c r="CE61" s="56" t="e">
        <f t="shared" si="22"/>
        <v>#DIV/0!</v>
      </c>
      <c r="CF61" s="56" t="e">
        <f t="shared" si="23"/>
        <v>#DIV/0!</v>
      </c>
      <c r="CG61" s="56" t="e">
        <f t="shared" si="24"/>
        <v>#DIV/0!</v>
      </c>
      <c r="CH61" s="56" t="e">
        <f t="shared" si="25"/>
        <v>#DIV/0!</v>
      </c>
      <c r="CI61" s="56" t="e">
        <f t="shared" si="26"/>
        <v>#DIV/0!</v>
      </c>
      <c r="CJ61" s="56" t="e">
        <f t="shared" si="27"/>
        <v>#DIV/0!</v>
      </c>
      <c r="CK61" s="56" t="e">
        <f t="shared" si="28"/>
        <v>#DIV/0!</v>
      </c>
      <c r="CL61" s="56" t="e">
        <f t="shared" si="29"/>
        <v>#DIV/0!</v>
      </c>
      <c r="CM61" s="56" t="e">
        <f t="shared" si="30"/>
        <v>#DIV/0!</v>
      </c>
    </row>
    <row r="62" spans="1:91" x14ac:dyDescent="0.15">
      <c r="A62" s="43">
        <v>60</v>
      </c>
      <c r="B62" s="46">
        <f t="shared" si="43"/>
        <v>1</v>
      </c>
      <c r="C62" s="46">
        <f t="shared" si="42"/>
        <v>1</v>
      </c>
      <c r="D62" s="46">
        <f t="shared" si="42"/>
        <v>1</v>
      </c>
      <c r="E62" s="46">
        <f t="shared" si="42"/>
        <v>1</v>
      </c>
      <c r="F62" s="46">
        <f t="shared" si="42"/>
        <v>1</v>
      </c>
      <c r="G62" s="46">
        <f t="shared" si="42"/>
        <v>1</v>
      </c>
      <c r="H62" s="46">
        <f t="shared" si="42"/>
        <v>1</v>
      </c>
      <c r="I62" s="46">
        <f t="shared" si="42"/>
        <v>1</v>
      </c>
      <c r="J62" s="46">
        <f t="shared" si="42"/>
        <v>1</v>
      </c>
      <c r="K62" s="46" t="e">
        <f>K61+ATM_Conf!$C$5*(T61-AC61)</f>
        <v>#DIV/0!</v>
      </c>
      <c r="L62" s="46" t="e">
        <f>L61+ATM_Conf!$C$5*(U61-AD61)</f>
        <v>#DIV/0!</v>
      </c>
      <c r="M62" s="46" t="e">
        <f>M61+ATM_Conf!$C$5*(V61-AE61)</f>
        <v>#DIV/0!</v>
      </c>
      <c r="N62" s="46" t="e">
        <f>N61+ATM_Conf!$C$5*(W61-AF61)</f>
        <v>#DIV/0!</v>
      </c>
      <c r="O62" s="46" t="e">
        <f>O61+ATM_Conf!$C$5*(X61-AG61)</f>
        <v>#DIV/0!</v>
      </c>
      <c r="P62" s="46" t="e">
        <f>P61+ATM_Conf!$C$5*(Y61-AH61)</f>
        <v>#DIV/0!</v>
      </c>
      <c r="Q62" s="46" t="e">
        <f>Q61+ATM_Conf!$C$5*(Z61-AI61)</f>
        <v>#DIV/0!</v>
      </c>
      <c r="R62" s="46" t="e">
        <f>R61+ATM_Conf!$C$5*(AA61-AJ61)</f>
        <v>#DIV/0!</v>
      </c>
      <c r="S62" s="46" t="e">
        <f>S61+ATM_Conf!$C$5*(AB61-AK61)</f>
        <v>#DIV/0!</v>
      </c>
      <c r="T62" s="46"/>
      <c r="U62" s="46"/>
      <c r="V62" s="46"/>
      <c r="W62" s="46"/>
      <c r="X62" s="46"/>
      <c r="Y62" s="46"/>
      <c r="Z62" s="46"/>
      <c r="AA62" s="46"/>
      <c r="AB62" s="46"/>
      <c r="AC62" s="46" t="e">
        <f t="shared" si="4"/>
        <v>#DIV/0!</v>
      </c>
      <c r="AD62" s="46" t="e">
        <f t="shared" si="5"/>
        <v>#DIV/0!</v>
      </c>
      <c r="AE62" s="46" t="e">
        <f t="shared" si="6"/>
        <v>#DIV/0!</v>
      </c>
      <c r="AF62" s="46" t="e">
        <f t="shared" si="7"/>
        <v>#DIV/0!</v>
      </c>
      <c r="AG62" s="46" t="e">
        <f t="shared" si="8"/>
        <v>#DIV/0!</v>
      </c>
      <c r="AH62" s="46" t="e">
        <f t="shared" si="9"/>
        <v>#DIV/0!</v>
      </c>
      <c r="AI62" s="46" t="e">
        <f t="shared" si="10"/>
        <v>#DIV/0!</v>
      </c>
      <c r="AJ62" s="46" t="e">
        <f t="shared" si="11"/>
        <v>#DIV/0!</v>
      </c>
      <c r="AK62" s="46" t="e">
        <f t="shared" si="12"/>
        <v>#DIV/0!</v>
      </c>
      <c r="AL62" s="46" t="e">
        <f>T$3+K62/ATM_Conf!$C$5</f>
        <v>#DIV/0!</v>
      </c>
      <c r="AM62" s="46" t="e">
        <f>U$3+L62/ATM_Conf!$C$5</f>
        <v>#DIV/0!</v>
      </c>
      <c r="AN62" s="46" t="e">
        <f>V$3+M62/ATM_Conf!$C$5</f>
        <v>#DIV/0!</v>
      </c>
      <c r="AO62" s="46" t="e">
        <f>W$3+N62/ATM_Conf!$C$5</f>
        <v>#DIV/0!</v>
      </c>
      <c r="AP62" s="46" t="e">
        <f>X$3+O62/ATM_Conf!$C$5</f>
        <v>#DIV/0!</v>
      </c>
      <c r="AQ62" s="46" t="e">
        <f>Y$3+P62/ATM_Conf!$C$5</f>
        <v>#DIV/0!</v>
      </c>
      <c r="AR62" s="46" t="e">
        <f>Z$3+Q62/ATM_Conf!$C$5</f>
        <v>#DIV/0!</v>
      </c>
      <c r="AS62" s="46" t="e">
        <f>AA$3+R62/ATM_Conf!$C$5</f>
        <v>#DIV/0!</v>
      </c>
      <c r="AT62" s="46" t="e">
        <f>AB$3+S62/ATM_Conf!$C$5</f>
        <v>#DIV/0!</v>
      </c>
      <c r="AU62" s="46" t="e">
        <f>BD$3*MIN(1,(ATM_Conf!$C$6-Links!F62)/(ATM_Conf!$C$6-ATM_Conf!$C$7))</f>
        <v>#DIV/0!</v>
      </c>
      <c r="AV62" s="46" t="e">
        <f>BE$3*MIN(1,(ATM_Conf!$C$6-Links!G62)/(ATM_Conf!$C$6-ATM_Conf!$C$7))</f>
        <v>#DIV/0!</v>
      </c>
      <c r="AW62" s="46" t="e">
        <f>BF$3*MIN(1,(ATM_Conf!$C$6-Links!H62)/(ATM_Conf!$C$6-ATM_Conf!$C$7))</f>
        <v>#DIV/0!</v>
      </c>
      <c r="AX62" s="46" t="e">
        <f>BG$3*MIN(1,(ATM_Conf!$C$6-Links!I62)/(ATM_Conf!$C$6-ATM_Conf!$C$7))</f>
        <v>#DIV/0!</v>
      </c>
      <c r="AY62" s="46" t="e">
        <f>BH$3*MIN(1,(ATM_Conf!$C$6-Links!J62)/(ATM_Conf!$C$6-ATM_Conf!$C$7))</f>
        <v>#DIV/0!</v>
      </c>
      <c r="AZ62" s="46" t="e">
        <f>BI$3*MIN(1,(ATM_Conf!$C$6-Links!K62)/(ATM_Conf!$C$6-ATM_Conf!$C$7))</f>
        <v>#DIV/0!</v>
      </c>
      <c r="BA62" s="46" t="e">
        <f>BJ$3*MIN(1,(ATM_Conf!$C$6-Links!L62)/(ATM_Conf!$C$6-ATM_Conf!$C$7))</f>
        <v>#DIV/0!</v>
      </c>
      <c r="BB62" s="46" t="e">
        <f>BK$3*MIN(1,(ATM_Conf!$C$6-Links!M62)/(ATM_Conf!$C$6-ATM_Conf!$C$7))</f>
        <v>#DIV/0!</v>
      </c>
      <c r="BC62" s="46" t="e">
        <f>BL$3*MIN(1,(ATM_Conf!$C$6-Links!N62)/(ATM_Conf!$C$6-ATM_Conf!$C$7))</f>
        <v>#DIV/0!</v>
      </c>
      <c r="BD62" s="46"/>
      <c r="BE62" s="46"/>
      <c r="BF62" s="46"/>
      <c r="BG62" s="46"/>
      <c r="BH62" s="46"/>
      <c r="BI62" s="46"/>
      <c r="BJ62" s="46"/>
      <c r="BK62" s="46"/>
      <c r="BL62" s="46"/>
      <c r="BM62" s="54"/>
      <c r="BN62" s="54"/>
      <c r="BO62" s="54"/>
      <c r="BP62" s="54"/>
      <c r="BQ62" s="54"/>
      <c r="BR62" s="54"/>
      <c r="BS62" s="54"/>
      <c r="BT62" s="54"/>
      <c r="BU62" s="54"/>
      <c r="BV62" s="46" t="e">
        <f t="shared" si="13"/>
        <v>#DIV/0!</v>
      </c>
      <c r="BW62" s="46" t="e">
        <f t="shared" si="14"/>
        <v>#DIV/0!</v>
      </c>
      <c r="BX62" s="46" t="e">
        <f t="shared" si="15"/>
        <v>#DIV/0!</v>
      </c>
      <c r="BY62" s="46" t="e">
        <f t="shared" si="16"/>
        <v>#DIV/0!</v>
      </c>
      <c r="BZ62" s="46" t="e">
        <f t="shared" si="17"/>
        <v>#DIV/0!</v>
      </c>
      <c r="CA62" s="46" t="e">
        <f t="shared" si="18"/>
        <v>#DIV/0!</v>
      </c>
      <c r="CB62" s="46" t="e">
        <f t="shared" si="19"/>
        <v>#DIV/0!</v>
      </c>
      <c r="CC62" s="46" t="e">
        <f t="shared" si="20"/>
        <v>#DIV/0!</v>
      </c>
      <c r="CD62" s="46" t="e">
        <f t="shared" si="21"/>
        <v>#DIV/0!</v>
      </c>
      <c r="CE62" s="56" t="e">
        <f t="shared" si="22"/>
        <v>#DIV/0!</v>
      </c>
      <c r="CF62" s="56" t="e">
        <f t="shared" si="23"/>
        <v>#DIV/0!</v>
      </c>
      <c r="CG62" s="56" t="e">
        <f t="shared" si="24"/>
        <v>#DIV/0!</v>
      </c>
      <c r="CH62" s="56" t="e">
        <f t="shared" si="25"/>
        <v>#DIV/0!</v>
      </c>
      <c r="CI62" s="56" t="e">
        <f t="shared" si="26"/>
        <v>#DIV/0!</v>
      </c>
      <c r="CJ62" s="56" t="e">
        <f t="shared" si="27"/>
        <v>#DIV/0!</v>
      </c>
      <c r="CK62" s="56" t="e">
        <f t="shared" si="28"/>
        <v>#DIV/0!</v>
      </c>
      <c r="CL62" s="56" t="e">
        <f t="shared" si="29"/>
        <v>#DIV/0!</v>
      </c>
      <c r="CM62" s="56" t="e">
        <f t="shared" si="30"/>
        <v>#DIV/0!</v>
      </c>
    </row>
    <row r="63" spans="1:91" x14ac:dyDescent="0.15">
      <c r="A63" s="43">
        <v>61</v>
      </c>
      <c r="B63" s="48">
        <v>1</v>
      </c>
      <c r="C63" s="48">
        <v>1</v>
      </c>
      <c r="D63" s="48">
        <v>1</v>
      </c>
      <c r="E63" s="48">
        <v>1</v>
      </c>
      <c r="F63" s="48">
        <v>1</v>
      </c>
      <c r="G63" s="48">
        <v>1</v>
      </c>
      <c r="H63" s="48">
        <v>1</v>
      </c>
      <c r="I63" s="48">
        <v>1</v>
      </c>
      <c r="J63" s="48">
        <v>1</v>
      </c>
      <c r="K63" s="46" t="e">
        <f>K62+ATM_Conf!$C$5*(T62-AC62)</f>
        <v>#DIV/0!</v>
      </c>
      <c r="L63" s="46" t="e">
        <f>L62+ATM_Conf!$C$5*(U62-AD62)</f>
        <v>#DIV/0!</v>
      </c>
      <c r="M63" s="46" t="e">
        <f>M62+ATM_Conf!$C$5*(V62-AE62)</f>
        <v>#DIV/0!</v>
      </c>
      <c r="N63" s="46" t="e">
        <f>N62+ATM_Conf!$C$5*(W62-AF62)</f>
        <v>#DIV/0!</v>
      </c>
      <c r="O63" s="46" t="e">
        <f>O62+ATM_Conf!$C$5*(X62-AG62)</f>
        <v>#DIV/0!</v>
      </c>
      <c r="P63" s="46" t="e">
        <f>P62+ATM_Conf!$C$5*(Y62-AH62)</f>
        <v>#DIV/0!</v>
      </c>
      <c r="Q63" s="46" t="e">
        <f>Q62+ATM_Conf!$C$5*(Z62-AI62)</f>
        <v>#DIV/0!</v>
      </c>
      <c r="R63" s="46" t="e">
        <f>R62+ATM_Conf!$C$5*(AA62-AJ62)</f>
        <v>#DIV/0!</v>
      </c>
      <c r="S63" s="46" t="e">
        <f>S62+ATM_Conf!$C$5*(AB62-AK62)</f>
        <v>#DIV/0!</v>
      </c>
      <c r="T63" s="46"/>
      <c r="U63" s="46"/>
      <c r="V63" s="46"/>
      <c r="W63" s="46"/>
      <c r="X63" s="46"/>
      <c r="Y63" s="46"/>
      <c r="Z63" s="46"/>
      <c r="AA63" s="46"/>
      <c r="AB63" s="46"/>
      <c r="AC63" s="46" t="e">
        <f t="shared" si="4"/>
        <v>#DIV/0!</v>
      </c>
      <c r="AD63" s="46" t="e">
        <f t="shared" si="5"/>
        <v>#DIV/0!</v>
      </c>
      <c r="AE63" s="46" t="e">
        <f t="shared" si="6"/>
        <v>#DIV/0!</v>
      </c>
      <c r="AF63" s="46" t="e">
        <f t="shared" si="7"/>
        <v>#DIV/0!</v>
      </c>
      <c r="AG63" s="46" t="e">
        <f t="shared" si="8"/>
        <v>#DIV/0!</v>
      </c>
      <c r="AH63" s="46" t="e">
        <f t="shared" si="9"/>
        <v>#DIV/0!</v>
      </c>
      <c r="AI63" s="46" t="e">
        <f t="shared" si="10"/>
        <v>#DIV/0!</v>
      </c>
      <c r="AJ63" s="46" t="e">
        <f t="shared" si="11"/>
        <v>#DIV/0!</v>
      </c>
      <c r="AK63" s="46" t="e">
        <f t="shared" si="12"/>
        <v>#DIV/0!</v>
      </c>
      <c r="AL63" s="46" t="e">
        <f>T$3+K63/ATM_Conf!$C$5</f>
        <v>#DIV/0!</v>
      </c>
      <c r="AM63" s="46" t="e">
        <f>U$3+L63/ATM_Conf!$C$5</f>
        <v>#DIV/0!</v>
      </c>
      <c r="AN63" s="46" t="e">
        <f>V$3+M63/ATM_Conf!$C$5</f>
        <v>#DIV/0!</v>
      </c>
      <c r="AO63" s="46" t="e">
        <f>W$3+N63/ATM_Conf!$C$5</f>
        <v>#DIV/0!</v>
      </c>
      <c r="AP63" s="46" t="e">
        <f>X$3+O63/ATM_Conf!$C$5</f>
        <v>#DIV/0!</v>
      </c>
      <c r="AQ63" s="46" t="e">
        <f>Y$3+P63/ATM_Conf!$C$5</f>
        <v>#DIV/0!</v>
      </c>
      <c r="AR63" s="46" t="e">
        <f>Z$3+Q63/ATM_Conf!$C$5</f>
        <v>#DIV/0!</v>
      </c>
      <c r="AS63" s="46" t="e">
        <f>AA$3+R63/ATM_Conf!$C$5</f>
        <v>#DIV/0!</v>
      </c>
      <c r="AT63" s="46" t="e">
        <f>AB$3+S63/ATM_Conf!$C$5</f>
        <v>#DIV/0!</v>
      </c>
      <c r="AU63" s="46" t="e">
        <f>BD$3*MIN(1,(ATM_Conf!$C$6-Links!F63)/(ATM_Conf!$C$6-ATM_Conf!$C$7))</f>
        <v>#DIV/0!</v>
      </c>
      <c r="AV63" s="46" t="e">
        <f>BE$3*MIN(1,(ATM_Conf!$C$6-Links!G63)/(ATM_Conf!$C$6-ATM_Conf!$C$7))</f>
        <v>#DIV/0!</v>
      </c>
      <c r="AW63" s="46" t="e">
        <f>BF$3*MIN(1,(ATM_Conf!$C$6-Links!H63)/(ATM_Conf!$C$6-ATM_Conf!$C$7))</f>
        <v>#DIV/0!</v>
      </c>
      <c r="AX63" s="46" t="e">
        <f>BG$3*MIN(1,(ATM_Conf!$C$6-Links!I63)/(ATM_Conf!$C$6-ATM_Conf!$C$7))</f>
        <v>#DIV/0!</v>
      </c>
      <c r="AY63" s="46" t="e">
        <f>BH$3*MIN(1,(ATM_Conf!$C$6-Links!J63)/(ATM_Conf!$C$6-ATM_Conf!$C$7))</f>
        <v>#DIV/0!</v>
      </c>
      <c r="AZ63" s="46" t="e">
        <f>BI$3*MIN(1,(ATM_Conf!$C$6-Links!K63)/(ATM_Conf!$C$6-ATM_Conf!$C$7))</f>
        <v>#DIV/0!</v>
      </c>
      <c r="BA63" s="46" t="e">
        <f>BJ$3*MIN(1,(ATM_Conf!$C$6-Links!L63)/(ATM_Conf!$C$6-ATM_Conf!$C$7))</f>
        <v>#DIV/0!</v>
      </c>
      <c r="BB63" s="46" t="e">
        <f>BK$3*MIN(1,(ATM_Conf!$C$6-Links!M63)/(ATM_Conf!$C$6-ATM_Conf!$C$7))</f>
        <v>#DIV/0!</v>
      </c>
      <c r="BC63" s="46" t="e">
        <f>BL$3*MIN(1,(ATM_Conf!$C$6-Links!N63)/(ATM_Conf!$C$6-ATM_Conf!$C$7))</f>
        <v>#DIV/0!</v>
      </c>
      <c r="BD63" s="46"/>
      <c r="BE63" s="46"/>
      <c r="BF63" s="46"/>
      <c r="BG63" s="46"/>
      <c r="BH63" s="46"/>
      <c r="BI63" s="46"/>
      <c r="BJ63" s="46"/>
      <c r="BK63" s="46"/>
      <c r="BL63" s="46"/>
      <c r="BM63" s="54">
        <f>(B63-B51)^2</f>
        <v>0</v>
      </c>
      <c r="BN63" s="54">
        <f t="shared" ref="BN63:BU63" si="44">(C63-C51)^2</f>
        <v>0</v>
      </c>
      <c r="BO63" s="54">
        <f t="shared" si="44"/>
        <v>0</v>
      </c>
      <c r="BP63" s="54">
        <f t="shared" si="44"/>
        <v>0</v>
      </c>
      <c r="BQ63" s="54">
        <f t="shared" si="44"/>
        <v>0</v>
      </c>
      <c r="BR63" s="54">
        <f t="shared" si="44"/>
        <v>0</v>
      </c>
      <c r="BS63" s="54">
        <f t="shared" si="44"/>
        <v>0</v>
      </c>
      <c r="BT63" s="54">
        <f t="shared" si="44"/>
        <v>0</v>
      </c>
      <c r="BU63" s="54">
        <f t="shared" si="44"/>
        <v>0</v>
      </c>
      <c r="BV63" s="46" t="e">
        <f t="shared" si="13"/>
        <v>#DIV/0!</v>
      </c>
      <c r="BW63" s="46" t="e">
        <f t="shared" si="14"/>
        <v>#DIV/0!</v>
      </c>
      <c r="BX63" s="46" t="e">
        <f t="shared" si="15"/>
        <v>#DIV/0!</v>
      </c>
      <c r="BY63" s="46" t="e">
        <f t="shared" si="16"/>
        <v>#DIV/0!</v>
      </c>
      <c r="BZ63" s="46" t="e">
        <f t="shared" si="17"/>
        <v>#DIV/0!</v>
      </c>
      <c r="CA63" s="46" t="e">
        <f t="shared" si="18"/>
        <v>#DIV/0!</v>
      </c>
      <c r="CB63" s="46" t="e">
        <f t="shared" si="19"/>
        <v>#DIV/0!</v>
      </c>
      <c r="CC63" s="46" t="e">
        <f t="shared" si="20"/>
        <v>#DIV/0!</v>
      </c>
      <c r="CD63" s="46" t="e">
        <f t="shared" si="21"/>
        <v>#DIV/0!</v>
      </c>
      <c r="CE63" s="56" t="e">
        <f t="shared" si="22"/>
        <v>#DIV/0!</v>
      </c>
      <c r="CF63" s="56" t="e">
        <f t="shared" si="23"/>
        <v>#DIV/0!</v>
      </c>
      <c r="CG63" s="56" t="e">
        <f t="shared" si="24"/>
        <v>#DIV/0!</v>
      </c>
      <c r="CH63" s="56" t="e">
        <f t="shared" si="25"/>
        <v>#DIV/0!</v>
      </c>
      <c r="CI63" s="56" t="e">
        <f t="shared" si="26"/>
        <v>#DIV/0!</v>
      </c>
      <c r="CJ63" s="56" t="e">
        <f t="shared" si="27"/>
        <v>#DIV/0!</v>
      </c>
      <c r="CK63" s="56" t="e">
        <f t="shared" si="28"/>
        <v>#DIV/0!</v>
      </c>
      <c r="CL63" s="56" t="e">
        <f t="shared" si="29"/>
        <v>#DIV/0!</v>
      </c>
      <c r="CM63" s="56" t="e">
        <f t="shared" si="30"/>
        <v>#DIV/0!</v>
      </c>
    </row>
    <row r="64" spans="1:91" x14ac:dyDescent="0.15">
      <c r="A64" s="43">
        <v>62</v>
      </c>
      <c r="B64" s="46">
        <f>B$63</f>
        <v>1</v>
      </c>
      <c r="C64" s="46">
        <f t="shared" ref="C64:J74" si="45">C$63</f>
        <v>1</v>
      </c>
      <c r="D64" s="46">
        <f t="shared" si="45"/>
        <v>1</v>
      </c>
      <c r="E64" s="46">
        <f t="shared" si="45"/>
        <v>1</v>
      </c>
      <c r="F64" s="46">
        <f t="shared" si="45"/>
        <v>1</v>
      </c>
      <c r="G64" s="46">
        <f t="shared" si="45"/>
        <v>1</v>
      </c>
      <c r="H64" s="46">
        <f t="shared" si="45"/>
        <v>1</v>
      </c>
      <c r="I64" s="46">
        <f t="shared" si="45"/>
        <v>1</v>
      </c>
      <c r="J64" s="46">
        <f t="shared" si="45"/>
        <v>1</v>
      </c>
      <c r="K64" s="46" t="e">
        <f>K63+ATM_Conf!$C$5*(T63-AC63)</f>
        <v>#DIV/0!</v>
      </c>
      <c r="L64" s="46" t="e">
        <f>L63+ATM_Conf!$C$5*(U63-AD63)</f>
        <v>#DIV/0!</v>
      </c>
      <c r="M64" s="46" t="e">
        <f>M63+ATM_Conf!$C$5*(V63-AE63)</f>
        <v>#DIV/0!</v>
      </c>
      <c r="N64" s="46" t="e">
        <f>N63+ATM_Conf!$C$5*(W63-AF63)</f>
        <v>#DIV/0!</v>
      </c>
      <c r="O64" s="46" t="e">
        <f>O63+ATM_Conf!$C$5*(X63-AG63)</f>
        <v>#DIV/0!</v>
      </c>
      <c r="P64" s="46" t="e">
        <f>P63+ATM_Conf!$C$5*(Y63-AH63)</f>
        <v>#DIV/0!</v>
      </c>
      <c r="Q64" s="46" t="e">
        <f>Q63+ATM_Conf!$C$5*(Z63-AI63)</f>
        <v>#DIV/0!</v>
      </c>
      <c r="R64" s="46" t="e">
        <f>R63+ATM_Conf!$C$5*(AA63-AJ63)</f>
        <v>#DIV/0!</v>
      </c>
      <c r="S64" s="46" t="e">
        <f>S63+ATM_Conf!$C$5*(AB63-AK63)</f>
        <v>#DIV/0!</v>
      </c>
      <c r="T64" s="46"/>
      <c r="U64" s="46"/>
      <c r="V64" s="46"/>
      <c r="W64" s="46"/>
      <c r="X64" s="46"/>
      <c r="Y64" s="46"/>
      <c r="Z64" s="46"/>
      <c r="AA64" s="46"/>
      <c r="AB64" s="46"/>
      <c r="AC64" s="46" t="e">
        <f t="shared" si="4"/>
        <v>#DIV/0!</v>
      </c>
      <c r="AD64" s="46" t="e">
        <f t="shared" si="5"/>
        <v>#DIV/0!</v>
      </c>
      <c r="AE64" s="46" t="e">
        <f t="shared" si="6"/>
        <v>#DIV/0!</v>
      </c>
      <c r="AF64" s="46" t="e">
        <f t="shared" si="7"/>
        <v>#DIV/0!</v>
      </c>
      <c r="AG64" s="46" t="e">
        <f t="shared" si="8"/>
        <v>#DIV/0!</v>
      </c>
      <c r="AH64" s="46" t="e">
        <f t="shared" si="9"/>
        <v>#DIV/0!</v>
      </c>
      <c r="AI64" s="46" t="e">
        <f t="shared" si="10"/>
        <v>#DIV/0!</v>
      </c>
      <c r="AJ64" s="46" t="e">
        <f t="shared" si="11"/>
        <v>#DIV/0!</v>
      </c>
      <c r="AK64" s="46" t="e">
        <f t="shared" si="12"/>
        <v>#DIV/0!</v>
      </c>
      <c r="AL64" s="46" t="e">
        <f>T$3+K64/ATM_Conf!$C$5</f>
        <v>#DIV/0!</v>
      </c>
      <c r="AM64" s="46" t="e">
        <f>U$3+L64/ATM_Conf!$C$5</f>
        <v>#DIV/0!</v>
      </c>
      <c r="AN64" s="46" t="e">
        <f>V$3+M64/ATM_Conf!$C$5</f>
        <v>#DIV/0!</v>
      </c>
      <c r="AO64" s="46" t="e">
        <f>W$3+N64/ATM_Conf!$C$5</f>
        <v>#DIV/0!</v>
      </c>
      <c r="AP64" s="46" t="e">
        <f>X$3+O64/ATM_Conf!$C$5</f>
        <v>#DIV/0!</v>
      </c>
      <c r="AQ64" s="46" t="e">
        <f>Y$3+P64/ATM_Conf!$C$5</f>
        <v>#DIV/0!</v>
      </c>
      <c r="AR64" s="46" t="e">
        <f>Z$3+Q64/ATM_Conf!$C$5</f>
        <v>#DIV/0!</v>
      </c>
      <c r="AS64" s="46" t="e">
        <f>AA$3+R64/ATM_Conf!$C$5</f>
        <v>#DIV/0!</v>
      </c>
      <c r="AT64" s="46" t="e">
        <f>AB$3+S64/ATM_Conf!$C$5</f>
        <v>#DIV/0!</v>
      </c>
      <c r="AU64" s="46" t="e">
        <f>BD$3*MIN(1,(ATM_Conf!$C$6-Links!F64)/(ATM_Conf!$C$6-ATM_Conf!$C$7))</f>
        <v>#DIV/0!</v>
      </c>
      <c r="AV64" s="46" t="e">
        <f>BE$3*MIN(1,(ATM_Conf!$C$6-Links!G64)/(ATM_Conf!$C$6-ATM_Conf!$C$7))</f>
        <v>#DIV/0!</v>
      </c>
      <c r="AW64" s="46" t="e">
        <f>BF$3*MIN(1,(ATM_Conf!$C$6-Links!H64)/(ATM_Conf!$C$6-ATM_Conf!$C$7))</f>
        <v>#DIV/0!</v>
      </c>
      <c r="AX64" s="46" t="e">
        <f>BG$3*MIN(1,(ATM_Conf!$C$6-Links!I64)/(ATM_Conf!$C$6-ATM_Conf!$C$7))</f>
        <v>#DIV/0!</v>
      </c>
      <c r="AY64" s="46" t="e">
        <f>BH$3*MIN(1,(ATM_Conf!$C$6-Links!J64)/(ATM_Conf!$C$6-ATM_Conf!$C$7))</f>
        <v>#DIV/0!</v>
      </c>
      <c r="AZ64" s="46" t="e">
        <f>BI$3*MIN(1,(ATM_Conf!$C$6-Links!K64)/(ATM_Conf!$C$6-ATM_Conf!$C$7))</f>
        <v>#DIV/0!</v>
      </c>
      <c r="BA64" s="46" t="e">
        <f>BJ$3*MIN(1,(ATM_Conf!$C$6-Links!L64)/(ATM_Conf!$C$6-ATM_Conf!$C$7))</f>
        <v>#DIV/0!</v>
      </c>
      <c r="BB64" s="46" t="e">
        <f>BK$3*MIN(1,(ATM_Conf!$C$6-Links!M64)/(ATM_Conf!$C$6-ATM_Conf!$C$7))</f>
        <v>#DIV/0!</v>
      </c>
      <c r="BC64" s="46" t="e">
        <f>BL$3*MIN(1,(ATM_Conf!$C$6-Links!N64)/(ATM_Conf!$C$6-ATM_Conf!$C$7))</f>
        <v>#DIV/0!</v>
      </c>
      <c r="BD64" s="46"/>
      <c r="BE64" s="46"/>
      <c r="BF64" s="46"/>
      <c r="BG64" s="46"/>
      <c r="BH64" s="46"/>
      <c r="BI64" s="46"/>
      <c r="BJ64" s="46"/>
      <c r="BK64" s="46"/>
      <c r="BL64" s="46"/>
      <c r="BM64" s="54"/>
      <c r="BN64" s="54"/>
      <c r="BO64" s="54"/>
      <c r="BP64" s="54"/>
      <c r="BQ64" s="54"/>
      <c r="BR64" s="54"/>
      <c r="BS64" s="54"/>
      <c r="BT64" s="54"/>
      <c r="BU64" s="54"/>
      <c r="BV64" s="46" t="e">
        <f t="shared" si="13"/>
        <v>#DIV/0!</v>
      </c>
      <c r="BW64" s="46" t="e">
        <f t="shared" si="14"/>
        <v>#DIV/0!</v>
      </c>
      <c r="BX64" s="46" t="e">
        <f t="shared" si="15"/>
        <v>#DIV/0!</v>
      </c>
      <c r="BY64" s="46" t="e">
        <f t="shared" si="16"/>
        <v>#DIV/0!</v>
      </c>
      <c r="BZ64" s="46" t="e">
        <f t="shared" si="17"/>
        <v>#DIV/0!</v>
      </c>
      <c r="CA64" s="46" t="e">
        <f t="shared" si="18"/>
        <v>#DIV/0!</v>
      </c>
      <c r="CB64" s="46" t="e">
        <f t="shared" si="19"/>
        <v>#DIV/0!</v>
      </c>
      <c r="CC64" s="46" t="e">
        <f t="shared" si="20"/>
        <v>#DIV/0!</v>
      </c>
      <c r="CD64" s="46" t="e">
        <f t="shared" si="21"/>
        <v>#DIV/0!</v>
      </c>
      <c r="CE64" s="56" t="e">
        <f t="shared" si="22"/>
        <v>#DIV/0!</v>
      </c>
      <c r="CF64" s="56" t="e">
        <f t="shared" si="23"/>
        <v>#DIV/0!</v>
      </c>
      <c r="CG64" s="56" t="e">
        <f t="shared" si="24"/>
        <v>#DIV/0!</v>
      </c>
      <c r="CH64" s="56" t="e">
        <f t="shared" si="25"/>
        <v>#DIV/0!</v>
      </c>
      <c r="CI64" s="56" t="e">
        <f t="shared" si="26"/>
        <v>#DIV/0!</v>
      </c>
      <c r="CJ64" s="56" t="e">
        <f t="shared" si="27"/>
        <v>#DIV/0!</v>
      </c>
      <c r="CK64" s="56" t="e">
        <f t="shared" si="28"/>
        <v>#DIV/0!</v>
      </c>
      <c r="CL64" s="56" t="e">
        <f t="shared" si="29"/>
        <v>#DIV/0!</v>
      </c>
      <c r="CM64" s="56" t="e">
        <f t="shared" si="30"/>
        <v>#DIV/0!</v>
      </c>
    </row>
    <row r="65" spans="1:91" x14ac:dyDescent="0.15">
      <c r="A65" s="43">
        <v>63</v>
      </c>
      <c r="B65" s="46">
        <f t="shared" ref="B65:B74" si="46">B$63</f>
        <v>1</v>
      </c>
      <c r="C65" s="46">
        <f t="shared" si="45"/>
        <v>1</v>
      </c>
      <c r="D65" s="46">
        <f t="shared" si="45"/>
        <v>1</v>
      </c>
      <c r="E65" s="46">
        <f t="shared" si="45"/>
        <v>1</v>
      </c>
      <c r="F65" s="46">
        <f t="shared" si="45"/>
        <v>1</v>
      </c>
      <c r="G65" s="46">
        <f t="shared" si="45"/>
        <v>1</v>
      </c>
      <c r="H65" s="46">
        <f t="shared" si="45"/>
        <v>1</v>
      </c>
      <c r="I65" s="46">
        <f t="shared" si="45"/>
        <v>1</v>
      </c>
      <c r="J65" s="46">
        <f t="shared" si="45"/>
        <v>1</v>
      </c>
      <c r="K65" s="46" t="e">
        <f>K64+ATM_Conf!$C$5*(T64-AC64)</f>
        <v>#DIV/0!</v>
      </c>
      <c r="L65" s="46" t="e">
        <f>L64+ATM_Conf!$C$5*(U64-AD64)</f>
        <v>#DIV/0!</v>
      </c>
      <c r="M65" s="46" t="e">
        <f>M64+ATM_Conf!$C$5*(V64-AE64)</f>
        <v>#DIV/0!</v>
      </c>
      <c r="N65" s="46" t="e">
        <f>N64+ATM_Conf!$C$5*(W64-AF64)</f>
        <v>#DIV/0!</v>
      </c>
      <c r="O65" s="46" t="e">
        <f>O64+ATM_Conf!$C$5*(X64-AG64)</f>
        <v>#DIV/0!</v>
      </c>
      <c r="P65" s="46" t="e">
        <f>P64+ATM_Conf!$C$5*(Y64-AH64)</f>
        <v>#DIV/0!</v>
      </c>
      <c r="Q65" s="46" t="e">
        <f>Q64+ATM_Conf!$C$5*(Z64-AI64)</f>
        <v>#DIV/0!</v>
      </c>
      <c r="R65" s="46" t="e">
        <f>R64+ATM_Conf!$C$5*(AA64-AJ64)</f>
        <v>#DIV/0!</v>
      </c>
      <c r="S65" s="46" t="e">
        <f>S64+ATM_Conf!$C$5*(AB64-AK64)</f>
        <v>#DIV/0!</v>
      </c>
      <c r="T65" s="46"/>
      <c r="U65" s="46"/>
      <c r="V65" s="46"/>
      <c r="W65" s="46"/>
      <c r="X65" s="46"/>
      <c r="Y65" s="46"/>
      <c r="Z65" s="46"/>
      <c r="AA65" s="46"/>
      <c r="AB65" s="46"/>
      <c r="AC65" s="46" t="e">
        <f t="shared" si="4"/>
        <v>#DIV/0!</v>
      </c>
      <c r="AD65" s="46" t="e">
        <f t="shared" si="5"/>
        <v>#DIV/0!</v>
      </c>
      <c r="AE65" s="46" t="e">
        <f t="shared" si="6"/>
        <v>#DIV/0!</v>
      </c>
      <c r="AF65" s="46" t="e">
        <f t="shared" si="7"/>
        <v>#DIV/0!</v>
      </c>
      <c r="AG65" s="46" t="e">
        <f t="shared" si="8"/>
        <v>#DIV/0!</v>
      </c>
      <c r="AH65" s="46" t="e">
        <f t="shared" si="9"/>
        <v>#DIV/0!</v>
      </c>
      <c r="AI65" s="46" t="e">
        <f t="shared" si="10"/>
        <v>#DIV/0!</v>
      </c>
      <c r="AJ65" s="46" t="e">
        <f t="shared" si="11"/>
        <v>#DIV/0!</v>
      </c>
      <c r="AK65" s="46" t="e">
        <f t="shared" si="12"/>
        <v>#DIV/0!</v>
      </c>
      <c r="AL65" s="46" t="e">
        <f>T$3+K65/ATM_Conf!$C$5</f>
        <v>#DIV/0!</v>
      </c>
      <c r="AM65" s="46" t="e">
        <f>U$3+L65/ATM_Conf!$C$5</f>
        <v>#DIV/0!</v>
      </c>
      <c r="AN65" s="46" t="e">
        <f>V$3+M65/ATM_Conf!$C$5</f>
        <v>#DIV/0!</v>
      </c>
      <c r="AO65" s="46" t="e">
        <f>W$3+N65/ATM_Conf!$C$5</f>
        <v>#DIV/0!</v>
      </c>
      <c r="AP65" s="46" t="e">
        <f>X$3+O65/ATM_Conf!$C$5</f>
        <v>#DIV/0!</v>
      </c>
      <c r="AQ65" s="46" t="e">
        <f>Y$3+P65/ATM_Conf!$C$5</f>
        <v>#DIV/0!</v>
      </c>
      <c r="AR65" s="46" t="e">
        <f>Z$3+Q65/ATM_Conf!$C$5</f>
        <v>#DIV/0!</v>
      </c>
      <c r="AS65" s="46" t="e">
        <f>AA$3+R65/ATM_Conf!$C$5</f>
        <v>#DIV/0!</v>
      </c>
      <c r="AT65" s="46" t="e">
        <f>AB$3+S65/ATM_Conf!$C$5</f>
        <v>#DIV/0!</v>
      </c>
      <c r="AU65" s="46" t="e">
        <f>BD$3*MIN(1,(ATM_Conf!$C$6-Links!F65)/(ATM_Conf!$C$6-ATM_Conf!$C$7))</f>
        <v>#DIV/0!</v>
      </c>
      <c r="AV65" s="46" t="e">
        <f>BE$3*MIN(1,(ATM_Conf!$C$6-Links!G65)/(ATM_Conf!$C$6-ATM_Conf!$C$7))</f>
        <v>#DIV/0!</v>
      </c>
      <c r="AW65" s="46" t="e">
        <f>BF$3*MIN(1,(ATM_Conf!$C$6-Links!H65)/(ATM_Conf!$C$6-ATM_Conf!$C$7))</f>
        <v>#DIV/0!</v>
      </c>
      <c r="AX65" s="46" t="e">
        <f>BG$3*MIN(1,(ATM_Conf!$C$6-Links!I65)/(ATM_Conf!$C$6-ATM_Conf!$C$7))</f>
        <v>#DIV/0!</v>
      </c>
      <c r="AY65" s="46" t="e">
        <f>BH$3*MIN(1,(ATM_Conf!$C$6-Links!J65)/(ATM_Conf!$C$6-ATM_Conf!$C$7))</f>
        <v>#DIV/0!</v>
      </c>
      <c r="AZ65" s="46" t="e">
        <f>BI$3*MIN(1,(ATM_Conf!$C$6-Links!K65)/(ATM_Conf!$C$6-ATM_Conf!$C$7))</f>
        <v>#DIV/0!</v>
      </c>
      <c r="BA65" s="46" t="e">
        <f>BJ$3*MIN(1,(ATM_Conf!$C$6-Links!L65)/(ATM_Conf!$C$6-ATM_Conf!$C$7))</f>
        <v>#DIV/0!</v>
      </c>
      <c r="BB65" s="46" t="e">
        <f>BK$3*MIN(1,(ATM_Conf!$C$6-Links!M65)/(ATM_Conf!$C$6-ATM_Conf!$C$7))</f>
        <v>#DIV/0!</v>
      </c>
      <c r="BC65" s="46" t="e">
        <f>BL$3*MIN(1,(ATM_Conf!$C$6-Links!N65)/(ATM_Conf!$C$6-ATM_Conf!$C$7))</f>
        <v>#DIV/0!</v>
      </c>
      <c r="BD65" s="46"/>
      <c r="BE65" s="46"/>
      <c r="BF65" s="46"/>
      <c r="BG65" s="46"/>
      <c r="BH65" s="46"/>
      <c r="BI65" s="46"/>
      <c r="BJ65" s="46"/>
      <c r="BK65" s="46"/>
      <c r="BL65" s="46"/>
      <c r="BM65" s="54"/>
      <c r="BN65" s="54"/>
      <c r="BO65" s="54"/>
      <c r="BP65" s="54"/>
      <c r="BQ65" s="54"/>
      <c r="BR65" s="54"/>
      <c r="BS65" s="54"/>
      <c r="BT65" s="54"/>
      <c r="BU65" s="54"/>
      <c r="BV65" s="46" t="e">
        <f t="shared" si="13"/>
        <v>#DIV/0!</v>
      </c>
      <c r="BW65" s="46" t="e">
        <f t="shared" si="14"/>
        <v>#DIV/0!</v>
      </c>
      <c r="BX65" s="46" t="e">
        <f t="shared" si="15"/>
        <v>#DIV/0!</v>
      </c>
      <c r="BY65" s="46" t="e">
        <f t="shared" si="16"/>
        <v>#DIV/0!</v>
      </c>
      <c r="BZ65" s="46" t="e">
        <f t="shared" si="17"/>
        <v>#DIV/0!</v>
      </c>
      <c r="CA65" s="46" t="e">
        <f t="shared" si="18"/>
        <v>#DIV/0!</v>
      </c>
      <c r="CB65" s="46" t="e">
        <f t="shared" si="19"/>
        <v>#DIV/0!</v>
      </c>
      <c r="CC65" s="46" t="e">
        <f t="shared" si="20"/>
        <v>#DIV/0!</v>
      </c>
      <c r="CD65" s="46" t="e">
        <f t="shared" si="21"/>
        <v>#DIV/0!</v>
      </c>
      <c r="CE65" s="56" t="e">
        <f t="shared" si="22"/>
        <v>#DIV/0!</v>
      </c>
      <c r="CF65" s="56" t="e">
        <f t="shared" si="23"/>
        <v>#DIV/0!</v>
      </c>
      <c r="CG65" s="56" t="e">
        <f t="shared" si="24"/>
        <v>#DIV/0!</v>
      </c>
      <c r="CH65" s="56" t="e">
        <f t="shared" si="25"/>
        <v>#DIV/0!</v>
      </c>
      <c r="CI65" s="56" t="e">
        <f t="shared" si="26"/>
        <v>#DIV/0!</v>
      </c>
      <c r="CJ65" s="56" t="e">
        <f t="shared" si="27"/>
        <v>#DIV/0!</v>
      </c>
      <c r="CK65" s="56" t="e">
        <f t="shared" si="28"/>
        <v>#DIV/0!</v>
      </c>
      <c r="CL65" s="56" t="e">
        <f t="shared" si="29"/>
        <v>#DIV/0!</v>
      </c>
      <c r="CM65" s="56" t="e">
        <f t="shared" si="30"/>
        <v>#DIV/0!</v>
      </c>
    </row>
    <row r="66" spans="1:91" x14ac:dyDescent="0.15">
      <c r="A66" s="43">
        <v>64</v>
      </c>
      <c r="B66" s="46">
        <f t="shared" si="46"/>
        <v>1</v>
      </c>
      <c r="C66" s="46">
        <f t="shared" si="45"/>
        <v>1</v>
      </c>
      <c r="D66" s="46">
        <f t="shared" si="45"/>
        <v>1</v>
      </c>
      <c r="E66" s="46">
        <f t="shared" si="45"/>
        <v>1</v>
      </c>
      <c r="F66" s="46">
        <f t="shared" si="45"/>
        <v>1</v>
      </c>
      <c r="G66" s="46">
        <f t="shared" si="45"/>
        <v>1</v>
      </c>
      <c r="H66" s="46">
        <f t="shared" si="45"/>
        <v>1</v>
      </c>
      <c r="I66" s="46">
        <f t="shared" si="45"/>
        <v>1</v>
      </c>
      <c r="J66" s="46">
        <f t="shared" si="45"/>
        <v>1</v>
      </c>
      <c r="K66" s="46" t="e">
        <f>K65+ATM_Conf!$C$5*(T65-AC65)</f>
        <v>#DIV/0!</v>
      </c>
      <c r="L66" s="46" t="e">
        <f>L65+ATM_Conf!$C$5*(U65-AD65)</f>
        <v>#DIV/0!</v>
      </c>
      <c r="M66" s="46" t="e">
        <f>M65+ATM_Conf!$C$5*(V65-AE65)</f>
        <v>#DIV/0!</v>
      </c>
      <c r="N66" s="46" t="e">
        <f>N65+ATM_Conf!$C$5*(W65-AF65)</f>
        <v>#DIV/0!</v>
      </c>
      <c r="O66" s="46" t="e">
        <f>O65+ATM_Conf!$C$5*(X65-AG65)</f>
        <v>#DIV/0!</v>
      </c>
      <c r="P66" s="46" t="e">
        <f>P65+ATM_Conf!$C$5*(Y65-AH65)</f>
        <v>#DIV/0!</v>
      </c>
      <c r="Q66" s="46" t="e">
        <f>Q65+ATM_Conf!$C$5*(Z65-AI65)</f>
        <v>#DIV/0!</v>
      </c>
      <c r="R66" s="46" t="e">
        <f>R65+ATM_Conf!$C$5*(AA65-AJ65)</f>
        <v>#DIV/0!</v>
      </c>
      <c r="S66" s="46" t="e">
        <f>S65+ATM_Conf!$C$5*(AB65-AK65)</f>
        <v>#DIV/0!</v>
      </c>
      <c r="T66" s="46"/>
      <c r="U66" s="46"/>
      <c r="V66" s="46"/>
      <c r="W66" s="46"/>
      <c r="X66" s="46"/>
      <c r="Y66" s="46"/>
      <c r="Z66" s="46"/>
      <c r="AA66" s="46"/>
      <c r="AB66" s="46"/>
      <c r="AC66" s="46" t="e">
        <f t="shared" si="4"/>
        <v>#DIV/0!</v>
      </c>
      <c r="AD66" s="46" t="e">
        <f t="shared" si="5"/>
        <v>#DIV/0!</v>
      </c>
      <c r="AE66" s="46" t="e">
        <f t="shared" si="6"/>
        <v>#DIV/0!</v>
      </c>
      <c r="AF66" s="46" t="e">
        <f t="shared" si="7"/>
        <v>#DIV/0!</v>
      </c>
      <c r="AG66" s="46" t="e">
        <f t="shared" si="8"/>
        <v>#DIV/0!</v>
      </c>
      <c r="AH66" s="46" t="e">
        <f t="shared" si="9"/>
        <v>#DIV/0!</v>
      </c>
      <c r="AI66" s="46" t="e">
        <f t="shared" si="10"/>
        <v>#DIV/0!</v>
      </c>
      <c r="AJ66" s="46" t="e">
        <f t="shared" si="11"/>
        <v>#DIV/0!</v>
      </c>
      <c r="AK66" s="46" t="e">
        <f t="shared" si="12"/>
        <v>#DIV/0!</v>
      </c>
      <c r="AL66" s="46" t="e">
        <f>T$3+K66/ATM_Conf!$C$5</f>
        <v>#DIV/0!</v>
      </c>
      <c r="AM66" s="46" t="e">
        <f>U$3+L66/ATM_Conf!$C$5</f>
        <v>#DIV/0!</v>
      </c>
      <c r="AN66" s="46" t="e">
        <f>V$3+M66/ATM_Conf!$C$5</f>
        <v>#DIV/0!</v>
      </c>
      <c r="AO66" s="46" t="e">
        <f>W$3+N66/ATM_Conf!$C$5</f>
        <v>#DIV/0!</v>
      </c>
      <c r="AP66" s="46" t="e">
        <f>X$3+O66/ATM_Conf!$C$5</f>
        <v>#DIV/0!</v>
      </c>
      <c r="AQ66" s="46" t="e">
        <f>Y$3+P66/ATM_Conf!$C$5</f>
        <v>#DIV/0!</v>
      </c>
      <c r="AR66" s="46" t="e">
        <f>Z$3+Q66/ATM_Conf!$C$5</f>
        <v>#DIV/0!</v>
      </c>
      <c r="AS66" s="46" t="e">
        <f>AA$3+R66/ATM_Conf!$C$5</f>
        <v>#DIV/0!</v>
      </c>
      <c r="AT66" s="46" t="e">
        <f>AB$3+S66/ATM_Conf!$C$5</f>
        <v>#DIV/0!</v>
      </c>
      <c r="AU66" s="46" t="e">
        <f>BD$3*MIN(1,(ATM_Conf!$C$6-Links!F66)/(ATM_Conf!$C$6-ATM_Conf!$C$7))</f>
        <v>#DIV/0!</v>
      </c>
      <c r="AV66" s="46" t="e">
        <f>BE$3*MIN(1,(ATM_Conf!$C$6-Links!G66)/(ATM_Conf!$C$6-ATM_Conf!$C$7))</f>
        <v>#DIV/0!</v>
      </c>
      <c r="AW66" s="46" t="e">
        <f>BF$3*MIN(1,(ATM_Conf!$C$6-Links!H66)/(ATM_Conf!$C$6-ATM_Conf!$C$7))</f>
        <v>#DIV/0!</v>
      </c>
      <c r="AX66" s="46" t="e">
        <f>BG$3*MIN(1,(ATM_Conf!$C$6-Links!I66)/(ATM_Conf!$C$6-ATM_Conf!$C$7))</f>
        <v>#DIV/0!</v>
      </c>
      <c r="AY66" s="46" t="e">
        <f>BH$3*MIN(1,(ATM_Conf!$C$6-Links!J66)/(ATM_Conf!$C$6-ATM_Conf!$C$7))</f>
        <v>#DIV/0!</v>
      </c>
      <c r="AZ66" s="46" t="e">
        <f>BI$3*MIN(1,(ATM_Conf!$C$6-Links!K66)/(ATM_Conf!$C$6-ATM_Conf!$C$7))</f>
        <v>#DIV/0!</v>
      </c>
      <c r="BA66" s="46" t="e">
        <f>BJ$3*MIN(1,(ATM_Conf!$C$6-Links!L66)/(ATM_Conf!$C$6-ATM_Conf!$C$7))</f>
        <v>#DIV/0!</v>
      </c>
      <c r="BB66" s="46" t="e">
        <f>BK$3*MIN(1,(ATM_Conf!$C$6-Links!M66)/(ATM_Conf!$C$6-ATM_Conf!$C$7))</f>
        <v>#DIV/0!</v>
      </c>
      <c r="BC66" s="46" t="e">
        <f>BL$3*MIN(1,(ATM_Conf!$C$6-Links!N66)/(ATM_Conf!$C$6-ATM_Conf!$C$7))</f>
        <v>#DIV/0!</v>
      </c>
      <c r="BD66" s="46"/>
      <c r="BE66" s="46"/>
      <c r="BF66" s="46"/>
      <c r="BG66" s="46"/>
      <c r="BH66" s="46"/>
      <c r="BI66" s="46"/>
      <c r="BJ66" s="46"/>
      <c r="BK66" s="46"/>
      <c r="BL66" s="46"/>
      <c r="BM66" s="54"/>
      <c r="BN66" s="54"/>
      <c r="BO66" s="54"/>
      <c r="BP66" s="54"/>
      <c r="BQ66" s="54"/>
      <c r="BR66" s="54"/>
      <c r="BS66" s="54"/>
      <c r="BT66" s="54"/>
      <c r="BU66" s="54"/>
      <c r="BV66" s="46" t="e">
        <f t="shared" si="13"/>
        <v>#DIV/0!</v>
      </c>
      <c r="BW66" s="46" t="e">
        <f t="shared" si="14"/>
        <v>#DIV/0!</v>
      </c>
      <c r="BX66" s="46" t="e">
        <f t="shared" si="15"/>
        <v>#DIV/0!</v>
      </c>
      <c r="BY66" s="46" t="e">
        <f t="shared" si="16"/>
        <v>#DIV/0!</v>
      </c>
      <c r="BZ66" s="46" t="e">
        <f t="shared" si="17"/>
        <v>#DIV/0!</v>
      </c>
      <c r="CA66" s="46" t="e">
        <f t="shared" si="18"/>
        <v>#DIV/0!</v>
      </c>
      <c r="CB66" s="46" t="e">
        <f t="shared" si="19"/>
        <v>#DIV/0!</v>
      </c>
      <c r="CC66" s="46" t="e">
        <f t="shared" si="20"/>
        <v>#DIV/0!</v>
      </c>
      <c r="CD66" s="46" t="e">
        <f t="shared" si="21"/>
        <v>#DIV/0!</v>
      </c>
      <c r="CE66" s="56" t="e">
        <f t="shared" si="22"/>
        <v>#DIV/0!</v>
      </c>
      <c r="CF66" s="56" t="e">
        <f t="shared" si="23"/>
        <v>#DIV/0!</v>
      </c>
      <c r="CG66" s="56" t="e">
        <f t="shared" si="24"/>
        <v>#DIV/0!</v>
      </c>
      <c r="CH66" s="56" t="e">
        <f t="shared" si="25"/>
        <v>#DIV/0!</v>
      </c>
      <c r="CI66" s="56" t="e">
        <f t="shared" si="26"/>
        <v>#DIV/0!</v>
      </c>
      <c r="CJ66" s="56" t="e">
        <f t="shared" si="27"/>
        <v>#DIV/0!</v>
      </c>
      <c r="CK66" s="56" t="e">
        <f t="shared" si="28"/>
        <v>#DIV/0!</v>
      </c>
      <c r="CL66" s="56" t="e">
        <f t="shared" si="29"/>
        <v>#DIV/0!</v>
      </c>
      <c r="CM66" s="56" t="e">
        <f t="shared" si="30"/>
        <v>#DIV/0!</v>
      </c>
    </row>
    <row r="67" spans="1:91" x14ac:dyDescent="0.15">
      <c r="A67" s="43">
        <v>65</v>
      </c>
      <c r="B67" s="46">
        <f t="shared" si="46"/>
        <v>1</v>
      </c>
      <c r="C67" s="46">
        <f t="shared" si="45"/>
        <v>1</v>
      </c>
      <c r="D67" s="46">
        <f t="shared" si="45"/>
        <v>1</v>
      </c>
      <c r="E67" s="46">
        <f t="shared" si="45"/>
        <v>1</v>
      </c>
      <c r="F67" s="46">
        <f t="shared" si="45"/>
        <v>1</v>
      </c>
      <c r="G67" s="46">
        <f t="shared" si="45"/>
        <v>1</v>
      </c>
      <c r="H67" s="46">
        <f t="shared" si="45"/>
        <v>1</v>
      </c>
      <c r="I67" s="46">
        <f t="shared" si="45"/>
        <v>1</v>
      </c>
      <c r="J67" s="46">
        <f t="shared" si="45"/>
        <v>1</v>
      </c>
      <c r="K67" s="46" t="e">
        <f>K66+ATM_Conf!$C$5*(T66-AC66)</f>
        <v>#DIV/0!</v>
      </c>
      <c r="L67" s="46" t="e">
        <f>L66+ATM_Conf!$C$5*(U66-AD66)</f>
        <v>#DIV/0!</v>
      </c>
      <c r="M67" s="46" t="e">
        <f>M66+ATM_Conf!$C$5*(V66-AE66)</f>
        <v>#DIV/0!</v>
      </c>
      <c r="N67" s="46" t="e">
        <f>N66+ATM_Conf!$C$5*(W66-AF66)</f>
        <v>#DIV/0!</v>
      </c>
      <c r="O67" s="46" t="e">
        <f>O66+ATM_Conf!$C$5*(X66-AG66)</f>
        <v>#DIV/0!</v>
      </c>
      <c r="P67" s="46" t="e">
        <f>P66+ATM_Conf!$C$5*(Y66-AH66)</f>
        <v>#DIV/0!</v>
      </c>
      <c r="Q67" s="46" t="e">
        <f>Q66+ATM_Conf!$C$5*(Z66-AI66)</f>
        <v>#DIV/0!</v>
      </c>
      <c r="R67" s="46" t="e">
        <f>R66+ATM_Conf!$C$5*(AA66-AJ66)</f>
        <v>#DIV/0!</v>
      </c>
      <c r="S67" s="46" t="e">
        <f>S66+ATM_Conf!$C$5*(AB66-AK66)</f>
        <v>#DIV/0!</v>
      </c>
      <c r="T67" s="46"/>
      <c r="U67" s="46"/>
      <c r="V67" s="46"/>
      <c r="W67" s="46"/>
      <c r="X67" s="46"/>
      <c r="Y67" s="46"/>
      <c r="Z67" s="46"/>
      <c r="AA67" s="46"/>
      <c r="AB67" s="46"/>
      <c r="AC67" s="46" t="e">
        <f t="shared" si="4"/>
        <v>#DIV/0!</v>
      </c>
      <c r="AD67" s="46" t="e">
        <f t="shared" si="5"/>
        <v>#DIV/0!</v>
      </c>
      <c r="AE67" s="46" t="e">
        <f t="shared" si="6"/>
        <v>#DIV/0!</v>
      </c>
      <c r="AF67" s="46" t="e">
        <f t="shared" si="7"/>
        <v>#DIV/0!</v>
      </c>
      <c r="AG67" s="46" t="e">
        <f t="shared" si="8"/>
        <v>#DIV/0!</v>
      </c>
      <c r="AH67" s="46" t="e">
        <f t="shared" si="9"/>
        <v>#DIV/0!</v>
      </c>
      <c r="AI67" s="46" t="e">
        <f t="shared" si="10"/>
        <v>#DIV/0!</v>
      </c>
      <c r="AJ67" s="46" t="e">
        <f t="shared" si="11"/>
        <v>#DIV/0!</v>
      </c>
      <c r="AK67" s="46" t="e">
        <f t="shared" si="12"/>
        <v>#DIV/0!</v>
      </c>
      <c r="AL67" s="46" t="e">
        <f>T$3+K67/ATM_Conf!$C$5</f>
        <v>#DIV/0!</v>
      </c>
      <c r="AM67" s="46" t="e">
        <f>U$3+L67/ATM_Conf!$C$5</f>
        <v>#DIV/0!</v>
      </c>
      <c r="AN67" s="46" t="e">
        <f>V$3+M67/ATM_Conf!$C$5</f>
        <v>#DIV/0!</v>
      </c>
      <c r="AO67" s="46" t="e">
        <f>W$3+N67/ATM_Conf!$C$5</f>
        <v>#DIV/0!</v>
      </c>
      <c r="AP67" s="46" t="e">
        <f>X$3+O67/ATM_Conf!$C$5</f>
        <v>#DIV/0!</v>
      </c>
      <c r="AQ67" s="46" t="e">
        <f>Y$3+P67/ATM_Conf!$C$5</f>
        <v>#DIV/0!</v>
      </c>
      <c r="AR67" s="46" t="e">
        <f>Z$3+Q67/ATM_Conf!$C$5</f>
        <v>#DIV/0!</v>
      </c>
      <c r="AS67" s="46" t="e">
        <f>AA$3+R67/ATM_Conf!$C$5</f>
        <v>#DIV/0!</v>
      </c>
      <c r="AT67" s="46" t="e">
        <f>AB$3+S67/ATM_Conf!$C$5</f>
        <v>#DIV/0!</v>
      </c>
      <c r="AU67" s="46" t="e">
        <f>BD$3*MIN(1,(ATM_Conf!$C$6-Links!F67)/(ATM_Conf!$C$6-ATM_Conf!$C$7))</f>
        <v>#DIV/0!</v>
      </c>
      <c r="AV67" s="46" t="e">
        <f>BE$3*MIN(1,(ATM_Conf!$C$6-Links!G67)/(ATM_Conf!$C$6-ATM_Conf!$C$7))</f>
        <v>#DIV/0!</v>
      </c>
      <c r="AW67" s="46" t="e">
        <f>BF$3*MIN(1,(ATM_Conf!$C$6-Links!H67)/(ATM_Conf!$C$6-ATM_Conf!$C$7))</f>
        <v>#DIV/0!</v>
      </c>
      <c r="AX67" s="46" t="e">
        <f>BG$3*MIN(1,(ATM_Conf!$C$6-Links!I67)/(ATM_Conf!$C$6-ATM_Conf!$C$7))</f>
        <v>#DIV/0!</v>
      </c>
      <c r="AY67" s="46" t="e">
        <f>BH$3*MIN(1,(ATM_Conf!$C$6-Links!J67)/(ATM_Conf!$C$6-ATM_Conf!$C$7))</f>
        <v>#DIV/0!</v>
      </c>
      <c r="AZ67" s="46" t="e">
        <f>BI$3*MIN(1,(ATM_Conf!$C$6-Links!K67)/(ATM_Conf!$C$6-ATM_Conf!$C$7))</f>
        <v>#DIV/0!</v>
      </c>
      <c r="BA67" s="46" t="e">
        <f>BJ$3*MIN(1,(ATM_Conf!$C$6-Links!L67)/(ATM_Conf!$C$6-ATM_Conf!$C$7))</f>
        <v>#DIV/0!</v>
      </c>
      <c r="BB67" s="46" t="e">
        <f>BK$3*MIN(1,(ATM_Conf!$C$6-Links!M67)/(ATM_Conf!$C$6-ATM_Conf!$C$7))</f>
        <v>#DIV/0!</v>
      </c>
      <c r="BC67" s="46" t="e">
        <f>BL$3*MIN(1,(ATM_Conf!$C$6-Links!N67)/(ATM_Conf!$C$6-ATM_Conf!$C$7))</f>
        <v>#DIV/0!</v>
      </c>
      <c r="BD67" s="46"/>
      <c r="BE67" s="46"/>
      <c r="BF67" s="46"/>
      <c r="BG67" s="46"/>
      <c r="BH67" s="46"/>
      <c r="BI67" s="46"/>
      <c r="BJ67" s="46"/>
      <c r="BK67" s="46"/>
      <c r="BL67" s="46"/>
      <c r="BM67" s="54"/>
      <c r="BN67" s="54"/>
      <c r="BO67" s="54"/>
      <c r="BP67" s="54"/>
      <c r="BQ67" s="54"/>
      <c r="BR67" s="54"/>
      <c r="BS67" s="54"/>
      <c r="BT67" s="54"/>
      <c r="BU67" s="54"/>
      <c r="BV67" s="46" t="e">
        <f t="shared" si="13"/>
        <v>#DIV/0!</v>
      </c>
      <c r="BW67" s="46" t="e">
        <f t="shared" si="14"/>
        <v>#DIV/0!</v>
      </c>
      <c r="BX67" s="46" t="e">
        <f t="shared" si="15"/>
        <v>#DIV/0!</v>
      </c>
      <c r="BY67" s="46" t="e">
        <f t="shared" si="16"/>
        <v>#DIV/0!</v>
      </c>
      <c r="BZ67" s="46" t="e">
        <f t="shared" si="17"/>
        <v>#DIV/0!</v>
      </c>
      <c r="CA67" s="46" t="e">
        <f t="shared" si="18"/>
        <v>#DIV/0!</v>
      </c>
      <c r="CB67" s="46" t="e">
        <f t="shared" si="19"/>
        <v>#DIV/0!</v>
      </c>
      <c r="CC67" s="46" t="e">
        <f t="shared" si="20"/>
        <v>#DIV/0!</v>
      </c>
      <c r="CD67" s="46" t="e">
        <f t="shared" si="21"/>
        <v>#DIV/0!</v>
      </c>
      <c r="CE67" s="56" t="e">
        <f t="shared" si="22"/>
        <v>#DIV/0!</v>
      </c>
      <c r="CF67" s="56" t="e">
        <f t="shared" si="23"/>
        <v>#DIV/0!</v>
      </c>
      <c r="CG67" s="56" t="e">
        <f t="shared" si="24"/>
        <v>#DIV/0!</v>
      </c>
      <c r="CH67" s="56" t="e">
        <f t="shared" si="25"/>
        <v>#DIV/0!</v>
      </c>
      <c r="CI67" s="56" t="e">
        <f t="shared" si="26"/>
        <v>#DIV/0!</v>
      </c>
      <c r="CJ67" s="56" t="e">
        <f t="shared" si="27"/>
        <v>#DIV/0!</v>
      </c>
      <c r="CK67" s="56" t="e">
        <f t="shared" si="28"/>
        <v>#DIV/0!</v>
      </c>
      <c r="CL67" s="56" t="e">
        <f t="shared" si="29"/>
        <v>#DIV/0!</v>
      </c>
      <c r="CM67" s="56" t="e">
        <f t="shared" si="30"/>
        <v>#DIV/0!</v>
      </c>
    </row>
    <row r="68" spans="1:91" x14ac:dyDescent="0.15">
      <c r="A68" s="43">
        <v>66</v>
      </c>
      <c r="B68" s="46">
        <f t="shared" si="46"/>
        <v>1</v>
      </c>
      <c r="C68" s="46">
        <f t="shared" si="45"/>
        <v>1</v>
      </c>
      <c r="D68" s="46">
        <f t="shared" si="45"/>
        <v>1</v>
      </c>
      <c r="E68" s="46">
        <f t="shared" si="45"/>
        <v>1</v>
      </c>
      <c r="F68" s="46">
        <f t="shared" si="45"/>
        <v>1</v>
      </c>
      <c r="G68" s="46">
        <f t="shared" si="45"/>
        <v>1</v>
      </c>
      <c r="H68" s="46">
        <f t="shared" si="45"/>
        <v>1</v>
      </c>
      <c r="I68" s="46">
        <f t="shared" si="45"/>
        <v>1</v>
      </c>
      <c r="J68" s="46">
        <f t="shared" si="45"/>
        <v>1</v>
      </c>
      <c r="K68" s="46" t="e">
        <f>K67+ATM_Conf!$C$5*(T67-AC67)</f>
        <v>#DIV/0!</v>
      </c>
      <c r="L68" s="46" t="e">
        <f>L67+ATM_Conf!$C$5*(U67-AD67)</f>
        <v>#DIV/0!</v>
      </c>
      <c r="M68" s="46" t="e">
        <f>M67+ATM_Conf!$C$5*(V67-AE67)</f>
        <v>#DIV/0!</v>
      </c>
      <c r="N68" s="46" t="e">
        <f>N67+ATM_Conf!$C$5*(W67-AF67)</f>
        <v>#DIV/0!</v>
      </c>
      <c r="O68" s="46" t="e">
        <f>O67+ATM_Conf!$C$5*(X67-AG67)</f>
        <v>#DIV/0!</v>
      </c>
      <c r="P68" s="46" t="e">
        <f>P67+ATM_Conf!$C$5*(Y67-AH67)</f>
        <v>#DIV/0!</v>
      </c>
      <c r="Q68" s="46" t="e">
        <f>Q67+ATM_Conf!$C$5*(Z67-AI67)</f>
        <v>#DIV/0!</v>
      </c>
      <c r="R68" s="46" t="e">
        <f>R67+ATM_Conf!$C$5*(AA67-AJ67)</f>
        <v>#DIV/0!</v>
      </c>
      <c r="S68" s="46" t="e">
        <f>S67+ATM_Conf!$C$5*(AB67-AK67)</f>
        <v>#DIV/0!</v>
      </c>
      <c r="T68" s="46"/>
      <c r="U68" s="46"/>
      <c r="V68" s="46"/>
      <c r="W68" s="46"/>
      <c r="X68" s="46"/>
      <c r="Y68" s="46"/>
      <c r="Z68" s="46"/>
      <c r="AA68" s="46"/>
      <c r="AB68" s="46"/>
      <c r="AC68" s="46" t="e">
        <f t="shared" ref="AC68:AC131" si="47">B68*MIN(AL68,AU68)</f>
        <v>#DIV/0!</v>
      </c>
      <c r="AD68" s="46" t="e">
        <f t="shared" ref="AD68:AD131" si="48">C68*MIN(AM68,AV68)</f>
        <v>#DIV/0!</v>
      </c>
      <c r="AE68" s="46" t="e">
        <f t="shared" ref="AE68:AE131" si="49">D68*MIN(AN68,AW68)</f>
        <v>#DIV/0!</v>
      </c>
      <c r="AF68" s="46" t="e">
        <f t="shared" ref="AF68:AF131" si="50">E68*MIN(AO68,AX68)</f>
        <v>#DIV/0!</v>
      </c>
      <c r="AG68" s="46" t="e">
        <f t="shared" ref="AG68:AG131" si="51">F68*MIN(AP68,AY68)</f>
        <v>#DIV/0!</v>
      </c>
      <c r="AH68" s="46" t="e">
        <f t="shared" ref="AH68:AH131" si="52">G68*MIN(AQ68,AZ68)</f>
        <v>#DIV/0!</v>
      </c>
      <c r="AI68" s="46" t="e">
        <f t="shared" ref="AI68:AI131" si="53">H68*MIN(AR68,BA68)</f>
        <v>#DIV/0!</v>
      </c>
      <c r="AJ68" s="46" t="e">
        <f t="shared" ref="AJ68:AJ131" si="54">I68*MIN(AS68,BB68)</f>
        <v>#DIV/0!</v>
      </c>
      <c r="AK68" s="46" t="e">
        <f t="shared" ref="AK68:AK131" si="55">J68*MIN(AT68,BC68)</f>
        <v>#DIV/0!</v>
      </c>
      <c r="AL68" s="46" t="e">
        <f>T$3+K68/ATM_Conf!$C$5</f>
        <v>#DIV/0!</v>
      </c>
      <c r="AM68" s="46" t="e">
        <f>U$3+L68/ATM_Conf!$C$5</f>
        <v>#DIV/0!</v>
      </c>
      <c r="AN68" s="46" t="e">
        <f>V$3+M68/ATM_Conf!$C$5</f>
        <v>#DIV/0!</v>
      </c>
      <c r="AO68" s="46" t="e">
        <f>W$3+N68/ATM_Conf!$C$5</f>
        <v>#DIV/0!</v>
      </c>
      <c r="AP68" s="46" t="e">
        <f>X$3+O68/ATM_Conf!$C$5</f>
        <v>#DIV/0!</v>
      </c>
      <c r="AQ68" s="46" t="e">
        <f>Y$3+P68/ATM_Conf!$C$5</f>
        <v>#DIV/0!</v>
      </c>
      <c r="AR68" s="46" t="e">
        <f>Z$3+Q68/ATM_Conf!$C$5</f>
        <v>#DIV/0!</v>
      </c>
      <c r="AS68" s="46" t="e">
        <f>AA$3+R68/ATM_Conf!$C$5</f>
        <v>#DIV/0!</v>
      </c>
      <c r="AT68" s="46" t="e">
        <f>AB$3+S68/ATM_Conf!$C$5</f>
        <v>#DIV/0!</v>
      </c>
      <c r="AU68" s="46" t="e">
        <f>BD$3*MIN(1,(ATM_Conf!$C$6-Links!F68)/(ATM_Conf!$C$6-ATM_Conf!$C$7))</f>
        <v>#DIV/0!</v>
      </c>
      <c r="AV68" s="46" t="e">
        <f>BE$3*MIN(1,(ATM_Conf!$C$6-Links!G68)/(ATM_Conf!$C$6-ATM_Conf!$C$7))</f>
        <v>#DIV/0!</v>
      </c>
      <c r="AW68" s="46" t="e">
        <f>BF$3*MIN(1,(ATM_Conf!$C$6-Links!H68)/(ATM_Conf!$C$6-ATM_Conf!$C$7))</f>
        <v>#DIV/0!</v>
      </c>
      <c r="AX68" s="46" t="e">
        <f>BG$3*MIN(1,(ATM_Conf!$C$6-Links!I68)/(ATM_Conf!$C$6-ATM_Conf!$C$7))</f>
        <v>#DIV/0!</v>
      </c>
      <c r="AY68" s="46" t="e">
        <f>BH$3*MIN(1,(ATM_Conf!$C$6-Links!J68)/(ATM_Conf!$C$6-ATM_Conf!$C$7))</f>
        <v>#DIV/0!</v>
      </c>
      <c r="AZ68" s="46" t="e">
        <f>BI$3*MIN(1,(ATM_Conf!$C$6-Links!K68)/(ATM_Conf!$C$6-ATM_Conf!$C$7))</f>
        <v>#DIV/0!</v>
      </c>
      <c r="BA68" s="46" t="e">
        <f>BJ$3*MIN(1,(ATM_Conf!$C$6-Links!L68)/(ATM_Conf!$C$6-ATM_Conf!$C$7))</f>
        <v>#DIV/0!</v>
      </c>
      <c r="BB68" s="46" t="e">
        <f>BK$3*MIN(1,(ATM_Conf!$C$6-Links!M68)/(ATM_Conf!$C$6-ATM_Conf!$C$7))</f>
        <v>#DIV/0!</v>
      </c>
      <c r="BC68" s="46" t="e">
        <f>BL$3*MIN(1,(ATM_Conf!$C$6-Links!N68)/(ATM_Conf!$C$6-ATM_Conf!$C$7))</f>
        <v>#DIV/0!</v>
      </c>
      <c r="BD68" s="46"/>
      <c r="BE68" s="46"/>
      <c r="BF68" s="46"/>
      <c r="BG68" s="46"/>
      <c r="BH68" s="46"/>
      <c r="BI68" s="46"/>
      <c r="BJ68" s="46"/>
      <c r="BK68" s="46"/>
      <c r="BL68" s="46"/>
      <c r="BM68" s="54"/>
      <c r="BN68" s="54"/>
      <c r="BO68" s="54"/>
      <c r="BP68" s="54"/>
      <c r="BQ68" s="54"/>
      <c r="BR68" s="54"/>
      <c r="BS68" s="54"/>
      <c r="BT68" s="54"/>
      <c r="BU68" s="54"/>
      <c r="BV68" s="46" t="e">
        <f t="shared" ref="BV68:BV131" si="56">K68/B$190</f>
        <v>#DIV/0!</v>
      </c>
      <c r="BW68" s="46" t="e">
        <f t="shared" ref="BW68:BW131" si="57">L68/C$190</f>
        <v>#DIV/0!</v>
      </c>
      <c r="BX68" s="46" t="e">
        <f t="shared" ref="BX68:BX131" si="58">M68/D$190</f>
        <v>#DIV/0!</v>
      </c>
      <c r="BY68" s="46" t="e">
        <f t="shared" ref="BY68:BY131" si="59">N68/E$190</f>
        <v>#DIV/0!</v>
      </c>
      <c r="BZ68" s="46" t="e">
        <f t="shared" ref="BZ68:BZ131" si="60">O68/F$190</f>
        <v>#DIV/0!</v>
      </c>
      <c r="CA68" s="46" t="e">
        <f t="shared" ref="CA68:CA131" si="61">P68/G$190</f>
        <v>#DIV/0!</v>
      </c>
      <c r="CB68" s="46" t="e">
        <f t="shared" ref="CB68:CB131" si="62">Q68/H$190</f>
        <v>#DIV/0!</v>
      </c>
      <c r="CC68" s="46" t="e">
        <f t="shared" ref="CC68:CC131" si="63">R68/I$190</f>
        <v>#DIV/0!</v>
      </c>
      <c r="CD68" s="46" t="e">
        <f t="shared" ref="CD68:CD131" si="64">S68/J$190</f>
        <v>#DIV/0!</v>
      </c>
      <c r="CE68" s="56" t="e">
        <f t="shared" ref="CE68:CE131" si="65">AC68/BV68</f>
        <v>#DIV/0!</v>
      </c>
      <c r="CF68" s="56" t="e">
        <f t="shared" ref="CF68:CF131" si="66">AD68/BW68</f>
        <v>#DIV/0!</v>
      </c>
      <c r="CG68" s="56" t="e">
        <f t="shared" ref="CG68:CG131" si="67">AE68/BX68</f>
        <v>#DIV/0!</v>
      </c>
      <c r="CH68" s="56" t="e">
        <f t="shared" ref="CH68:CH131" si="68">AF68/BY68</f>
        <v>#DIV/0!</v>
      </c>
      <c r="CI68" s="56" t="e">
        <f t="shared" ref="CI68:CI131" si="69">AG68/BZ68</f>
        <v>#DIV/0!</v>
      </c>
      <c r="CJ68" s="56" t="e">
        <f t="shared" ref="CJ68:CJ131" si="70">AH68/CA68</f>
        <v>#DIV/0!</v>
      </c>
      <c r="CK68" s="56" t="e">
        <f t="shared" ref="CK68:CK131" si="71">AI68/CB68</f>
        <v>#DIV/0!</v>
      </c>
      <c r="CL68" s="56" t="e">
        <f t="shared" ref="CL68:CL131" si="72">AJ68/CC68</f>
        <v>#DIV/0!</v>
      </c>
      <c r="CM68" s="56" t="e">
        <f t="shared" ref="CM68:CM131" si="73">AK68/CD68</f>
        <v>#DIV/0!</v>
      </c>
    </row>
    <row r="69" spans="1:91" x14ac:dyDescent="0.15">
      <c r="A69" s="43">
        <v>67</v>
      </c>
      <c r="B69" s="46">
        <f t="shared" si="46"/>
        <v>1</v>
      </c>
      <c r="C69" s="46">
        <f t="shared" si="45"/>
        <v>1</v>
      </c>
      <c r="D69" s="46">
        <f t="shared" si="45"/>
        <v>1</v>
      </c>
      <c r="E69" s="46">
        <f t="shared" si="45"/>
        <v>1</v>
      </c>
      <c r="F69" s="46">
        <f t="shared" si="45"/>
        <v>1</v>
      </c>
      <c r="G69" s="46">
        <f t="shared" si="45"/>
        <v>1</v>
      </c>
      <c r="H69" s="46">
        <f t="shared" si="45"/>
        <v>1</v>
      </c>
      <c r="I69" s="46">
        <f t="shared" si="45"/>
        <v>1</v>
      </c>
      <c r="J69" s="46">
        <f t="shared" si="45"/>
        <v>1</v>
      </c>
      <c r="K69" s="46" t="e">
        <f>K68+ATM_Conf!$C$5*(T68-AC68)</f>
        <v>#DIV/0!</v>
      </c>
      <c r="L69" s="46" t="e">
        <f>L68+ATM_Conf!$C$5*(U68-AD68)</f>
        <v>#DIV/0!</v>
      </c>
      <c r="M69" s="46" t="e">
        <f>M68+ATM_Conf!$C$5*(V68-AE68)</f>
        <v>#DIV/0!</v>
      </c>
      <c r="N69" s="46" t="e">
        <f>N68+ATM_Conf!$C$5*(W68-AF68)</f>
        <v>#DIV/0!</v>
      </c>
      <c r="O69" s="46" t="e">
        <f>O68+ATM_Conf!$C$5*(X68-AG68)</f>
        <v>#DIV/0!</v>
      </c>
      <c r="P69" s="46" t="e">
        <f>P68+ATM_Conf!$C$5*(Y68-AH68)</f>
        <v>#DIV/0!</v>
      </c>
      <c r="Q69" s="46" t="e">
        <f>Q68+ATM_Conf!$C$5*(Z68-AI68)</f>
        <v>#DIV/0!</v>
      </c>
      <c r="R69" s="46" t="e">
        <f>R68+ATM_Conf!$C$5*(AA68-AJ68)</f>
        <v>#DIV/0!</v>
      </c>
      <c r="S69" s="46" t="e">
        <f>S68+ATM_Conf!$C$5*(AB68-AK68)</f>
        <v>#DIV/0!</v>
      </c>
      <c r="T69" s="46"/>
      <c r="U69" s="46"/>
      <c r="V69" s="46"/>
      <c r="W69" s="46"/>
      <c r="X69" s="46"/>
      <c r="Y69" s="46"/>
      <c r="Z69" s="46"/>
      <c r="AA69" s="46"/>
      <c r="AB69" s="46"/>
      <c r="AC69" s="46" t="e">
        <f t="shared" si="47"/>
        <v>#DIV/0!</v>
      </c>
      <c r="AD69" s="46" t="e">
        <f t="shared" si="48"/>
        <v>#DIV/0!</v>
      </c>
      <c r="AE69" s="46" t="e">
        <f t="shared" si="49"/>
        <v>#DIV/0!</v>
      </c>
      <c r="AF69" s="46" t="e">
        <f t="shared" si="50"/>
        <v>#DIV/0!</v>
      </c>
      <c r="AG69" s="46" t="e">
        <f t="shared" si="51"/>
        <v>#DIV/0!</v>
      </c>
      <c r="AH69" s="46" t="e">
        <f t="shared" si="52"/>
        <v>#DIV/0!</v>
      </c>
      <c r="AI69" s="46" t="e">
        <f t="shared" si="53"/>
        <v>#DIV/0!</v>
      </c>
      <c r="AJ69" s="46" t="e">
        <f t="shared" si="54"/>
        <v>#DIV/0!</v>
      </c>
      <c r="AK69" s="46" t="e">
        <f t="shared" si="55"/>
        <v>#DIV/0!</v>
      </c>
      <c r="AL69" s="46" t="e">
        <f>T$3+K69/ATM_Conf!$C$5</f>
        <v>#DIV/0!</v>
      </c>
      <c r="AM69" s="46" t="e">
        <f>U$3+L69/ATM_Conf!$C$5</f>
        <v>#DIV/0!</v>
      </c>
      <c r="AN69" s="46" t="e">
        <f>V$3+M69/ATM_Conf!$C$5</f>
        <v>#DIV/0!</v>
      </c>
      <c r="AO69" s="46" t="e">
        <f>W$3+N69/ATM_Conf!$C$5</f>
        <v>#DIV/0!</v>
      </c>
      <c r="AP69" s="46" t="e">
        <f>X$3+O69/ATM_Conf!$C$5</f>
        <v>#DIV/0!</v>
      </c>
      <c r="AQ69" s="46" t="e">
        <f>Y$3+P69/ATM_Conf!$C$5</f>
        <v>#DIV/0!</v>
      </c>
      <c r="AR69" s="46" t="e">
        <f>Z$3+Q69/ATM_Conf!$C$5</f>
        <v>#DIV/0!</v>
      </c>
      <c r="AS69" s="46" t="e">
        <f>AA$3+R69/ATM_Conf!$C$5</f>
        <v>#DIV/0!</v>
      </c>
      <c r="AT69" s="46" t="e">
        <f>AB$3+S69/ATM_Conf!$C$5</f>
        <v>#DIV/0!</v>
      </c>
      <c r="AU69" s="46" t="e">
        <f>BD$3*MIN(1,(ATM_Conf!$C$6-Links!F69)/(ATM_Conf!$C$6-ATM_Conf!$C$7))</f>
        <v>#DIV/0!</v>
      </c>
      <c r="AV69" s="46" t="e">
        <f>BE$3*MIN(1,(ATM_Conf!$C$6-Links!G69)/(ATM_Conf!$C$6-ATM_Conf!$C$7))</f>
        <v>#DIV/0!</v>
      </c>
      <c r="AW69" s="46" t="e">
        <f>BF$3*MIN(1,(ATM_Conf!$C$6-Links!H69)/(ATM_Conf!$C$6-ATM_Conf!$C$7))</f>
        <v>#DIV/0!</v>
      </c>
      <c r="AX69" s="46" t="e">
        <f>BG$3*MIN(1,(ATM_Conf!$C$6-Links!I69)/(ATM_Conf!$C$6-ATM_Conf!$C$7))</f>
        <v>#DIV/0!</v>
      </c>
      <c r="AY69" s="46" t="e">
        <f>BH$3*MIN(1,(ATM_Conf!$C$6-Links!J69)/(ATM_Conf!$C$6-ATM_Conf!$C$7))</f>
        <v>#DIV/0!</v>
      </c>
      <c r="AZ69" s="46" t="e">
        <f>BI$3*MIN(1,(ATM_Conf!$C$6-Links!K69)/(ATM_Conf!$C$6-ATM_Conf!$C$7))</f>
        <v>#DIV/0!</v>
      </c>
      <c r="BA69" s="46" t="e">
        <f>BJ$3*MIN(1,(ATM_Conf!$C$6-Links!L69)/(ATM_Conf!$C$6-ATM_Conf!$C$7))</f>
        <v>#DIV/0!</v>
      </c>
      <c r="BB69" s="46" t="e">
        <f>BK$3*MIN(1,(ATM_Conf!$C$6-Links!M69)/(ATM_Conf!$C$6-ATM_Conf!$C$7))</f>
        <v>#DIV/0!</v>
      </c>
      <c r="BC69" s="46" t="e">
        <f>BL$3*MIN(1,(ATM_Conf!$C$6-Links!N69)/(ATM_Conf!$C$6-ATM_Conf!$C$7))</f>
        <v>#DIV/0!</v>
      </c>
      <c r="BD69" s="46"/>
      <c r="BE69" s="46"/>
      <c r="BF69" s="46"/>
      <c r="BG69" s="46"/>
      <c r="BH69" s="46"/>
      <c r="BI69" s="46"/>
      <c r="BJ69" s="46"/>
      <c r="BK69" s="46"/>
      <c r="BL69" s="46"/>
      <c r="BM69" s="54"/>
      <c r="BN69" s="54"/>
      <c r="BO69" s="54"/>
      <c r="BP69" s="54"/>
      <c r="BQ69" s="54"/>
      <c r="BR69" s="54"/>
      <c r="BS69" s="54"/>
      <c r="BT69" s="54"/>
      <c r="BU69" s="54"/>
      <c r="BV69" s="46" t="e">
        <f t="shared" si="56"/>
        <v>#DIV/0!</v>
      </c>
      <c r="BW69" s="46" t="e">
        <f t="shared" si="57"/>
        <v>#DIV/0!</v>
      </c>
      <c r="BX69" s="46" t="e">
        <f t="shared" si="58"/>
        <v>#DIV/0!</v>
      </c>
      <c r="BY69" s="46" t="e">
        <f t="shared" si="59"/>
        <v>#DIV/0!</v>
      </c>
      <c r="BZ69" s="46" t="e">
        <f t="shared" si="60"/>
        <v>#DIV/0!</v>
      </c>
      <c r="CA69" s="46" t="e">
        <f t="shared" si="61"/>
        <v>#DIV/0!</v>
      </c>
      <c r="CB69" s="46" t="e">
        <f t="shared" si="62"/>
        <v>#DIV/0!</v>
      </c>
      <c r="CC69" s="46" t="e">
        <f t="shared" si="63"/>
        <v>#DIV/0!</v>
      </c>
      <c r="CD69" s="46" t="e">
        <f t="shared" si="64"/>
        <v>#DIV/0!</v>
      </c>
      <c r="CE69" s="56" t="e">
        <f t="shared" si="65"/>
        <v>#DIV/0!</v>
      </c>
      <c r="CF69" s="56" t="e">
        <f t="shared" si="66"/>
        <v>#DIV/0!</v>
      </c>
      <c r="CG69" s="56" t="e">
        <f t="shared" si="67"/>
        <v>#DIV/0!</v>
      </c>
      <c r="CH69" s="56" t="e">
        <f t="shared" si="68"/>
        <v>#DIV/0!</v>
      </c>
      <c r="CI69" s="56" t="e">
        <f t="shared" si="69"/>
        <v>#DIV/0!</v>
      </c>
      <c r="CJ69" s="56" t="e">
        <f t="shared" si="70"/>
        <v>#DIV/0!</v>
      </c>
      <c r="CK69" s="56" t="e">
        <f t="shared" si="71"/>
        <v>#DIV/0!</v>
      </c>
      <c r="CL69" s="56" t="e">
        <f t="shared" si="72"/>
        <v>#DIV/0!</v>
      </c>
      <c r="CM69" s="56" t="e">
        <f t="shared" si="73"/>
        <v>#DIV/0!</v>
      </c>
    </row>
    <row r="70" spans="1:91" x14ac:dyDescent="0.15">
      <c r="A70" s="43">
        <v>68</v>
      </c>
      <c r="B70" s="46">
        <f t="shared" si="46"/>
        <v>1</v>
      </c>
      <c r="C70" s="46">
        <f t="shared" si="45"/>
        <v>1</v>
      </c>
      <c r="D70" s="46">
        <f t="shared" si="45"/>
        <v>1</v>
      </c>
      <c r="E70" s="46">
        <f t="shared" si="45"/>
        <v>1</v>
      </c>
      <c r="F70" s="46">
        <f t="shared" si="45"/>
        <v>1</v>
      </c>
      <c r="G70" s="46">
        <f t="shared" si="45"/>
        <v>1</v>
      </c>
      <c r="H70" s="46">
        <f t="shared" si="45"/>
        <v>1</v>
      </c>
      <c r="I70" s="46">
        <f t="shared" si="45"/>
        <v>1</v>
      </c>
      <c r="J70" s="46">
        <f t="shared" si="45"/>
        <v>1</v>
      </c>
      <c r="K70" s="46" t="e">
        <f>K69+ATM_Conf!$C$5*(T69-AC69)</f>
        <v>#DIV/0!</v>
      </c>
      <c r="L70" s="46" t="e">
        <f>L69+ATM_Conf!$C$5*(U69-AD69)</f>
        <v>#DIV/0!</v>
      </c>
      <c r="M70" s="46" t="e">
        <f>M69+ATM_Conf!$C$5*(V69-AE69)</f>
        <v>#DIV/0!</v>
      </c>
      <c r="N70" s="46" t="e">
        <f>N69+ATM_Conf!$C$5*(W69-AF69)</f>
        <v>#DIV/0!</v>
      </c>
      <c r="O70" s="46" t="e">
        <f>O69+ATM_Conf!$C$5*(X69-AG69)</f>
        <v>#DIV/0!</v>
      </c>
      <c r="P70" s="46" t="e">
        <f>P69+ATM_Conf!$C$5*(Y69-AH69)</f>
        <v>#DIV/0!</v>
      </c>
      <c r="Q70" s="46" t="e">
        <f>Q69+ATM_Conf!$C$5*(Z69-AI69)</f>
        <v>#DIV/0!</v>
      </c>
      <c r="R70" s="46" t="e">
        <f>R69+ATM_Conf!$C$5*(AA69-AJ69)</f>
        <v>#DIV/0!</v>
      </c>
      <c r="S70" s="46" t="e">
        <f>S69+ATM_Conf!$C$5*(AB69-AK69)</f>
        <v>#DIV/0!</v>
      </c>
      <c r="T70" s="46"/>
      <c r="U70" s="46"/>
      <c r="V70" s="46"/>
      <c r="W70" s="46"/>
      <c r="X70" s="46"/>
      <c r="Y70" s="46"/>
      <c r="Z70" s="46"/>
      <c r="AA70" s="46"/>
      <c r="AB70" s="46"/>
      <c r="AC70" s="46" t="e">
        <f t="shared" si="47"/>
        <v>#DIV/0!</v>
      </c>
      <c r="AD70" s="46" t="e">
        <f t="shared" si="48"/>
        <v>#DIV/0!</v>
      </c>
      <c r="AE70" s="46" t="e">
        <f t="shared" si="49"/>
        <v>#DIV/0!</v>
      </c>
      <c r="AF70" s="46" t="e">
        <f t="shared" si="50"/>
        <v>#DIV/0!</v>
      </c>
      <c r="AG70" s="46" t="e">
        <f t="shared" si="51"/>
        <v>#DIV/0!</v>
      </c>
      <c r="AH70" s="46" t="e">
        <f t="shared" si="52"/>
        <v>#DIV/0!</v>
      </c>
      <c r="AI70" s="46" t="e">
        <f t="shared" si="53"/>
        <v>#DIV/0!</v>
      </c>
      <c r="AJ70" s="46" t="e">
        <f t="shared" si="54"/>
        <v>#DIV/0!</v>
      </c>
      <c r="AK70" s="46" t="e">
        <f t="shared" si="55"/>
        <v>#DIV/0!</v>
      </c>
      <c r="AL70" s="46" t="e">
        <f>T$3+K70/ATM_Conf!$C$5</f>
        <v>#DIV/0!</v>
      </c>
      <c r="AM70" s="46" t="e">
        <f>U$3+L70/ATM_Conf!$C$5</f>
        <v>#DIV/0!</v>
      </c>
      <c r="AN70" s="46" t="e">
        <f>V$3+M70/ATM_Conf!$C$5</f>
        <v>#DIV/0!</v>
      </c>
      <c r="AO70" s="46" t="e">
        <f>W$3+N70/ATM_Conf!$C$5</f>
        <v>#DIV/0!</v>
      </c>
      <c r="AP70" s="46" t="e">
        <f>X$3+O70/ATM_Conf!$C$5</f>
        <v>#DIV/0!</v>
      </c>
      <c r="AQ70" s="46" t="e">
        <f>Y$3+P70/ATM_Conf!$C$5</f>
        <v>#DIV/0!</v>
      </c>
      <c r="AR70" s="46" t="e">
        <f>Z$3+Q70/ATM_Conf!$C$5</f>
        <v>#DIV/0!</v>
      </c>
      <c r="AS70" s="46" t="e">
        <f>AA$3+R70/ATM_Conf!$C$5</f>
        <v>#DIV/0!</v>
      </c>
      <c r="AT70" s="46" t="e">
        <f>AB$3+S70/ATM_Conf!$C$5</f>
        <v>#DIV/0!</v>
      </c>
      <c r="AU70" s="46" t="e">
        <f>BD$3*MIN(1,(ATM_Conf!$C$6-Links!F70)/(ATM_Conf!$C$6-ATM_Conf!$C$7))</f>
        <v>#DIV/0!</v>
      </c>
      <c r="AV70" s="46" t="e">
        <f>BE$3*MIN(1,(ATM_Conf!$C$6-Links!G70)/(ATM_Conf!$C$6-ATM_Conf!$C$7))</f>
        <v>#DIV/0!</v>
      </c>
      <c r="AW70" s="46" t="e">
        <f>BF$3*MIN(1,(ATM_Conf!$C$6-Links!H70)/(ATM_Conf!$C$6-ATM_Conf!$C$7))</f>
        <v>#DIV/0!</v>
      </c>
      <c r="AX70" s="46" t="e">
        <f>BG$3*MIN(1,(ATM_Conf!$C$6-Links!I70)/(ATM_Conf!$C$6-ATM_Conf!$C$7))</f>
        <v>#DIV/0!</v>
      </c>
      <c r="AY70" s="46" t="e">
        <f>BH$3*MIN(1,(ATM_Conf!$C$6-Links!J70)/(ATM_Conf!$C$6-ATM_Conf!$C$7))</f>
        <v>#DIV/0!</v>
      </c>
      <c r="AZ70" s="46" t="e">
        <f>BI$3*MIN(1,(ATM_Conf!$C$6-Links!K70)/(ATM_Conf!$C$6-ATM_Conf!$C$7))</f>
        <v>#DIV/0!</v>
      </c>
      <c r="BA70" s="46" t="e">
        <f>BJ$3*MIN(1,(ATM_Conf!$C$6-Links!L70)/(ATM_Conf!$C$6-ATM_Conf!$C$7))</f>
        <v>#DIV/0!</v>
      </c>
      <c r="BB70" s="46" t="e">
        <f>BK$3*MIN(1,(ATM_Conf!$C$6-Links!M70)/(ATM_Conf!$C$6-ATM_Conf!$C$7))</f>
        <v>#DIV/0!</v>
      </c>
      <c r="BC70" s="46" t="e">
        <f>BL$3*MIN(1,(ATM_Conf!$C$6-Links!N70)/(ATM_Conf!$C$6-ATM_Conf!$C$7))</f>
        <v>#DIV/0!</v>
      </c>
      <c r="BD70" s="46"/>
      <c r="BE70" s="46"/>
      <c r="BF70" s="46"/>
      <c r="BG70" s="46"/>
      <c r="BH70" s="46"/>
      <c r="BI70" s="46"/>
      <c r="BJ70" s="46"/>
      <c r="BK70" s="46"/>
      <c r="BL70" s="46"/>
      <c r="BM70" s="54"/>
      <c r="BN70" s="54"/>
      <c r="BO70" s="54"/>
      <c r="BP70" s="54"/>
      <c r="BQ70" s="54"/>
      <c r="BR70" s="54"/>
      <c r="BS70" s="54"/>
      <c r="BT70" s="54"/>
      <c r="BU70" s="54"/>
      <c r="BV70" s="46" t="e">
        <f t="shared" si="56"/>
        <v>#DIV/0!</v>
      </c>
      <c r="BW70" s="46" t="e">
        <f t="shared" si="57"/>
        <v>#DIV/0!</v>
      </c>
      <c r="BX70" s="46" t="e">
        <f t="shared" si="58"/>
        <v>#DIV/0!</v>
      </c>
      <c r="BY70" s="46" t="e">
        <f t="shared" si="59"/>
        <v>#DIV/0!</v>
      </c>
      <c r="BZ70" s="46" t="e">
        <f t="shared" si="60"/>
        <v>#DIV/0!</v>
      </c>
      <c r="CA70" s="46" t="e">
        <f t="shared" si="61"/>
        <v>#DIV/0!</v>
      </c>
      <c r="CB70" s="46" t="e">
        <f t="shared" si="62"/>
        <v>#DIV/0!</v>
      </c>
      <c r="CC70" s="46" t="e">
        <f t="shared" si="63"/>
        <v>#DIV/0!</v>
      </c>
      <c r="CD70" s="46" t="e">
        <f t="shared" si="64"/>
        <v>#DIV/0!</v>
      </c>
      <c r="CE70" s="56" t="e">
        <f t="shared" si="65"/>
        <v>#DIV/0!</v>
      </c>
      <c r="CF70" s="56" t="e">
        <f t="shared" si="66"/>
        <v>#DIV/0!</v>
      </c>
      <c r="CG70" s="56" t="e">
        <f t="shared" si="67"/>
        <v>#DIV/0!</v>
      </c>
      <c r="CH70" s="56" t="e">
        <f t="shared" si="68"/>
        <v>#DIV/0!</v>
      </c>
      <c r="CI70" s="56" t="e">
        <f t="shared" si="69"/>
        <v>#DIV/0!</v>
      </c>
      <c r="CJ70" s="56" t="e">
        <f t="shared" si="70"/>
        <v>#DIV/0!</v>
      </c>
      <c r="CK70" s="56" t="e">
        <f t="shared" si="71"/>
        <v>#DIV/0!</v>
      </c>
      <c r="CL70" s="56" t="e">
        <f t="shared" si="72"/>
        <v>#DIV/0!</v>
      </c>
      <c r="CM70" s="56" t="e">
        <f t="shared" si="73"/>
        <v>#DIV/0!</v>
      </c>
    </row>
    <row r="71" spans="1:91" x14ac:dyDescent="0.15">
      <c r="A71" s="43">
        <v>69</v>
      </c>
      <c r="B71" s="46">
        <f t="shared" si="46"/>
        <v>1</v>
      </c>
      <c r="C71" s="46">
        <f t="shared" si="45"/>
        <v>1</v>
      </c>
      <c r="D71" s="46">
        <f t="shared" si="45"/>
        <v>1</v>
      </c>
      <c r="E71" s="46">
        <f t="shared" si="45"/>
        <v>1</v>
      </c>
      <c r="F71" s="46">
        <f t="shared" si="45"/>
        <v>1</v>
      </c>
      <c r="G71" s="46">
        <f t="shared" si="45"/>
        <v>1</v>
      </c>
      <c r="H71" s="46">
        <f t="shared" si="45"/>
        <v>1</v>
      </c>
      <c r="I71" s="46">
        <f t="shared" si="45"/>
        <v>1</v>
      </c>
      <c r="J71" s="46">
        <f t="shared" si="45"/>
        <v>1</v>
      </c>
      <c r="K71" s="46" t="e">
        <f>K70+ATM_Conf!$C$5*(T70-AC70)</f>
        <v>#DIV/0!</v>
      </c>
      <c r="L71" s="46" t="e">
        <f>L70+ATM_Conf!$C$5*(U70-AD70)</f>
        <v>#DIV/0!</v>
      </c>
      <c r="M71" s="46" t="e">
        <f>M70+ATM_Conf!$C$5*(V70-AE70)</f>
        <v>#DIV/0!</v>
      </c>
      <c r="N71" s="46" t="e">
        <f>N70+ATM_Conf!$C$5*(W70-AF70)</f>
        <v>#DIV/0!</v>
      </c>
      <c r="O71" s="46" t="e">
        <f>O70+ATM_Conf!$C$5*(X70-AG70)</f>
        <v>#DIV/0!</v>
      </c>
      <c r="P71" s="46" t="e">
        <f>P70+ATM_Conf!$C$5*(Y70-AH70)</f>
        <v>#DIV/0!</v>
      </c>
      <c r="Q71" s="46" t="e">
        <f>Q70+ATM_Conf!$C$5*(Z70-AI70)</f>
        <v>#DIV/0!</v>
      </c>
      <c r="R71" s="46" t="e">
        <f>R70+ATM_Conf!$C$5*(AA70-AJ70)</f>
        <v>#DIV/0!</v>
      </c>
      <c r="S71" s="46" t="e">
        <f>S70+ATM_Conf!$C$5*(AB70-AK70)</f>
        <v>#DIV/0!</v>
      </c>
      <c r="T71" s="46"/>
      <c r="U71" s="46"/>
      <c r="V71" s="46"/>
      <c r="W71" s="46"/>
      <c r="X71" s="46"/>
      <c r="Y71" s="46"/>
      <c r="Z71" s="46"/>
      <c r="AA71" s="46"/>
      <c r="AB71" s="46"/>
      <c r="AC71" s="46" t="e">
        <f t="shared" si="47"/>
        <v>#DIV/0!</v>
      </c>
      <c r="AD71" s="46" t="e">
        <f t="shared" si="48"/>
        <v>#DIV/0!</v>
      </c>
      <c r="AE71" s="46" t="e">
        <f t="shared" si="49"/>
        <v>#DIV/0!</v>
      </c>
      <c r="AF71" s="46" t="e">
        <f t="shared" si="50"/>
        <v>#DIV/0!</v>
      </c>
      <c r="AG71" s="46" t="e">
        <f t="shared" si="51"/>
        <v>#DIV/0!</v>
      </c>
      <c r="AH71" s="46" t="e">
        <f t="shared" si="52"/>
        <v>#DIV/0!</v>
      </c>
      <c r="AI71" s="46" t="e">
        <f t="shared" si="53"/>
        <v>#DIV/0!</v>
      </c>
      <c r="AJ71" s="46" t="e">
        <f t="shared" si="54"/>
        <v>#DIV/0!</v>
      </c>
      <c r="AK71" s="46" t="e">
        <f t="shared" si="55"/>
        <v>#DIV/0!</v>
      </c>
      <c r="AL71" s="46" t="e">
        <f>T$3+K71/ATM_Conf!$C$5</f>
        <v>#DIV/0!</v>
      </c>
      <c r="AM71" s="46" t="e">
        <f>U$3+L71/ATM_Conf!$C$5</f>
        <v>#DIV/0!</v>
      </c>
      <c r="AN71" s="46" t="e">
        <f>V$3+M71/ATM_Conf!$C$5</f>
        <v>#DIV/0!</v>
      </c>
      <c r="AO71" s="46" t="e">
        <f>W$3+N71/ATM_Conf!$C$5</f>
        <v>#DIV/0!</v>
      </c>
      <c r="AP71" s="46" t="e">
        <f>X$3+O71/ATM_Conf!$C$5</f>
        <v>#DIV/0!</v>
      </c>
      <c r="AQ71" s="46" t="e">
        <f>Y$3+P71/ATM_Conf!$C$5</f>
        <v>#DIV/0!</v>
      </c>
      <c r="AR71" s="46" t="e">
        <f>Z$3+Q71/ATM_Conf!$C$5</f>
        <v>#DIV/0!</v>
      </c>
      <c r="AS71" s="46" t="e">
        <f>AA$3+R71/ATM_Conf!$C$5</f>
        <v>#DIV/0!</v>
      </c>
      <c r="AT71" s="46" t="e">
        <f>AB$3+S71/ATM_Conf!$C$5</f>
        <v>#DIV/0!</v>
      </c>
      <c r="AU71" s="46" t="e">
        <f>BD$3*MIN(1,(ATM_Conf!$C$6-Links!F71)/(ATM_Conf!$C$6-ATM_Conf!$C$7))</f>
        <v>#DIV/0!</v>
      </c>
      <c r="AV71" s="46" t="e">
        <f>BE$3*MIN(1,(ATM_Conf!$C$6-Links!G71)/(ATM_Conf!$C$6-ATM_Conf!$C$7))</f>
        <v>#DIV/0!</v>
      </c>
      <c r="AW71" s="46" t="e">
        <f>BF$3*MIN(1,(ATM_Conf!$C$6-Links!H71)/(ATM_Conf!$C$6-ATM_Conf!$C$7))</f>
        <v>#DIV/0!</v>
      </c>
      <c r="AX71" s="46" t="e">
        <f>BG$3*MIN(1,(ATM_Conf!$C$6-Links!I71)/(ATM_Conf!$C$6-ATM_Conf!$C$7))</f>
        <v>#DIV/0!</v>
      </c>
      <c r="AY71" s="46" t="e">
        <f>BH$3*MIN(1,(ATM_Conf!$C$6-Links!J71)/(ATM_Conf!$C$6-ATM_Conf!$C$7))</f>
        <v>#DIV/0!</v>
      </c>
      <c r="AZ71" s="46" t="e">
        <f>BI$3*MIN(1,(ATM_Conf!$C$6-Links!K71)/(ATM_Conf!$C$6-ATM_Conf!$C$7))</f>
        <v>#DIV/0!</v>
      </c>
      <c r="BA71" s="46" t="e">
        <f>BJ$3*MIN(1,(ATM_Conf!$C$6-Links!L71)/(ATM_Conf!$C$6-ATM_Conf!$C$7))</f>
        <v>#DIV/0!</v>
      </c>
      <c r="BB71" s="46" t="e">
        <f>BK$3*MIN(1,(ATM_Conf!$C$6-Links!M71)/(ATM_Conf!$C$6-ATM_Conf!$C$7))</f>
        <v>#DIV/0!</v>
      </c>
      <c r="BC71" s="46" t="e">
        <f>BL$3*MIN(1,(ATM_Conf!$C$6-Links!N71)/(ATM_Conf!$C$6-ATM_Conf!$C$7))</f>
        <v>#DIV/0!</v>
      </c>
      <c r="BD71" s="46"/>
      <c r="BE71" s="46"/>
      <c r="BF71" s="46"/>
      <c r="BG71" s="46"/>
      <c r="BH71" s="46"/>
      <c r="BI71" s="46"/>
      <c r="BJ71" s="46"/>
      <c r="BK71" s="46"/>
      <c r="BL71" s="46"/>
      <c r="BM71" s="54"/>
      <c r="BN71" s="54"/>
      <c r="BO71" s="54"/>
      <c r="BP71" s="54"/>
      <c r="BQ71" s="54"/>
      <c r="BR71" s="54"/>
      <c r="BS71" s="54"/>
      <c r="BT71" s="54"/>
      <c r="BU71" s="54"/>
      <c r="BV71" s="46" t="e">
        <f t="shared" si="56"/>
        <v>#DIV/0!</v>
      </c>
      <c r="BW71" s="46" t="e">
        <f t="shared" si="57"/>
        <v>#DIV/0!</v>
      </c>
      <c r="BX71" s="46" t="e">
        <f t="shared" si="58"/>
        <v>#DIV/0!</v>
      </c>
      <c r="BY71" s="46" t="e">
        <f t="shared" si="59"/>
        <v>#DIV/0!</v>
      </c>
      <c r="BZ71" s="46" t="e">
        <f t="shared" si="60"/>
        <v>#DIV/0!</v>
      </c>
      <c r="CA71" s="46" t="e">
        <f t="shared" si="61"/>
        <v>#DIV/0!</v>
      </c>
      <c r="CB71" s="46" t="e">
        <f t="shared" si="62"/>
        <v>#DIV/0!</v>
      </c>
      <c r="CC71" s="46" t="e">
        <f t="shared" si="63"/>
        <v>#DIV/0!</v>
      </c>
      <c r="CD71" s="46" t="e">
        <f t="shared" si="64"/>
        <v>#DIV/0!</v>
      </c>
      <c r="CE71" s="56" t="e">
        <f t="shared" si="65"/>
        <v>#DIV/0!</v>
      </c>
      <c r="CF71" s="56" t="e">
        <f t="shared" si="66"/>
        <v>#DIV/0!</v>
      </c>
      <c r="CG71" s="56" t="e">
        <f t="shared" si="67"/>
        <v>#DIV/0!</v>
      </c>
      <c r="CH71" s="56" t="e">
        <f t="shared" si="68"/>
        <v>#DIV/0!</v>
      </c>
      <c r="CI71" s="56" t="e">
        <f t="shared" si="69"/>
        <v>#DIV/0!</v>
      </c>
      <c r="CJ71" s="56" t="e">
        <f t="shared" si="70"/>
        <v>#DIV/0!</v>
      </c>
      <c r="CK71" s="56" t="e">
        <f t="shared" si="71"/>
        <v>#DIV/0!</v>
      </c>
      <c r="CL71" s="56" t="e">
        <f t="shared" si="72"/>
        <v>#DIV/0!</v>
      </c>
      <c r="CM71" s="56" t="e">
        <f t="shared" si="73"/>
        <v>#DIV/0!</v>
      </c>
    </row>
    <row r="72" spans="1:91" x14ac:dyDescent="0.15">
      <c r="A72" s="43">
        <v>70</v>
      </c>
      <c r="B72" s="46">
        <f t="shared" si="46"/>
        <v>1</v>
      </c>
      <c r="C72" s="46">
        <f t="shared" si="45"/>
        <v>1</v>
      </c>
      <c r="D72" s="46">
        <f t="shared" si="45"/>
        <v>1</v>
      </c>
      <c r="E72" s="46">
        <f t="shared" si="45"/>
        <v>1</v>
      </c>
      <c r="F72" s="46">
        <f t="shared" si="45"/>
        <v>1</v>
      </c>
      <c r="G72" s="46">
        <f t="shared" si="45"/>
        <v>1</v>
      </c>
      <c r="H72" s="46">
        <f t="shared" si="45"/>
        <v>1</v>
      </c>
      <c r="I72" s="46">
        <f t="shared" si="45"/>
        <v>1</v>
      </c>
      <c r="J72" s="46">
        <f t="shared" si="45"/>
        <v>1</v>
      </c>
      <c r="K72" s="46" t="e">
        <f>K71+ATM_Conf!$C$5*(T71-AC71)</f>
        <v>#DIV/0!</v>
      </c>
      <c r="L72" s="46" t="e">
        <f>L71+ATM_Conf!$C$5*(U71-AD71)</f>
        <v>#DIV/0!</v>
      </c>
      <c r="M72" s="46" t="e">
        <f>M71+ATM_Conf!$C$5*(V71-AE71)</f>
        <v>#DIV/0!</v>
      </c>
      <c r="N72" s="46" t="e">
        <f>N71+ATM_Conf!$C$5*(W71-AF71)</f>
        <v>#DIV/0!</v>
      </c>
      <c r="O72" s="46" t="e">
        <f>O71+ATM_Conf!$C$5*(X71-AG71)</f>
        <v>#DIV/0!</v>
      </c>
      <c r="P72" s="46" t="e">
        <f>P71+ATM_Conf!$C$5*(Y71-AH71)</f>
        <v>#DIV/0!</v>
      </c>
      <c r="Q72" s="46" t="e">
        <f>Q71+ATM_Conf!$C$5*(Z71-AI71)</f>
        <v>#DIV/0!</v>
      </c>
      <c r="R72" s="46" t="e">
        <f>R71+ATM_Conf!$C$5*(AA71-AJ71)</f>
        <v>#DIV/0!</v>
      </c>
      <c r="S72" s="46" t="e">
        <f>S71+ATM_Conf!$C$5*(AB71-AK71)</f>
        <v>#DIV/0!</v>
      </c>
      <c r="T72" s="46"/>
      <c r="U72" s="46"/>
      <c r="V72" s="46"/>
      <c r="W72" s="46"/>
      <c r="X72" s="46"/>
      <c r="Y72" s="46"/>
      <c r="Z72" s="46"/>
      <c r="AA72" s="46"/>
      <c r="AB72" s="46"/>
      <c r="AC72" s="46" t="e">
        <f t="shared" si="47"/>
        <v>#DIV/0!</v>
      </c>
      <c r="AD72" s="46" t="e">
        <f t="shared" si="48"/>
        <v>#DIV/0!</v>
      </c>
      <c r="AE72" s="46" t="e">
        <f t="shared" si="49"/>
        <v>#DIV/0!</v>
      </c>
      <c r="AF72" s="46" t="e">
        <f t="shared" si="50"/>
        <v>#DIV/0!</v>
      </c>
      <c r="AG72" s="46" t="e">
        <f t="shared" si="51"/>
        <v>#DIV/0!</v>
      </c>
      <c r="AH72" s="46" t="e">
        <f t="shared" si="52"/>
        <v>#DIV/0!</v>
      </c>
      <c r="AI72" s="46" t="e">
        <f t="shared" si="53"/>
        <v>#DIV/0!</v>
      </c>
      <c r="AJ72" s="46" t="e">
        <f t="shared" si="54"/>
        <v>#DIV/0!</v>
      </c>
      <c r="AK72" s="46" t="e">
        <f t="shared" si="55"/>
        <v>#DIV/0!</v>
      </c>
      <c r="AL72" s="46" t="e">
        <f>T$3+K72/ATM_Conf!$C$5</f>
        <v>#DIV/0!</v>
      </c>
      <c r="AM72" s="46" t="e">
        <f>U$3+L72/ATM_Conf!$C$5</f>
        <v>#DIV/0!</v>
      </c>
      <c r="AN72" s="46" t="e">
        <f>V$3+M72/ATM_Conf!$C$5</f>
        <v>#DIV/0!</v>
      </c>
      <c r="AO72" s="46" t="e">
        <f>W$3+N72/ATM_Conf!$C$5</f>
        <v>#DIV/0!</v>
      </c>
      <c r="AP72" s="46" t="e">
        <f>X$3+O72/ATM_Conf!$C$5</f>
        <v>#DIV/0!</v>
      </c>
      <c r="AQ72" s="46" t="e">
        <f>Y$3+P72/ATM_Conf!$C$5</f>
        <v>#DIV/0!</v>
      </c>
      <c r="AR72" s="46" t="e">
        <f>Z$3+Q72/ATM_Conf!$C$5</f>
        <v>#DIV/0!</v>
      </c>
      <c r="AS72" s="46" t="e">
        <f>AA$3+R72/ATM_Conf!$C$5</f>
        <v>#DIV/0!</v>
      </c>
      <c r="AT72" s="46" t="e">
        <f>AB$3+S72/ATM_Conf!$C$5</f>
        <v>#DIV/0!</v>
      </c>
      <c r="AU72" s="46" t="e">
        <f>BD$3*MIN(1,(ATM_Conf!$C$6-Links!F72)/(ATM_Conf!$C$6-ATM_Conf!$C$7))</f>
        <v>#DIV/0!</v>
      </c>
      <c r="AV72" s="46" t="e">
        <f>BE$3*MIN(1,(ATM_Conf!$C$6-Links!G72)/(ATM_Conf!$C$6-ATM_Conf!$C$7))</f>
        <v>#DIV/0!</v>
      </c>
      <c r="AW72" s="46" t="e">
        <f>BF$3*MIN(1,(ATM_Conf!$C$6-Links!H72)/(ATM_Conf!$C$6-ATM_Conf!$C$7))</f>
        <v>#DIV/0!</v>
      </c>
      <c r="AX72" s="46" t="e">
        <f>BG$3*MIN(1,(ATM_Conf!$C$6-Links!I72)/(ATM_Conf!$C$6-ATM_Conf!$C$7))</f>
        <v>#DIV/0!</v>
      </c>
      <c r="AY72" s="46" t="e">
        <f>BH$3*MIN(1,(ATM_Conf!$C$6-Links!J72)/(ATM_Conf!$C$6-ATM_Conf!$C$7))</f>
        <v>#DIV/0!</v>
      </c>
      <c r="AZ72" s="46" t="e">
        <f>BI$3*MIN(1,(ATM_Conf!$C$6-Links!K72)/(ATM_Conf!$C$6-ATM_Conf!$C$7))</f>
        <v>#DIV/0!</v>
      </c>
      <c r="BA72" s="46" t="e">
        <f>BJ$3*MIN(1,(ATM_Conf!$C$6-Links!L72)/(ATM_Conf!$C$6-ATM_Conf!$C$7))</f>
        <v>#DIV/0!</v>
      </c>
      <c r="BB72" s="46" t="e">
        <f>BK$3*MIN(1,(ATM_Conf!$C$6-Links!M72)/(ATM_Conf!$C$6-ATM_Conf!$C$7))</f>
        <v>#DIV/0!</v>
      </c>
      <c r="BC72" s="46" t="e">
        <f>BL$3*MIN(1,(ATM_Conf!$C$6-Links!N72)/(ATM_Conf!$C$6-ATM_Conf!$C$7))</f>
        <v>#DIV/0!</v>
      </c>
      <c r="BD72" s="46"/>
      <c r="BE72" s="46"/>
      <c r="BF72" s="46"/>
      <c r="BG72" s="46"/>
      <c r="BH72" s="46"/>
      <c r="BI72" s="46"/>
      <c r="BJ72" s="46"/>
      <c r="BK72" s="46"/>
      <c r="BL72" s="46"/>
      <c r="BM72" s="54"/>
      <c r="BN72" s="54"/>
      <c r="BO72" s="54"/>
      <c r="BP72" s="54"/>
      <c r="BQ72" s="54"/>
      <c r="BR72" s="54"/>
      <c r="BS72" s="54"/>
      <c r="BT72" s="54"/>
      <c r="BU72" s="54"/>
      <c r="BV72" s="46" t="e">
        <f t="shared" si="56"/>
        <v>#DIV/0!</v>
      </c>
      <c r="BW72" s="46" t="e">
        <f t="shared" si="57"/>
        <v>#DIV/0!</v>
      </c>
      <c r="BX72" s="46" t="e">
        <f t="shared" si="58"/>
        <v>#DIV/0!</v>
      </c>
      <c r="BY72" s="46" t="e">
        <f t="shared" si="59"/>
        <v>#DIV/0!</v>
      </c>
      <c r="BZ72" s="46" t="e">
        <f t="shared" si="60"/>
        <v>#DIV/0!</v>
      </c>
      <c r="CA72" s="46" t="e">
        <f t="shared" si="61"/>
        <v>#DIV/0!</v>
      </c>
      <c r="CB72" s="46" t="e">
        <f t="shared" si="62"/>
        <v>#DIV/0!</v>
      </c>
      <c r="CC72" s="46" t="e">
        <f t="shared" si="63"/>
        <v>#DIV/0!</v>
      </c>
      <c r="CD72" s="46" t="e">
        <f t="shared" si="64"/>
        <v>#DIV/0!</v>
      </c>
      <c r="CE72" s="56" t="e">
        <f t="shared" si="65"/>
        <v>#DIV/0!</v>
      </c>
      <c r="CF72" s="56" t="e">
        <f t="shared" si="66"/>
        <v>#DIV/0!</v>
      </c>
      <c r="CG72" s="56" t="e">
        <f t="shared" si="67"/>
        <v>#DIV/0!</v>
      </c>
      <c r="CH72" s="56" t="e">
        <f t="shared" si="68"/>
        <v>#DIV/0!</v>
      </c>
      <c r="CI72" s="56" t="e">
        <f t="shared" si="69"/>
        <v>#DIV/0!</v>
      </c>
      <c r="CJ72" s="56" t="e">
        <f t="shared" si="70"/>
        <v>#DIV/0!</v>
      </c>
      <c r="CK72" s="56" t="e">
        <f t="shared" si="71"/>
        <v>#DIV/0!</v>
      </c>
      <c r="CL72" s="56" t="e">
        <f t="shared" si="72"/>
        <v>#DIV/0!</v>
      </c>
      <c r="CM72" s="56" t="e">
        <f t="shared" si="73"/>
        <v>#DIV/0!</v>
      </c>
    </row>
    <row r="73" spans="1:91" x14ac:dyDescent="0.15">
      <c r="A73" s="43">
        <v>71</v>
      </c>
      <c r="B73" s="46">
        <f t="shared" si="46"/>
        <v>1</v>
      </c>
      <c r="C73" s="46">
        <f t="shared" si="45"/>
        <v>1</v>
      </c>
      <c r="D73" s="46">
        <f t="shared" si="45"/>
        <v>1</v>
      </c>
      <c r="E73" s="46">
        <f t="shared" si="45"/>
        <v>1</v>
      </c>
      <c r="F73" s="46">
        <f t="shared" si="45"/>
        <v>1</v>
      </c>
      <c r="G73" s="46">
        <f t="shared" si="45"/>
        <v>1</v>
      </c>
      <c r="H73" s="46">
        <f t="shared" si="45"/>
        <v>1</v>
      </c>
      <c r="I73" s="46">
        <f t="shared" si="45"/>
        <v>1</v>
      </c>
      <c r="J73" s="46">
        <f t="shared" si="45"/>
        <v>1</v>
      </c>
      <c r="K73" s="46" t="e">
        <f>K72+ATM_Conf!$C$5*(T72-AC72)</f>
        <v>#DIV/0!</v>
      </c>
      <c r="L73" s="46" t="e">
        <f>L72+ATM_Conf!$C$5*(U72-AD72)</f>
        <v>#DIV/0!</v>
      </c>
      <c r="M73" s="46" t="e">
        <f>M72+ATM_Conf!$C$5*(V72-AE72)</f>
        <v>#DIV/0!</v>
      </c>
      <c r="N73" s="46" t="e">
        <f>N72+ATM_Conf!$C$5*(W72-AF72)</f>
        <v>#DIV/0!</v>
      </c>
      <c r="O73" s="46" t="e">
        <f>O72+ATM_Conf!$C$5*(X72-AG72)</f>
        <v>#DIV/0!</v>
      </c>
      <c r="P73" s="46" t="e">
        <f>P72+ATM_Conf!$C$5*(Y72-AH72)</f>
        <v>#DIV/0!</v>
      </c>
      <c r="Q73" s="46" t="e">
        <f>Q72+ATM_Conf!$C$5*(Z72-AI72)</f>
        <v>#DIV/0!</v>
      </c>
      <c r="R73" s="46" t="e">
        <f>R72+ATM_Conf!$C$5*(AA72-AJ72)</f>
        <v>#DIV/0!</v>
      </c>
      <c r="S73" s="46" t="e">
        <f>S72+ATM_Conf!$C$5*(AB72-AK72)</f>
        <v>#DIV/0!</v>
      </c>
      <c r="T73" s="46"/>
      <c r="U73" s="46"/>
      <c r="V73" s="46"/>
      <c r="W73" s="46"/>
      <c r="X73" s="46"/>
      <c r="Y73" s="46"/>
      <c r="Z73" s="46"/>
      <c r="AA73" s="46"/>
      <c r="AB73" s="46"/>
      <c r="AC73" s="46" t="e">
        <f t="shared" si="47"/>
        <v>#DIV/0!</v>
      </c>
      <c r="AD73" s="46" t="e">
        <f t="shared" si="48"/>
        <v>#DIV/0!</v>
      </c>
      <c r="AE73" s="46" t="e">
        <f t="shared" si="49"/>
        <v>#DIV/0!</v>
      </c>
      <c r="AF73" s="46" t="e">
        <f t="shared" si="50"/>
        <v>#DIV/0!</v>
      </c>
      <c r="AG73" s="46" t="e">
        <f t="shared" si="51"/>
        <v>#DIV/0!</v>
      </c>
      <c r="AH73" s="46" t="e">
        <f t="shared" si="52"/>
        <v>#DIV/0!</v>
      </c>
      <c r="AI73" s="46" t="e">
        <f t="shared" si="53"/>
        <v>#DIV/0!</v>
      </c>
      <c r="AJ73" s="46" t="e">
        <f t="shared" si="54"/>
        <v>#DIV/0!</v>
      </c>
      <c r="AK73" s="46" t="e">
        <f t="shared" si="55"/>
        <v>#DIV/0!</v>
      </c>
      <c r="AL73" s="46" t="e">
        <f>T$3+K73/ATM_Conf!$C$5</f>
        <v>#DIV/0!</v>
      </c>
      <c r="AM73" s="46" t="e">
        <f>U$3+L73/ATM_Conf!$C$5</f>
        <v>#DIV/0!</v>
      </c>
      <c r="AN73" s="46" t="e">
        <f>V$3+M73/ATM_Conf!$C$5</f>
        <v>#DIV/0!</v>
      </c>
      <c r="AO73" s="46" t="e">
        <f>W$3+N73/ATM_Conf!$C$5</f>
        <v>#DIV/0!</v>
      </c>
      <c r="AP73" s="46" t="e">
        <f>X$3+O73/ATM_Conf!$C$5</f>
        <v>#DIV/0!</v>
      </c>
      <c r="AQ73" s="46" t="e">
        <f>Y$3+P73/ATM_Conf!$C$5</f>
        <v>#DIV/0!</v>
      </c>
      <c r="AR73" s="46" t="e">
        <f>Z$3+Q73/ATM_Conf!$C$5</f>
        <v>#DIV/0!</v>
      </c>
      <c r="AS73" s="46" t="e">
        <f>AA$3+R73/ATM_Conf!$C$5</f>
        <v>#DIV/0!</v>
      </c>
      <c r="AT73" s="46" t="e">
        <f>AB$3+S73/ATM_Conf!$C$5</f>
        <v>#DIV/0!</v>
      </c>
      <c r="AU73" s="46" t="e">
        <f>BD$3*MIN(1,(ATM_Conf!$C$6-Links!F73)/(ATM_Conf!$C$6-ATM_Conf!$C$7))</f>
        <v>#DIV/0!</v>
      </c>
      <c r="AV73" s="46" t="e">
        <f>BE$3*MIN(1,(ATM_Conf!$C$6-Links!G73)/(ATM_Conf!$C$6-ATM_Conf!$C$7))</f>
        <v>#DIV/0!</v>
      </c>
      <c r="AW73" s="46" t="e">
        <f>BF$3*MIN(1,(ATM_Conf!$C$6-Links!H73)/(ATM_Conf!$C$6-ATM_Conf!$C$7))</f>
        <v>#DIV/0!</v>
      </c>
      <c r="AX73" s="46" t="e">
        <f>BG$3*MIN(1,(ATM_Conf!$C$6-Links!I73)/(ATM_Conf!$C$6-ATM_Conf!$C$7))</f>
        <v>#DIV/0!</v>
      </c>
      <c r="AY73" s="46" t="e">
        <f>BH$3*MIN(1,(ATM_Conf!$C$6-Links!J73)/(ATM_Conf!$C$6-ATM_Conf!$C$7))</f>
        <v>#DIV/0!</v>
      </c>
      <c r="AZ73" s="46" t="e">
        <f>BI$3*MIN(1,(ATM_Conf!$C$6-Links!K73)/(ATM_Conf!$C$6-ATM_Conf!$C$7))</f>
        <v>#DIV/0!</v>
      </c>
      <c r="BA73" s="46" t="e">
        <f>BJ$3*MIN(1,(ATM_Conf!$C$6-Links!L73)/(ATM_Conf!$C$6-ATM_Conf!$C$7))</f>
        <v>#DIV/0!</v>
      </c>
      <c r="BB73" s="46" t="e">
        <f>BK$3*MIN(1,(ATM_Conf!$C$6-Links!M73)/(ATM_Conf!$C$6-ATM_Conf!$C$7))</f>
        <v>#DIV/0!</v>
      </c>
      <c r="BC73" s="46" t="e">
        <f>BL$3*MIN(1,(ATM_Conf!$C$6-Links!N73)/(ATM_Conf!$C$6-ATM_Conf!$C$7))</f>
        <v>#DIV/0!</v>
      </c>
      <c r="BD73" s="46"/>
      <c r="BE73" s="46"/>
      <c r="BF73" s="46"/>
      <c r="BG73" s="46"/>
      <c r="BH73" s="46"/>
      <c r="BI73" s="46"/>
      <c r="BJ73" s="46"/>
      <c r="BK73" s="46"/>
      <c r="BL73" s="46"/>
      <c r="BM73" s="54"/>
      <c r="BN73" s="54"/>
      <c r="BO73" s="54"/>
      <c r="BP73" s="54"/>
      <c r="BQ73" s="54"/>
      <c r="BR73" s="54"/>
      <c r="BS73" s="54"/>
      <c r="BT73" s="54"/>
      <c r="BU73" s="54"/>
      <c r="BV73" s="46" t="e">
        <f t="shared" si="56"/>
        <v>#DIV/0!</v>
      </c>
      <c r="BW73" s="46" t="e">
        <f t="shared" si="57"/>
        <v>#DIV/0!</v>
      </c>
      <c r="BX73" s="46" t="e">
        <f t="shared" si="58"/>
        <v>#DIV/0!</v>
      </c>
      <c r="BY73" s="46" t="e">
        <f t="shared" si="59"/>
        <v>#DIV/0!</v>
      </c>
      <c r="BZ73" s="46" t="e">
        <f t="shared" si="60"/>
        <v>#DIV/0!</v>
      </c>
      <c r="CA73" s="46" t="e">
        <f t="shared" si="61"/>
        <v>#DIV/0!</v>
      </c>
      <c r="CB73" s="46" t="e">
        <f t="shared" si="62"/>
        <v>#DIV/0!</v>
      </c>
      <c r="CC73" s="46" t="e">
        <f t="shared" si="63"/>
        <v>#DIV/0!</v>
      </c>
      <c r="CD73" s="46" t="e">
        <f t="shared" si="64"/>
        <v>#DIV/0!</v>
      </c>
      <c r="CE73" s="56" t="e">
        <f t="shared" si="65"/>
        <v>#DIV/0!</v>
      </c>
      <c r="CF73" s="56" t="e">
        <f t="shared" si="66"/>
        <v>#DIV/0!</v>
      </c>
      <c r="CG73" s="56" t="e">
        <f t="shared" si="67"/>
        <v>#DIV/0!</v>
      </c>
      <c r="CH73" s="56" t="e">
        <f t="shared" si="68"/>
        <v>#DIV/0!</v>
      </c>
      <c r="CI73" s="56" t="e">
        <f t="shared" si="69"/>
        <v>#DIV/0!</v>
      </c>
      <c r="CJ73" s="56" t="e">
        <f t="shared" si="70"/>
        <v>#DIV/0!</v>
      </c>
      <c r="CK73" s="56" t="e">
        <f t="shared" si="71"/>
        <v>#DIV/0!</v>
      </c>
      <c r="CL73" s="56" t="e">
        <f t="shared" si="72"/>
        <v>#DIV/0!</v>
      </c>
      <c r="CM73" s="56" t="e">
        <f t="shared" si="73"/>
        <v>#DIV/0!</v>
      </c>
    </row>
    <row r="74" spans="1:91" x14ac:dyDescent="0.15">
      <c r="A74" s="43">
        <v>72</v>
      </c>
      <c r="B74" s="46">
        <f t="shared" si="46"/>
        <v>1</v>
      </c>
      <c r="C74" s="46">
        <f t="shared" si="45"/>
        <v>1</v>
      </c>
      <c r="D74" s="46">
        <f t="shared" si="45"/>
        <v>1</v>
      </c>
      <c r="E74" s="46">
        <f t="shared" si="45"/>
        <v>1</v>
      </c>
      <c r="F74" s="46">
        <f t="shared" si="45"/>
        <v>1</v>
      </c>
      <c r="G74" s="46">
        <f t="shared" si="45"/>
        <v>1</v>
      </c>
      <c r="H74" s="46">
        <f t="shared" si="45"/>
        <v>1</v>
      </c>
      <c r="I74" s="46">
        <f t="shared" si="45"/>
        <v>1</v>
      </c>
      <c r="J74" s="46">
        <f t="shared" si="45"/>
        <v>1</v>
      </c>
      <c r="K74" s="46" t="e">
        <f>K73+ATM_Conf!$C$5*(T73-AC73)</f>
        <v>#DIV/0!</v>
      </c>
      <c r="L74" s="46" t="e">
        <f>L73+ATM_Conf!$C$5*(U73-AD73)</f>
        <v>#DIV/0!</v>
      </c>
      <c r="M74" s="46" t="e">
        <f>M73+ATM_Conf!$C$5*(V73-AE73)</f>
        <v>#DIV/0!</v>
      </c>
      <c r="N74" s="46" t="e">
        <f>N73+ATM_Conf!$C$5*(W73-AF73)</f>
        <v>#DIV/0!</v>
      </c>
      <c r="O74" s="46" t="e">
        <f>O73+ATM_Conf!$C$5*(X73-AG73)</f>
        <v>#DIV/0!</v>
      </c>
      <c r="P74" s="46" t="e">
        <f>P73+ATM_Conf!$C$5*(Y73-AH73)</f>
        <v>#DIV/0!</v>
      </c>
      <c r="Q74" s="46" t="e">
        <f>Q73+ATM_Conf!$C$5*(Z73-AI73)</f>
        <v>#DIV/0!</v>
      </c>
      <c r="R74" s="46" t="e">
        <f>R73+ATM_Conf!$C$5*(AA73-AJ73)</f>
        <v>#DIV/0!</v>
      </c>
      <c r="S74" s="46" t="e">
        <f>S73+ATM_Conf!$C$5*(AB73-AK73)</f>
        <v>#DIV/0!</v>
      </c>
      <c r="T74" s="46"/>
      <c r="U74" s="46"/>
      <c r="V74" s="46"/>
      <c r="W74" s="46"/>
      <c r="X74" s="46"/>
      <c r="Y74" s="46"/>
      <c r="Z74" s="46"/>
      <c r="AA74" s="46"/>
      <c r="AB74" s="46"/>
      <c r="AC74" s="46" t="e">
        <f t="shared" si="47"/>
        <v>#DIV/0!</v>
      </c>
      <c r="AD74" s="46" t="e">
        <f t="shared" si="48"/>
        <v>#DIV/0!</v>
      </c>
      <c r="AE74" s="46" t="e">
        <f t="shared" si="49"/>
        <v>#DIV/0!</v>
      </c>
      <c r="AF74" s="46" t="e">
        <f t="shared" si="50"/>
        <v>#DIV/0!</v>
      </c>
      <c r="AG74" s="46" t="e">
        <f t="shared" si="51"/>
        <v>#DIV/0!</v>
      </c>
      <c r="AH74" s="46" t="e">
        <f t="shared" si="52"/>
        <v>#DIV/0!</v>
      </c>
      <c r="AI74" s="46" t="e">
        <f t="shared" si="53"/>
        <v>#DIV/0!</v>
      </c>
      <c r="AJ74" s="46" t="e">
        <f t="shared" si="54"/>
        <v>#DIV/0!</v>
      </c>
      <c r="AK74" s="46" t="e">
        <f t="shared" si="55"/>
        <v>#DIV/0!</v>
      </c>
      <c r="AL74" s="46" t="e">
        <f>T$3+K74/ATM_Conf!$C$5</f>
        <v>#DIV/0!</v>
      </c>
      <c r="AM74" s="46" t="e">
        <f>U$3+L74/ATM_Conf!$C$5</f>
        <v>#DIV/0!</v>
      </c>
      <c r="AN74" s="46" t="e">
        <f>V$3+M74/ATM_Conf!$C$5</f>
        <v>#DIV/0!</v>
      </c>
      <c r="AO74" s="46" t="e">
        <f>W$3+N74/ATM_Conf!$C$5</f>
        <v>#DIV/0!</v>
      </c>
      <c r="AP74" s="46" t="e">
        <f>X$3+O74/ATM_Conf!$C$5</f>
        <v>#DIV/0!</v>
      </c>
      <c r="AQ74" s="46" t="e">
        <f>Y$3+P74/ATM_Conf!$C$5</f>
        <v>#DIV/0!</v>
      </c>
      <c r="AR74" s="46" t="e">
        <f>Z$3+Q74/ATM_Conf!$C$5</f>
        <v>#DIV/0!</v>
      </c>
      <c r="AS74" s="46" t="e">
        <f>AA$3+R74/ATM_Conf!$C$5</f>
        <v>#DIV/0!</v>
      </c>
      <c r="AT74" s="46" t="e">
        <f>AB$3+S74/ATM_Conf!$C$5</f>
        <v>#DIV/0!</v>
      </c>
      <c r="AU74" s="46" t="e">
        <f>BD$3*MIN(1,(ATM_Conf!$C$6-Links!F74)/(ATM_Conf!$C$6-ATM_Conf!$C$7))</f>
        <v>#DIV/0!</v>
      </c>
      <c r="AV74" s="46" t="e">
        <f>BE$3*MIN(1,(ATM_Conf!$C$6-Links!G74)/(ATM_Conf!$C$6-ATM_Conf!$C$7))</f>
        <v>#DIV/0!</v>
      </c>
      <c r="AW74" s="46" t="e">
        <f>BF$3*MIN(1,(ATM_Conf!$C$6-Links!H74)/(ATM_Conf!$C$6-ATM_Conf!$C$7))</f>
        <v>#DIV/0!</v>
      </c>
      <c r="AX74" s="46" t="e">
        <f>BG$3*MIN(1,(ATM_Conf!$C$6-Links!I74)/(ATM_Conf!$C$6-ATM_Conf!$C$7))</f>
        <v>#DIV/0!</v>
      </c>
      <c r="AY74" s="46" t="e">
        <f>BH$3*MIN(1,(ATM_Conf!$C$6-Links!J74)/(ATM_Conf!$C$6-ATM_Conf!$C$7))</f>
        <v>#DIV/0!</v>
      </c>
      <c r="AZ74" s="46" t="e">
        <f>BI$3*MIN(1,(ATM_Conf!$C$6-Links!K74)/(ATM_Conf!$C$6-ATM_Conf!$C$7))</f>
        <v>#DIV/0!</v>
      </c>
      <c r="BA74" s="46" t="e">
        <f>BJ$3*MIN(1,(ATM_Conf!$C$6-Links!L74)/(ATM_Conf!$C$6-ATM_Conf!$C$7))</f>
        <v>#DIV/0!</v>
      </c>
      <c r="BB74" s="46" t="e">
        <f>BK$3*MIN(1,(ATM_Conf!$C$6-Links!M74)/(ATM_Conf!$C$6-ATM_Conf!$C$7))</f>
        <v>#DIV/0!</v>
      </c>
      <c r="BC74" s="46" t="e">
        <f>BL$3*MIN(1,(ATM_Conf!$C$6-Links!N74)/(ATM_Conf!$C$6-ATM_Conf!$C$7))</f>
        <v>#DIV/0!</v>
      </c>
      <c r="BD74" s="46"/>
      <c r="BE74" s="46"/>
      <c r="BF74" s="46"/>
      <c r="BG74" s="46"/>
      <c r="BH74" s="46"/>
      <c r="BI74" s="46"/>
      <c r="BJ74" s="46"/>
      <c r="BK74" s="46"/>
      <c r="BL74" s="46"/>
      <c r="BM74" s="54"/>
      <c r="BN74" s="54"/>
      <c r="BO74" s="54"/>
      <c r="BP74" s="54"/>
      <c r="BQ74" s="54"/>
      <c r="BR74" s="54"/>
      <c r="BS74" s="54"/>
      <c r="BT74" s="54"/>
      <c r="BU74" s="54"/>
      <c r="BV74" s="46" t="e">
        <f t="shared" si="56"/>
        <v>#DIV/0!</v>
      </c>
      <c r="BW74" s="46" t="e">
        <f t="shared" si="57"/>
        <v>#DIV/0!</v>
      </c>
      <c r="BX74" s="46" t="e">
        <f t="shared" si="58"/>
        <v>#DIV/0!</v>
      </c>
      <c r="BY74" s="46" t="e">
        <f t="shared" si="59"/>
        <v>#DIV/0!</v>
      </c>
      <c r="BZ74" s="46" t="e">
        <f t="shared" si="60"/>
        <v>#DIV/0!</v>
      </c>
      <c r="CA74" s="46" t="e">
        <f t="shared" si="61"/>
        <v>#DIV/0!</v>
      </c>
      <c r="CB74" s="46" t="e">
        <f t="shared" si="62"/>
        <v>#DIV/0!</v>
      </c>
      <c r="CC74" s="46" t="e">
        <f t="shared" si="63"/>
        <v>#DIV/0!</v>
      </c>
      <c r="CD74" s="46" t="e">
        <f t="shared" si="64"/>
        <v>#DIV/0!</v>
      </c>
      <c r="CE74" s="56" t="e">
        <f t="shared" si="65"/>
        <v>#DIV/0!</v>
      </c>
      <c r="CF74" s="56" t="e">
        <f t="shared" si="66"/>
        <v>#DIV/0!</v>
      </c>
      <c r="CG74" s="56" t="e">
        <f t="shared" si="67"/>
        <v>#DIV/0!</v>
      </c>
      <c r="CH74" s="56" t="e">
        <f t="shared" si="68"/>
        <v>#DIV/0!</v>
      </c>
      <c r="CI74" s="56" t="e">
        <f t="shared" si="69"/>
        <v>#DIV/0!</v>
      </c>
      <c r="CJ74" s="56" t="e">
        <f t="shared" si="70"/>
        <v>#DIV/0!</v>
      </c>
      <c r="CK74" s="56" t="e">
        <f t="shared" si="71"/>
        <v>#DIV/0!</v>
      </c>
      <c r="CL74" s="56" t="e">
        <f t="shared" si="72"/>
        <v>#DIV/0!</v>
      </c>
      <c r="CM74" s="56" t="e">
        <f t="shared" si="73"/>
        <v>#DIV/0!</v>
      </c>
    </row>
    <row r="75" spans="1:91" x14ac:dyDescent="0.15">
      <c r="A75" s="43">
        <v>73</v>
      </c>
      <c r="B75" s="48">
        <v>1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6" t="e">
        <f>K74+ATM_Conf!$C$5*(T74-AC74)</f>
        <v>#DIV/0!</v>
      </c>
      <c r="L75" s="46" t="e">
        <f>L74+ATM_Conf!$C$5*(U74-AD74)</f>
        <v>#DIV/0!</v>
      </c>
      <c r="M75" s="46" t="e">
        <f>M74+ATM_Conf!$C$5*(V74-AE74)</f>
        <v>#DIV/0!</v>
      </c>
      <c r="N75" s="46" t="e">
        <f>N74+ATM_Conf!$C$5*(W74-AF74)</f>
        <v>#DIV/0!</v>
      </c>
      <c r="O75" s="46" t="e">
        <f>O74+ATM_Conf!$C$5*(X74-AG74)</f>
        <v>#DIV/0!</v>
      </c>
      <c r="P75" s="46" t="e">
        <f>P74+ATM_Conf!$C$5*(Y74-AH74)</f>
        <v>#DIV/0!</v>
      </c>
      <c r="Q75" s="46" t="e">
        <f>Q74+ATM_Conf!$C$5*(Z74-AI74)</f>
        <v>#DIV/0!</v>
      </c>
      <c r="R75" s="46" t="e">
        <f>R74+ATM_Conf!$C$5*(AA74-AJ74)</f>
        <v>#DIV/0!</v>
      </c>
      <c r="S75" s="46" t="e">
        <f>S74+ATM_Conf!$C$5*(AB74-AK74)</f>
        <v>#DIV/0!</v>
      </c>
      <c r="T75" s="46"/>
      <c r="U75" s="46"/>
      <c r="V75" s="46"/>
      <c r="W75" s="46"/>
      <c r="X75" s="46"/>
      <c r="Y75" s="46"/>
      <c r="Z75" s="46"/>
      <c r="AA75" s="46"/>
      <c r="AB75" s="46"/>
      <c r="AC75" s="46" t="e">
        <f t="shared" si="47"/>
        <v>#DIV/0!</v>
      </c>
      <c r="AD75" s="46" t="e">
        <f t="shared" si="48"/>
        <v>#DIV/0!</v>
      </c>
      <c r="AE75" s="46" t="e">
        <f t="shared" si="49"/>
        <v>#DIV/0!</v>
      </c>
      <c r="AF75" s="46" t="e">
        <f t="shared" si="50"/>
        <v>#DIV/0!</v>
      </c>
      <c r="AG75" s="46" t="e">
        <f t="shared" si="51"/>
        <v>#DIV/0!</v>
      </c>
      <c r="AH75" s="46" t="e">
        <f t="shared" si="52"/>
        <v>#DIV/0!</v>
      </c>
      <c r="AI75" s="46" t="e">
        <f t="shared" si="53"/>
        <v>#DIV/0!</v>
      </c>
      <c r="AJ75" s="46" t="e">
        <f t="shared" si="54"/>
        <v>#DIV/0!</v>
      </c>
      <c r="AK75" s="46" t="e">
        <f t="shared" si="55"/>
        <v>#DIV/0!</v>
      </c>
      <c r="AL75" s="46" t="e">
        <f>T$3+K75/ATM_Conf!$C$5</f>
        <v>#DIV/0!</v>
      </c>
      <c r="AM75" s="46" t="e">
        <f>U$3+L75/ATM_Conf!$C$5</f>
        <v>#DIV/0!</v>
      </c>
      <c r="AN75" s="46" t="e">
        <f>V$3+M75/ATM_Conf!$C$5</f>
        <v>#DIV/0!</v>
      </c>
      <c r="AO75" s="46" t="e">
        <f>W$3+N75/ATM_Conf!$C$5</f>
        <v>#DIV/0!</v>
      </c>
      <c r="AP75" s="46" t="e">
        <f>X$3+O75/ATM_Conf!$C$5</f>
        <v>#DIV/0!</v>
      </c>
      <c r="AQ75" s="46" t="e">
        <f>Y$3+P75/ATM_Conf!$C$5</f>
        <v>#DIV/0!</v>
      </c>
      <c r="AR75" s="46" t="e">
        <f>Z$3+Q75/ATM_Conf!$C$5</f>
        <v>#DIV/0!</v>
      </c>
      <c r="AS75" s="46" t="e">
        <f>AA$3+R75/ATM_Conf!$C$5</f>
        <v>#DIV/0!</v>
      </c>
      <c r="AT75" s="46" t="e">
        <f>AB$3+S75/ATM_Conf!$C$5</f>
        <v>#DIV/0!</v>
      </c>
      <c r="AU75" s="46" t="e">
        <f>BD$3*MIN(1,(ATM_Conf!$C$6-Links!F75)/(ATM_Conf!$C$6-ATM_Conf!$C$7))</f>
        <v>#DIV/0!</v>
      </c>
      <c r="AV75" s="46" t="e">
        <f>BE$3*MIN(1,(ATM_Conf!$C$6-Links!G75)/(ATM_Conf!$C$6-ATM_Conf!$C$7))</f>
        <v>#DIV/0!</v>
      </c>
      <c r="AW75" s="46" t="e">
        <f>BF$3*MIN(1,(ATM_Conf!$C$6-Links!H75)/(ATM_Conf!$C$6-ATM_Conf!$C$7))</f>
        <v>#DIV/0!</v>
      </c>
      <c r="AX75" s="46" t="e">
        <f>BG$3*MIN(1,(ATM_Conf!$C$6-Links!I75)/(ATM_Conf!$C$6-ATM_Conf!$C$7))</f>
        <v>#DIV/0!</v>
      </c>
      <c r="AY75" s="46" t="e">
        <f>BH$3*MIN(1,(ATM_Conf!$C$6-Links!J75)/(ATM_Conf!$C$6-ATM_Conf!$C$7))</f>
        <v>#DIV/0!</v>
      </c>
      <c r="AZ75" s="46" t="e">
        <f>BI$3*MIN(1,(ATM_Conf!$C$6-Links!K75)/(ATM_Conf!$C$6-ATM_Conf!$C$7))</f>
        <v>#DIV/0!</v>
      </c>
      <c r="BA75" s="46" t="e">
        <f>BJ$3*MIN(1,(ATM_Conf!$C$6-Links!L75)/(ATM_Conf!$C$6-ATM_Conf!$C$7))</f>
        <v>#DIV/0!</v>
      </c>
      <c r="BB75" s="46" t="e">
        <f>BK$3*MIN(1,(ATM_Conf!$C$6-Links!M75)/(ATM_Conf!$C$6-ATM_Conf!$C$7))</f>
        <v>#DIV/0!</v>
      </c>
      <c r="BC75" s="46" t="e">
        <f>BL$3*MIN(1,(ATM_Conf!$C$6-Links!N75)/(ATM_Conf!$C$6-ATM_Conf!$C$7))</f>
        <v>#DIV/0!</v>
      </c>
      <c r="BD75" s="46"/>
      <c r="BE75" s="46"/>
      <c r="BF75" s="46"/>
      <c r="BG75" s="46"/>
      <c r="BH75" s="46"/>
      <c r="BI75" s="46"/>
      <c r="BJ75" s="46"/>
      <c r="BK75" s="46"/>
      <c r="BL75" s="46"/>
      <c r="BM75" s="54">
        <f>(B75-B63)^2</f>
        <v>0</v>
      </c>
      <c r="BN75" s="54">
        <f t="shared" ref="BN75:BU75" si="74">(C75-C63)^2</f>
        <v>0</v>
      </c>
      <c r="BO75" s="54">
        <f t="shared" si="74"/>
        <v>0</v>
      </c>
      <c r="BP75" s="54">
        <f t="shared" si="74"/>
        <v>0</v>
      </c>
      <c r="BQ75" s="54">
        <f t="shared" si="74"/>
        <v>0</v>
      </c>
      <c r="BR75" s="54">
        <f t="shared" si="74"/>
        <v>0</v>
      </c>
      <c r="BS75" s="54">
        <f t="shared" si="74"/>
        <v>0</v>
      </c>
      <c r="BT75" s="54">
        <f t="shared" si="74"/>
        <v>0</v>
      </c>
      <c r="BU75" s="54">
        <f t="shared" si="74"/>
        <v>0</v>
      </c>
      <c r="BV75" s="46" t="e">
        <f t="shared" si="56"/>
        <v>#DIV/0!</v>
      </c>
      <c r="BW75" s="46" t="e">
        <f t="shared" si="57"/>
        <v>#DIV/0!</v>
      </c>
      <c r="BX75" s="46" t="e">
        <f t="shared" si="58"/>
        <v>#DIV/0!</v>
      </c>
      <c r="BY75" s="46" t="e">
        <f t="shared" si="59"/>
        <v>#DIV/0!</v>
      </c>
      <c r="BZ75" s="46" t="e">
        <f t="shared" si="60"/>
        <v>#DIV/0!</v>
      </c>
      <c r="CA75" s="46" t="e">
        <f t="shared" si="61"/>
        <v>#DIV/0!</v>
      </c>
      <c r="CB75" s="46" t="e">
        <f t="shared" si="62"/>
        <v>#DIV/0!</v>
      </c>
      <c r="CC75" s="46" t="e">
        <f t="shared" si="63"/>
        <v>#DIV/0!</v>
      </c>
      <c r="CD75" s="46" t="e">
        <f t="shared" si="64"/>
        <v>#DIV/0!</v>
      </c>
      <c r="CE75" s="56" t="e">
        <f t="shared" si="65"/>
        <v>#DIV/0!</v>
      </c>
      <c r="CF75" s="56" t="e">
        <f t="shared" si="66"/>
        <v>#DIV/0!</v>
      </c>
      <c r="CG75" s="56" t="e">
        <f t="shared" si="67"/>
        <v>#DIV/0!</v>
      </c>
      <c r="CH75" s="56" t="e">
        <f t="shared" si="68"/>
        <v>#DIV/0!</v>
      </c>
      <c r="CI75" s="56" t="e">
        <f t="shared" si="69"/>
        <v>#DIV/0!</v>
      </c>
      <c r="CJ75" s="56" t="e">
        <f t="shared" si="70"/>
        <v>#DIV/0!</v>
      </c>
      <c r="CK75" s="56" t="e">
        <f t="shared" si="71"/>
        <v>#DIV/0!</v>
      </c>
      <c r="CL75" s="56" t="e">
        <f t="shared" si="72"/>
        <v>#DIV/0!</v>
      </c>
      <c r="CM75" s="56" t="e">
        <f t="shared" si="73"/>
        <v>#DIV/0!</v>
      </c>
    </row>
    <row r="76" spans="1:91" x14ac:dyDescent="0.15">
      <c r="A76" s="43">
        <v>74</v>
      </c>
      <c r="B76" s="46">
        <f>B$75</f>
        <v>1</v>
      </c>
      <c r="C76" s="46">
        <f t="shared" ref="C76:J86" si="75">C$75</f>
        <v>1</v>
      </c>
      <c r="D76" s="46">
        <f t="shared" si="75"/>
        <v>1</v>
      </c>
      <c r="E76" s="46">
        <f t="shared" si="75"/>
        <v>1</v>
      </c>
      <c r="F76" s="46">
        <f t="shared" si="75"/>
        <v>1</v>
      </c>
      <c r="G76" s="46">
        <f t="shared" si="75"/>
        <v>1</v>
      </c>
      <c r="H76" s="46">
        <f t="shared" si="75"/>
        <v>1</v>
      </c>
      <c r="I76" s="46">
        <f t="shared" si="75"/>
        <v>1</v>
      </c>
      <c r="J76" s="46">
        <f t="shared" si="75"/>
        <v>1</v>
      </c>
      <c r="K76" s="46" t="e">
        <f>K75+ATM_Conf!$C$5*(T75-AC75)</f>
        <v>#DIV/0!</v>
      </c>
      <c r="L76" s="46" t="e">
        <f>L75+ATM_Conf!$C$5*(U75-AD75)</f>
        <v>#DIV/0!</v>
      </c>
      <c r="M76" s="46" t="e">
        <f>M75+ATM_Conf!$C$5*(V75-AE75)</f>
        <v>#DIV/0!</v>
      </c>
      <c r="N76" s="46" t="e">
        <f>N75+ATM_Conf!$C$5*(W75-AF75)</f>
        <v>#DIV/0!</v>
      </c>
      <c r="O76" s="46" t="e">
        <f>O75+ATM_Conf!$C$5*(X75-AG75)</f>
        <v>#DIV/0!</v>
      </c>
      <c r="P76" s="46" t="e">
        <f>P75+ATM_Conf!$C$5*(Y75-AH75)</f>
        <v>#DIV/0!</v>
      </c>
      <c r="Q76" s="46" t="e">
        <f>Q75+ATM_Conf!$C$5*(Z75-AI75)</f>
        <v>#DIV/0!</v>
      </c>
      <c r="R76" s="46" t="e">
        <f>R75+ATM_Conf!$C$5*(AA75-AJ75)</f>
        <v>#DIV/0!</v>
      </c>
      <c r="S76" s="46" t="e">
        <f>S75+ATM_Conf!$C$5*(AB75-AK75)</f>
        <v>#DIV/0!</v>
      </c>
      <c r="T76" s="46"/>
      <c r="U76" s="46"/>
      <c r="V76" s="46"/>
      <c r="W76" s="46"/>
      <c r="X76" s="46"/>
      <c r="Y76" s="46"/>
      <c r="Z76" s="46"/>
      <c r="AA76" s="46"/>
      <c r="AB76" s="46"/>
      <c r="AC76" s="46" t="e">
        <f t="shared" si="47"/>
        <v>#DIV/0!</v>
      </c>
      <c r="AD76" s="46" t="e">
        <f t="shared" si="48"/>
        <v>#DIV/0!</v>
      </c>
      <c r="AE76" s="46" t="e">
        <f t="shared" si="49"/>
        <v>#DIV/0!</v>
      </c>
      <c r="AF76" s="46" t="e">
        <f t="shared" si="50"/>
        <v>#DIV/0!</v>
      </c>
      <c r="AG76" s="46" t="e">
        <f t="shared" si="51"/>
        <v>#DIV/0!</v>
      </c>
      <c r="AH76" s="46" t="e">
        <f t="shared" si="52"/>
        <v>#DIV/0!</v>
      </c>
      <c r="AI76" s="46" t="e">
        <f t="shared" si="53"/>
        <v>#DIV/0!</v>
      </c>
      <c r="AJ76" s="46" t="e">
        <f t="shared" si="54"/>
        <v>#DIV/0!</v>
      </c>
      <c r="AK76" s="46" t="e">
        <f t="shared" si="55"/>
        <v>#DIV/0!</v>
      </c>
      <c r="AL76" s="46" t="e">
        <f>T$3+K76/ATM_Conf!$C$5</f>
        <v>#DIV/0!</v>
      </c>
      <c r="AM76" s="46" t="e">
        <f>U$3+L76/ATM_Conf!$C$5</f>
        <v>#DIV/0!</v>
      </c>
      <c r="AN76" s="46" t="e">
        <f>V$3+M76/ATM_Conf!$C$5</f>
        <v>#DIV/0!</v>
      </c>
      <c r="AO76" s="46" t="e">
        <f>W$3+N76/ATM_Conf!$C$5</f>
        <v>#DIV/0!</v>
      </c>
      <c r="AP76" s="46" t="e">
        <f>X$3+O76/ATM_Conf!$C$5</f>
        <v>#DIV/0!</v>
      </c>
      <c r="AQ76" s="46" t="e">
        <f>Y$3+P76/ATM_Conf!$C$5</f>
        <v>#DIV/0!</v>
      </c>
      <c r="AR76" s="46" t="e">
        <f>Z$3+Q76/ATM_Conf!$C$5</f>
        <v>#DIV/0!</v>
      </c>
      <c r="AS76" s="46" t="e">
        <f>AA$3+R76/ATM_Conf!$C$5</f>
        <v>#DIV/0!</v>
      </c>
      <c r="AT76" s="46" t="e">
        <f>AB$3+S76/ATM_Conf!$C$5</f>
        <v>#DIV/0!</v>
      </c>
      <c r="AU76" s="46" t="e">
        <f>BD$3*MIN(1,(ATM_Conf!$C$6-Links!F76)/(ATM_Conf!$C$6-ATM_Conf!$C$7))</f>
        <v>#DIV/0!</v>
      </c>
      <c r="AV76" s="46" t="e">
        <f>BE$3*MIN(1,(ATM_Conf!$C$6-Links!G76)/(ATM_Conf!$C$6-ATM_Conf!$C$7))</f>
        <v>#DIV/0!</v>
      </c>
      <c r="AW76" s="46" t="e">
        <f>BF$3*MIN(1,(ATM_Conf!$C$6-Links!H76)/(ATM_Conf!$C$6-ATM_Conf!$C$7))</f>
        <v>#DIV/0!</v>
      </c>
      <c r="AX76" s="46" t="e">
        <f>BG$3*MIN(1,(ATM_Conf!$C$6-Links!I76)/(ATM_Conf!$C$6-ATM_Conf!$C$7))</f>
        <v>#DIV/0!</v>
      </c>
      <c r="AY76" s="46" t="e">
        <f>BH$3*MIN(1,(ATM_Conf!$C$6-Links!J76)/(ATM_Conf!$C$6-ATM_Conf!$C$7))</f>
        <v>#DIV/0!</v>
      </c>
      <c r="AZ76" s="46" t="e">
        <f>BI$3*MIN(1,(ATM_Conf!$C$6-Links!K76)/(ATM_Conf!$C$6-ATM_Conf!$C$7))</f>
        <v>#DIV/0!</v>
      </c>
      <c r="BA76" s="46" t="e">
        <f>BJ$3*MIN(1,(ATM_Conf!$C$6-Links!L76)/(ATM_Conf!$C$6-ATM_Conf!$C$7))</f>
        <v>#DIV/0!</v>
      </c>
      <c r="BB76" s="46" t="e">
        <f>BK$3*MIN(1,(ATM_Conf!$C$6-Links!M76)/(ATM_Conf!$C$6-ATM_Conf!$C$7))</f>
        <v>#DIV/0!</v>
      </c>
      <c r="BC76" s="46" t="e">
        <f>BL$3*MIN(1,(ATM_Conf!$C$6-Links!N76)/(ATM_Conf!$C$6-ATM_Conf!$C$7))</f>
        <v>#DIV/0!</v>
      </c>
      <c r="BD76" s="46"/>
      <c r="BE76" s="46"/>
      <c r="BF76" s="46"/>
      <c r="BG76" s="46"/>
      <c r="BH76" s="46"/>
      <c r="BI76" s="46"/>
      <c r="BJ76" s="46"/>
      <c r="BK76" s="46"/>
      <c r="BL76" s="46"/>
      <c r="BM76" s="54"/>
      <c r="BN76" s="54"/>
      <c r="BO76" s="54"/>
      <c r="BP76" s="54"/>
      <c r="BQ76" s="54"/>
      <c r="BR76" s="54"/>
      <c r="BS76" s="54"/>
      <c r="BT76" s="54"/>
      <c r="BU76" s="54"/>
      <c r="BV76" s="46" t="e">
        <f t="shared" si="56"/>
        <v>#DIV/0!</v>
      </c>
      <c r="BW76" s="46" t="e">
        <f t="shared" si="57"/>
        <v>#DIV/0!</v>
      </c>
      <c r="BX76" s="46" t="e">
        <f t="shared" si="58"/>
        <v>#DIV/0!</v>
      </c>
      <c r="BY76" s="46" t="e">
        <f t="shared" si="59"/>
        <v>#DIV/0!</v>
      </c>
      <c r="BZ76" s="46" t="e">
        <f t="shared" si="60"/>
        <v>#DIV/0!</v>
      </c>
      <c r="CA76" s="46" t="e">
        <f t="shared" si="61"/>
        <v>#DIV/0!</v>
      </c>
      <c r="CB76" s="46" t="e">
        <f t="shared" si="62"/>
        <v>#DIV/0!</v>
      </c>
      <c r="CC76" s="46" t="e">
        <f t="shared" si="63"/>
        <v>#DIV/0!</v>
      </c>
      <c r="CD76" s="46" t="e">
        <f t="shared" si="64"/>
        <v>#DIV/0!</v>
      </c>
      <c r="CE76" s="56" t="e">
        <f t="shared" si="65"/>
        <v>#DIV/0!</v>
      </c>
      <c r="CF76" s="56" t="e">
        <f t="shared" si="66"/>
        <v>#DIV/0!</v>
      </c>
      <c r="CG76" s="56" t="e">
        <f t="shared" si="67"/>
        <v>#DIV/0!</v>
      </c>
      <c r="CH76" s="56" t="e">
        <f t="shared" si="68"/>
        <v>#DIV/0!</v>
      </c>
      <c r="CI76" s="56" t="e">
        <f t="shared" si="69"/>
        <v>#DIV/0!</v>
      </c>
      <c r="CJ76" s="56" t="e">
        <f t="shared" si="70"/>
        <v>#DIV/0!</v>
      </c>
      <c r="CK76" s="56" t="e">
        <f t="shared" si="71"/>
        <v>#DIV/0!</v>
      </c>
      <c r="CL76" s="56" t="e">
        <f t="shared" si="72"/>
        <v>#DIV/0!</v>
      </c>
      <c r="CM76" s="56" t="e">
        <f t="shared" si="73"/>
        <v>#DIV/0!</v>
      </c>
    </row>
    <row r="77" spans="1:91" x14ac:dyDescent="0.15">
      <c r="A77" s="43">
        <v>75</v>
      </c>
      <c r="B77" s="46">
        <f t="shared" ref="B77:B86" si="76">B$75</f>
        <v>1</v>
      </c>
      <c r="C77" s="46">
        <f t="shared" si="75"/>
        <v>1</v>
      </c>
      <c r="D77" s="46">
        <f t="shared" si="75"/>
        <v>1</v>
      </c>
      <c r="E77" s="46">
        <f t="shared" si="75"/>
        <v>1</v>
      </c>
      <c r="F77" s="46">
        <f t="shared" si="75"/>
        <v>1</v>
      </c>
      <c r="G77" s="46">
        <f t="shared" si="75"/>
        <v>1</v>
      </c>
      <c r="H77" s="46">
        <f t="shared" si="75"/>
        <v>1</v>
      </c>
      <c r="I77" s="46">
        <f t="shared" si="75"/>
        <v>1</v>
      </c>
      <c r="J77" s="46">
        <f t="shared" si="75"/>
        <v>1</v>
      </c>
      <c r="K77" s="46" t="e">
        <f>K76+ATM_Conf!$C$5*(T76-AC76)</f>
        <v>#DIV/0!</v>
      </c>
      <c r="L77" s="46" t="e">
        <f>L76+ATM_Conf!$C$5*(U76-AD76)</f>
        <v>#DIV/0!</v>
      </c>
      <c r="M77" s="46" t="e">
        <f>M76+ATM_Conf!$C$5*(V76-AE76)</f>
        <v>#DIV/0!</v>
      </c>
      <c r="N77" s="46" t="e">
        <f>N76+ATM_Conf!$C$5*(W76-AF76)</f>
        <v>#DIV/0!</v>
      </c>
      <c r="O77" s="46" t="e">
        <f>O76+ATM_Conf!$C$5*(X76-AG76)</f>
        <v>#DIV/0!</v>
      </c>
      <c r="P77" s="46" t="e">
        <f>P76+ATM_Conf!$C$5*(Y76-AH76)</f>
        <v>#DIV/0!</v>
      </c>
      <c r="Q77" s="46" t="e">
        <f>Q76+ATM_Conf!$C$5*(Z76-AI76)</f>
        <v>#DIV/0!</v>
      </c>
      <c r="R77" s="46" t="e">
        <f>R76+ATM_Conf!$C$5*(AA76-AJ76)</f>
        <v>#DIV/0!</v>
      </c>
      <c r="S77" s="46" t="e">
        <f>S76+ATM_Conf!$C$5*(AB76-AK76)</f>
        <v>#DIV/0!</v>
      </c>
      <c r="T77" s="46"/>
      <c r="U77" s="46"/>
      <c r="V77" s="46"/>
      <c r="W77" s="46"/>
      <c r="X77" s="46"/>
      <c r="Y77" s="46"/>
      <c r="Z77" s="46"/>
      <c r="AA77" s="46"/>
      <c r="AB77" s="46"/>
      <c r="AC77" s="46" t="e">
        <f t="shared" si="47"/>
        <v>#DIV/0!</v>
      </c>
      <c r="AD77" s="46" t="e">
        <f t="shared" si="48"/>
        <v>#DIV/0!</v>
      </c>
      <c r="AE77" s="46" t="e">
        <f t="shared" si="49"/>
        <v>#DIV/0!</v>
      </c>
      <c r="AF77" s="46" t="e">
        <f t="shared" si="50"/>
        <v>#DIV/0!</v>
      </c>
      <c r="AG77" s="46" t="e">
        <f t="shared" si="51"/>
        <v>#DIV/0!</v>
      </c>
      <c r="AH77" s="46" t="e">
        <f t="shared" si="52"/>
        <v>#DIV/0!</v>
      </c>
      <c r="AI77" s="46" t="e">
        <f t="shared" si="53"/>
        <v>#DIV/0!</v>
      </c>
      <c r="AJ77" s="46" t="e">
        <f t="shared" si="54"/>
        <v>#DIV/0!</v>
      </c>
      <c r="AK77" s="46" t="e">
        <f t="shared" si="55"/>
        <v>#DIV/0!</v>
      </c>
      <c r="AL77" s="46" t="e">
        <f>T$3+K77/ATM_Conf!$C$5</f>
        <v>#DIV/0!</v>
      </c>
      <c r="AM77" s="46" t="e">
        <f>U$3+L77/ATM_Conf!$C$5</f>
        <v>#DIV/0!</v>
      </c>
      <c r="AN77" s="46" t="e">
        <f>V$3+M77/ATM_Conf!$C$5</f>
        <v>#DIV/0!</v>
      </c>
      <c r="AO77" s="46" t="e">
        <f>W$3+N77/ATM_Conf!$C$5</f>
        <v>#DIV/0!</v>
      </c>
      <c r="AP77" s="46" t="e">
        <f>X$3+O77/ATM_Conf!$C$5</f>
        <v>#DIV/0!</v>
      </c>
      <c r="AQ77" s="46" t="e">
        <f>Y$3+P77/ATM_Conf!$C$5</f>
        <v>#DIV/0!</v>
      </c>
      <c r="AR77" s="46" t="e">
        <f>Z$3+Q77/ATM_Conf!$C$5</f>
        <v>#DIV/0!</v>
      </c>
      <c r="AS77" s="46" t="e">
        <f>AA$3+R77/ATM_Conf!$C$5</f>
        <v>#DIV/0!</v>
      </c>
      <c r="AT77" s="46" t="e">
        <f>AB$3+S77/ATM_Conf!$C$5</f>
        <v>#DIV/0!</v>
      </c>
      <c r="AU77" s="46" t="e">
        <f>BD$3*MIN(1,(ATM_Conf!$C$6-Links!F77)/(ATM_Conf!$C$6-ATM_Conf!$C$7))</f>
        <v>#DIV/0!</v>
      </c>
      <c r="AV77" s="46" t="e">
        <f>BE$3*MIN(1,(ATM_Conf!$C$6-Links!G77)/(ATM_Conf!$C$6-ATM_Conf!$C$7))</f>
        <v>#DIV/0!</v>
      </c>
      <c r="AW77" s="46" t="e">
        <f>BF$3*MIN(1,(ATM_Conf!$C$6-Links!H77)/(ATM_Conf!$C$6-ATM_Conf!$C$7))</f>
        <v>#DIV/0!</v>
      </c>
      <c r="AX77" s="46" t="e">
        <f>BG$3*MIN(1,(ATM_Conf!$C$6-Links!I77)/(ATM_Conf!$C$6-ATM_Conf!$C$7))</f>
        <v>#DIV/0!</v>
      </c>
      <c r="AY77" s="46" t="e">
        <f>BH$3*MIN(1,(ATM_Conf!$C$6-Links!J77)/(ATM_Conf!$C$6-ATM_Conf!$C$7))</f>
        <v>#DIV/0!</v>
      </c>
      <c r="AZ77" s="46" t="e">
        <f>BI$3*MIN(1,(ATM_Conf!$C$6-Links!K77)/(ATM_Conf!$C$6-ATM_Conf!$C$7))</f>
        <v>#DIV/0!</v>
      </c>
      <c r="BA77" s="46" t="e">
        <f>BJ$3*MIN(1,(ATM_Conf!$C$6-Links!L77)/(ATM_Conf!$C$6-ATM_Conf!$C$7))</f>
        <v>#DIV/0!</v>
      </c>
      <c r="BB77" s="46" t="e">
        <f>BK$3*MIN(1,(ATM_Conf!$C$6-Links!M77)/(ATM_Conf!$C$6-ATM_Conf!$C$7))</f>
        <v>#DIV/0!</v>
      </c>
      <c r="BC77" s="46" t="e">
        <f>BL$3*MIN(1,(ATM_Conf!$C$6-Links!N77)/(ATM_Conf!$C$6-ATM_Conf!$C$7))</f>
        <v>#DIV/0!</v>
      </c>
      <c r="BD77" s="46"/>
      <c r="BE77" s="46"/>
      <c r="BF77" s="46"/>
      <c r="BG77" s="46"/>
      <c r="BH77" s="46"/>
      <c r="BI77" s="46"/>
      <c r="BJ77" s="46"/>
      <c r="BK77" s="46"/>
      <c r="BL77" s="46"/>
      <c r="BM77" s="54"/>
      <c r="BN77" s="54"/>
      <c r="BO77" s="54"/>
      <c r="BP77" s="54"/>
      <c r="BQ77" s="54"/>
      <c r="BR77" s="54"/>
      <c r="BS77" s="54"/>
      <c r="BT77" s="54"/>
      <c r="BU77" s="54"/>
      <c r="BV77" s="46" t="e">
        <f t="shared" si="56"/>
        <v>#DIV/0!</v>
      </c>
      <c r="BW77" s="46" t="e">
        <f t="shared" si="57"/>
        <v>#DIV/0!</v>
      </c>
      <c r="BX77" s="46" t="e">
        <f t="shared" si="58"/>
        <v>#DIV/0!</v>
      </c>
      <c r="BY77" s="46" t="e">
        <f t="shared" si="59"/>
        <v>#DIV/0!</v>
      </c>
      <c r="BZ77" s="46" t="e">
        <f t="shared" si="60"/>
        <v>#DIV/0!</v>
      </c>
      <c r="CA77" s="46" t="e">
        <f t="shared" si="61"/>
        <v>#DIV/0!</v>
      </c>
      <c r="CB77" s="46" t="e">
        <f t="shared" si="62"/>
        <v>#DIV/0!</v>
      </c>
      <c r="CC77" s="46" t="e">
        <f t="shared" si="63"/>
        <v>#DIV/0!</v>
      </c>
      <c r="CD77" s="46" t="e">
        <f t="shared" si="64"/>
        <v>#DIV/0!</v>
      </c>
      <c r="CE77" s="56" t="e">
        <f t="shared" si="65"/>
        <v>#DIV/0!</v>
      </c>
      <c r="CF77" s="56" t="e">
        <f t="shared" si="66"/>
        <v>#DIV/0!</v>
      </c>
      <c r="CG77" s="56" t="e">
        <f t="shared" si="67"/>
        <v>#DIV/0!</v>
      </c>
      <c r="CH77" s="56" t="e">
        <f t="shared" si="68"/>
        <v>#DIV/0!</v>
      </c>
      <c r="CI77" s="56" t="e">
        <f t="shared" si="69"/>
        <v>#DIV/0!</v>
      </c>
      <c r="CJ77" s="56" t="e">
        <f t="shared" si="70"/>
        <v>#DIV/0!</v>
      </c>
      <c r="CK77" s="56" t="e">
        <f t="shared" si="71"/>
        <v>#DIV/0!</v>
      </c>
      <c r="CL77" s="56" t="e">
        <f t="shared" si="72"/>
        <v>#DIV/0!</v>
      </c>
      <c r="CM77" s="56" t="e">
        <f t="shared" si="73"/>
        <v>#DIV/0!</v>
      </c>
    </row>
    <row r="78" spans="1:91" x14ac:dyDescent="0.15">
      <c r="A78" s="43">
        <v>76</v>
      </c>
      <c r="B78" s="46">
        <f t="shared" si="76"/>
        <v>1</v>
      </c>
      <c r="C78" s="46">
        <f t="shared" si="75"/>
        <v>1</v>
      </c>
      <c r="D78" s="46">
        <f t="shared" si="75"/>
        <v>1</v>
      </c>
      <c r="E78" s="46">
        <f t="shared" si="75"/>
        <v>1</v>
      </c>
      <c r="F78" s="46">
        <f t="shared" si="75"/>
        <v>1</v>
      </c>
      <c r="G78" s="46">
        <f t="shared" si="75"/>
        <v>1</v>
      </c>
      <c r="H78" s="46">
        <f t="shared" si="75"/>
        <v>1</v>
      </c>
      <c r="I78" s="46">
        <f t="shared" si="75"/>
        <v>1</v>
      </c>
      <c r="J78" s="46">
        <f t="shared" si="75"/>
        <v>1</v>
      </c>
      <c r="K78" s="46" t="e">
        <f>K77+ATM_Conf!$C$5*(T77-AC77)</f>
        <v>#DIV/0!</v>
      </c>
      <c r="L78" s="46" t="e">
        <f>L77+ATM_Conf!$C$5*(U77-AD77)</f>
        <v>#DIV/0!</v>
      </c>
      <c r="M78" s="46" t="e">
        <f>M77+ATM_Conf!$C$5*(V77-AE77)</f>
        <v>#DIV/0!</v>
      </c>
      <c r="N78" s="46" t="e">
        <f>N77+ATM_Conf!$C$5*(W77-AF77)</f>
        <v>#DIV/0!</v>
      </c>
      <c r="O78" s="46" t="e">
        <f>O77+ATM_Conf!$C$5*(X77-AG77)</f>
        <v>#DIV/0!</v>
      </c>
      <c r="P78" s="46" t="e">
        <f>P77+ATM_Conf!$C$5*(Y77-AH77)</f>
        <v>#DIV/0!</v>
      </c>
      <c r="Q78" s="46" t="e">
        <f>Q77+ATM_Conf!$C$5*(Z77-AI77)</f>
        <v>#DIV/0!</v>
      </c>
      <c r="R78" s="46" t="e">
        <f>R77+ATM_Conf!$C$5*(AA77-AJ77)</f>
        <v>#DIV/0!</v>
      </c>
      <c r="S78" s="46" t="e">
        <f>S77+ATM_Conf!$C$5*(AB77-AK77)</f>
        <v>#DIV/0!</v>
      </c>
      <c r="T78" s="46"/>
      <c r="U78" s="46"/>
      <c r="V78" s="46"/>
      <c r="W78" s="46"/>
      <c r="X78" s="46"/>
      <c r="Y78" s="46"/>
      <c r="Z78" s="46"/>
      <c r="AA78" s="46"/>
      <c r="AB78" s="46"/>
      <c r="AC78" s="46" t="e">
        <f t="shared" si="47"/>
        <v>#DIV/0!</v>
      </c>
      <c r="AD78" s="46" t="e">
        <f t="shared" si="48"/>
        <v>#DIV/0!</v>
      </c>
      <c r="AE78" s="46" t="e">
        <f t="shared" si="49"/>
        <v>#DIV/0!</v>
      </c>
      <c r="AF78" s="46" t="e">
        <f t="shared" si="50"/>
        <v>#DIV/0!</v>
      </c>
      <c r="AG78" s="46" t="e">
        <f t="shared" si="51"/>
        <v>#DIV/0!</v>
      </c>
      <c r="AH78" s="46" t="e">
        <f t="shared" si="52"/>
        <v>#DIV/0!</v>
      </c>
      <c r="AI78" s="46" t="e">
        <f t="shared" si="53"/>
        <v>#DIV/0!</v>
      </c>
      <c r="AJ78" s="46" t="e">
        <f t="shared" si="54"/>
        <v>#DIV/0!</v>
      </c>
      <c r="AK78" s="46" t="e">
        <f t="shared" si="55"/>
        <v>#DIV/0!</v>
      </c>
      <c r="AL78" s="46" t="e">
        <f>T$3+K78/ATM_Conf!$C$5</f>
        <v>#DIV/0!</v>
      </c>
      <c r="AM78" s="46" t="e">
        <f>U$3+L78/ATM_Conf!$C$5</f>
        <v>#DIV/0!</v>
      </c>
      <c r="AN78" s="46" t="e">
        <f>V$3+M78/ATM_Conf!$C$5</f>
        <v>#DIV/0!</v>
      </c>
      <c r="AO78" s="46" t="e">
        <f>W$3+N78/ATM_Conf!$C$5</f>
        <v>#DIV/0!</v>
      </c>
      <c r="AP78" s="46" t="e">
        <f>X$3+O78/ATM_Conf!$C$5</f>
        <v>#DIV/0!</v>
      </c>
      <c r="AQ78" s="46" t="e">
        <f>Y$3+P78/ATM_Conf!$C$5</f>
        <v>#DIV/0!</v>
      </c>
      <c r="AR78" s="46" t="e">
        <f>Z$3+Q78/ATM_Conf!$C$5</f>
        <v>#DIV/0!</v>
      </c>
      <c r="AS78" s="46" t="e">
        <f>AA$3+R78/ATM_Conf!$C$5</f>
        <v>#DIV/0!</v>
      </c>
      <c r="AT78" s="46" t="e">
        <f>AB$3+S78/ATM_Conf!$C$5</f>
        <v>#DIV/0!</v>
      </c>
      <c r="AU78" s="46" t="e">
        <f>BD$3*MIN(1,(ATM_Conf!$C$6-Links!F78)/(ATM_Conf!$C$6-ATM_Conf!$C$7))</f>
        <v>#DIV/0!</v>
      </c>
      <c r="AV78" s="46" t="e">
        <f>BE$3*MIN(1,(ATM_Conf!$C$6-Links!G78)/(ATM_Conf!$C$6-ATM_Conf!$C$7))</f>
        <v>#DIV/0!</v>
      </c>
      <c r="AW78" s="46" t="e">
        <f>BF$3*MIN(1,(ATM_Conf!$C$6-Links!H78)/(ATM_Conf!$C$6-ATM_Conf!$C$7))</f>
        <v>#DIV/0!</v>
      </c>
      <c r="AX78" s="46" t="e">
        <f>BG$3*MIN(1,(ATM_Conf!$C$6-Links!I78)/(ATM_Conf!$C$6-ATM_Conf!$C$7))</f>
        <v>#DIV/0!</v>
      </c>
      <c r="AY78" s="46" t="e">
        <f>BH$3*MIN(1,(ATM_Conf!$C$6-Links!J78)/(ATM_Conf!$C$6-ATM_Conf!$C$7))</f>
        <v>#DIV/0!</v>
      </c>
      <c r="AZ78" s="46" t="e">
        <f>BI$3*MIN(1,(ATM_Conf!$C$6-Links!K78)/(ATM_Conf!$C$6-ATM_Conf!$C$7))</f>
        <v>#DIV/0!</v>
      </c>
      <c r="BA78" s="46" t="e">
        <f>BJ$3*MIN(1,(ATM_Conf!$C$6-Links!L78)/(ATM_Conf!$C$6-ATM_Conf!$C$7))</f>
        <v>#DIV/0!</v>
      </c>
      <c r="BB78" s="46" t="e">
        <f>BK$3*MIN(1,(ATM_Conf!$C$6-Links!M78)/(ATM_Conf!$C$6-ATM_Conf!$C$7))</f>
        <v>#DIV/0!</v>
      </c>
      <c r="BC78" s="46" t="e">
        <f>BL$3*MIN(1,(ATM_Conf!$C$6-Links!N78)/(ATM_Conf!$C$6-ATM_Conf!$C$7))</f>
        <v>#DIV/0!</v>
      </c>
      <c r="BD78" s="46"/>
      <c r="BE78" s="46"/>
      <c r="BF78" s="46"/>
      <c r="BG78" s="46"/>
      <c r="BH78" s="46"/>
      <c r="BI78" s="46"/>
      <c r="BJ78" s="46"/>
      <c r="BK78" s="46"/>
      <c r="BL78" s="46"/>
      <c r="BM78" s="54"/>
      <c r="BN78" s="54"/>
      <c r="BO78" s="54"/>
      <c r="BP78" s="54"/>
      <c r="BQ78" s="54"/>
      <c r="BR78" s="54"/>
      <c r="BS78" s="54"/>
      <c r="BT78" s="54"/>
      <c r="BU78" s="54"/>
      <c r="BV78" s="46" t="e">
        <f t="shared" si="56"/>
        <v>#DIV/0!</v>
      </c>
      <c r="BW78" s="46" t="e">
        <f t="shared" si="57"/>
        <v>#DIV/0!</v>
      </c>
      <c r="BX78" s="46" t="e">
        <f t="shared" si="58"/>
        <v>#DIV/0!</v>
      </c>
      <c r="BY78" s="46" t="e">
        <f t="shared" si="59"/>
        <v>#DIV/0!</v>
      </c>
      <c r="BZ78" s="46" t="e">
        <f t="shared" si="60"/>
        <v>#DIV/0!</v>
      </c>
      <c r="CA78" s="46" t="e">
        <f t="shared" si="61"/>
        <v>#DIV/0!</v>
      </c>
      <c r="CB78" s="46" t="e">
        <f t="shared" si="62"/>
        <v>#DIV/0!</v>
      </c>
      <c r="CC78" s="46" t="e">
        <f t="shared" si="63"/>
        <v>#DIV/0!</v>
      </c>
      <c r="CD78" s="46" t="e">
        <f t="shared" si="64"/>
        <v>#DIV/0!</v>
      </c>
      <c r="CE78" s="56" t="e">
        <f t="shared" si="65"/>
        <v>#DIV/0!</v>
      </c>
      <c r="CF78" s="56" t="e">
        <f t="shared" si="66"/>
        <v>#DIV/0!</v>
      </c>
      <c r="CG78" s="56" t="e">
        <f t="shared" si="67"/>
        <v>#DIV/0!</v>
      </c>
      <c r="CH78" s="56" t="e">
        <f t="shared" si="68"/>
        <v>#DIV/0!</v>
      </c>
      <c r="CI78" s="56" t="e">
        <f t="shared" si="69"/>
        <v>#DIV/0!</v>
      </c>
      <c r="CJ78" s="56" t="e">
        <f t="shared" si="70"/>
        <v>#DIV/0!</v>
      </c>
      <c r="CK78" s="56" t="e">
        <f t="shared" si="71"/>
        <v>#DIV/0!</v>
      </c>
      <c r="CL78" s="56" t="e">
        <f t="shared" si="72"/>
        <v>#DIV/0!</v>
      </c>
      <c r="CM78" s="56" t="e">
        <f t="shared" si="73"/>
        <v>#DIV/0!</v>
      </c>
    </row>
    <row r="79" spans="1:91" x14ac:dyDescent="0.15">
      <c r="A79" s="43">
        <v>77</v>
      </c>
      <c r="B79" s="46">
        <f t="shared" si="76"/>
        <v>1</v>
      </c>
      <c r="C79" s="46">
        <f t="shared" si="75"/>
        <v>1</v>
      </c>
      <c r="D79" s="46">
        <f t="shared" si="75"/>
        <v>1</v>
      </c>
      <c r="E79" s="46">
        <f t="shared" si="75"/>
        <v>1</v>
      </c>
      <c r="F79" s="46">
        <f t="shared" si="75"/>
        <v>1</v>
      </c>
      <c r="G79" s="46">
        <f t="shared" si="75"/>
        <v>1</v>
      </c>
      <c r="H79" s="46">
        <f t="shared" si="75"/>
        <v>1</v>
      </c>
      <c r="I79" s="46">
        <f t="shared" si="75"/>
        <v>1</v>
      </c>
      <c r="J79" s="46">
        <f t="shared" si="75"/>
        <v>1</v>
      </c>
      <c r="K79" s="46" t="e">
        <f>K78+ATM_Conf!$C$5*(T78-AC78)</f>
        <v>#DIV/0!</v>
      </c>
      <c r="L79" s="46" t="e">
        <f>L78+ATM_Conf!$C$5*(U78-AD78)</f>
        <v>#DIV/0!</v>
      </c>
      <c r="M79" s="46" t="e">
        <f>M78+ATM_Conf!$C$5*(V78-AE78)</f>
        <v>#DIV/0!</v>
      </c>
      <c r="N79" s="46" t="e">
        <f>N78+ATM_Conf!$C$5*(W78-AF78)</f>
        <v>#DIV/0!</v>
      </c>
      <c r="O79" s="46" t="e">
        <f>O78+ATM_Conf!$C$5*(X78-AG78)</f>
        <v>#DIV/0!</v>
      </c>
      <c r="P79" s="46" t="e">
        <f>P78+ATM_Conf!$C$5*(Y78-AH78)</f>
        <v>#DIV/0!</v>
      </c>
      <c r="Q79" s="46" t="e">
        <f>Q78+ATM_Conf!$C$5*(Z78-AI78)</f>
        <v>#DIV/0!</v>
      </c>
      <c r="R79" s="46" t="e">
        <f>R78+ATM_Conf!$C$5*(AA78-AJ78)</f>
        <v>#DIV/0!</v>
      </c>
      <c r="S79" s="46" t="e">
        <f>S78+ATM_Conf!$C$5*(AB78-AK78)</f>
        <v>#DIV/0!</v>
      </c>
      <c r="T79" s="46"/>
      <c r="U79" s="46"/>
      <c r="V79" s="46"/>
      <c r="W79" s="46"/>
      <c r="X79" s="46"/>
      <c r="Y79" s="46"/>
      <c r="Z79" s="46"/>
      <c r="AA79" s="46"/>
      <c r="AB79" s="46"/>
      <c r="AC79" s="46" t="e">
        <f t="shared" si="47"/>
        <v>#DIV/0!</v>
      </c>
      <c r="AD79" s="46" t="e">
        <f t="shared" si="48"/>
        <v>#DIV/0!</v>
      </c>
      <c r="AE79" s="46" t="e">
        <f t="shared" si="49"/>
        <v>#DIV/0!</v>
      </c>
      <c r="AF79" s="46" t="e">
        <f t="shared" si="50"/>
        <v>#DIV/0!</v>
      </c>
      <c r="AG79" s="46" t="e">
        <f t="shared" si="51"/>
        <v>#DIV/0!</v>
      </c>
      <c r="AH79" s="46" t="e">
        <f t="shared" si="52"/>
        <v>#DIV/0!</v>
      </c>
      <c r="AI79" s="46" t="e">
        <f t="shared" si="53"/>
        <v>#DIV/0!</v>
      </c>
      <c r="AJ79" s="46" t="e">
        <f t="shared" si="54"/>
        <v>#DIV/0!</v>
      </c>
      <c r="AK79" s="46" t="e">
        <f t="shared" si="55"/>
        <v>#DIV/0!</v>
      </c>
      <c r="AL79" s="46" t="e">
        <f>T$3+K79/ATM_Conf!$C$5</f>
        <v>#DIV/0!</v>
      </c>
      <c r="AM79" s="46" t="e">
        <f>U$3+L79/ATM_Conf!$C$5</f>
        <v>#DIV/0!</v>
      </c>
      <c r="AN79" s="46" t="e">
        <f>V$3+M79/ATM_Conf!$C$5</f>
        <v>#DIV/0!</v>
      </c>
      <c r="AO79" s="46" t="e">
        <f>W$3+N79/ATM_Conf!$C$5</f>
        <v>#DIV/0!</v>
      </c>
      <c r="AP79" s="46" t="e">
        <f>X$3+O79/ATM_Conf!$C$5</f>
        <v>#DIV/0!</v>
      </c>
      <c r="AQ79" s="46" t="e">
        <f>Y$3+P79/ATM_Conf!$C$5</f>
        <v>#DIV/0!</v>
      </c>
      <c r="AR79" s="46" t="e">
        <f>Z$3+Q79/ATM_Conf!$C$5</f>
        <v>#DIV/0!</v>
      </c>
      <c r="AS79" s="46" t="e">
        <f>AA$3+R79/ATM_Conf!$C$5</f>
        <v>#DIV/0!</v>
      </c>
      <c r="AT79" s="46" t="e">
        <f>AB$3+S79/ATM_Conf!$C$5</f>
        <v>#DIV/0!</v>
      </c>
      <c r="AU79" s="46" t="e">
        <f>BD$3*MIN(1,(ATM_Conf!$C$6-Links!F79)/(ATM_Conf!$C$6-ATM_Conf!$C$7))</f>
        <v>#DIV/0!</v>
      </c>
      <c r="AV79" s="46" t="e">
        <f>BE$3*MIN(1,(ATM_Conf!$C$6-Links!G79)/(ATM_Conf!$C$6-ATM_Conf!$C$7))</f>
        <v>#DIV/0!</v>
      </c>
      <c r="AW79" s="46" t="e">
        <f>BF$3*MIN(1,(ATM_Conf!$C$6-Links!H79)/(ATM_Conf!$C$6-ATM_Conf!$C$7))</f>
        <v>#DIV/0!</v>
      </c>
      <c r="AX79" s="46" t="e">
        <f>BG$3*MIN(1,(ATM_Conf!$C$6-Links!I79)/(ATM_Conf!$C$6-ATM_Conf!$C$7))</f>
        <v>#DIV/0!</v>
      </c>
      <c r="AY79" s="46" t="e">
        <f>BH$3*MIN(1,(ATM_Conf!$C$6-Links!J79)/(ATM_Conf!$C$6-ATM_Conf!$C$7))</f>
        <v>#DIV/0!</v>
      </c>
      <c r="AZ79" s="46" t="e">
        <f>BI$3*MIN(1,(ATM_Conf!$C$6-Links!K79)/(ATM_Conf!$C$6-ATM_Conf!$C$7))</f>
        <v>#DIV/0!</v>
      </c>
      <c r="BA79" s="46" t="e">
        <f>BJ$3*MIN(1,(ATM_Conf!$C$6-Links!L79)/(ATM_Conf!$C$6-ATM_Conf!$C$7))</f>
        <v>#DIV/0!</v>
      </c>
      <c r="BB79" s="46" t="e">
        <f>BK$3*MIN(1,(ATM_Conf!$C$6-Links!M79)/(ATM_Conf!$C$6-ATM_Conf!$C$7))</f>
        <v>#DIV/0!</v>
      </c>
      <c r="BC79" s="46" t="e">
        <f>BL$3*MIN(1,(ATM_Conf!$C$6-Links!N79)/(ATM_Conf!$C$6-ATM_Conf!$C$7))</f>
        <v>#DIV/0!</v>
      </c>
      <c r="BD79" s="46"/>
      <c r="BE79" s="46"/>
      <c r="BF79" s="46"/>
      <c r="BG79" s="46"/>
      <c r="BH79" s="46"/>
      <c r="BI79" s="46"/>
      <c r="BJ79" s="46"/>
      <c r="BK79" s="46"/>
      <c r="BL79" s="46"/>
      <c r="BM79" s="54"/>
      <c r="BN79" s="54"/>
      <c r="BO79" s="54"/>
      <c r="BP79" s="54"/>
      <c r="BQ79" s="54"/>
      <c r="BR79" s="54"/>
      <c r="BS79" s="54"/>
      <c r="BT79" s="54"/>
      <c r="BU79" s="54"/>
      <c r="BV79" s="46" t="e">
        <f t="shared" si="56"/>
        <v>#DIV/0!</v>
      </c>
      <c r="BW79" s="46" t="e">
        <f t="shared" si="57"/>
        <v>#DIV/0!</v>
      </c>
      <c r="BX79" s="46" t="e">
        <f t="shared" si="58"/>
        <v>#DIV/0!</v>
      </c>
      <c r="BY79" s="46" t="e">
        <f t="shared" si="59"/>
        <v>#DIV/0!</v>
      </c>
      <c r="BZ79" s="46" t="e">
        <f t="shared" si="60"/>
        <v>#DIV/0!</v>
      </c>
      <c r="CA79" s="46" t="e">
        <f t="shared" si="61"/>
        <v>#DIV/0!</v>
      </c>
      <c r="CB79" s="46" t="e">
        <f t="shared" si="62"/>
        <v>#DIV/0!</v>
      </c>
      <c r="CC79" s="46" t="e">
        <f t="shared" si="63"/>
        <v>#DIV/0!</v>
      </c>
      <c r="CD79" s="46" t="e">
        <f t="shared" si="64"/>
        <v>#DIV/0!</v>
      </c>
      <c r="CE79" s="56" t="e">
        <f t="shared" si="65"/>
        <v>#DIV/0!</v>
      </c>
      <c r="CF79" s="56" t="e">
        <f t="shared" si="66"/>
        <v>#DIV/0!</v>
      </c>
      <c r="CG79" s="56" t="e">
        <f t="shared" si="67"/>
        <v>#DIV/0!</v>
      </c>
      <c r="CH79" s="56" t="e">
        <f t="shared" si="68"/>
        <v>#DIV/0!</v>
      </c>
      <c r="CI79" s="56" t="e">
        <f t="shared" si="69"/>
        <v>#DIV/0!</v>
      </c>
      <c r="CJ79" s="56" t="e">
        <f t="shared" si="70"/>
        <v>#DIV/0!</v>
      </c>
      <c r="CK79" s="56" t="e">
        <f t="shared" si="71"/>
        <v>#DIV/0!</v>
      </c>
      <c r="CL79" s="56" t="e">
        <f t="shared" si="72"/>
        <v>#DIV/0!</v>
      </c>
      <c r="CM79" s="56" t="e">
        <f t="shared" si="73"/>
        <v>#DIV/0!</v>
      </c>
    </row>
    <row r="80" spans="1:91" x14ac:dyDescent="0.15">
      <c r="A80" s="43">
        <v>78</v>
      </c>
      <c r="B80" s="46">
        <f t="shared" si="76"/>
        <v>1</v>
      </c>
      <c r="C80" s="46">
        <f t="shared" si="75"/>
        <v>1</v>
      </c>
      <c r="D80" s="46">
        <f t="shared" si="75"/>
        <v>1</v>
      </c>
      <c r="E80" s="46">
        <f t="shared" si="75"/>
        <v>1</v>
      </c>
      <c r="F80" s="46">
        <f t="shared" si="75"/>
        <v>1</v>
      </c>
      <c r="G80" s="46">
        <f t="shared" si="75"/>
        <v>1</v>
      </c>
      <c r="H80" s="46">
        <f t="shared" si="75"/>
        <v>1</v>
      </c>
      <c r="I80" s="46">
        <f t="shared" si="75"/>
        <v>1</v>
      </c>
      <c r="J80" s="46">
        <f t="shared" si="75"/>
        <v>1</v>
      </c>
      <c r="K80" s="46" t="e">
        <f>K79+ATM_Conf!$C$5*(T79-AC79)</f>
        <v>#DIV/0!</v>
      </c>
      <c r="L80" s="46" t="e">
        <f>L79+ATM_Conf!$C$5*(U79-AD79)</f>
        <v>#DIV/0!</v>
      </c>
      <c r="M80" s="46" t="e">
        <f>M79+ATM_Conf!$C$5*(V79-AE79)</f>
        <v>#DIV/0!</v>
      </c>
      <c r="N80" s="46" t="e">
        <f>N79+ATM_Conf!$C$5*(W79-AF79)</f>
        <v>#DIV/0!</v>
      </c>
      <c r="O80" s="46" t="e">
        <f>O79+ATM_Conf!$C$5*(X79-AG79)</f>
        <v>#DIV/0!</v>
      </c>
      <c r="P80" s="46" t="e">
        <f>P79+ATM_Conf!$C$5*(Y79-AH79)</f>
        <v>#DIV/0!</v>
      </c>
      <c r="Q80" s="46" t="e">
        <f>Q79+ATM_Conf!$C$5*(Z79-AI79)</f>
        <v>#DIV/0!</v>
      </c>
      <c r="R80" s="46" t="e">
        <f>R79+ATM_Conf!$C$5*(AA79-AJ79)</f>
        <v>#DIV/0!</v>
      </c>
      <c r="S80" s="46" t="e">
        <f>S79+ATM_Conf!$C$5*(AB79-AK79)</f>
        <v>#DIV/0!</v>
      </c>
      <c r="T80" s="46"/>
      <c r="U80" s="46"/>
      <c r="V80" s="46"/>
      <c r="W80" s="46"/>
      <c r="X80" s="46"/>
      <c r="Y80" s="46"/>
      <c r="Z80" s="46"/>
      <c r="AA80" s="46"/>
      <c r="AB80" s="46"/>
      <c r="AC80" s="46" t="e">
        <f t="shared" si="47"/>
        <v>#DIV/0!</v>
      </c>
      <c r="AD80" s="46" t="e">
        <f t="shared" si="48"/>
        <v>#DIV/0!</v>
      </c>
      <c r="AE80" s="46" t="e">
        <f t="shared" si="49"/>
        <v>#DIV/0!</v>
      </c>
      <c r="AF80" s="46" t="e">
        <f t="shared" si="50"/>
        <v>#DIV/0!</v>
      </c>
      <c r="AG80" s="46" t="e">
        <f t="shared" si="51"/>
        <v>#DIV/0!</v>
      </c>
      <c r="AH80" s="46" t="e">
        <f t="shared" si="52"/>
        <v>#DIV/0!</v>
      </c>
      <c r="AI80" s="46" t="e">
        <f t="shared" si="53"/>
        <v>#DIV/0!</v>
      </c>
      <c r="AJ80" s="46" t="e">
        <f t="shared" si="54"/>
        <v>#DIV/0!</v>
      </c>
      <c r="AK80" s="46" t="e">
        <f t="shared" si="55"/>
        <v>#DIV/0!</v>
      </c>
      <c r="AL80" s="46" t="e">
        <f>T$3+K80/ATM_Conf!$C$5</f>
        <v>#DIV/0!</v>
      </c>
      <c r="AM80" s="46" t="e">
        <f>U$3+L80/ATM_Conf!$C$5</f>
        <v>#DIV/0!</v>
      </c>
      <c r="AN80" s="46" t="e">
        <f>V$3+M80/ATM_Conf!$C$5</f>
        <v>#DIV/0!</v>
      </c>
      <c r="AO80" s="46" t="e">
        <f>W$3+N80/ATM_Conf!$C$5</f>
        <v>#DIV/0!</v>
      </c>
      <c r="AP80" s="46" t="e">
        <f>X$3+O80/ATM_Conf!$C$5</f>
        <v>#DIV/0!</v>
      </c>
      <c r="AQ80" s="46" t="e">
        <f>Y$3+P80/ATM_Conf!$C$5</f>
        <v>#DIV/0!</v>
      </c>
      <c r="AR80" s="46" t="e">
        <f>Z$3+Q80/ATM_Conf!$C$5</f>
        <v>#DIV/0!</v>
      </c>
      <c r="AS80" s="46" t="e">
        <f>AA$3+R80/ATM_Conf!$C$5</f>
        <v>#DIV/0!</v>
      </c>
      <c r="AT80" s="46" t="e">
        <f>AB$3+S80/ATM_Conf!$C$5</f>
        <v>#DIV/0!</v>
      </c>
      <c r="AU80" s="46" t="e">
        <f>BD$3*MIN(1,(ATM_Conf!$C$6-Links!F80)/(ATM_Conf!$C$6-ATM_Conf!$C$7))</f>
        <v>#DIV/0!</v>
      </c>
      <c r="AV80" s="46" t="e">
        <f>BE$3*MIN(1,(ATM_Conf!$C$6-Links!G80)/(ATM_Conf!$C$6-ATM_Conf!$C$7))</f>
        <v>#DIV/0!</v>
      </c>
      <c r="AW80" s="46" t="e">
        <f>BF$3*MIN(1,(ATM_Conf!$C$6-Links!H80)/(ATM_Conf!$C$6-ATM_Conf!$C$7))</f>
        <v>#DIV/0!</v>
      </c>
      <c r="AX80" s="46" t="e">
        <f>BG$3*MIN(1,(ATM_Conf!$C$6-Links!I80)/(ATM_Conf!$C$6-ATM_Conf!$C$7))</f>
        <v>#DIV/0!</v>
      </c>
      <c r="AY80" s="46" t="e">
        <f>BH$3*MIN(1,(ATM_Conf!$C$6-Links!J80)/(ATM_Conf!$C$6-ATM_Conf!$C$7))</f>
        <v>#DIV/0!</v>
      </c>
      <c r="AZ80" s="46" t="e">
        <f>BI$3*MIN(1,(ATM_Conf!$C$6-Links!K80)/(ATM_Conf!$C$6-ATM_Conf!$C$7))</f>
        <v>#DIV/0!</v>
      </c>
      <c r="BA80" s="46" t="e">
        <f>BJ$3*MIN(1,(ATM_Conf!$C$6-Links!L80)/(ATM_Conf!$C$6-ATM_Conf!$C$7))</f>
        <v>#DIV/0!</v>
      </c>
      <c r="BB80" s="46" t="e">
        <f>BK$3*MIN(1,(ATM_Conf!$C$6-Links!M80)/(ATM_Conf!$C$6-ATM_Conf!$C$7))</f>
        <v>#DIV/0!</v>
      </c>
      <c r="BC80" s="46" t="e">
        <f>BL$3*MIN(1,(ATM_Conf!$C$6-Links!N80)/(ATM_Conf!$C$6-ATM_Conf!$C$7))</f>
        <v>#DIV/0!</v>
      </c>
      <c r="BD80" s="46"/>
      <c r="BE80" s="46"/>
      <c r="BF80" s="46"/>
      <c r="BG80" s="46"/>
      <c r="BH80" s="46"/>
      <c r="BI80" s="46"/>
      <c r="BJ80" s="46"/>
      <c r="BK80" s="46"/>
      <c r="BL80" s="46"/>
      <c r="BM80" s="54"/>
      <c r="BN80" s="54"/>
      <c r="BO80" s="54"/>
      <c r="BP80" s="54"/>
      <c r="BQ80" s="54"/>
      <c r="BR80" s="54"/>
      <c r="BS80" s="54"/>
      <c r="BT80" s="54"/>
      <c r="BU80" s="54"/>
      <c r="BV80" s="46" t="e">
        <f t="shared" si="56"/>
        <v>#DIV/0!</v>
      </c>
      <c r="BW80" s="46" t="e">
        <f t="shared" si="57"/>
        <v>#DIV/0!</v>
      </c>
      <c r="BX80" s="46" t="e">
        <f t="shared" si="58"/>
        <v>#DIV/0!</v>
      </c>
      <c r="BY80" s="46" t="e">
        <f t="shared" si="59"/>
        <v>#DIV/0!</v>
      </c>
      <c r="BZ80" s="46" t="e">
        <f t="shared" si="60"/>
        <v>#DIV/0!</v>
      </c>
      <c r="CA80" s="46" t="e">
        <f t="shared" si="61"/>
        <v>#DIV/0!</v>
      </c>
      <c r="CB80" s="46" t="e">
        <f t="shared" si="62"/>
        <v>#DIV/0!</v>
      </c>
      <c r="CC80" s="46" t="e">
        <f t="shared" si="63"/>
        <v>#DIV/0!</v>
      </c>
      <c r="CD80" s="46" t="e">
        <f t="shared" si="64"/>
        <v>#DIV/0!</v>
      </c>
      <c r="CE80" s="56" t="e">
        <f t="shared" si="65"/>
        <v>#DIV/0!</v>
      </c>
      <c r="CF80" s="56" t="e">
        <f t="shared" si="66"/>
        <v>#DIV/0!</v>
      </c>
      <c r="CG80" s="56" t="e">
        <f t="shared" si="67"/>
        <v>#DIV/0!</v>
      </c>
      <c r="CH80" s="56" t="e">
        <f t="shared" si="68"/>
        <v>#DIV/0!</v>
      </c>
      <c r="CI80" s="56" t="e">
        <f t="shared" si="69"/>
        <v>#DIV/0!</v>
      </c>
      <c r="CJ80" s="56" t="e">
        <f t="shared" si="70"/>
        <v>#DIV/0!</v>
      </c>
      <c r="CK80" s="56" t="e">
        <f t="shared" si="71"/>
        <v>#DIV/0!</v>
      </c>
      <c r="CL80" s="56" t="e">
        <f t="shared" si="72"/>
        <v>#DIV/0!</v>
      </c>
      <c r="CM80" s="56" t="e">
        <f t="shared" si="73"/>
        <v>#DIV/0!</v>
      </c>
    </row>
    <row r="81" spans="1:91" x14ac:dyDescent="0.15">
      <c r="A81" s="43">
        <v>79</v>
      </c>
      <c r="B81" s="46">
        <f t="shared" si="76"/>
        <v>1</v>
      </c>
      <c r="C81" s="46">
        <f t="shared" si="75"/>
        <v>1</v>
      </c>
      <c r="D81" s="46">
        <f t="shared" si="75"/>
        <v>1</v>
      </c>
      <c r="E81" s="46">
        <f t="shared" si="75"/>
        <v>1</v>
      </c>
      <c r="F81" s="46">
        <f t="shared" si="75"/>
        <v>1</v>
      </c>
      <c r="G81" s="46">
        <f t="shared" si="75"/>
        <v>1</v>
      </c>
      <c r="H81" s="46">
        <f t="shared" si="75"/>
        <v>1</v>
      </c>
      <c r="I81" s="46">
        <f t="shared" si="75"/>
        <v>1</v>
      </c>
      <c r="J81" s="46">
        <f t="shared" si="75"/>
        <v>1</v>
      </c>
      <c r="K81" s="46" t="e">
        <f>K80+ATM_Conf!$C$5*(T80-AC80)</f>
        <v>#DIV/0!</v>
      </c>
      <c r="L81" s="46" t="e">
        <f>L80+ATM_Conf!$C$5*(U80-AD80)</f>
        <v>#DIV/0!</v>
      </c>
      <c r="M81" s="46" t="e">
        <f>M80+ATM_Conf!$C$5*(V80-AE80)</f>
        <v>#DIV/0!</v>
      </c>
      <c r="N81" s="46" t="e">
        <f>N80+ATM_Conf!$C$5*(W80-AF80)</f>
        <v>#DIV/0!</v>
      </c>
      <c r="O81" s="46" t="e">
        <f>O80+ATM_Conf!$C$5*(X80-AG80)</f>
        <v>#DIV/0!</v>
      </c>
      <c r="P81" s="46" t="e">
        <f>P80+ATM_Conf!$C$5*(Y80-AH80)</f>
        <v>#DIV/0!</v>
      </c>
      <c r="Q81" s="46" t="e">
        <f>Q80+ATM_Conf!$C$5*(Z80-AI80)</f>
        <v>#DIV/0!</v>
      </c>
      <c r="R81" s="46" t="e">
        <f>R80+ATM_Conf!$C$5*(AA80-AJ80)</f>
        <v>#DIV/0!</v>
      </c>
      <c r="S81" s="46" t="e">
        <f>S80+ATM_Conf!$C$5*(AB80-AK80)</f>
        <v>#DIV/0!</v>
      </c>
      <c r="T81" s="46"/>
      <c r="U81" s="46"/>
      <c r="V81" s="46"/>
      <c r="W81" s="46"/>
      <c r="X81" s="46"/>
      <c r="Y81" s="46"/>
      <c r="Z81" s="46"/>
      <c r="AA81" s="46"/>
      <c r="AB81" s="46"/>
      <c r="AC81" s="46" t="e">
        <f t="shared" si="47"/>
        <v>#DIV/0!</v>
      </c>
      <c r="AD81" s="46" t="e">
        <f t="shared" si="48"/>
        <v>#DIV/0!</v>
      </c>
      <c r="AE81" s="46" t="e">
        <f t="shared" si="49"/>
        <v>#DIV/0!</v>
      </c>
      <c r="AF81" s="46" t="e">
        <f t="shared" si="50"/>
        <v>#DIV/0!</v>
      </c>
      <c r="AG81" s="46" t="e">
        <f t="shared" si="51"/>
        <v>#DIV/0!</v>
      </c>
      <c r="AH81" s="46" t="e">
        <f t="shared" si="52"/>
        <v>#DIV/0!</v>
      </c>
      <c r="AI81" s="46" t="e">
        <f t="shared" si="53"/>
        <v>#DIV/0!</v>
      </c>
      <c r="AJ81" s="46" t="e">
        <f t="shared" si="54"/>
        <v>#DIV/0!</v>
      </c>
      <c r="AK81" s="46" t="e">
        <f t="shared" si="55"/>
        <v>#DIV/0!</v>
      </c>
      <c r="AL81" s="46" t="e">
        <f>T$3+K81/ATM_Conf!$C$5</f>
        <v>#DIV/0!</v>
      </c>
      <c r="AM81" s="46" t="e">
        <f>U$3+L81/ATM_Conf!$C$5</f>
        <v>#DIV/0!</v>
      </c>
      <c r="AN81" s="46" t="e">
        <f>V$3+M81/ATM_Conf!$C$5</f>
        <v>#DIV/0!</v>
      </c>
      <c r="AO81" s="46" t="e">
        <f>W$3+N81/ATM_Conf!$C$5</f>
        <v>#DIV/0!</v>
      </c>
      <c r="AP81" s="46" t="e">
        <f>X$3+O81/ATM_Conf!$C$5</f>
        <v>#DIV/0!</v>
      </c>
      <c r="AQ81" s="46" t="e">
        <f>Y$3+P81/ATM_Conf!$C$5</f>
        <v>#DIV/0!</v>
      </c>
      <c r="AR81" s="46" t="e">
        <f>Z$3+Q81/ATM_Conf!$C$5</f>
        <v>#DIV/0!</v>
      </c>
      <c r="AS81" s="46" t="e">
        <f>AA$3+R81/ATM_Conf!$C$5</f>
        <v>#DIV/0!</v>
      </c>
      <c r="AT81" s="46" t="e">
        <f>AB$3+S81/ATM_Conf!$C$5</f>
        <v>#DIV/0!</v>
      </c>
      <c r="AU81" s="46" t="e">
        <f>BD$3*MIN(1,(ATM_Conf!$C$6-Links!F81)/(ATM_Conf!$C$6-ATM_Conf!$C$7))</f>
        <v>#DIV/0!</v>
      </c>
      <c r="AV81" s="46" t="e">
        <f>BE$3*MIN(1,(ATM_Conf!$C$6-Links!G81)/(ATM_Conf!$C$6-ATM_Conf!$C$7))</f>
        <v>#DIV/0!</v>
      </c>
      <c r="AW81" s="46" t="e">
        <f>BF$3*MIN(1,(ATM_Conf!$C$6-Links!H81)/(ATM_Conf!$C$6-ATM_Conf!$C$7))</f>
        <v>#DIV/0!</v>
      </c>
      <c r="AX81" s="46" t="e">
        <f>BG$3*MIN(1,(ATM_Conf!$C$6-Links!I81)/(ATM_Conf!$C$6-ATM_Conf!$C$7))</f>
        <v>#DIV/0!</v>
      </c>
      <c r="AY81" s="46" t="e">
        <f>BH$3*MIN(1,(ATM_Conf!$C$6-Links!J81)/(ATM_Conf!$C$6-ATM_Conf!$C$7))</f>
        <v>#DIV/0!</v>
      </c>
      <c r="AZ81" s="46" t="e">
        <f>BI$3*MIN(1,(ATM_Conf!$C$6-Links!K81)/(ATM_Conf!$C$6-ATM_Conf!$C$7))</f>
        <v>#DIV/0!</v>
      </c>
      <c r="BA81" s="46" t="e">
        <f>BJ$3*MIN(1,(ATM_Conf!$C$6-Links!L81)/(ATM_Conf!$C$6-ATM_Conf!$C$7))</f>
        <v>#DIV/0!</v>
      </c>
      <c r="BB81" s="46" t="e">
        <f>BK$3*MIN(1,(ATM_Conf!$C$6-Links!M81)/(ATM_Conf!$C$6-ATM_Conf!$C$7))</f>
        <v>#DIV/0!</v>
      </c>
      <c r="BC81" s="46" t="e">
        <f>BL$3*MIN(1,(ATM_Conf!$C$6-Links!N81)/(ATM_Conf!$C$6-ATM_Conf!$C$7))</f>
        <v>#DIV/0!</v>
      </c>
      <c r="BD81" s="46"/>
      <c r="BE81" s="46"/>
      <c r="BF81" s="46"/>
      <c r="BG81" s="46"/>
      <c r="BH81" s="46"/>
      <c r="BI81" s="46"/>
      <c r="BJ81" s="46"/>
      <c r="BK81" s="46"/>
      <c r="BL81" s="46"/>
      <c r="BM81" s="54"/>
      <c r="BN81" s="54"/>
      <c r="BO81" s="54"/>
      <c r="BP81" s="54"/>
      <c r="BQ81" s="54"/>
      <c r="BR81" s="54"/>
      <c r="BS81" s="54"/>
      <c r="BT81" s="54"/>
      <c r="BU81" s="54"/>
      <c r="BV81" s="46" t="e">
        <f t="shared" si="56"/>
        <v>#DIV/0!</v>
      </c>
      <c r="BW81" s="46" t="e">
        <f t="shared" si="57"/>
        <v>#DIV/0!</v>
      </c>
      <c r="BX81" s="46" t="e">
        <f t="shared" si="58"/>
        <v>#DIV/0!</v>
      </c>
      <c r="BY81" s="46" t="e">
        <f t="shared" si="59"/>
        <v>#DIV/0!</v>
      </c>
      <c r="BZ81" s="46" t="e">
        <f t="shared" si="60"/>
        <v>#DIV/0!</v>
      </c>
      <c r="CA81" s="46" t="e">
        <f t="shared" si="61"/>
        <v>#DIV/0!</v>
      </c>
      <c r="CB81" s="46" t="e">
        <f t="shared" si="62"/>
        <v>#DIV/0!</v>
      </c>
      <c r="CC81" s="46" t="e">
        <f t="shared" si="63"/>
        <v>#DIV/0!</v>
      </c>
      <c r="CD81" s="46" t="e">
        <f t="shared" si="64"/>
        <v>#DIV/0!</v>
      </c>
      <c r="CE81" s="56" t="e">
        <f t="shared" si="65"/>
        <v>#DIV/0!</v>
      </c>
      <c r="CF81" s="56" t="e">
        <f t="shared" si="66"/>
        <v>#DIV/0!</v>
      </c>
      <c r="CG81" s="56" t="e">
        <f t="shared" si="67"/>
        <v>#DIV/0!</v>
      </c>
      <c r="CH81" s="56" t="e">
        <f t="shared" si="68"/>
        <v>#DIV/0!</v>
      </c>
      <c r="CI81" s="56" t="e">
        <f t="shared" si="69"/>
        <v>#DIV/0!</v>
      </c>
      <c r="CJ81" s="56" t="e">
        <f t="shared" si="70"/>
        <v>#DIV/0!</v>
      </c>
      <c r="CK81" s="56" t="e">
        <f t="shared" si="71"/>
        <v>#DIV/0!</v>
      </c>
      <c r="CL81" s="56" t="e">
        <f t="shared" si="72"/>
        <v>#DIV/0!</v>
      </c>
      <c r="CM81" s="56" t="e">
        <f t="shared" si="73"/>
        <v>#DIV/0!</v>
      </c>
    </row>
    <row r="82" spans="1:91" x14ac:dyDescent="0.15">
      <c r="A82" s="43">
        <v>80</v>
      </c>
      <c r="B82" s="46">
        <f t="shared" si="76"/>
        <v>1</v>
      </c>
      <c r="C82" s="46">
        <f t="shared" si="75"/>
        <v>1</v>
      </c>
      <c r="D82" s="46">
        <f t="shared" si="75"/>
        <v>1</v>
      </c>
      <c r="E82" s="46">
        <f t="shared" si="75"/>
        <v>1</v>
      </c>
      <c r="F82" s="46">
        <f t="shared" si="75"/>
        <v>1</v>
      </c>
      <c r="G82" s="46">
        <f t="shared" si="75"/>
        <v>1</v>
      </c>
      <c r="H82" s="46">
        <f t="shared" si="75"/>
        <v>1</v>
      </c>
      <c r="I82" s="46">
        <f t="shared" si="75"/>
        <v>1</v>
      </c>
      <c r="J82" s="46">
        <f t="shared" si="75"/>
        <v>1</v>
      </c>
      <c r="K82" s="46" t="e">
        <f>K81+ATM_Conf!$C$5*(T81-AC81)</f>
        <v>#DIV/0!</v>
      </c>
      <c r="L82" s="46" t="e">
        <f>L81+ATM_Conf!$C$5*(U81-AD81)</f>
        <v>#DIV/0!</v>
      </c>
      <c r="M82" s="46" t="e">
        <f>M81+ATM_Conf!$C$5*(V81-AE81)</f>
        <v>#DIV/0!</v>
      </c>
      <c r="N82" s="46" t="e">
        <f>N81+ATM_Conf!$C$5*(W81-AF81)</f>
        <v>#DIV/0!</v>
      </c>
      <c r="O82" s="46" t="e">
        <f>O81+ATM_Conf!$C$5*(X81-AG81)</f>
        <v>#DIV/0!</v>
      </c>
      <c r="P82" s="46" t="e">
        <f>P81+ATM_Conf!$C$5*(Y81-AH81)</f>
        <v>#DIV/0!</v>
      </c>
      <c r="Q82" s="46" t="e">
        <f>Q81+ATM_Conf!$C$5*(Z81-AI81)</f>
        <v>#DIV/0!</v>
      </c>
      <c r="R82" s="46" t="e">
        <f>R81+ATM_Conf!$C$5*(AA81-AJ81)</f>
        <v>#DIV/0!</v>
      </c>
      <c r="S82" s="46" t="e">
        <f>S81+ATM_Conf!$C$5*(AB81-AK81)</f>
        <v>#DIV/0!</v>
      </c>
      <c r="T82" s="46"/>
      <c r="U82" s="46"/>
      <c r="V82" s="46"/>
      <c r="W82" s="46"/>
      <c r="X82" s="46"/>
      <c r="Y82" s="46"/>
      <c r="Z82" s="46"/>
      <c r="AA82" s="46"/>
      <c r="AB82" s="46"/>
      <c r="AC82" s="46" t="e">
        <f t="shared" si="47"/>
        <v>#DIV/0!</v>
      </c>
      <c r="AD82" s="46" t="e">
        <f t="shared" si="48"/>
        <v>#DIV/0!</v>
      </c>
      <c r="AE82" s="46" t="e">
        <f t="shared" si="49"/>
        <v>#DIV/0!</v>
      </c>
      <c r="AF82" s="46" t="e">
        <f t="shared" si="50"/>
        <v>#DIV/0!</v>
      </c>
      <c r="AG82" s="46" t="e">
        <f t="shared" si="51"/>
        <v>#DIV/0!</v>
      </c>
      <c r="AH82" s="46" t="e">
        <f t="shared" si="52"/>
        <v>#DIV/0!</v>
      </c>
      <c r="AI82" s="46" t="e">
        <f t="shared" si="53"/>
        <v>#DIV/0!</v>
      </c>
      <c r="AJ82" s="46" t="e">
        <f t="shared" si="54"/>
        <v>#DIV/0!</v>
      </c>
      <c r="AK82" s="46" t="e">
        <f t="shared" si="55"/>
        <v>#DIV/0!</v>
      </c>
      <c r="AL82" s="46" t="e">
        <f>T$3+K82/ATM_Conf!$C$5</f>
        <v>#DIV/0!</v>
      </c>
      <c r="AM82" s="46" t="e">
        <f>U$3+L82/ATM_Conf!$C$5</f>
        <v>#DIV/0!</v>
      </c>
      <c r="AN82" s="46" t="e">
        <f>V$3+M82/ATM_Conf!$C$5</f>
        <v>#DIV/0!</v>
      </c>
      <c r="AO82" s="46" t="e">
        <f>W$3+N82/ATM_Conf!$C$5</f>
        <v>#DIV/0!</v>
      </c>
      <c r="AP82" s="46" t="e">
        <f>X$3+O82/ATM_Conf!$C$5</f>
        <v>#DIV/0!</v>
      </c>
      <c r="AQ82" s="46" t="e">
        <f>Y$3+P82/ATM_Conf!$C$5</f>
        <v>#DIV/0!</v>
      </c>
      <c r="AR82" s="46" t="e">
        <f>Z$3+Q82/ATM_Conf!$C$5</f>
        <v>#DIV/0!</v>
      </c>
      <c r="AS82" s="46" t="e">
        <f>AA$3+R82/ATM_Conf!$C$5</f>
        <v>#DIV/0!</v>
      </c>
      <c r="AT82" s="46" t="e">
        <f>AB$3+S82/ATM_Conf!$C$5</f>
        <v>#DIV/0!</v>
      </c>
      <c r="AU82" s="46" t="e">
        <f>BD$3*MIN(1,(ATM_Conf!$C$6-Links!F82)/(ATM_Conf!$C$6-ATM_Conf!$C$7))</f>
        <v>#DIV/0!</v>
      </c>
      <c r="AV82" s="46" t="e">
        <f>BE$3*MIN(1,(ATM_Conf!$C$6-Links!G82)/(ATM_Conf!$C$6-ATM_Conf!$C$7))</f>
        <v>#DIV/0!</v>
      </c>
      <c r="AW82" s="46" t="e">
        <f>BF$3*MIN(1,(ATM_Conf!$C$6-Links!H82)/(ATM_Conf!$C$6-ATM_Conf!$C$7))</f>
        <v>#DIV/0!</v>
      </c>
      <c r="AX82" s="46" t="e">
        <f>BG$3*MIN(1,(ATM_Conf!$C$6-Links!I82)/(ATM_Conf!$C$6-ATM_Conf!$C$7))</f>
        <v>#DIV/0!</v>
      </c>
      <c r="AY82" s="46" t="e">
        <f>BH$3*MIN(1,(ATM_Conf!$C$6-Links!J82)/(ATM_Conf!$C$6-ATM_Conf!$C$7))</f>
        <v>#DIV/0!</v>
      </c>
      <c r="AZ82" s="46" t="e">
        <f>BI$3*MIN(1,(ATM_Conf!$C$6-Links!K82)/(ATM_Conf!$C$6-ATM_Conf!$C$7))</f>
        <v>#DIV/0!</v>
      </c>
      <c r="BA82" s="46" t="e">
        <f>BJ$3*MIN(1,(ATM_Conf!$C$6-Links!L82)/(ATM_Conf!$C$6-ATM_Conf!$C$7))</f>
        <v>#DIV/0!</v>
      </c>
      <c r="BB82" s="46" t="e">
        <f>BK$3*MIN(1,(ATM_Conf!$C$6-Links!M82)/(ATM_Conf!$C$6-ATM_Conf!$C$7))</f>
        <v>#DIV/0!</v>
      </c>
      <c r="BC82" s="46" t="e">
        <f>BL$3*MIN(1,(ATM_Conf!$C$6-Links!N82)/(ATM_Conf!$C$6-ATM_Conf!$C$7))</f>
        <v>#DIV/0!</v>
      </c>
      <c r="BD82" s="46"/>
      <c r="BE82" s="46"/>
      <c r="BF82" s="46"/>
      <c r="BG82" s="46"/>
      <c r="BH82" s="46"/>
      <c r="BI82" s="46"/>
      <c r="BJ82" s="46"/>
      <c r="BK82" s="46"/>
      <c r="BL82" s="46"/>
      <c r="BM82" s="54"/>
      <c r="BN82" s="54"/>
      <c r="BO82" s="54"/>
      <c r="BP82" s="54"/>
      <c r="BQ82" s="54"/>
      <c r="BR82" s="54"/>
      <c r="BS82" s="54"/>
      <c r="BT82" s="54"/>
      <c r="BU82" s="54"/>
      <c r="BV82" s="46" t="e">
        <f t="shared" si="56"/>
        <v>#DIV/0!</v>
      </c>
      <c r="BW82" s="46" t="e">
        <f t="shared" si="57"/>
        <v>#DIV/0!</v>
      </c>
      <c r="BX82" s="46" t="e">
        <f t="shared" si="58"/>
        <v>#DIV/0!</v>
      </c>
      <c r="BY82" s="46" t="e">
        <f t="shared" si="59"/>
        <v>#DIV/0!</v>
      </c>
      <c r="BZ82" s="46" t="e">
        <f t="shared" si="60"/>
        <v>#DIV/0!</v>
      </c>
      <c r="CA82" s="46" t="e">
        <f t="shared" si="61"/>
        <v>#DIV/0!</v>
      </c>
      <c r="CB82" s="46" t="e">
        <f t="shared" si="62"/>
        <v>#DIV/0!</v>
      </c>
      <c r="CC82" s="46" t="e">
        <f t="shared" si="63"/>
        <v>#DIV/0!</v>
      </c>
      <c r="CD82" s="46" t="e">
        <f t="shared" si="64"/>
        <v>#DIV/0!</v>
      </c>
      <c r="CE82" s="56" t="e">
        <f t="shared" si="65"/>
        <v>#DIV/0!</v>
      </c>
      <c r="CF82" s="56" t="e">
        <f t="shared" si="66"/>
        <v>#DIV/0!</v>
      </c>
      <c r="CG82" s="56" t="e">
        <f t="shared" si="67"/>
        <v>#DIV/0!</v>
      </c>
      <c r="CH82" s="56" t="e">
        <f t="shared" si="68"/>
        <v>#DIV/0!</v>
      </c>
      <c r="CI82" s="56" t="e">
        <f t="shared" si="69"/>
        <v>#DIV/0!</v>
      </c>
      <c r="CJ82" s="56" t="e">
        <f t="shared" si="70"/>
        <v>#DIV/0!</v>
      </c>
      <c r="CK82" s="56" t="e">
        <f t="shared" si="71"/>
        <v>#DIV/0!</v>
      </c>
      <c r="CL82" s="56" t="e">
        <f t="shared" si="72"/>
        <v>#DIV/0!</v>
      </c>
      <c r="CM82" s="56" t="e">
        <f t="shared" si="73"/>
        <v>#DIV/0!</v>
      </c>
    </row>
    <row r="83" spans="1:91" x14ac:dyDescent="0.15">
      <c r="A83" s="43">
        <v>81</v>
      </c>
      <c r="B83" s="46">
        <f t="shared" si="76"/>
        <v>1</v>
      </c>
      <c r="C83" s="46">
        <f t="shared" si="75"/>
        <v>1</v>
      </c>
      <c r="D83" s="46">
        <f t="shared" si="75"/>
        <v>1</v>
      </c>
      <c r="E83" s="46">
        <f t="shared" si="75"/>
        <v>1</v>
      </c>
      <c r="F83" s="46">
        <f t="shared" si="75"/>
        <v>1</v>
      </c>
      <c r="G83" s="46">
        <f t="shared" si="75"/>
        <v>1</v>
      </c>
      <c r="H83" s="46">
        <f t="shared" si="75"/>
        <v>1</v>
      </c>
      <c r="I83" s="46">
        <f t="shared" si="75"/>
        <v>1</v>
      </c>
      <c r="J83" s="46">
        <f t="shared" si="75"/>
        <v>1</v>
      </c>
      <c r="K83" s="46" t="e">
        <f>K82+ATM_Conf!$C$5*(T82-AC82)</f>
        <v>#DIV/0!</v>
      </c>
      <c r="L83" s="46" t="e">
        <f>L82+ATM_Conf!$C$5*(U82-AD82)</f>
        <v>#DIV/0!</v>
      </c>
      <c r="M83" s="46" t="e">
        <f>M82+ATM_Conf!$C$5*(V82-AE82)</f>
        <v>#DIV/0!</v>
      </c>
      <c r="N83" s="46" t="e">
        <f>N82+ATM_Conf!$C$5*(W82-AF82)</f>
        <v>#DIV/0!</v>
      </c>
      <c r="O83" s="46" t="e">
        <f>O82+ATM_Conf!$C$5*(X82-AG82)</f>
        <v>#DIV/0!</v>
      </c>
      <c r="P83" s="46" t="e">
        <f>P82+ATM_Conf!$C$5*(Y82-AH82)</f>
        <v>#DIV/0!</v>
      </c>
      <c r="Q83" s="46" t="e">
        <f>Q82+ATM_Conf!$C$5*(Z82-AI82)</f>
        <v>#DIV/0!</v>
      </c>
      <c r="R83" s="46" t="e">
        <f>R82+ATM_Conf!$C$5*(AA82-AJ82)</f>
        <v>#DIV/0!</v>
      </c>
      <c r="S83" s="46" t="e">
        <f>S82+ATM_Conf!$C$5*(AB82-AK82)</f>
        <v>#DIV/0!</v>
      </c>
      <c r="T83" s="46"/>
      <c r="U83" s="46"/>
      <c r="V83" s="46"/>
      <c r="W83" s="46"/>
      <c r="X83" s="46"/>
      <c r="Y83" s="46"/>
      <c r="Z83" s="46"/>
      <c r="AA83" s="46"/>
      <c r="AB83" s="46"/>
      <c r="AC83" s="46" t="e">
        <f t="shared" si="47"/>
        <v>#DIV/0!</v>
      </c>
      <c r="AD83" s="46" t="e">
        <f t="shared" si="48"/>
        <v>#DIV/0!</v>
      </c>
      <c r="AE83" s="46" t="e">
        <f t="shared" si="49"/>
        <v>#DIV/0!</v>
      </c>
      <c r="AF83" s="46" t="e">
        <f t="shared" si="50"/>
        <v>#DIV/0!</v>
      </c>
      <c r="AG83" s="46" t="e">
        <f t="shared" si="51"/>
        <v>#DIV/0!</v>
      </c>
      <c r="AH83" s="46" t="e">
        <f t="shared" si="52"/>
        <v>#DIV/0!</v>
      </c>
      <c r="AI83" s="46" t="e">
        <f t="shared" si="53"/>
        <v>#DIV/0!</v>
      </c>
      <c r="AJ83" s="46" t="e">
        <f t="shared" si="54"/>
        <v>#DIV/0!</v>
      </c>
      <c r="AK83" s="46" t="e">
        <f t="shared" si="55"/>
        <v>#DIV/0!</v>
      </c>
      <c r="AL83" s="46" t="e">
        <f>T$3+K83/ATM_Conf!$C$5</f>
        <v>#DIV/0!</v>
      </c>
      <c r="AM83" s="46" t="e">
        <f>U$3+L83/ATM_Conf!$C$5</f>
        <v>#DIV/0!</v>
      </c>
      <c r="AN83" s="46" t="e">
        <f>V$3+M83/ATM_Conf!$C$5</f>
        <v>#DIV/0!</v>
      </c>
      <c r="AO83" s="46" t="e">
        <f>W$3+N83/ATM_Conf!$C$5</f>
        <v>#DIV/0!</v>
      </c>
      <c r="AP83" s="46" t="e">
        <f>X$3+O83/ATM_Conf!$C$5</f>
        <v>#DIV/0!</v>
      </c>
      <c r="AQ83" s="46" t="e">
        <f>Y$3+P83/ATM_Conf!$C$5</f>
        <v>#DIV/0!</v>
      </c>
      <c r="AR83" s="46" t="e">
        <f>Z$3+Q83/ATM_Conf!$C$5</f>
        <v>#DIV/0!</v>
      </c>
      <c r="AS83" s="46" t="e">
        <f>AA$3+R83/ATM_Conf!$C$5</f>
        <v>#DIV/0!</v>
      </c>
      <c r="AT83" s="46" t="e">
        <f>AB$3+S83/ATM_Conf!$C$5</f>
        <v>#DIV/0!</v>
      </c>
      <c r="AU83" s="46" t="e">
        <f>BD$3*MIN(1,(ATM_Conf!$C$6-Links!F83)/(ATM_Conf!$C$6-ATM_Conf!$C$7))</f>
        <v>#DIV/0!</v>
      </c>
      <c r="AV83" s="46" t="e">
        <f>BE$3*MIN(1,(ATM_Conf!$C$6-Links!G83)/(ATM_Conf!$C$6-ATM_Conf!$C$7))</f>
        <v>#DIV/0!</v>
      </c>
      <c r="AW83" s="46" t="e">
        <f>BF$3*MIN(1,(ATM_Conf!$C$6-Links!H83)/(ATM_Conf!$C$6-ATM_Conf!$C$7))</f>
        <v>#DIV/0!</v>
      </c>
      <c r="AX83" s="46" t="e">
        <f>BG$3*MIN(1,(ATM_Conf!$C$6-Links!I83)/(ATM_Conf!$C$6-ATM_Conf!$C$7))</f>
        <v>#DIV/0!</v>
      </c>
      <c r="AY83" s="46" t="e">
        <f>BH$3*MIN(1,(ATM_Conf!$C$6-Links!J83)/(ATM_Conf!$C$6-ATM_Conf!$C$7))</f>
        <v>#DIV/0!</v>
      </c>
      <c r="AZ83" s="46" t="e">
        <f>BI$3*MIN(1,(ATM_Conf!$C$6-Links!K83)/(ATM_Conf!$C$6-ATM_Conf!$C$7))</f>
        <v>#DIV/0!</v>
      </c>
      <c r="BA83" s="46" t="e">
        <f>BJ$3*MIN(1,(ATM_Conf!$C$6-Links!L83)/(ATM_Conf!$C$6-ATM_Conf!$C$7))</f>
        <v>#DIV/0!</v>
      </c>
      <c r="BB83" s="46" t="e">
        <f>BK$3*MIN(1,(ATM_Conf!$C$6-Links!M83)/(ATM_Conf!$C$6-ATM_Conf!$C$7))</f>
        <v>#DIV/0!</v>
      </c>
      <c r="BC83" s="46" t="e">
        <f>BL$3*MIN(1,(ATM_Conf!$C$6-Links!N83)/(ATM_Conf!$C$6-ATM_Conf!$C$7))</f>
        <v>#DIV/0!</v>
      </c>
      <c r="BD83" s="46"/>
      <c r="BE83" s="46"/>
      <c r="BF83" s="46"/>
      <c r="BG83" s="46"/>
      <c r="BH83" s="46"/>
      <c r="BI83" s="46"/>
      <c r="BJ83" s="46"/>
      <c r="BK83" s="46"/>
      <c r="BL83" s="46"/>
      <c r="BM83" s="54"/>
      <c r="BN83" s="54"/>
      <c r="BO83" s="54"/>
      <c r="BP83" s="54"/>
      <c r="BQ83" s="54"/>
      <c r="BR83" s="54"/>
      <c r="BS83" s="54"/>
      <c r="BT83" s="54"/>
      <c r="BU83" s="54"/>
      <c r="BV83" s="46" t="e">
        <f t="shared" si="56"/>
        <v>#DIV/0!</v>
      </c>
      <c r="BW83" s="46" t="e">
        <f t="shared" si="57"/>
        <v>#DIV/0!</v>
      </c>
      <c r="BX83" s="46" t="e">
        <f t="shared" si="58"/>
        <v>#DIV/0!</v>
      </c>
      <c r="BY83" s="46" t="e">
        <f t="shared" si="59"/>
        <v>#DIV/0!</v>
      </c>
      <c r="BZ83" s="46" t="e">
        <f t="shared" si="60"/>
        <v>#DIV/0!</v>
      </c>
      <c r="CA83" s="46" t="e">
        <f t="shared" si="61"/>
        <v>#DIV/0!</v>
      </c>
      <c r="CB83" s="46" t="e">
        <f t="shared" si="62"/>
        <v>#DIV/0!</v>
      </c>
      <c r="CC83" s="46" t="e">
        <f t="shared" si="63"/>
        <v>#DIV/0!</v>
      </c>
      <c r="CD83" s="46" t="e">
        <f t="shared" si="64"/>
        <v>#DIV/0!</v>
      </c>
      <c r="CE83" s="56" t="e">
        <f t="shared" si="65"/>
        <v>#DIV/0!</v>
      </c>
      <c r="CF83" s="56" t="e">
        <f t="shared" si="66"/>
        <v>#DIV/0!</v>
      </c>
      <c r="CG83" s="56" t="e">
        <f t="shared" si="67"/>
        <v>#DIV/0!</v>
      </c>
      <c r="CH83" s="56" t="e">
        <f t="shared" si="68"/>
        <v>#DIV/0!</v>
      </c>
      <c r="CI83" s="56" t="e">
        <f t="shared" si="69"/>
        <v>#DIV/0!</v>
      </c>
      <c r="CJ83" s="56" t="e">
        <f t="shared" si="70"/>
        <v>#DIV/0!</v>
      </c>
      <c r="CK83" s="56" t="e">
        <f t="shared" si="71"/>
        <v>#DIV/0!</v>
      </c>
      <c r="CL83" s="56" t="e">
        <f t="shared" si="72"/>
        <v>#DIV/0!</v>
      </c>
      <c r="CM83" s="56" t="e">
        <f t="shared" si="73"/>
        <v>#DIV/0!</v>
      </c>
    </row>
    <row r="84" spans="1:91" x14ac:dyDescent="0.15">
      <c r="A84" s="43">
        <v>82</v>
      </c>
      <c r="B84" s="46">
        <f t="shared" si="76"/>
        <v>1</v>
      </c>
      <c r="C84" s="46">
        <f t="shared" si="75"/>
        <v>1</v>
      </c>
      <c r="D84" s="46">
        <f t="shared" si="75"/>
        <v>1</v>
      </c>
      <c r="E84" s="46">
        <f t="shared" si="75"/>
        <v>1</v>
      </c>
      <c r="F84" s="46">
        <f t="shared" si="75"/>
        <v>1</v>
      </c>
      <c r="G84" s="46">
        <f t="shared" si="75"/>
        <v>1</v>
      </c>
      <c r="H84" s="46">
        <f t="shared" si="75"/>
        <v>1</v>
      </c>
      <c r="I84" s="46">
        <f t="shared" si="75"/>
        <v>1</v>
      </c>
      <c r="J84" s="46">
        <f t="shared" si="75"/>
        <v>1</v>
      </c>
      <c r="K84" s="46" t="e">
        <f>K83+ATM_Conf!$C$5*(T83-AC83)</f>
        <v>#DIV/0!</v>
      </c>
      <c r="L84" s="46" t="e">
        <f>L83+ATM_Conf!$C$5*(U83-AD83)</f>
        <v>#DIV/0!</v>
      </c>
      <c r="M84" s="46" t="e">
        <f>M83+ATM_Conf!$C$5*(V83-AE83)</f>
        <v>#DIV/0!</v>
      </c>
      <c r="N84" s="46" t="e">
        <f>N83+ATM_Conf!$C$5*(W83-AF83)</f>
        <v>#DIV/0!</v>
      </c>
      <c r="O84" s="46" t="e">
        <f>O83+ATM_Conf!$C$5*(X83-AG83)</f>
        <v>#DIV/0!</v>
      </c>
      <c r="P84" s="46" t="e">
        <f>P83+ATM_Conf!$C$5*(Y83-AH83)</f>
        <v>#DIV/0!</v>
      </c>
      <c r="Q84" s="46" t="e">
        <f>Q83+ATM_Conf!$C$5*(Z83-AI83)</f>
        <v>#DIV/0!</v>
      </c>
      <c r="R84" s="46" t="e">
        <f>R83+ATM_Conf!$C$5*(AA83-AJ83)</f>
        <v>#DIV/0!</v>
      </c>
      <c r="S84" s="46" t="e">
        <f>S83+ATM_Conf!$C$5*(AB83-AK83)</f>
        <v>#DIV/0!</v>
      </c>
      <c r="T84" s="46"/>
      <c r="U84" s="46"/>
      <c r="V84" s="46"/>
      <c r="W84" s="46"/>
      <c r="X84" s="46"/>
      <c r="Y84" s="46"/>
      <c r="Z84" s="46"/>
      <c r="AA84" s="46"/>
      <c r="AB84" s="46"/>
      <c r="AC84" s="46" t="e">
        <f t="shared" si="47"/>
        <v>#DIV/0!</v>
      </c>
      <c r="AD84" s="46" t="e">
        <f t="shared" si="48"/>
        <v>#DIV/0!</v>
      </c>
      <c r="AE84" s="46" t="e">
        <f t="shared" si="49"/>
        <v>#DIV/0!</v>
      </c>
      <c r="AF84" s="46" t="e">
        <f t="shared" si="50"/>
        <v>#DIV/0!</v>
      </c>
      <c r="AG84" s="46" t="e">
        <f t="shared" si="51"/>
        <v>#DIV/0!</v>
      </c>
      <c r="AH84" s="46" t="e">
        <f t="shared" si="52"/>
        <v>#DIV/0!</v>
      </c>
      <c r="AI84" s="46" t="e">
        <f t="shared" si="53"/>
        <v>#DIV/0!</v>
      </c>
      <c r="AJ84" s="46" t="e">
        <f t="shared" si="54"/>
        <v>#DIV/0!</v>
      </c>
      <c r="AK84" s="46" t="e">
        <f t="shared" si="55"/>
        <v>#DIV/0!</v>
      </c>
      <c r="AL84" s="46" t="e">
        <f>T$3+K84/ATM_Conf!$C$5</f>
        <v>#DIV/0!</v>
      </c>
      <c r="AM84" s="46" t="e">
        <f>U$3+L84/ATM_Conf!$C$5</f>
        <v>#DIV/0!</v>
      </c>
      <c r="AN84" s="46" t="e">
        <f>V$3+M84/ATM_Conf!$C$5</f>
        <v>#DIV/0!</v>
      </c>
      <c r="AO84" s="46" t="e">
        <f>W$3+N84/ATM_Conf!$C$5</f>
        <v>#DIV/0!</v>
      </c>
      <c r="AP84" s="46" t="e">
        <f>X$3+O84/ATM_Conf!$C$5</f>
        <v>#DIV/0!</v>
      </c>
      <c r="AQ84" s="46" t="e">
        <f>Y$3+P84/ATM_Conf!$C$5</f>
        <v>#DIV/0!</v>
      </c>
      <c r="AR84" s="46" t="e">
        <f>Z$3+Q84/ATM_Conf!$C$5</f>
        <v>#DIV/0!</v>
      </c>
      <c r="AS84" s="46" t="e">
        <f>AA$3+R84/ATM_Conf!$C$5</f>
        <v>#DIV/0!</v>
      </c>
      <c r="AT84" s="46" t="e">
        <f>AB$3+S84/ATM_Conf!$C$5</f>
        <v>#DIV/0!</v>
      </c>
      <c r="AU84" s="46" t="e">
        <f>BD$3*MIN(1,(ATM_Conf!$C$6-Links!F84)/(ATM_Conf!$C$6-ATM_Conf!$C$7))</f>
        <v>#DIV/0!</v>
      </c>
      <c r="AV84" s="46" t="e">
        <f>BE$3*MIN(1,(ATM_Conf!$C$6-Links!G84)/(ATM_Conf!$C$6-ATM_Conf!$C$7))</f>
        <v>#DIV/0!</v>
      </c>
      <c r="AW84" s="46" t="e">
        <f>BF$3*MIN(1,(ATM_Conf!$C$6-Links!H84)/(ATM_Conf!$C$6-ATM_Conf!$C$7))</f>
        <v>#DIV/0!</v>
      </c>
      <c r="AX84" s="46" t="e">
        <f>BG$3*MIN(1,(ATM_Conf!$C$6-Links!I84)/(ATM_Conf!$C$6-ATM_Conf!$C$7))</f>
        <v>#DIV/0!</v>
      </c>
      <c r="AY84" s="46" t="e">
        <f>BH$3*MIN(1,(ATM_Conf!$C$6-Links!J84)/(ATM_Conf!$C$6-ATM_Conf!$C$7))</f>
        <v>#DIV/0!</v>
      </c>
      <c r="AZ84" s="46" t="e">
        <f>BI$3*MIN(1,(ATM_Conf!$C$6-Links!K84)/(ATM_Conf!$C$6-ATM_Conf!$C$7))</f>
        <v>#DIV/0!</v>
      </c>
      <c r="BA84" s="46" t="e">
        <f>BJ$3*MIN(1,(ATM_Conf!$C$6-Links!L84)/(ATM_Conf!$C$6-ATM_Conf!$C$7))</f>
        <v>#DIV/0!</v>
      </c>
      <c r="BB84" s="46" t="e">
        <f>BK$3*MIN(1,(ATM_Conf!$C$6-Links!M84)/(ATM_Conf!$C$6-ATM_Conf!$C$7))</f>
        <v>#DIV/0!</v>
      </c>
      <c r="BC84" s="46" t="e">
        <f>BL$3*MIN(1,(ATM_Conf!$C$6-Links!N84)/(ATM_Conf!$C$6-ATM_Conf!$C$7))</f>
        <v>#DIV/0!</v>
      </c>
      <c r="BD84" s="46"/>
      <c r="BE84" s="46"/>
      <c r="BF84" s="46"/>
      <c r="BG84" s="46"/>
      <c r="BH84" s="46"/>
      <c r="BI84" s="46"/>
      <c r="BJ84" s="46"/>
      <c r="BK84" s="46"/>
      <c r="BL84" s="46"/>
      <c r="BM84" s="54"/>
      <c r="BN84" s="54"/>
      <c r="BO84" s="54"/>
      <c r="BP84" s="54"/>
      <c r="BQ84" s="54"/>
      <c r="BR84" s="54"/>
      <c r="BS84" s="54"/>
      <c r="BT84" s="54"/>
      <c r="BU84" s="54"/>
      <c r="BV84" s="46" t="e">
        <f t="shared" si="56"/>
        <v>#DIV/0!</v>
      </c>
      <c r="BW84" s="46" t="e">
        <f t="shared" si="57"/>
        <v>#DIV/0!</v>
      </c>
      <c r="BX84" s="46" t="e">
        <f t="shared" si="58"/>
        <v>#DIV/0!</v>
      </c>
      <c r="BY84" s="46" t="e">
        <f t="shared" si="59"/>
        <v>#DIV/0!</v>
      </c>
      <c r="BZ84" s="46" t="e">
        <f t="shared" si="60"/>
        <v>#DIV/0!</v>
      </c>
      <c r="CA84" s="46" t="e">
        <f t="shared" si="61"/>
        <v>#DIV/0!</v>
      </c>
      <c r="CB84" s="46" t="e">
        <f t="shared" si="62"/>
        <v>#DIV/0!</v>
      </c>
      <c r="CC84" s="46" t="e">
        <f t="shared" si="63"/>
        <v>#DIV/0!</v>
      </c>
      <c r="CD84" s="46" t="e">
        <f t="shared" si="64"/>
        <v>#DIV/0!</v>
      </c>
      <c r="CE84" s="56" t="e">
        <f t="shared" si="65"/>
        <v>#DIV/0!</v>
      </c>
      <c r="CF84" s="56" t="e">
        <f t="shared" si="66"/>
        <v>#DIV/0!</v>
      </c>
      <c r="CG84" s="56" t="e">
        <f t="shared" si="67"/>
        <v>#DIV/0!</v>
      </c>
      <c r="CH84" s="56" t="e">
        <f t="shared" si="68"/>
        <v>#DIV/0!</v>
      </c>
      <c r="CI84" s="56" t="e">
        <f t="shared" si="69"/>
        <v>#DIV/0!</v>
      </c>
      <c r="CJ84" s="56" t="e">
        <f t="shared" si="70"/>
        <v>#DIV/0!</v>
      </c>
      <c r="CK84" s="56" t="e">
        <f t="shared" si="71"/>
        <v>#DIV/0!</v>
      </c>
      <c r="CL84" s="56" t="e">
        <f t="shared" si="72"/>
        <v>#DIV/0!</v>
      </c>
      <c r="CM84" s="56" t="e">
        <f t="shared" si="73"/>
        <v>#DIV/0!</v>
      </c>
    </row>
    <row r="85" spans="1:91" x14ac:dyDescent="0.15">
      <c r="A85" s="43">
        <v>83</v>
      </c>
      <c r="B85" s="46">
        <f t="shared" si="76"/>
        <v>1</v>
      </c>
      <c r="C85" s="46">
        <f t="shared" si="75"/>
        <v>1</v>
      </c>
      <c r="D85" s="46">
        <f t="shared" si="75"/>
        <v>1</v>
      </c>
      <c r="E85" s="46">
        <f t="shared" si="75"/>
        <v>1</v>
      </c>
      <c r="F85" s="46">
        <f t="shared" si="75"/>
        <v>1</v>
      </c>
      <c r="G85" s="46">
        <f t="shared" si="75"/>
        <v>1</v>
      </c>
      <c r="H85" s="46">
        <f t="shared" si="75"/>
        <v>1</v>
      </c>
      <c r="I85" s="46">
        <f t="shared" si="75"/>
        <v>1</v>
      </c>
      <c r="J85" s="46">
        <f t="shared" si="75"/>
        <v>1</v>
      </c>
      <c r="K85" s="46" t="e">
        <f>K84+ATM_Conf!$C$5*(T84-AC84)</f>
        <v>#DIV/0!</v>
      </c>
      <c r="L85" s="46" t="e">
        <f>L84+ATM_Conf!$C$5*(U84-AD84)</f>
        <v>#DIV/0!</v>
      </c>
      <c r="M85" s="46" t="e">
        <f>M84+ATM_Conf!$C$5*(V84-AE84)</f>
        <v>#DIV/0!</v>
      </c>
      <c r="N85" s="46" t="e">
        <f>N84+ATM_Conf!$C$5*(W84-AF84)</f>
        <v>#DIV/0!</v>
      </c>
      <c r="O85" s="46" t="e">
        <f>O84+ATM_Conf!$C$5*(X84-AG84)</f>
        <v>#DIV/0!</v>
      </c>
      <c r="P85" s="46" t="e">
        <f>P84+ATM_Conf!$C$5*(Y84-AH84)</f>
        <v>#DIV/0!</v>
      </c>
      <c r="Q85" s="46" t="e">
        <f>Q84+ATM_Conf!$C$5*(Z84-AI84)</f>
        <v>#DIV/0!</v>
      </c>
      <c r="R85" s="46" t="e">
        <f>R84+ATM_Conf!$C$5*(AA84-AJ84)</f>
        <v>#DIV/0!</v>
      </c>
      <c r="S85" s="46" t="e">
        <f>S84+ATM_Conf!$C$5*(AB84-AK84)</f>
        <v>#DIV/0!</v>
      </c>
      <c r="T85" s="46"/>
      <c r="U85" s="46"/>
      <c r="V85" s="46"/>
      <c r="W85" s="46"/>
      <c r="X85" s="46"/>
      <c r="Y85" s="46"/>
      <c r="Z85" s="46"/>
      <c r="AA85" s="46"/>
      <c r="AB85" s="46"/>
      <c r="AC85" s="46" t="e">
        <f t="shared" si="47"/>
        <v>#DIV/0!</v>
      </c>
      <c r="AD85" s="46" t="e">
        <f t="shared" si="48"/>
        <v>#DIV/0!</v>
      </c>
      <c r="AE85" s="46" t="e">
        <f t="shared" si="49"/>
        <v>#DIV/0!</v>
      </c>
      <c r="AF85" s="46" t="e">
        <f t="shared" si="50"/>
        <v>#DIV/0!</v>
      </c>
      <c r="AG85" s="46" t="e">
        <f t="shared" si="51"/>
        <v>#DIV/0!</v>
      </c>
      <c r="AH85" s="46" t="e">
        <f t="shared" si="52"/>
        <v>#DIV/0!</v>
      </c>
      <c r="AI85" s="46" t="e">
        <f t="shared" si="53"/>
        <v>#DIV/0!</v>
      </c>
      <c r="AJ85" s="46" t="e">
        <f t="shared" si="54"/>
        <v>#DIV/0!</v>
      </c>
      <c r="AK85" s="46" t="e">
        <f t="shared" si="55"/>
        <v>#DIV/0!</v>
      </c>
      <c r="AL85" s="46" t="e">
        <f>T$3+K85/ATM_Conf!$C$5</f>
        <v>#DIV/0!</v>
      </c>
      <c r="AM85" s="46" t="e">
        <f>U$3+L85/ATM_Conf!$C$5</f>
        <v>#DIV/0!</v>
      </c>
      <c r="AN85" s="46" t="e">
        <f>V$3+M85/ATM_Conf!$C$5</f>
        <v>#DIV/0!</v>
      </c>
      <c r="AO85" s="46" t="e">
        <f>W$3+N85/ATM_Conf!$C$5</f>
        <v>#DIV/0!</v>
      </c>
      <c r="AP85" s="46" t="e">
        <f>X$3+O85/ATM_Conf!$C$5</f>
        <v>#DIV/0!</v>
      </c>
      <c r="AQ85" s="46" t="e">
        <f>Y$3+P85/ATM_Conf!$C$5</f>
        <v>#DIV/0!</v>
      </c>
      <c r="AR85" s="46" t="e">
        <f>Z$3+Q85/ATM_Conf!$C$5</f>
        <v>#DIV/0!</v>
      </c>
      <c r="AS85" s="46" t="e">
        <f>AA$3+R85/ATM_Conf!$C$5</f>
        <v>#DIV/0!</v>
      </c>
      <c r="AT85" s="46" t="e">
        <f>AB$3+S85/ATM_Conf!$C$5</f>
        <v>#DIV/0!</v>
      </c>
      <c r="AU85" s="46" t="e">
        <f>BD$3*MIN(1,(ATM_Conf!$C$6-Links!F85)/(ATM_Conf!$C$6-ATM_Conf!$C$7))</f>
        <v>#DIV/0!</v>
      </c>
      <c r="AV85" s="46" t="e">
        <f>BE$3*MIN(1,(ATM_Conf!$C$6-Links!G85)/(ATM_Conf!$C$6-ATM_Conf!$C$7))</f>
        <v>#DIV/0!</v>
      </c>
      <c r="AW85" s="46" t="e">
        <f>BF$3*MIN(1,(ATM_Conf!$C$6-Links!H85)/(ATM_Conf!$C$6-ATM_Conf!$C$7))</f>
        <v>#DIV/0!</v>
      </c>
      <c r="AX85" s="46" t="e">
        <f>BG$3*MIN(1,(ATM_Conf!$C$6-Links!I85)/(ATM_Conf!$C$6-ATM_Conf!$C$7))</f>
        <v>#DIV/0!</v>
      </c>
      <c r="AY85" s="46" t="e">
        <f>BH$3*MIN(1,(ATM_Conf!$C$6-Links!J85)/(ATM_Conf!$C$6-ATM_Conf!$C$7))</f>
        <v>#DIV/0!</v>
      </c>
      <c r="AZ85" s="46" t="e">
        <f>BI$3*MIN(1,(ATM_Conf!$C$6-Links!K85)/(ATM_Conf!$C$6-ATM_Conf!$C$7))</f>
        <v>#DIV/0!</v>
      </c>
      <c r="BA85" s="46" t="e">
        <f>BJ$3*MIN(1,(ATM_Conf!$C$6-Links!L85)/(ATM_Conf!$C$6-ATM_Conf!$C$7))</f>
        <v>#DIV/0!</v>
      </c>
      <c r="BB85" s="46" t="e">
        <f>BK$3*MIN(1,(ATM_Conf!$C$6-Links!M85)/(ATM_Conf!$C$6-ATM_Conf!$C$7))</f>
        <v>#DIV/0!</v>
      </c>
      <c r="BC85" s="46" t="e">
        <f>BL$3*MIN(1,(ATM_Conf!$C$6-Links!N85)/(ATM_Conf!$C$6-ATM_Conf!$C$7))</f>
        <v>#DIV/0!</v>
      </c>
      <c r="BD85" s="46"/>
      <c r="BE85" s="46"/>
      <c r="BF85" s="46"/>
      <c r="BG85" s="46"/>
      <c r="BH85" s="46"/>
      <c r="BI85" s="46"/>
      <c r="BJ85" s="46"/>
      <c r="BK85" s="46"/>
      <c r="BL85" s="46"/>
      <c r="BM85" s="54"/>
      <c r="BN85" s="54"/>
      <c r="BO85" s="54"/>
      <c r="BP85" s="54"/>
      <c r="BQ85" s="54"/>
      <c r="BR85" s="54"/>
      <c r="BS85" s="54"/>
      <c r="BT85" s="54"/>
      <c r="BU85" s="54"/>
      <c r="BV85" s="46" t="e">
        <f t="shared" si="56"/>
        <v>#DIV/0!</v>
      </c>
      <c r="BW85" s="46" t="e">
        <f t="shared" si="57"/>
        <v>#DIV/0!</v>
      </c>
      <c r="BX85" s="46" t="e">
        <f t="shared" si="58"/>
        <v>#DIV/0!</v>
      </c>
      <c r="BY85" s="46" t="e">
        <f t="shared" si="59"/>
        <v>#DIV/0!</v>
      </c>
      <c r="BZ85" s="46" t="e">
        <f t="shared" si="60"/>
        <v>#DIV/0!</v>
      </c>
      <c r="CA85" s="46" t="e">
        <f t="shared" si="61"/>
        <v>#DIV/0!</v>
      </c>
      <c r="CB85" s="46" t="e">
        <f t="shared" si="62"/>
        <v>#DIV/0!</v>
      </c>
      <c r="CC85" s="46" t="e">
        <f t="shared" si="63"/>
        <v>#DIV/0!</v>
      </c>
      <c r="CD85" s="46" t="e">
        <f t="shared" si="64"/>
        <v>#DIV/0!</v>
      </c>
      <c r="CE85" s="56" t="e">
        <f t="shared" si="65"/>
        <v>#DIV/0!</v>
      </c>
      <c r="CF85" s="56" t="e">
        <f t="shared" si="66"/>
        <v>#DIV/0!</v>
      </c>
      <c r="CG85" s="56" t="e">
        <f t="shared" si="67"/>
        <v>#DIV/0!</v>
      </c>
      <c r="CH85" s="56" t="e">
        <f t="shared" si="68"/>
        <v>#DIV/0!</v>
      </c>
      <c r="CI85" s="56" t="e">
        <f t="shared" si="69"/>
        <v>#DIV/0!</v>
      </c>
      <c r="CJ85" s="56" t="e">
        <f t="shared" si="70"/>
        <v>#DIV/0!</v>
      </c>
      <c r="CK85" s="56" t="e">
        <f t="shared" si="71"/>
        <v>#DIV/0!</v>
      </c>
      <c r="CL85" s="56" t="e">
        <f t="shared" si="72"/>
        <v>#DIV/0!</v>
      </c>
      <c r="CM85" s="56" t="e">
        <f t="shared" si="73"/>
        <v>#DIV/0!</v>
      </c>
    </row>
    <row r="86" spans="1:91" x14ac:dyDescent="0.15">
      <c r="A86" s="43">
        <v>84</v>
      </c>
      <c r="B86" s="46">
        <f t="shared" si="76"/>
        <v>1</v>
      </c>
      <c r="C86" s="46">
        <f t="shared" si="75"/>
        <v>1</v>
      </c>
      <c r="D86" s="46">
        <f t="shared" si="75"/>
        <v>1</v>
      </c>
      <c r="E86" s="46">
        <f t="shared" si="75"/>
        <v>1</v>
      </c>
      <c r="F86" s="46">
        <f t="shared" si="75"/>
        <v>1</v>
      </c>
      <c r="G86" s="46">
        <f t="shared" si="75"/>
        <v>1</v>
      </c>
      <c r="H86" s="46">
        <f t="shared" si="75"/>
        <v>1</v>
      </c>
      <c r="I86" s="46">
        <f t="shared" si="75"/>
        <v>1</v>
      </c>
      <c r="J86" s="46">
        <f t="shared" si="75"/>
        <v>1</v>
      </c>
      <c r="K86" s="46" t="e">
        <f>K85+ATM_Conf!$C$5*(T85-AC85)</f>
        <v>#DIV/0!</v>
      </c>
      <c r="L86" s="46" t="e">
        <f>L85+ATM_Conf!$C$5*(U85-AD85)</f>
        <v>#DIV/0!</v>
      </c>
      <c r="M86" s="46" t="e">
        <f>M85+ATM_Conf!$C$5*(V85-AE85)</f>
        <v>#DIV/0!</v>
      </c>
      <c r="N86" s="46" t="e">
        <f>N85+ATM_Conf!$C$5*(W85-AF85)</f>
        <v>#DIV/0!</v>
      </c>
      <c r="O86" s="46" t="e">
        <f>O85+ATM_Conf!$C$5*(X85-AG85)</f>
        <v>#DIV/0!</v>
      </c>
      <c r="P86" s="46" t="e">
        <f>P85+ATM_Conf!$C$5*(Y85-AH85)</f>
        <v>#DIV/0!</v>
      </c>
      <c r="Q86" s="46" t="e">
        <f>Q85+ATM_Conf!$C$5*(Z85-AI85)</f>
        <v>#DIV/0!</v>
      </c>
      <c r="R86" s="46" t="e">
        <f>R85+ATM_Conf!$C$5*(AA85-AJ85)</f>
        <v>#DIV/0!</v>
      </c>
      <c r="S86" s="46" t="e">
        <f>S85+ATM_Conf!$C$5*(AB85-AK85)</f>
        <v>#DIV/0!</v>
      </c>
      <c r="T86" s="46"/>
      <c r="U86" s="46"/>
      <c r="V86" s="46"/>
      <c r="W86" s="46"/>
      <c r="X86" s="46"/>
      <c r="Y86" s="46"/>
      <c r="Z86" s="46"/>
      <c r="AA86" s="46"/>
      <c r="AB86" s="46"/>
      <c r="AC86" s="46" t="e">
        <f t="shared" si="47"/>
        <v>#DIV/0!</v>
      </c>
      <c r="AD86" s="46" t="e">
        <f t="shared" si="48"/>
        <v>#DIV/0!</v>
      </c>
      <c r="AE86" s="46" t="e">
        <f t="shared" si="49"/>
        <v>#DIV/0!</v>
      </c>
      <c r="AF86" s="46" t="e">
        <f t="shared" si="50"/>
        <v>#DIV/0!</v>
      </c>
      <c r="AG86" s="46" t="e">
        <f t="shared" si="51"/>
        <v>#DIV/0!</v>
      </c>
      <c r="AH86" s="46" t="e">
        <f t="shared" si="52"/>
        <v>#DIV/0!</v>
      </c>
      <c r="AI86" s="46" t="e">
        <f t="shared" si="53"/>
        <v>#DIV/0!</v>
      </c>
      <c r="AJ86" s="46" t="e">
        <f t="shared" si="54"/>
        <v>#DIV/0!</v>
      </c>
      <c r="AK86" s="46" t="e">
        <f t="shared" si="55"/>
        <v>#DIV/0!</v>
      </c>
      <c r="AL86" s="46" t="e">
        <f>T$3+K86/ATM_Conf!$C$5</f>
        <v>#DIV/0!</v>
      </c>
      <c r="AM86" s="46" t="e">
        <f>U$3+L86/ATM_Conf!$C$5</f>
        <v>#DIV/0!</v>
      </c>
      <c r="AN86" s="46" t="e">
        <f>V$3+M86/ATM_Conf!$C$5</f>
        <v>#DIV/0!</v>
      </c>
      <c r="AO86" s="46" t="e">
        <f>W$3+N86/ATM_Conf!$C$5</f>
        <v>#DIV/0!</v>
      </c>
      <c r="AP86" s="46" t="e">
        <f>X$3+O86/ATM_Conf!$C$5</f>
        <v>#DIV/0!</v>
      </c>
      <c r="AQ86" s="46" t="e">
        <f>Y$3+P86/ATM_Conf!$C$5</f>
        <v>#DIV/0!</v>
      </c>
      <c r="AR86" s="46" t="e">
        <f>Z$3+Q86/ATM_Conf!$C$5</f>
        <v>#DIV/0!</v>
      </c>
      <c r="AS86" s="46" t="e">
        <f>AA$3+R86/ATM_Conf!$C$5</f>
        <v>#DIV/0!</v>
      </c>
      <c r="AT86" s="46" t="e">
        <f>AB$3+S86/ATM_Conf!$C$5</f>
        <v>#DIV/0!</v>
      </c>
      <c r="AU86" s="46" t="e">
        <f>BD$3*MIN(1,(ATM_Conf!$C$6-Links!F86)/(ATM_Conf!$C$6-ATM_Conf!$C$7))</f>
        <v>#DIV/0!</v>
      </c>
      <c r="AV86" s="46" t="e">
        <f>BE$3*MIN(1,(ATM_Conf!$C$6-Links!G86)/(ATM_Conf!$C$6-ATM_Conf!$C$7))</f>
        <v>#DIV/0!</v>
      </c>
      <c r="AW86" s="46" t="e">
        <f>BF$3*MIN(1,(ATM_Conf!$C$6-Links!H86)/(ATM_Conf!$C$6-ATM_Conf!$C$7))</f>
        <v>#DIV/0!</v>
      </c>
      <c r="AX86" s="46" t="e">
        <f>BG$3*MIN(1,(ATM_Conf!$C$6-Links!I86)/(ATM_Conf!$C$6-ATM_Conf!$C$7))</f>
        <v>#DIV/0!</v>
      </c>
      <c r="AY86" s="46" t="e">
        <f>BH$3*MIN(1,(ATM_Conf!$C$6-Links!J86)/(ATM_Conf!$C$6-ATM_Conf!$C$7))</f>
        <v>#DIV/0!</v>
      </c>
      <c r="AZ86" s="46" t="e">
        <f>BI$3*MIN(1,(ATM_Conf!$C$6-Links!K86)/(ATM_Conf!$C$6-ATM_Conf!$C$7))</f>
        <v>#DIV/0!</v>
      </c>
      <c r="BA86" s="46" t="e">
        <f>BJ$3*MIN(1,(ATM_Conf!$C$6-Links!L86)/(ATM_Conf!$C$6-ATM_Conf!$C$7))</f>
        <v>#DIV/0!</v>
      </c>
      <c r="BB86" s="46" t="e">
        <f>BK$3*MIN(1,(ATM_Conf!$C$6-Links!M86)/(ATM_Conf!$C$6-ATM_Conf!$C$7))</f>
        <v>#DIV/0!</v>
      </c>
      <c r="BC86" s="46" t="e">
        <f>BL$3*MIN(1,(ATM_Conf!$C$6-Links!N86)/(ATM_Conf!$C$6-ATM_Conf!$C$7))</f>
        <v>#DIV/0!</v>
      </c>
      <c r="BD86" s="46"/>
      <c r="BE86" s="46"/>
      <c r="BF86" s="46"/>
      <c r="BG86" s="46"/>
      <c r="BH86" s="46"/>
      <c r="BI86" s="46"/>
      <c r="BJ86" s="46"/>
      <c r="BK86" s="46"/>
      <c r="BL86" s="46"/>
      <c r="BM86" s="54"/>
      <c r="BN86" s="54"/>
      <c r="BO86" s="54"/>
      <c r="BP86" s="54"/>
      <c r="BQ86" s="54"/>
      <c r="BR86" s="54"/>
      <c r="BS86" s="54"/>
      <c r="BT86" s="54"/>
      <c r="BU86" s="54"/>
      <c r="BV86" s="46" t="e">
        <f t="shared" si="56"/>
        <v>#DIV/0!</v>
      </c>
      <c r="BW86" s="46" t="e">
        <f t="shared" si="57"/>
        <v>#DIV/0!</v>
      </c>
      <c r="BX86" s="46" t="e">
        <f t="shared" si="58"/>
        <v>#DIV/0!</v>
      </c>
      <c r="BY86" s="46" t="e">
        <f t="shared" si="59"/>
        <v>#DIV/0!</v>
      </c>
      <c r="BZ86" s="46" t="e">
        <f t="shared" si="60"/>
        <v>#DIV/0!</v>
      </c>
      <c r="CA86" s="46" t="e">
        <f t="shared" si="61"/>
        <v>#DIV/0!</v>
      </c>
      <c r="CB86" s="46" t="e">
        <f t="shared" si="62"/>
        <v>#DIV/0!</v>
      </c>
      <c r="CC86" s="46" t="e">
        <f t="shared" si="63"/>
        <v>#DIV/0!</v>
      </c>
      <c r="CD86" s="46" t="e">
        <f t="shared" si="64"/>
        <v>#DIV/0!</v>
      </c>
      <c r="CE86" s="56" t="e">
        <f t="shared" si="65"/>
        <v>#DIV/0!</v>
      </c>
      <c r="CF86" s="56" t="e">
        <f t="shared" si="66"/>
        <v>#DIV/0!</v>
      </c>
      <c r="CG86" s="56" t="e">
        <f t="shared" si="67"/>
        <v>#DIV/0!</v>
      </c>
      <c r="CH86" s="56" t="e">
        <f t="shared" si="68"/>
        <v>#DIV/0!</v>
      </c>
      <c r="CI86" s="56" t="e">
        <f t="shared" si="69"/>
        <v>#DIV/0!</v>
      </c>
      <c r="CJ86" s="56" t="e">
        <f t="shared" si="70"/>
        <v>#DIV/0!</v>
      </c>
      <c r="CK86" s="56" t="e">
        <f t="shared" si="71"/>
        <v>#DIV/0!</v>
      </c>
      <c r="CL86" s="56" t="e">
        <f t="shared" si="72"/>
        <v>#DIV/0!</v>
      </c>
      <c r="CM86" s="56" t="e">
        <f t="shared" si="73"/>
        <v>#DIV/0!</v>
      </c>
    </row>
    <row r="87" spans="1:91" x14ac:dyDescent="0.15">
      <c r="A87" s="43">
        <v>85</v>
      </c>
      <c r="B87" s="48">
        <v>1</v>
      </c>
      <c r="C87" s="48">
        <v>1</v>
      </c>
      <c r="D87" s="48">
        <v>1</v>
      </c>
      <c r="E87" s="48">
        <v>1</v>
      </c>
      <c r="F87" s="48">
        <v>1</v>
      </c>
      <c r="G87" s="48">
        <v>1</v>
      </c>
      <c r="H87" s="48">
        <v>1</v>
      </c>
      <c r="I87" s="48">
        <v>1</v>
      </c>
      <c r="J87" s="48">
        <v>1</v>
      </c>
      <c r="K87" s="46" t="e">
        <f>K86+ATM_Conf!$C$5*(T86-AC86)</f>
        <v>#DIV/0!</v>
      </c>
      <c r="L87" s="46" t="e">
        <f>L86+ATM_Conf!$C$5*(U86-AD86)</f>
        <v>#DIV/0!</v>
      </c>
      <c r="M87" s="46" t="e">
        <f>M86+ATM_Conf!$C$5*(V86-AE86)</f>
        <v>#DIV/0!</v>
      </c>
      <c r="N87" s="46" t="e">
        <f>N86+ATM_Conf!$C$5*(W86-AF86)</f>
        <v>#DIV/0!</v>
      </c>
      <c r="O87" s="46" t="e">
        <f>O86+ATM_Conf!$C$5*(X86-AG86)</f>
        <v>#DIV/0!</v>
      </c>
      <c r="P87" s="46" t="e">
        <f>P86+ATM_Conf!$C$5*(Y86-AH86)</f>
        <v>#DIV/0!</v>
      </c>
      <c r="Q87" s="46" t="e">
        <f>Q86+ATM_Conf!$C$5*(Z86-AI86)</f>
        <v>#DIV/0!</v>
      </c>
      <c r="R87" s="46" t="e">
        <f>R86+ATM_Conf!$C$5*(AA86-AJ86)</f>
        <v>#DIV/0!</v>
      </c>
      <c r="S87" s="46" t="e">
        <f>S86+ATM_Conf!$C$5*(AB86-AK86)</f>
        <v>#DIV/0!</v>
      </c>
      <c r="T87" s="46"/>
      <c r="U87" s="46"/>
      <c r="V87" s="46"/>
      <c r="W87" s="46"/>
      <c r="X87" s="46"/>
      <c r="Y87" s="46"/>
      <c r="Z87" s="46"/>
      <c r="AA87" s="46"/>
      <c r="AB87" s="46"/>
      <c r="AC87" s="46" t="e">
        <f t="shared" si="47"/>
        <v>#DIV/0!</v>
      </c>
      <c r="AD87" s="46" t="e">
        <f t="shared" si="48"/>
        <v>#DIV/0!</v>
      </c>
      <c r="AE87" s="46" t="e">
        <f t="shared" si="49"/>
        <v>#DIV/0!</v>
      </c>
      <c r="AF87" s="46" t="e">
        <f t="shared" si="50"/>
        <v>#DIV/0!</v>
      </c>
      <c r="AG87" s="46" t="e">
        <f t="shared" si="51"/>
        <v>#DIV/0!</v>
      </c>
      <c r="AH87" s="46" t="e">
        <f t="shared" si="52"/>
        <v>#DIV/0!</v>
      </c>
      <c r="AI87" s="46" t="e">
        <f t="shared" si="53"/>
        <v>#DIV/0!</v>
      </c>
      <c r="AJ87" s="46" t="e">
        <f t="shared" si="54"/>
        <v>#DIV/0!</v>
      </c>
      <c r="AK87" s="46" t="e">
        <f t="shared" si="55"/>
        <v>#DIV/0!</v>
      </c>
      <c r="AL87" s="46" t="e">
        <f>T$3+K87/ATM_Conf!$C$5</f>
        <v>#DIV/0!</v>
      </c>
      <c r="AM87" s="46" t="e">
        <f>U$3+L87/ATM_Conf!$C$5</f>
        <v>#DIV/0!</v>
      </c>
      <c r="AN87" s="46" t="e">
        <f>V$3+M87/ATM_Conf!$C$5</f>
        <v>#DIV/0!</v>
      </c>
      <c r="AO87" s="46" t="e">
        <f>W$3+N87/ATM_Conf!$C$5</f>
        <v>#DIV/0!</v>
      </c>
      <c r="AP87" s="46" t="e">
        <f>X$3+O87/ATM_Conf!$C$5</f>
        <v>#DIV/0!</v>
      </c>
      <c r="AQ87" s="46" t="e">
        <f>Y$3+P87/ATM_Conf!$C$5</f>
        <v>#DIV/0!</v>
      </c>
      <c r="AR87" s="46" t="e">
        <f>Z$3+Q87/ATM_Conf!$C$5</f>
        <v>#DIV/0!</v>
      </c>
      <c r="AS87" s="46" t="e">
        <f>AA$3+R87/ATM_Conf!$C$5</f>
        <v>#DIV/0!</v>
      </c>
      <c r="AT87" s="46" t="e">
        <f>AB$3+S87/ATM_Conf!$C$5</f>
        <v>#DIV/0!</v>
      </c>
      <c r="AU87" s="46" t="e">
        <f>BD$3*MIN(1,(ATM_Conf!$C$6-Links!F87)/(ATM_Conf!$C$6-ATM_Conf!$C$7))</f>
        <v>#DIV/0!</v>
      </c>
      <c r="AV87" s="46" t="e">
        <f>BE$3*MIN(1,(ATM_Conf!$C$6-Links!G87)/(ATM_Conf!$C$6-ATM_Conf!$C$7))</f>
        <v>#DIV/0!</v>
      </c>
      <c r="AW87" s="46" t="e">
        <f>BF$3*MIN(1,(ATM_Conf!$C$6-Links!H87)/(ATM_Conf!$C$6-ATM_Conf!$C$7))</f>
        <v>#DIV/0!</v>
      </c>
      <c r="AX87" s="46" t="e">
        <f>BG$3*MIN(1,(ATM_Conf!$C$6-Links!I87)/(ATM_Conf!$C$6-ATM_Conf!$C$7))</f>
        <v>#DIV/0!</v>
      </c>
      <c r="AY87" s="46" t="e">
        <f>BH$3*MIN(1,(ATM_Conf!$C$6-Links!J87)/(ATM_Conf!$C$6-ATM_Conf!$C$7))</f>
        <v>#DIV/0!</v>
      </c>
      <c r="AZ87" s="46" t="e">
        <f>BI$3*MIN(1,(ATM_Conf!$C$6-Links!K87)/(ATM_Conf!$C$6-ATM_Conf!$C$7))</f>
        <v>#DIV/0!</v>
      </c>
      <c r="BA87" s="46" t="e">
        <f>BJ$3*MIN(1,(ATM_Conf!$C$6-Links!L87)/(ATM_Conf!$C$6-ATM_Conf!$C$7))</f>
        <v>#DIV/0!</v>
      </c>
      <c r="BB87" s="46" t="e">
        <f>BK$3*MIN(1,(ATM_Conf!$C$6-Links!M87)/(ATM_Conf!$C$6-ATM_Conf!$C$7))</f>
        <v>#DIV/0!</v>
      </c>
      <c r="BC87" s="46" t="e">
        <f>BL$3*MIN(1,(ATM_Conf!$C$6-Links!N87)/(ATM_Conf!$C$6-ATM_Conf!$C$7))</f>
        <v>#DIV/0!</v>
      </c>
      <c r="BD87" s="46"/>
      <c r="BE87" s="46"/>
      <c r="BF87" s="46"/>
      <c r="BG87" s="46"/>
      <c r="BH87" s="46"/>
      <c r="BI87" s="46"/>
      <c r="BJ87" s="46"/>
      <c r="BK87" s="46"/>
      <c r="BL87" s="46"/>
      <c r="BM87" s="54">
        <f>(B87-B75)^2</f>
        <v>0</v>
      </c>
      <c r="BN87" s="54">
        <f t="shared" ref="BN87:BU87" si="77">(C87-C75)^2</f>
        <v>0</v>
      </c>
      <c r="BO87" s="54">
        <f t="shared" si="77"/>
        <v>0</v>
      </c>
      <c r="BP87" s="54">
        <f t="shared" si="77"/>
        <v>0</v>
      </c>
      <c r="BQ87" s="54">
        <f t="shared" si="77"/>
        <v>0</v>
      </c>
      <c r="BR87" s="54">
        <f t="shared" si="77"/>
        <v>0</v>
      </c>
      <c r="BS87" s="54">
        <f t="shared" si="77"/>
        <v>0</v>
      </c>
      <c r="BT87" s="54">
        <f t="shared" si="77"/>
        <v>0</v>
      </c>
      <c r="BU87" s="54">
        <f t="shared" si="77"/>
        <v>0</v>
      </c>
      <c r="BV87" s="46" t="e">
        <f t="shared" si="56"/>
        <v>#DIV/0!</v>
      </c>
      <c r="BW87" s="46" t="e">
        <f t="shared" si="57"/>
        <v>#DIV/0!</v>
      </c>
      <c r="BX87" s="46" t="e">
        <f t="shared" si="58"/>
        <v>#DIV/0!</v>
      </c>
      <c r="BY87" s="46" t="e">
        <f t="shared" si="59"/>
        <v>#DIV/0!</v>
      </c>
      <c r="BZ87" s="46" t="e">
        <f t="shared" si="60"/>
        <v>#DIV/0!</v>
      </c>
      <c r="CA87" s="46" t="e">
        <f t="shared" si="61"/>
        <v>#DIV/0!</v>
      </c>
      <c r="CB87" s="46" t="e">
        <f t="shared" si="62"/>
        <v>#DIV/0!</v>
      </c>
      <c r="CC87" s="46" t="e">
        <f t="shared" si="63"/>
        <v>#DIV/0!</v>
      </c>
      <c r="CD87" s="46" t="e">
        <f t="shared" si="64"/>
        <v>#DIV/0!</v>
      </c>
      <c r="CE87" s="56" t="e">
        <f t="shared" si="65"/>
        <v>#DIV/0!</v>
      </c>
      <c r="CF87" s="56" t="e">
        <f t="shared" si="66"/>
        <v>#DIV/0!</v>
      </c>
      <c r="CG87" s="56" t="e">
        <f t="shared" si="67"/>
        <v>#DIV/0!</v>
      </c>
      <c r="CH87" s="56" t="e">
        <f t="shared" si="68"/>
        <v>#DIV/0!</v>
      </c>
      <c r="CI87" s="56" t="e">
        <f t="shared" si="69"/>
        <v>#DIV/0!</v>
      </c>
      <c r="CJ87" s="56" t="e">
        <f t="shared" si="70"/>
        <v>#DIV/0!</v>
      </c>
      <c r="CK87" s="56" t="e">
        <f t="shared" si="71"/>
        <v>#DIV/0!</v>
      </c>
      <c r="CL87" s="56" t="e">
        <f t="shared" si="72"/>
        <v>#DIV/0!</v>
      </c>
      <c r="CM87" s="56" t="e">
        <f t="shared" si="73"/>
        <v>#DIV/0!</v>
      </c>
    </row>
    <row r="88" spans="1:91" x14ac:dyDescent="0.15">
      <c r="A88" s="43">
        <v>86</v>
      </c>
      <c r="B88" s="46">
        <f>B$87</f>
        <v>1</v>
      </c>
      <c r="C88" s="46">
        <f t="shared" ref="C88:J98" si="78">C$87</f>
        <v>1</v>
      </c>
      <c r="D88" s="46">
        <f t="shared" si="78"/>
        <v>1</v>
      </c>
      <c r="E88" s="46">
        <f t="shared" si="78"/>
        <v>1</v>
      </c>
      <c r="F88" s="46">
        <f t="shared" si="78"/>
        <v>1</v>
      </c>
      <c r="G88" s="46">
        <f t="shared" si="78"/>
        <v>1</v>
      </c>
      <c r="H88" s="46">
        <f t="shared" si="78"/>
        <v>1</v>
      </c>
      <c r="I88" s="46">
        <f t="shared" si="78"/>
        <v>1</v>
      </c>
      <c r="J88" s="46">
        <f t="shared" si="78"/>
        <v>1</v>
      </c>
      <c r="K88" s="46" t="e">
        <f>K87+ATM_Conf!$C$5*(T87-AC87)</f>
        <v>#DIV/0!</v>
      </c>
      <c r="L88" s="46" t="e">
        <f>L87+ATM_Conf!$C$5*(U87-AD87)</f>
        <v>#DIV/0!</v>
      </c>
      <c r="M88" s="46" t="e">
        <f>M87+ATM_Conf!$C$5*(V87-AE87)</f>
        <v>#DIV/0!</v>
      </c>
      <c r="N88" s="46" t="e">
        <f>N87+ATM_Conf!$C$5*(W87-AF87)</f>
        <v>#DIV/0!</v>
      </c>
      <c r="O88" s="46" t="e">
        <f>O87+ATM_Conf!$C$5*(X87-AG87)</f>
        <v>#DIV/0!</v>
      </c>
      <c r="P88" s="46" t="e">
        <f>P87+ATM_Conf!$C$5*(Y87-AH87)</f>
        <v>#DIV/0!</v>
      </c>
      <c r="Q88" s="46" t="e">
        <f>Q87+ATM_Conf!$C$5*(Z87-AI87)</f>
        <v>#DIV/0!</v>
      </c>
      <c r="R88" s="46" t="e">
        <f>R87+ATM_Conf!$C$5*(AA87-AJ87)</f>
        <v>#DIV/0!</v>
      </c>
      <c r="S88" s="46" t="e">
        <f>S87+ATM_Conf!$C$5*(AB87-AK87)</f>
        <v>#DIV/0!</v>
      </c>
      <c r="T88" s="46"/>
      <c r="U88" s="46"/>
      <c r="V88" s="46"/>
      <c r="W88" s="46"/>
      <c r="X88" s="46"/>
      <c r="Y88" s="46"/>
      <c r="Z88" s="46"/>
      <c r="AA88" s="46"/>
      <c r="AB88" s="46"/>
      <c r="AC88" s="46" t="e">
        <f t="shared" si="47"/>
        <v>#DIV/0!</v>
      </c>
      <c r="AD88" s="46" t="e">
        <f t="shared" si="48"/>
        <v>#DIV/0!</v>
      </c>
      <c r="AE88" s="46" t="e">
        <f t="shared" si="49"/>
        <v>#DIV/0!</v>
      </c>
      <c r="AF88" s="46" t="e">
        <f t="shared" si="50"/>
        <v>#DIV/0!</v>
      </c>
      <c r="AG88" s="46" t="e">
        <f t="shared" si="51"/>
        <v>#DIV/0!</v>
      </c>
      <c r="AH88" s="46" t="e">
        <f t="shared" si="52"/>
        <v>#DIV/0!</v>
      </c>
      <c r="AI88" s="46" t="e">
        <f t="shared" si="53"/>
        <v>#DIV/0!</v>
      </c>
      <c r="AJ88" s="46" t="e">
        <f t="shared" si="54"/>
        <v>#DIV/0!</v>
      </c>
      <c r="AK88" s="46" t="e">
        <f t="shared" si="55"/>
        <v>#DIV/0!</v>
      </c>
      <c r="AL88" s="46" t="e">
        <f>T$3+K88/ATM_Conf!$C$5</f>
        <v>#DIV/0!</v>
      </c>
      <c r="AM88" s="46" t="e">
        <f>U$3+L88/ATM_Conf!$C$5</f>
        <v>#DIV/0!</v>
      </c>
      <c r="AN88" s="46" t="e">
        <f>V$3+M88/ATM_Conf!$C$5</f>
        <v>#DIV/0!</v>
      </c>
      <c r="AO88" s="46" t="e">
        <f>W$3+N88/ATM_Conf!$C$5</f>
        <v>#DIV/0!</v>
      </c>
      <c r="AP88" s="46" t="e">
        <f>X$3+O88/ATM_Conf!$C$5</f>
        <v>#DIV/0!</v>
      </c>
      <c r="AQ88" s="46" t="e">
        <f>Y$3+P88/ATM_Conf!$C$5</f>
        <v>#DIV/0!</v>
      </c>
      <c r="AR88" s="46" t="e">
        <f>Z$3+Q88/ATM_Conf!$C$5</f>
        <v>#DIV/0!</v>
      </c>
      <c r="AS88" s="46" t="e">
        <f>AA$3+R88/ATM_Conf!$C$5</f>
        <v>#DIV/0!</v>
      </c>
      <c r="AT88" s="46" t="e">
        <f>AB$3+S88/ATM_Conf!$C$5</f>
        <v>#DIV/0!</v>
      </c>
      <c r="AU88" s="46" t="e">
        <f>BD$3*MIN(1,(ATM_Conf!$C$6-Links!F88)/(ATM_Conf!$C$6-ATM_Conf!$C$7))</f>
        <v>#DIV/0!</v>
      </c>
      <c r="AV88" s="46" t="e">
        <f>BE$3*MIN(1,(ATM_Conf!$C$6-Links!G88)/(ATM_Conf!$C$6-ATM_Conf!$C$7))</f>
        <v>#DIV/0!</v>
      </c>
      <c r="AW88" s="46" t="e">
        <f>BF$3*MIN(1,(ATM_Conf!$C$6-Links!H88)/(ATM_Conf!$C$6-ATM_Conf!$C$7))</f>
        <v>#DIV/0!</v>
      </c>
      <c r="AX88" s="46" t="e">
        <f>BG$3*MIN(1,(ATM_Conf!$C$6-Links!I88)/(ATM_Conf!$C$6-ATM_Conf!$C$7))</f>
        <v>#DIV/0!</v>
      </c>
      <c r="AY88" s="46" t="e">
        <f>BH$3*MIN(1,(ATM_Conf!$C$6-Links!J88)/(ATM_Conf!$C$6-ATM_Conf!$C$7))</f>
        <v>#DIV/0!</v>
      </c>
      <c r="AZ88" s="46" t="e">
        <f>BI$3*MIN(1,(ATM_Conf!$C$6-Links!K88)/(ATM_Conf!$C$6-ATM_Conf!$C$7))</f>
        <v>#DIV/0!</v>
      </c>
      <c r="BA88" s="46" t="e">
        <f>BJ$3*MIN(1,(ATM_Conf!$C$6-Links!L88)/(ATM_Conf!$C$6-ATM_Conf!$C$7))</f>
        <v>#DIV/0!</v>
      </c>
      <c r="BB88" s="46" t="e">
        <f>BK$3*MIN(1,(ATM_Conf!$C$6-Links!M88)/(ATM_Conf!$C$6-ATM_Conf!$C$7))</f>
        <v>#DIV/0!</v>
      </c>
      <c r="BC88" s="46" t="e">
        <f>BL$3*MIN(1,(ATM_Conf!$C$6-Links!N88)/(ATM_Conf!$C$6-ATM_Conf!$C$7))</f>
        <v>#DIV/0!</v>
      </c>
      <c r="BD88" s="46"/>
      <c r="BE88" s="46"/>
      <c r="BF88" s="46"/>
      <c r="BG88" s="46"/>
      <c r="BH88" s="46"/>
      <c r="BI88" s="46"/>
      <c r="BJ88" s="46"/>
      <c r="BK88" s="46"/>
      <c r="BL88" s="46"/>
      <c r="BM88" s="54"/>
      <c r="BN88" s="54"/>
      <c r="BO88" s="54"/>
      <c r="BP88" s="54"/>
      <c r="BQ88" s="54"/>
      <c r="BR88" s="54"/>
      <c r="BS88" s="54"/>
      <c r="BT88" s="54"/>
      <c r="BU88" s="54"/>
      <c r="BV88" s="46" t="e">
        <f t="shared" si="56"/>
        <v>#DIV/0!</v>
      </c>
      <c r="BW88" s="46" t="e">
        <f t="shared" si="57"/>
        <v>#DIV/0!</v>
      </c>
      <c r="BX88" s="46" t="e">
        <f t="shared" si="58"/>
        <v>#DIV/0!</v>
      </c>
      <c r="BY88" s="46" t="e">
        <f t="shared" si="59"/>
        <v>#DIV/0!</v>
      </c>
      <c r="BZ88" s="46" t="e">
        <f t="shared" si="60"/>
        <v>#DIV/0!</v>
      </c>
      <c r="CA88" s="46" t="e">
        <f t="shared" si="61"/>
        <v>#DIV/0!</v>
      </c>
      <c r="CB88" s="46" t="e">
        <f t="shared" si="62"/>
        <v>#DIV/0!</v>
      </c>
      <c r="CC88" s="46" t="e">
        <f t="shared" si="63"/>
        <v>#DIV/0!</v>
      </c>
      <c r="CD88" s="46" t="e">
        <f t="shared" si="64"/>
        <v>#DIV/0!</v>
      </c>
      <c r="CE88" s="56" t="e">
        <f t="shared" si="65"/>
        <v>#DIV/0!</v>
      </c>
      <c r="CF88" s="56" t="e">
        <f t="shared" si="66"/>
        <v>#DIV/0!</v>
      </c>
      <c r="CG88" s="56" t="e">
        <f t="shared" si="67"/>
        <v>#DIV/0!</v>
      </c>
      <c r="CH88" s="56" t="e">
        <f t="shared" si="68"/>
        <v>#DIV/0!</v>
      </c>
      <c r="CI88" s="56" t="e">
        <f t="shared" si="69"/>
        <v>#DIV/0!</v>
      </c>
      <c r="CJ88" s="56" t="e">
        <f t="shared" si="70"/>
        <v>#DIV/0!</v>
      </c>
      <c r="CK88" s="56" t="e">
        <f t="shared" si="71"/>
        <v>#DIV/0!</v>
      </c>
      <c r="CL88" s="56" t="e">
        <f t="shared" si="72"/>
        <v>#DIV/0!</v>
      </c>
      <c r="CM88" s="56" t="e">
        <f t="shared" si="73"/>
        <v>#DIV/0!</v>
      </c>
    </row>
    <row r="89" spans="1:91" x14ac:dyDescent="0.15">
      <c r="A89" s="43">
        <v>87</v>
      </c>
      <c r="B89" s="46">
        <f t="shared" ref="B89:B98" si="79">B$87</f>
        <v>1</v>
      </c>
      <c r="C89" s="46">
        <f t="shared" si="78"/>
        <v>1</v>
      </c>
      <c r="D89" s="46">
        <f t="shared" si="78"/>
        <v>1</v>
      </c>
      <c r="E89" s="46">
        <f t="shared" si="78"/>
        <v>1</v>
      </c>
      <c r="F89" s="46">
        <f t="shared" si="78"/>
        <v>1</v>
      </c>
      <c r="G89" s="46">
        <f t="shared" si="78"/>
        <v>1</v>
      </c>
      <c r="H89" s="46">
        <f t="shared" si="78"/>
        <v>1</v>
      </c>
      <c r="I89" s="46">
        <f t="shared" si="78"/>
        <v>1</v>
      </c>
      <c r="J89" s="46">
        <f t="shared" si="78"/>
        <v>1</v>
      </c>
      <c r="K89" s="46" t="e">
        <f>K88+ATM_Conf!$C$5*(T88-AC88)</f>
        <v>#DIV/0!</v>
      </c>
      <c r="L89" s="46" t="e">
        <f>L88+ATM_Conf!$C$5*(U88-AD88)</f>
        <v>#DIV/0!</v>
      </c>
      <c r="M89" s="46" t="e">
        <f>M88+ATM_Conf!$C$5*(V88-AE88)</f>
        <v>#DIV/0!</v>
      </c>
      <c r="N89" s="46" t="e">
        <f>N88+ATM_Conf!$C$5*(W88-AF88)</f>
        <v>#DIV/0!</v>
      </c>
      <c r="O89" s="46" t="e">
        <f>O88+ATM_Conf!$C$5*(X88-AG88)</f>
        <v>#DIV/0!</v>
      </c>
      <c r="P89" s="46" t="e">
        <f>P88+ATM_Conf!$C$5*(Y88-AH88)</f>
        <v>#DIV/0!</v>
      </c>
      <c r="Q89" s="46" t="e">
        <f>Q88+ATM_Conf!$C$5*(Z88-AI88)</f>
        <v>#DIV/0!</v>
      </c>
      <c r="R89" s="46" t="e">
        <f>R88+ATM_Conf!$C$5*(AA88-AJ88)</f>
        <v>#DIV/0!</v>
      </c>
      <c r="S89" s="46" t="e">
        <f>S88+ATM_Conf!$C$5*(AB88-AK88)</f>
        <v>#DIV/0!</v>
      </c>
      <c r="T89" s="46"/>
      <c r="U89" s="46"/>
      <c r="V89" s="46"/>
      <c r="W89" s="46"/>
      <c r="X89" s="46"/>
      <c r="Y89" s="46"/>
      <c r="Z89" s="46"/>
      <c r="AA89" s="46"/>
      <c r="AB89" s="46"/>
      <c r="AC89" s="46" t="e">
        <f t="shared" si="47"/>
        <v>#DIV/0!</v>
      </c>
      <c r="AD89" s="46" t="e">
        <f t="shared" si="48"/>
        <v>#DIV/0!</v>
      </c>
      <c r="AE89" s="46" t="e">
        <f t="shared" si="49"/>
        <v>#DIV/0!</v>
      </c>
      <c r="AF89" s="46" t="e">
        <f t="shared" si="50"/>
        <v>#DIV/0!</v>
      </c>
      <c r="AG89" s="46" t="e">
        <f t="shared" si="51"/>
        <v>#DIV/0!</v>
      </c>
      <c r="AH89" s="46" t="e">
        <f t="shared" si="52"/>
        <v>#DIV/0!</v>
      </c>
      <c r="AI89" s="46" t="e">
        <f t="shared" si="53"/>
        <v>#DIV/0!</v>
      </c>
      <c r="AJ89" s="46" t="e">
        <f t="shared" si="54"/>
        <v>#DIV/0!</v>
      </c>
      <c r="AK89" s="46" t="e">
        <f t="shared" si="55"/>
        <v>#DIV/0!</v>
      </c>
      <c r="AL89" s="46" t="e">
        <f>T$3+K89/ATM_Conf!$C$5</f>
        <v>#DIV/0!</v>
      </c>
      <c r="AM89" s="46" t="e">
        <f>U$3+L89/ATM_Conf!$C$5</f>
        <v>#DIV/0!</v>
      </c>
      <c r="AN89" s="46" t="e">
        <f>V$3+M89/ATM_Conf!$C$5</f>
        <v>#DIV/0!</v>
      </c>
      <c r="AO89" s="46" t="e">
        <f>W$3+N89/ATM_Conf!$C$5</f>
        <v>#DIV/0!</v>
      </c>
      <c r="AP89" s="46" t="e">
        <f>X$3+O89/ATM_Conf!$C$5</f>
        <v>#DIV/0!</v>
      </c>
      <c r="AQ89" s="46" t="e">
        <f>Y$3+P89/ATM_Conf!$C$5</f>
        <v>#DIV/0!</v>
      </c>
      <c r="AR89" s="46" t="e">
        <f>Z$3+Q89/ATM_Conf!$C$5</f>
        <v>#DIV/0!</v>
      </c>
      <c r="AS89" s="46" t="e">
        <f>AA$3+R89/ATM_Conf!$C$5</f>
        <v>#DIV/0!</v>
      </c>
      <c r="AT89" s="46" t="e">
        <f>AB$3+S89/ATM_Conf!$C$5</f>
        <v>#DIV/0!</v>
      </c>
      <c r="AU89" s="46" t="e">
        <f>BD$3*MIN(1,(ATM_Conf!$C$6-Links!F89)/(ATM_Conf!$C$6-ATM_Conf!$C$7))</f>
        <v>#DIV/0!</v>
      </c>
      <c r="AV89" s="46" t="e">
        <f>BE$3*MIN(1,(ATM_Conf!$C$6-Links!G89)/(ATM_Conf!$C$6-ATM_Conf!$C$7))</f>
        <v>#DIV/0!</v>
      </c>
      <c r="AW89" s="46" t="e">
        <f>BF$3*MIN(1,(ATM_Conf!$C$6-Links!H89)/(ATM_Conf!$C$6-ATM_Conf!$C$7))</f>
        <v>#DIV/0!</v>
      </c>
      <c r="AX89" s="46" t="e">
        <f>BG$3*MIN(1,(ATM_Conf!$C$6-Links!I89)/(ATM_Conf!$C$6-ATM_Conf!$C$7))</f>
        <v>#DIV/0!</v>
      </c>
      <c r="AY89" s="46" t="e">
        <f>BH$3*MIN(1,(ATM_Conf!$C$6-Links!J89)/(ATM_Conf!$C$6-ATM_Conf!$C$7))</f>
        <v>#DIV/0!</v>
      </c>
      <c r="AZ89" s="46" t="e">
        <f>BI$3*MIN(1,(ATM_Conf!$C$6-Links!K89)/(ATM_Conf!$C$6-ATM_Conf!$C$7))</f>
        <v>#DIV/0!</v>
      </c>
      <c r="BA89" s="46" t="e">
        <f>BJ$3*MIN(1,(ATM_Conf!$C$6-Links!L89)/(ATM_Conf!$C$6-ATM_Conf!$C$7))</f>
        <v>#DIV/0!</v>
      </c>
      <c r="BB89" s="46" t="e">
        <f>BK$3*MIN(1,(ATM_Conf!$C$6-Links!M89)/(ATM_Conf!$C$6-ATM_Conf!$C$7))</f>
        <v>#DIV/0!</v>
      </c>
      <c r="BC89" s="46" t="e">
        <f>BL$3*MIN(1,(ATM_Conf!$C$6-Links!N89)/(ATM_Conf!$C$6-ATM_Conf!$C$7))</f>
        <v>#DIV/0!</v>
      </c>
      <c r="BD89" s="46"/>
      <c r="BE89" s="46"/>
      <c r="BF89" s="46"/>
      <c r="BG89" s="46"/>
      <c r="BH89" s="46"/>
      <c r="BI89" s="46"/>
      <c r="BJ89" s="46"/>
      <c r="BK89" s="46"/>
      <c r="BL89" s="46"/>
      <c r="BM89" s="54"/>
      <c r="BN89" s="54"/>
      <c r="BO89" s="54"/>
      <c r="BP89" s="54"/>
      <c r="BQ89" s="54"/>
      <c r="BR89" s="54"/>
      <c r="BS89" s="54"/>
      <c r="BT89" s="54"/>
      <c r="BU89" s="54"/>
      <c r="BV89" s="46" t="e">
        <f t="shared" si="56"/>
        <v>#DIV/0!</v>
      </c>
      <c r="BW89" s="46" t="e">
        <f t="shared" si="57"/>
        <v>#DIV/0!</v>
      </c>
      <c r="BX89" s="46" t="e">
        <f t="shared" si="58"/>
        <v>#DIV/0!</v>
      </c>
      <c r="BY89" s="46" t="e">
        <f t="shared" si="59"/>
        <v>#DIV/0!</v>
      </c>
      <c r="BZ89" s="46" t="e">
        <f t="shared" si="60"/>
        <v>#DIV/0!</v>
      </c>
      <c r="CA89" s="46" t="e">
        <f t="shared" si="61"/>
        <v>#DIV/0!</v>
      </c>
      <c r="CB89" s="46" t="e">
        <f t="shared" si="62"/>
        <v>#DIV/0!</v>
      </c>
      <c r="CC89" s="46" t="e">
        <f t="shared" si="63"/>
        <v>#DIV/0!</v>
      </c>
      <c r="CD89" s="46" t="e">
        <f t="shared" si="64"/>
        <v>#DIV/0!</v>
      </c>
      <c r="CE89" s="56" t="e">
        <f t="shared" si="65"/>
        <v>#DIV/0!</v>
      </c>
      <c r="CF89" s="56" t="e">
        <f t="shared" si="66"/>
        <v>#DIV/0!</v>
      </c>
      <c r="CG89" s="56" t="e">
        <f t="shared" si="67"/>
        <v>#DIV/0!</v>
      </c>
      <c r="CH89" s="56" t="e">
        <f t="shared" si="68"/>
        <v>#DIV/0!</v>
      </c>
      <c r="CI89" s="56" t="e">
        <f t="shared" si="69"/>
        <v>#DIV/0!</v>
      </c>
      <c r="CJ89" s="56" t="e">
        <f t="shared" si="70"/>
        <v>#DIV/0!</v>
      </c>
      <c r="CK89" s="56" t="e">
        <f t="shared" si="71"/>
        <v>#DIV/0!</v>
      </c>
      <c r="CL89" s="56" t="e">
        <f t="shared" si="72"/>
        <v>#DIV/0!</v>
      </c>
      <c r="CM89" s="56" t="e">
        <f t="shared" si="73"/>
        <v>#DIV/0!</v>
      </c>
    </row>
    <row r="90" spans="1:91" x14ac:dyDescent="0.15">
      <c r="A90" s="43">
        <v>88</v>
      </c>
      <c r="B90" s="46">
        <f t="shared" si="79"/>
        <v>1</v>
      </c>
      <c r="C90" s="46">
        <f t="shared" si="78"/>
        <v>1</v>
      </c>
      <c r="D90" s="46">
        <f t="shared" si="78"/>
        <v>1</v>
      </c>
      <c r="E90" s="46">
        <f t="shared" si="78"/>
        <v>1</v>
      </c>
      <c r="F90" s="46">
        <f t="shared" si="78"/>
        <v>1</v>
      </c>
      <c r="G90" s="46">
        <f t="shared" si="78"/>
        <v>1</v>
      </c>
      <c r="H90" s="46">
        <f t="shared" si="78"/>
        <v>1</v>
      </c>
      <c r="I90" s="46">
        <f t="shared" si="78"/>
        <v>1</v>
      </c>
      <c r="J90" s="46">
        <f t="shared" si="78"/>
        <v>1</v>
      </c>
      <c r="K90" s="46" t="e">
        <f>K89+ATM_Conf!$C$5*(T89-AC89)</f>
        <v>#DIV/0!</v>
      </c>
      <c r="L90" s="46" t="e">
        <f>L89+ATM_Conf!$C$5*(U89-AD89)</f>
        <v>#DIV/0!</v>
      </c>
      <c r="M90" s="46" t="e">
        <f>M89+ATM_Conf!$C$5*(V89-AE89)</f>
        <v>#DIV/0!</v>
      </c>
      <c r="N90" s="46" t="e">
        <f>N89+ATM_Conf!$C$5*(W89-AF89)</f>
        <v>#DIV/0!</v>
      </c>
      <c r="O90" s="46" t="e">
        <f>O89+ATM_Conf!$C$5*(X89-AG89)</f>
        <v>#DIV/0!</v>
      </c>
      <c r="P90" s="46" t="e">
        <f>P89+ATM_Conf!$C$5*(Y89-AH89)</f>
        <v>#DIV/0!</v>
      </c>
      <c r="Q90" s="46" t="e">
        <f>Q89+ATM_Conf!$C$5*(Z89-AI89)</f>
        <v>#DIV/0!</v>
      </c>
      <c r="R90" s="46" t="e">
        <f>R89+ATM_Conf!$C$5*(AA89-AJ89)</f>
        <v>#DIV/0!</v>
      </c>
      <c r="S90" s="46" t="e">
        <f>S89+ATM_Conf!$C$5*(AB89-AK89)</f>
        <v>#DIV/0!</v>
      </c>
      <c r="T90" s="46"/>
      <c r="U90" s="46"/>
      <c r="V90" s="46"/>
      <c r="W90" s="46"/>
      <c r="X90" s="46"/>
      <c r="Y90" s="46"/>
      <c r="Z90" s="46"/>
      <c r="AA90" s="46"/>
      <c r="AB90" s="46"/>
      <c r="AC90" s="46" t="e">
        <f t="shared" si="47"/>
        <v>#DIV/0!</v>
      </c>
      <c r="AD90" s="46" t="e">
        <f t="shared" si="48"/>
        <v>#DIV/0!</v>
      </c>
      <c r="AE90" s="46" t="e">
        <f t="shared" si="49"/>
        <v>#DIV/0!</v>
      </c>
      <c r="AF90" s="46" t="e">
        <f t="shared" si="50"/>
        <v>#DIV/0!</v>
      </c>
      <c r="AG90" s="46" t="e">
        <f t="shared" si="51"/>
        <v>#DIV/0!</v>
      </c>
      <c r="AH90" s="46" t="e">
        <f t="shared" si="52"/>
        <v>#DIV/0!</v>
      </c>
      <c r="AI90" s="46" t="e">
        <f t="shared" si="53"/>
        <v>#DIV/0!</v>
      </c>
      <c r="AJ90" s="46" t="e">
        <f t="shared" si="54"/>
        <v>#DIV/0!</v>
      </c>
      <c r="AK90" s="46" t="e">
        <f t="shared" si="55"/>
        <v>#DIV/0!</v>
      </c>
      <c r="AL90" s="46" t="e">
        <f>T$3+K90/ATM_Conf!$C$5</f>
        <v>#DIV/0!</v>
      </c>
      <c r="AM90" s="46" t="e">
        <f>U$3+L90/ATM_Conf!$C$5</f>
        <v>#DIV/0!</v>
      </c>
      <c r="AN90" s="46" t="e">
        <f>V$3+M90/ATM_Conf!$C$5</f>
        <v>#DIV/0!</v>
      </c>
      <c r="AO90" s="46" t="e">
        <f>W$3+N90/ATM_Conf!$C$5</f>
        <v>#DIV/0!</v>
      </c>
      <c r="AP90" s="46" t="e">
        <f>X$3+O90/ATM_Conf!$C$5</f>
        <v>#DIV/0!</v>
      </c>
      <c r="AQ90" s="46" t="e">
        <f>Y$3+P90/ATM_Conf!$C$5</f>
        <v>#DIV/0!</v>
      </c>
      <c r="AR90" s="46" t="e">
        <f>Z$3+Q90/ATM_Conf!$C$5</f>
        <v>#DIV/0!</v>
      </c>
      <c r="AS90" s="46" t="e">
        <f>AA$3+R90/ATM_Conf!$C$5</f>
        <v>#DIV/0!</v>
      </c>
      <c r="AT90" s="46" t="e">
        <f>AB$3+S90/ATM_Conf!$C$5</f>
        <v>#DIV/0!</v>
      </c>
      <c r="AU90" s="46" t="e">
        <f>BD$3*MIN(1,(ATM_Conf!$C$6-Links!F90)/(ATM_Conf!$C$6-ATM_Conf!$C$7))</f>
        <v>#DIV/0!</v>
      </c>
      <c r="AV90" s="46" t="e">
        <f>BE$3*MIN(1,(ATM_Conf!$C$6-Links!G90)/(ATM_Conf!$C$6-ATM_Conf!$C$7))</f>
        <v>#DIV/0!</v>
      </c>
      <c r="AW90" s="46" t="e">
        <f>BF$3*MIN(1,(ATM_Conf!$C$6-Links!H90)/(ATM_Conf!$C$6-ATM_Conf!$C$7))</f>
        <v>#DIV/0!</v>
      </c>
      <c r="AX90" s="46" t="e">
        <f>BG$3*MIN(1,(ATM_Conf!$C$6-Links!I90)/(ATM_Conf!$C$6-ATM_Conf!$C$7))</f>
        <v>#DIV/0!</v>
      </c>
      <c r="AY90" s="46" t="e">
        <f>BH$3*MIN(1,(ATM_Conf!$C$6-Links!J90)/(ATM_Conf!$C$6-ATM_Conf!$C$7))</f>
        <v>#DIV/0!</v>
      </c>
      <c r="AZ90" s="46" t="e">
        <f>BI$3*MIN(1,(ATM_Conf!$C$6-Links!K90)/(ATM_Conf!$C$6-ATM_Conf!$C$7))</f>
        <v>#DIV/0!</v>
      </c>
      <c r="BA90" s="46" t="e">
        <f>BJ$3*MIN(1,(ATM_Conf!$C$6-Links!L90)/(ATM_Conf!$C$6-ATM_Conf!$C$7))</f>
        <v>#DIV/0!</v>
      </c>
      <c r="BB90" s="46" t="e">
        <f>BK$3*MIN(1,(ATM_Conf!$C$6-Links!M90)/(ATM_Conf!$C$6-ATM_Conf!$C$7))</f>
        <v>#DIV/0!</v>
      </c>
      <c r="BC90" s="46" t="e">
        <f>BL$3*MIN(1,(ATM_Conf!$C$6-Links!N90)/(ATM_Conf!$C$6-ATM_Conf!$C$7))</f>
        <v>#DIV/0!</v>
      </c>
      <c r="BD90" s="46"/>
      <c r="BE90" s="46"/>
      <c r="BF90" s="46"/>
      <c r="BG90" s="46"/>
      <c r="BH90" s="46"/>
      <c r="BI90" s="46"/>
      <c r="BJ90" s="46"/>
      <c r="BK90" s="46"/>
      <c r="BL90" s="46"/>
      <c r="BM90" s="54"/>
      <c r="BN90" s="54"/>
      <c r="BO90" s="54"/>
      <c r="BP90" s="54"/>
      <c r="BQ90" s="54"/>
      <c r="BR90" s="54"/>
      <c r="BS90" s="54"/>
      <c r="BT90" s="54"/>
      <c r="BU90" s="54"/>
      <c r="BV90" s="46" t="e">
        <f t="shared" si="56"/>
        <v>#DIV/0!</v>
      </c>
      <c r="BW90" s="46" t="e">
        <f t="shared" si="57"/>
        <v>#DIV/0!</v>
      </c>
      <c r="BX90" s="46" t="e">
        <f t="shared" si="58"/>
        <v>#DIV/0!</v>
      </c>
      <c r="BY90" s="46" t="e">
        <f t="shared" si="59"/>
        <v>#DIV/0!</v>
      </c>
      <c r="BZ90" s="46" t="e">
        <f t="shared" si="60"/>
        <v>#DIV/0!</v>
      </c>
      <c r="CA90" s="46" t="e">
        <f t="shared" si="61"/>
        <v>#DIV/0!</v>
      </c>
      <c r="CB90" s="46" t="e">
        <f t="shared" si="62"/>
        <v>#DIV/0!</v>
      </c>
      <c r="CC90" s="46" t="e">
        <f t="shared" si="63"/>
        <v>#DIV/0!</v>
      </c>
      <c r="CD90" s="46" t="e">
        <f t="shared" si="64"/>
        <v>#DIV/0!</v>
      </c>
      <c r="CE90" s="56" t="e">
        <f t="shared" si="65"/>
        <v>#DIV/0!</v>
      </c>
      <c r="CF90" s="56" t="e">
        <f t="shared" si="66"/>
        <v>#DIV/0!</v>
      </c>
      <c r="CG90" s="56" t="e">
        <f t="shared" si="67"/>
        <v>#DIV/0!</v>
      </c>
      <c r="CH90" s="56" t="e">
        <f t="shared" si="68"/>
        <v>#DIV/0!</v>
      </c>
      <c r="CI90" s="56" t="e">
        <f t="shared" si="69"/>
        <v>#DIV/0!</v>
      </c>
      <c r="CJ90" s="56" t="e">
        <f t="shared" si="70"/>
        <v>#DIV/0!</v>
      </c>
      <c r="CK90" s="56" t="e">
        <f t="shared" si="71"/>
        <v>#DIV/0!</v>
      </c>
      <c r="CL90" s="56" t="e">
        <f t="shared" si="72"/>
        <v>#DIV/0!</v>
      </c>
      <c r="CM90" s="56" t="e">
        <f t="shared" si="73"/>
        <v>#DIV/0!</v>
      </c>
    </row>
    <row r="91" spans="1:91" x14ac:dyDescent="0.15">
      <c r="A91" s="43">
        <v>89</v>
      </c>
      <c r="B91" s="46">
        <f t="shared" si="79"/>
        <v>1</v>
      </c>
      <c r="C91" s="46">
        <f t="shared" si="78"/>
        <v>1</v>
      </c>
      <c r="D91" s="46">
        <f t="shared" si="78"/>
        <v>1</v>
      </c>
      <c r="E91" s="46">
        <f t="shared" si="78"/>
        <v>1</v>
      </c>
      <c r="F91" s="46">
        <f t="shared" si="78"/>
        <v>1</v>
      </c>
      <c r="G91" s="46">
        <f t="shared" si="78"/>
        <v>1</v>
      </c>
      <c r="H91" s="46">
        <f t="shared" si="78"/>
        <v>1</v>
      </c>
      <c r="I91" s="46">
        <f t="shared" si="78"/>
        <v>1</v>
      </c>
      <c r="J91" s="46">
        <f t="shared" si="78"/>
        <v>1</v>
      </c>
      <c r="K91" s="46" t="e">
        <f>K90+ATM_Conf!$C$5*(T90-AC90)</f>
        <v>#DIV/0!</v>
      </c>
      <c r="L91" s="46" t="e">
        <f>L90+ATM_Conf!$C$5*(U90-AD90)</f>
        <v>#DIV/0!</v>
      </c>
      <c r="M91" s="46" t="e">
        <f>M90+ATM_Conf!$C$5*(V90-AE90)</f>
        <v>#DIV/0!</v>
      </c>
      <c r="N91" s="46" t="e">
        <f>N90+ATM_Conf!$C$5*(W90-AF90)</f>
        <v>#DIV/0!</v>
      </c>
      <c r="O91" s="46" t="e">
        <f>O90+ATM_Conf!$C$5*(X90-AG90)</f>
        <v>#DIV/0!</v>
      </c>
      <c r="P91" s="46" t="e">
        <f>P90+ATM_Conf!$C$5*(Y90-AH90)</f>
        <v>#DIV/0!</v>
      </c>
      <c r="Q91" s="46" t="e">
        <f>Q90+ATM_Conf!$C$5*(Z90-AI90)</f>
        <v>#DIV/0!</v>
      </c>
      <c r="R91" s="46" t="e">
        <f>R90+ATM_Conf!$C$5*(AA90-AJ90)</f>
        <v>#DIV/0!</v>
      </c>
      <c r="S91" s="46" t="e">
        <f>S90+ATM_Conf!$C$5*(AB90-AK90)</f>
        <v>#DIV/0!</v>
      </c>
      <c r="T91" s="46"/>
      <c r="U91" s="46"/>
      <c r="V91" s="46"/>
      <c r="W91" s="46"/>
      <c r="X91" s="46"/>
      <c r="Y91" s="46"/>
      <c r="Z91" s="46"/>
      <c r="AA91" s="46"/>
      <c r="AB91" s="46"/>
      <c r="AC91" s="46" t="e">
        <f t="shared" si="47"/>
        <v>#DIV/0!</v>
      </c>
      <c r="AD91" s="46" t="e">
        <f t="shared" si="48"/>
        <v>#DIV/0!</v>
      </c>
      <c r="AE91" s="46" t="e">
        <f t="shared" si="49"/>
        <v>#DIV/0!</v>
      </c>
      <c r="AF91" s="46" t="e">
        <f t="shared" si="50"/>
        <v>#DIV/0!</v>
      </c>
      <c r="AG91" s="46" t="e">
        <f t="shared" si="51"/>
        <v>#DIV/0!</v>
      </c>
      <c r="AH91" s="46" t="e">
        <f t="shared" si="52"/>
        <v>#DIV/0!</v>
      </c>
      <c r="AI91" s="46" t="e">
        <f t="shared" si="53"/>
        <v>#DIV/0!</v>
      </c>
      <c r="AJ91" s="46" t="e">
        <f t="shared" si="54"/>
        <v>#DIV/0!</v>
      </c>
      <c r="AK91" s="46" t="e">
        <f t="shared" si="55"/>
        <v>#DIV/0!</v>
      </c>
      <c r="AL91" s="46" t="e">
        <f>T$3+K91/ATM_Conf!$C$5</f>
        <v>#DIV/0!</v>
      </c>
      <c r="AM91" s="46" t="e">
        <f>U$3+L91/ATM_Conf!$C$5</f>
        <v>#DIV/0!</v>
      </c>
      <c r="AN91" s="46" t="e">
        <f>V$3+M91/ATM_Conf!$C$5</f>
        <v>#DIV/0!</v>
      </c>
      <c r="AO91" s="46" t="e">
        <f>W$3+N91/ATM_Conf!$C$5</f>
        <v>#DIV/0!</v>
      </c>
      <c r="AP91" s="46" t="e">
        <f>X$3+O91/ATM_Conf!$C$5</f>
        <v>#DIV/0!</v>
      </c>
      <c r="AQ91" s="46" t="e">
        <f>Y$3+P91/ATM_Conf!$C$5</f>
        <v>#DIV/0!</v>
      </c>
      <c r="AR91" s="46" t="e">
        <f>Z$3+Q91/ATM_Conf!$C$5</f>
        <v>#DIV/0!</v>
      </c>
      <c r="AS91" s="46" t="e">
        <f>AA$3+R91/ATM_Conf!$C$5</f>
        <v>#DIV/0!</v>
      </c>
      <c r="AT91" s="46" t="e">
        <f>AB$3+S91/ATM_Conf!$C$5</f>
        <v>#DIV/0!</v>
      </c>
      <c r="AU91" s="46" t="e">
        <f>BD$3*MIN(1,(ATM_Conf!$C$6-Links!F91)/(ATM_Conf!$C$6-ATM_Conf!$C$7))</f>
        <v>#DIV/0!</v>
      </c>
      <c r="AV91" s="46" t="e">
        <f>BE$3*MIN(1,(ATM_Conf!$C$6-Links!G91)/(ATM_Conf!$C$6-ATM_Conf!$C$7))</f>
        <v>#DIV/0!</v>
      </c>
      <c r="AW91" s="46" t="e">
        <f>BF$3*MIN(1,(ATM_Conf!$C$6-Links!H91)/(ATM_Conf!$C$6-ATM_Conf!$C$7))</f>
        <v>#DIV/0!</v>
      </c>
      <c r="AX91" s="46" t="e">
        <f>BG$3*MIN(1,(ATM_Conf!$C$6-Links!I91)/(ATM_Conf!$C$6-ATM_Conf!$C$7))</f>
        <v>#DIV/0!</v>
      </c>
      <c r="AY91" s="46" t="e">
        <f>BH$3*MIN(1,(ATM_Conf!$C$6-Links!J91)/(ATM_Conf!$C$6-ATM_Conf!$C$7))</f>
        <v>#DIV/0!</v>
      </c>
      <c r="AZ91" s="46" t="e">
        <f>BI$3*MIN(1,(ATM_Conf!$C$6-Links!K91)/(ATM_Conf!$C$6-ATM_Conf!$C$7))</f>
        <v>#DIV/0!</v>
      </c>
      <c r="BA91" s="46" t="e">
        <f>BJ$3*MIN(1,(ATM_Conf!$C$6-Links!L91)/(ATM_Conf!$C$6-ATM_Conf!$C$7))</f>
        <v>#DIV/0!</v>
      </c>
      <c r="BB91" s="46" t="e">
        <f>BK$3*MIN(1,(ATM_Conf!$C$6-Links!M91)/(ATM_Conf!$C$6-ATM_Conf!$C$7))</f>
        <v>#DIV/0!</v>
      </c>
      <c r="BC91" s="46" t="e">
        <f>BL$3*MIN(1,(ATM_Conf!$C$6-Links!N91)/(ATM_Conf!$C$6-ATM_Conf!$C$7))</f>
        <v>#DIV/0!</v>
      </c>
      <c r="BD91" s="46"/>
      <c r="BE91" s="46"/>
      <c r="BF91" s="46"/>
      <c r="BG91" s="46"/>
      <c r="BH91" s="46"/>
      <c r="BI91" s="46"/>
      <c r="BJ91" s="46"/>
      <c r="BK91" s="46"/>
      <c r="BL91" s="46"/>
      <c r="BM91" s="54"/>
      <c r="BN91" s="54"/>
      <c r="BO91" s="54"/>
      <c r="BP91" s="54"/>
      <c r="BQ91" s="54"/>
      <c r="BR91" s="54"/>
      <c r="BS91" s="54"/>
      <c r="BT91" s="54"/>
      <c r="BU91" s="54"/>
      <c r="BV91" s="46" t="e">
        <f t="shared" si="56"/>
        <v>#DIV/0!</v>
      </c>
      <c r="BW91" s="46" t="e">
        <f t="shared" si="57"/>
        <v>#DIV/0!</v>
      </c>
      <c r="BX91" s="46" t="e">
        <f t="shared" si="58"/>
        <v>#DIV/0!</v>
      </c>
      <c r="BY91" s="46" t="e">
        <f t="shared" si="59"/>
        <v>#DIV/0!</v>
      </c>
      <c r="BZ91" s="46" t="e">
        <f t="shared" si="60"/>
        <v>#DIV/0!</v>
      </c>
      <c r="CA91" s="46" t="e">
        <f t="shared" si="61"/>
        <v>#DIV/0!</v>
      </c>
      <c r="CB91" s="46" t="e">
        <f t="shared" si="62"/>
        <v>#DIV/0!</v>
      </c>
      <c r="CC91" s="46" t="e">
        <f t="shared" si="63"/>
        <v>#DIV/0!</v>
      </c>
      <c r="CD91" s="46" t="e">
        <f t="shared" si="64"/>
        <v>#DIV/0!</v>
      </c>
      <c r="CE91" s="56" t="e">
        <f t="shared" si="65"/>
        <v>#DIV/0!</v>
      </c>
      <c r="CF91" s="56" t="e">
        <f t="shared" si="66"/>
        <v>#DIV/0!</v>
      </c>
      <c r="CG91" s="56" t="e">
        <f t="shared" si="67"/>
        <v>#DIV/0!</v>
      </c>
      <c r="CH91" s="56" t="e">
        <f t="shared" si="68"/>
        <v>#DIV/0!</v>
      </c>
      <c r="CI91" s="56" t="e">
        <f t="shared" si="69"/>
        <v>#DIV/0!</v>
      </c>
      <c r="CJ91" s="56" t="e">
        <f t="shared" si="70"/>
        <v>#DIV/0!</v>
      </c>
      <c r="CK91" s="56" t="e">
        <f t="shared" si="71"/>
        <v>#DIV/0!</v>
      </c>
      <c r="CL91" s="56" t="e">
        <f t="shared" si="72"/>
        <v>#DIV/0!</v>
      </c>
      <c r="CM91" s="56" t="e">
        <f t="shared" si="73"/>
        <v>#DIV/0!</v>
      </c>
    </row>
    <row r="92" spans="1:91" x14ac:dyDescent="0.15">
      <c r="A92" s="43">
        <v>90</v>
      </c>
      <c r="B92" s="46">
        <f t="shared" si="79"/>
        <v>1</v>
      </c>
      <c r="C92" s="46">
        <f t="shared" si="78"/>
        <v>1</v>
      </c>
      <c r="D92" s="46">
        <f t="shared" si="78"/>
        <v>1</v>
      </c>
      <c r="E92" s="46">
        <f t="shared" si="78"/>
        <v>1</v>
      </c>
      <c r="F92" s="46">
        <f t="shared" si="78"/>
        <v>1</v>
      </c>
      <c r="G92" s="46">
        <f t="shared" si="78"/>
        <v>1</v>
      </c>
      <c r="H92" s="46">
        <f t="shared" si="78"/>
        <v>1</v>
      </c>
      <c r="I92" s="46">
        <f t="shared" si="78"/>
        <v>1</v>
      </c>
      <c r="J92" s="46">
        <f t="shared" si="78"/>
        <v>1</v>
      </c>
      <c r="K92" s="46" t="e">
        <f>K91+ATM_Conf!$C$5*(T91-AC91)</f>
        <v>#DIV/0!</v>
      </c>
      <c r="L92" s="46" t="e">
        <f>L91+ATM_Conf!$C$5*(U91-AD91)</f>
        <v>#DIV/0!</v>
      </c>
      <c r="M92" s="46" t="e">
        <f>M91+ATM_Conf!$C$5*(V91-AE91)</f>
        <v>#DIV/0!</v>
      </c>
      <c r="N92" s="46" t="e">
        <f>N91+ATM_Conf!$C$5*(W91-AF91)</f>
        <v>#DIV/0!</v>
      </c>
      <c r="O92" s="46" t="e">
        <f>O91+ATM_Conf!$C$5*(X91-AG91)</f>
        <v>#DIV/0!</v>
      </c>
      <c r="P92" s="46" t="e">
        <f>P91+ATM_Conf!$C$5*(Y91-AH91)</f>
        <v>#DIV/0!</v>
      </c>
      <c r="Q92" s="46" t="e">
        <f>Q91+ATM_Conf!$C$5*(Z91-AI91)</f>
        <v>#DIV/0!</v>
      </c>
      <c r="R92" s="46" t="e">
        <f>R91+ATM_Conf!$C$5*(AA91-AJ91)</f>
        <v>#DIV/0!</v>
      </c>
      <c r="S92" s="46" t="e">
        <f>S91+ATM_Conf!$C$5*(AB91-AK91)</f>
        <v>#DIV/0!</v>
      </c>
      <c r="T92" s="46"/>
      <c r="U92" s="46"/>
      <c r="V92" s="46"/>
      <c r="W92" s="46"/>
      <c r="X92" s="46"/>
      <c r="Y92" s="46"/>
      <c r="Z92" s="46"/>
      <c r="AA92" s="46"/>
      <c r="AB92" s="46"/>
      <c r="AC92" s="46" t="e">
        <f t="shared" si="47"/>
        <v>#DIV/0!</v>
      </c>
      <c r="AD92" s="46" t="e">
        <f t="shared" si="48"/>
        <v>#DIV/0!</v>
      </c>
      <c r="AE92" s="46" t="e">
        <f t="shared" si="49"/>
        <v>#DIV/0!</v>
      </c>
      <c r="AF92" s="46" t="e">
        <f t="shared" si="50"/>
        <v>#DIV/0!</v>
      </c>
      <c r="AG92" s="46" t="e">
        <f t="shared" si="51"/>
        <v>#DIV/0!</v>
      </c>
      <c r="AH92" s="46" t="e">
        <f t="shared" si="52"/>
        <v>#DIV/0!</v>
      </c>
      <c r="AI92" s="46" t="e">
        <f t="shared" si="53"/>
        <v>#DIV/0!</v>
      </c>
      <c r="AJ92" s="46" t="e">
        <f t="shared" si="54"/>
        <v>#DIV/0!</v>
      </c>
      <c r="AK92" s="46" t="e">
        <f t="shared" si="55"/>
        <v>#DIV/0!</v>
      </c>
      <c r="AL92" s="46" t="e">
        <f>T$3+K92/ATM_Conf!$C$5</f>
        <v>#DIV/0!</v>
      </c>
      <c r="AM92" s="46" t="e">
        <f>U$3+L92/ATM_Conf!$C$5</f>
        <v>#DIV/0!</v>
      </c>
      <c r="AN92" s="46" t="e">
        <f>V$3+M92/ATM_Conf!$C$5</f>
        <v>#DIV/0!</v>
      </c>
      <c r="AO92" s="46" t="e">
        <f>W$3+N92/ATM_Conf!$C$5</f>
        <v>#DIV/0!</v>
      </c>
      <c r="AP92" s="46" t="e">
        <f>X$3+O92/ATM_Conf!$C$5</f>
        <v>#DIV/0!</v>
      </c>
      <c r="AQ92" s="46" t="e">
        <f>Y$3+P92/ATM_Conf!$C$5</f>
        <v>#DIV/0!</v>
      </c>
      <c r="AR92" s="46" t="e">
        <f>Z$3+Q92/ATM_Conf!$C$5</f>
        <v>#DIV/0!</v>
      </c>
      <c r="AS92" s="46" t="e">
        <f>AA$3+R92/ATM_Conf!$C$5</f>
        <v>#DIV/0!</v>
      </c>
      <c r="AT92" s="46" t="e">
        <f>AB$3+S92/ATM_Conf!$C$5</f>
        <v>#DIV/0!</v>
      </c>
      <c r="AU92" s="46" t="e">
        <f>BD$3*MIN(1,(ATM_Conf!$C$6-Links!F92)/(ATM_Conf!$C$6-ATM_Conf!$C$7))</f>
        <v>#DIV/0!</v>
      </c>
      <c r="AV92" s="46" t="e">
        <f>BE$3*MIN(1,(ATM_Conf!$C$6-Links!G92)/(ATM_Conf!$C$6-ATM_Conf!$C$7))</f>
        <v>#DIV/0!</v>
      </c>
      <c r="AW92" s="46" t="e">
        <f>BF$3*MIN(1,(ATM_Conf!$C$6-Links!H92)/(ATM_Conf!$C$6-ATM_Conf!$C$7))</f>
        <v>#DIV/0!</v>
      </c>
      <c r="AX92" s="46" t="e">
        <f>BG$3*MIN(1,(ATM_Conf!$C$6-Links!I92)/(ATM_Conf!$C$6-ATM_Conf!$C$7))</f>
        <v>#DIV/0!</v>
      </c>
      <c r="AY92" s="46" t="e">
        <f>BH$3*MIN(1,(ATM_Conf!$C$6-Links!J92)/(ATM_Conf!$C$6-ATM_Conf!$C$7))</f>
        <v>#DIV/0!</v>
      </c>
      <c r="AZ92" s="46" t="e">
        <f>BI$3*MIN(1,(ATM_Conf!$C$6-Links!K92)/(ATM_Conf!$C$6-ATM_Conf!$C$7))</f>
        <v>#DIV/0!</v>
      </c>
      <c r="BA92" s="46" t="e">
        <f>BJ$3*MIN(1,(ATM_Conf!$C$6-Links!L92)/(ATM_Conf!$C$6-ATM_Conf!$C$7))</f>
        <v>#DIV/0!</v>
      </c>
      <c r="BB92" s="46" t="e">
        <f>BK$3*MIN(1,(ATM_Conf!$C$6-Links!M92)/(ATM_Conf!$C$6-ATM_Conf!$C$7))</f>
        <v>#DIV/0!</v>
      </c>
      <c r="BC92" s="46" t="e">
        <f>BL$3*MIN(1,(ATM_Conf!$C$6-Links!N92)/(ATM_Conf!$C$6-ATM_Conf!$C$7))</f>
        <v>#DIV/0!</v>
      </c>
      <c r="BD92" s="46"/>
      <c r="BE92" s="46"/>
      <c r="BF92" s="46"/>
      <c r="BG92" s="46"/>
      <c r="BH92" s="46"/>
      <c r="BI92" s="46"/>
      <c r="BJ92" s="46"/>
      <c r="BK92" s="46"/>
      <c r="BL92" s="46"/>
      <c r="BM92" s="54"/>
      <c r="BN92" s="54"/>
      <c r="BO92" s="54"/>
      <c r="BP92" s="54"/>
      <c r="BQ92" s="54"/>
      <c r="BR92" s="54"/>
      <c r="BS92" s="54"/>
      <c r="BT92" s="54"/>
      <c r="BU92" s="54"/>
      <c r="BV92" s="46" t="e">
        <f t="shared" si="56"/>
        <v>#DIV/0!</v>
      </c>
      <c r="BW92" s="46" t="e">
        <f t="shared" si="57"/>
        <v>#DIV/0!</v>
      </c>
      <c r="BX92" s="46" t="e">
        <f t="shared" si="58"/>
        <v>#DIV/0!</v>
      </c>
      <c r="BY92" s="46" t="e">
        <f t="shared" si="59"/>
        <v>#DIV/0!</v>
      </c>
      <c r="BZ92" s="46" t="e">
        <f t="shared" si="60"/>
        <v>#DIV/0!</v>
      </c>
      <c r="CA92" s="46" t="e">
        <f t="shared" si="61"/>
        <v>#DIV/0!</v>
      </c>
      <c r="CB92" s="46" t="e">
        <f t="shared" si="62"/>
        <v>#DIV/0!</v>
      </c>
      <c r="CC92" s="46" t="e">
        <f t="shared" si="63"/>
        <v>#DIV/0!</v>
      </c>
      <c r="CD92" s="46" t="e">
        <f t="shared" si="64"/>
        <v>#DIV/0!</v>
      </c>
      <c r="CE92" s="56" t="e">
        <f t="shared" si="65"/>
        <v>#DIV/0!</v>
      </c>
      <c r="CF92" s="56" t="e">
        <f t="shared" si="66"/>
        <v>#DIV/0!</v>
      </c>
      <c r="CG92" s="56" t="e">
        <f t="shared" si="67"/>
        <v>#DIV/0!</v>
      </c>
      <c r="CH92" s="56" t="e">
        <f t="shared" si="68"/>
        <v>#DIV/0!</v>
      </c>
      <c r="CI92" s="56" t="e">
        <f t="shared" si="69"/>
        <v>#DIV/0!</v>
      </c>
      <c r="CJ92" s="56" t="e">
        <f t="shared" si="70"/>
        <v>#DIV/0!</v>
      </c>
      <c r="CK92" s="56" t="e">
        <f t="shared" si="71"/>
        <v>#DIV/0!</v>
      </c>
      <c r="CL92" s="56" t="e">
        <f t="shared" si="72"/>
        <v>#DIV/0!</v>
      </c>
      <c r="CM92" s="56" t="e">
        <f t="shared" si="73"/>
        <v>#DIV/0!</v>
      </c>
    </row>
    <row r="93" spans="1:91" x14ac:dyDescent="0.15">
      <c r="A93" s="43">
        <v>91</v>
      </c>
      <c r="B93" s="46">
        <f t="shared" si="79"/>
        <v>1</v>
      </c>
      <c r="C93" s="46">
        <f t="shared" si="78"/>
        <v>1</v>
      </c>
      <c r="D93" s="46">
        <f t="shared" si="78"/>
        <v>1</v>
      </c>
      <c r="E93" s="46">
        <f t="shared" si="78"/>
        <v>1</v>
      </c>
      <c r="F93" s="46">
        <f t="shared" si="78"/>
        <v>1</v>
      </c>
      <c r="G93" s="46">
        <f t="shared" si="78"/>
        <v>1</v>
      </c>
      <c r="H93" s="46">
        <f t="shared" si="78"/>
        <v>1</v>
      </c>
      <c r="I93" s="46">
        <f t="shared" si="78"/>
        <v>1</v>
      </c>
      <c r="J93" s="46">
        <f t="shared" si="78"/>
        <v>1</v>
      </c>
      <c r="K93" s="46" t="e">
        <f>K92+ATM_Conf!$C$5*(T92-AC92)</f>
        <v>#DIV/0!</v>
      </c>
      <c r="L93" s="46" t="e">
        <f>L92+ATM_Conf!$C$5*(U92-AD92)</f>
        <v>#DIV/0!</v>
      </c>
      <c r="M93" s="46" t="e">
        <f>M92+ATM_Conf!$C$5*(V92-AE92)</f>
        <v>#DIV/0!</v>
      </c>
      <c r="N93" s="46" t="e">
        <f>N92+ATM_Conf!$C$5*(W92-AF92)</f>
        <v>#DIV/0!</v>
      </c>
      <c r="O93" s="46" t="e">
        <f>O92+ATM_Conf!$C$5*(X92-AG92)</f>
        <v>#DIV/0!</v>
      </c>
      <c r="P93" s="46" t="e">
        <f>P92+ATM_Conf!$C$5*(Y92-AH92)</f>
        <v>#DIV/0!</v>
      </c>
      <c r="Q93" s="46" t="e">
        <f>Q92+ATM_Conf!$C$5*(Z92-AI92)</f>
        <v>#DIV/0!</v>
      </c>
      <c r="R93" s="46" t="e">
        <f>R92+ATM_Conf!$C$5*(AA92-AJ92)</f>
        <v>#DIV/0!</v>
      </c>
      <c r="S93" s="46" t="e">
        <f>S92+ATM_Conf!$C$5*(AB92-AK92)</f>
        <v>#DIV/0!</v>
      </c>
      <c r="T93" s="46"/>
      <c r="U93" s="46"/>
      <c r="V93" s="46"/>
      <c r="W93" s="46"/>
      <c r="X93" s="46"/>
      <c r="Y93" s="46"/>
      <c r="Z93" s="46"/>
      <c r="AA93" s="46"/>
      <c r="AB93" s="46"/>
      <c r="AC93" s="46" t="e">
        <f t="shared" si="47"/>
        <v>#DIV/0!</v>
      </c>
      <c r="AD93" s="46" t="e">
        <f t="shared" si="48"/>
        <v>#DIV/0!</v>
      </c>
      <c r="AE93" s="46" t="e">
        <f t="shared" si="49"/>
        <v>#DIV/0!</v>
      </c>
      <c r="AF93" s="46" t="e">
        <f t="shared" si="50"/>
        <v>#DIV/0!</v>
      </c>
      <c r="AG93" s="46" t="e">
        <f t="shared" si="51"/>
        <v>#DIV/0!</v>
      </c>
      <c r="AH93" s="46" t="e">
        <f t="shared" si="52"/>
        <v>#DIV/0!</v>
      </c>
      <c r="AI93" s="46" t="e">
        <f t="shared" si="53"/>
        <v>#DIV/0!</v>
      </c>
      <c r="AJ93" s="46" t="e">
        <f t="shared" si="54"/>
        <v>#DIV/0!</v>
      </c>
      <c r="AK93" s="46" t="e">
        <f t="shared" si="55"/>
        <v>#DIV/0!</v>
      </c>
      <c r="AL93" s="46" t="e">
        <f>T$3+K93/ATM_Conf!$C$5</f>
        <v>#DIV/0!</v>
      </c>
      <c r="AM93" s="46" t="e">
        <f>U$3+L93/ATM_Conf!$C$5</f>
        <v>#DIV/0!</v>
      </c>
      <c r="AN93" s="46" t="e">
        <f>V$3+M93/ATM_Conf!$C$5</f>
        <v>#DIV/0!</v>
      </c>
      <c r="AO93" s="46" t="e">
        <f>W$3+N93/ATM_Conf!$C$5</f>
        <v>#DIV/0!</v>
      </c>
      <c r="AP93" s="46" t="e">
        <f>X$3+O93/ATM_Conf!$C$5</f>
        <v>#DIV/0!</v>
      </c>
      <c r="AQ93" s="46" t="e">
        <f>Y$3+P93/ATM_Conf!$C$5</f>
        <v>#DIV/0!</v>
      </c>
      <c r="AR93" s="46" t="e">
        <f>Z$3+Q93/ATM_Conf!$C$5</f>
        <v>#DIV/0!</v>
      </c>
      <c r="AS93" s="46" t="e">
        <f>AA$3+R93/ATM_Conf!$C$5</f>
        <v>#DIV/0!</v>
      </c>
      <c r="AT93" s="46" t="e">
        <f>AB$3+S93/ATM_Conf!$C$5</f>
        <v>#DIV/0!</v>
      </c>
      <c r="AU93" s="46" t="e">
        <f>BD$3*MIN(1,(ATM_Conf!$C$6-Links!F93)/(ATM_Conf!$C$6-ATM_Conf!$C$7))</f>
        <v>#DIV/0!</v>
      </c>
      <c r="AV93" s="46" t="e">
        <f>BE$3*MIN(1,(ATM_Conf!$C$6-Links!G93)/(ATM_Conf!$C$6-ATM_Conf!$C$7))</f>
        <v>#DIV/0!</v>
      </c>
      <c r="AW93" s="46" t="e">
        <f>BF$3*MIN(1,(ATM_Conf!$C$6-Links!H93)/(ATM_Conf!$C$6-ATM_Conf!$C$7))</f>
        <v>#DIV/0!</v>
      </c>
      <c r="AX93" s="46" t="e">
        <f>BG$3*MIN(1,(ATM_Conf!$C$6-Links!I93)/(ATM_Conf!$C$6-ATM_Conf!$C$7))</f>
        <v>#DIV/0!</v>
      </c>
      <c r="AY93" s="46" t="e">
        <f>BH$3*MIN(1,(ATM_Conf!$C$6-Links!J93)/(ATM_Conf!$C$6-ATM_Conf!$C$7))</f>
        <v>#DIV/0!</v>
      </c>
      <c r="AZ93" s="46" t="e">
        <f>BI$3*MIN(1,(ATM_Conf!$C$6-Links!K93)/(ATM_Conf!$C$6-ATM_Conf!$C$7))</f>
        <v>#DIV/0!</v>
      </c>
      <c r="BA93" s="46" t="e">
        <f>BJ$3*MIN(1,(ATM_Conf!$C$6-Links!L93)/(ATM_Conf!$C$6-ATM_Conf!$C$7))</f>
        <v>#DIV/0!</v>
      </c>
      <c r="BB93" s="46" t="e">
        <f>BK$3*MIN(1,(ATM_Conf!$C$6-Links!M93)/(ATM_Conf!$C$6-ATM_Conf!$C$7))</f>
        <v>#DIV/0!</v>
      </c>
      <c r="BC93" s="46" t="e">
        <f>BL$3*MIN(1,(ATM_Conf!$C$6-Links!N93)/(ATM_Conf!$C$6-ATM_Conf!$C$7))</f>
        <v>#DIV/0!</v>
      </c>
      <c r="BD93" s="46"/>
      <c r="BE93" s="46"/>
      <c r="BF93" s="46"/>
      <c r="BG93" s="46"/>
      <c r="BH93" s="46"/>
      <c r="BI93" s="46"/>
      <c r="BJ93" s="46"/>
      <c r="BK93" s="46"/>
      <c r="BL93" s="46"/>
      <c r="BM93" s="54"/>
      <c r="BN93" s="54"/>
      <c r="BO93" s="54"/>
      <c r="BP93" s="54"/>
      <c r="BQ93" s="54"/>
      <c r="BR93" s="54"/>
      <c r="BS93" s="54"/>
      <c r="BT93" s="54"/>
      <c r="BU93" s="54"/>
      <c r="BV93" s="46" t="e">
        <f t="shared" si="56"/>
        <v>#DIV/0!</v>
      </c>
      <c r="BW93" s="46" t="e">
        <f t="shared" si="57"/>
        <v>#DIV/0!</v>
      </c>
      <c r="BX93" s="46" t="e">
        <f t="shared" si="58"/>
        <v>#DIV/0!</v>
      </c>
      <c r="BY93" s="46" t="e">
        <f t="shared" si="59"/>
        <v>#DIV/0!</v>
      </c>
      <c r="BZ93" s="46" t="e">
        <f t="shared" si="60"/>
        <v>#DIV/0!</v>
      </c>
      <c r="CA93" s="46" t="e">
        <f t="shared" si="61"/>
        <v>#DIV/0!</v>
      </c>
      <c r="CB93" s="46" t="e">
        <f t="shared" si="62"/>
        <v>#DIV/0!</v>
      </c>
      <c r="CC93" s="46" t="e">
        <f t="shared" si="63"/>
        <v>#DIV/0!</v>
      </c>
      <c r="CD93" s="46" t="e">
        <f t="shared" si="64"/>
        <v>#DIV/0!</v>
      </c>
      <c r="CE93" s="56" t="e">
        <f t="shared" si="65"/>
        <v>#DIV/0!</v>
      </c>
      <c r="CF93" s="56" t="e">
        <f t="shared" si="66"/>
        <v>#DIV/0!</v>
      </c>
      <c r="CG93" s="56" t="e">
        <f t="shared" si="67"/>
        <v>#DIV/0!</v>
      </c>
      <c r="CH93" s="56" t="e">
        <f t="shared" si="68"/>
        <v>#DIV/0!</v>
      </c>
      <c r="CI93" s="56" t="e">
        <f t="shared" si="69"/>
        <v>#DIV/0!</v>
      </c>
      <c r="CJ93" s="56" t="e">
        <f t="shared" si="70"/>
        <v>#DIV/0!</v>
      </c>
      <c r="CK93" s="56" t="e">
        <f t="shared" si="71"/>
        <v>#DIV/0!</v>
      </c>
      <c r="CL93" s="56" t="e">
        <f t="shared" si="72"/>
        <v>#DIV/0!</v>
      </c>
      <c r="CM93" s="56" t="e">
        <f t="shared" si="73"/>
        <v>#DIV/0!</v>
      </c>
    </row>
    <row r="94" spans="1:91" x14ac:dyDescent="0.15">
      <c r="A94" s="43">
        <v>92</v>
      </c>
      <c r="B94" s="46">
        <f t="shared" si="79"/>
        <v>1</v>
      </c>
      <c r="C94" s="46">
        <f t="shared" si="78"/>
        <v>1</v>
      </c>
      <c r="D94" s="46">
        <f t="shared" si="78"/>
        <v>1</v>
      </c>
      <c r="E94" s="46">
        <f t="shared" si="78"/>
        <v>1</v>
      </c>
      <c r="F94" s="46">
        <f t="shared" si="78"/>
        <v>1</v>
      </c>
      <c r="G94" s="46">
        <f t="shared" si="78"/>
        <v>1</v>
      </c>
      <c r="H94" s="46">
        <f t="shared" si="78"/>
        <v>1</v>
      </c>
      <c r="I94" s="46">
        <f t="shared" si="78"/>
        <v>1</v>
      </c>
      <c r="J94" s="46">
        <f t="shared" si="78"/>
        <v>1</v>
      </c>
      <c r="K94" s="46" t="e">
        <f>K93+ATM_Conf!$C$5*(T93-AC93)</f>
        <v>#DIV/0!</v>
      </c>
      <c r="L94" s="46" t="e">
        <f>L93+ATM_Conf!$C$5*(U93-AD93)</f>
        <v>#DIV/0!</v>
      </c>
      <c r="M94" s="46" t="e">
        <f>M93+ATM_Conf!$C$5*(V93-AE93)</f>
        <v>#DIV/0!</v>
      </c>
      <c r="N94" s="46" t="e">
        <f>N93+ATM_Conf!$C$5*(W93-AF93)</f>
        <v>#DIV/0!</v>
      </c>
      <c r="O94" s="46" t="e">
        <f>O93+ATM_Conf!$C$5*(X93-AG93)</f>
        <v>#DIV/0!</v>
      </c>
      <c r="P94" s="46" t="e">
        <f>P93+ATM_Conf!$C$5*(Y93-AH93)</f>
        <v>#DIV/0!</v>
      </c>
      <c r="Q94" s="46" t="e">
        <f>Q93+ATM_Conf!$C$5*(Z93-AI93)</f>
        <v>#DIV/0!</v>
      </c>
      <c r="R94" s="46" t="e">
        <f>R93+ATM_Conf!$C$5*(AA93-AJ93)</f>
        <v>#DIV/0!</v>
      </c>
      <c r="S94" s="46" t="e">
        <f>S93+ATM_Conf!$C$5*(AB93-AK93)</f>
        <v>#DIV/0!</v>
      </c>
      <c r="T94" s="46"/>
      <c r="U94" s="46"/>
      <c r="V94" s="46"/>
      <c r="W94" s="46"/>
      <c r="X94" s="46"/>
      <c r="Y94" s="46"/>
      <c r="Z94" s="46"/>
      <c r="AA94" s="46"/>
      <c r="AB94" s="46"/>
      <c r="AC94" s="46" t="e">
        <f t="shared" si="47"/>
        <v>#DIV/0!</v>
      </c>
      <c r="AD94" s="46" t="e">
        <f t="shared" si="48"/>
        <v>#DIV/0!</v>
      </c>
      <c r="AE94" s="46" t="e">
        <f t="shared" si="49"/>
        <v>#DIV/0!</v>
      </c>
      <c r="AF94" s="46" t="e">
        <f t="shared" si="50"/>
        <v>#DIV/0!</v>
      </c>
      <c r="AG94" s="46" t="e">
        <f t="shared" si="51"/>
        <v>#DIV/0!</v>
      </c>
      <c r="AH94" s="46" t="e">
        <f t="shared" si="52"/>
        <v>#DIV/0!</v>
      </c>
      <c r="AI94" s="46" t="e">
        <f t="shared" si="53"/>
        <v>#DIV/0!</v>
      </c>
      <c r="AJ94" s="46" t="e">
        <f t="shared" si="54"/>
        <v>#DIV/0!</v>
      </c>
      <c r="AK94" s="46" t="e">
        <f t="shared" si="55"/>
        <v>#DIV/0!</v>
      </c>
      <c r="AL94" s="46" t="e">
        <f>T$3+K94/ATM_Conf!$C$5</f>
        <v>#DIV/0!</v>
      </c>
      <c r="AM94" s="46" t="e">
        <f>U$3+L94/ATM_Conf!$C$5</f>
        <v>#DIV/0!</v>
      </c>
      <c r="AN94" s="46" t="e">
        <f>V$3+M94/ATM_Conf!$C$5</f>
        <v>#DIV/0!</v>
      </c>
      <c r="AO94" s="46" t="e">
        <f>W$3+N94/ATM_Conf!$C$5</f>
        <v>#DIV/0!</v>
      </c>
      <c r="AP94" s="46" t="e">
        <f>X$3+O94/ATM_Conf!$C$5</f>
        <v>#DIV/0!</v>
      </c>
      <c r="AQ94" s="46" t="e">
        <f>Y$3+P94/ATM_Conf!$C$5</f>
        <v>#DIV/0!</v>
      </c>
      <c r="AR94" s="46" t="e">
        <f>Z$3+Q94/ATM_Conf!$C$5</f>
        <v>#DIV/0!</v>
      </c>
      <c r="AS94" s="46" t="e">
        <f>AA$3+R94/ATM_Conf!$C$5</f>
        <v>#DIV/0!</v>
      </c>
      <c r="AT94" s="46" t="e">
        <f>AB$3+S94/ATM_Conf!$C$5</f>
        <v>#DIV/0!</v>
      </c>
      <c r="AU94" s="46" t="e">
        <f>BD$3*MIN(1,(ATM_Conf!$C$6-Links!F94)/(ATM_Conf!$C$6-ATM_Conf!$C$7))</f>
        <v>#DIV/0!</v>
      </c>
      <c r="AV94" s="46" t="e">
        <f>BE$3*MIN(1,(ATM_Conf!$C$6-Links!G94)/(ATM_Conf!$C$6-ATM_Conf!$C$7))</f>
        <v>#DIV/0!</v>
      </c>
      <c r="AW94" s="46" t="e">
        <f>BF$3*MIN(1,(ATM_Conf!$C$6-Links!H94)/(ATM_Conf!$C$6-ATM_Conf!$C$7))</f>
        <v>#DIV/0!</v>
      </c>
      <c r="AX94" s="46" t="e">
        <f>BG$3*MIN(1,(ATM_Conf!$C$6-Links!I94)/(ATM_Conf!$C$6-ATM_Conf!$C$7))</f>
        <v>#DIV/0!</v>
      </c>
      <c r="AY94" s="46" t="e">
        <f>BH$3*MIN(1,(ATM_Conf!$C$6-Links!J94)/(ATM_Conf!$C$6-ATM_Conf!$C$7))</f>
        <v>#DIV/0!</v>
      </c>
      <c r="AZ94" s="46" t="e">
        <f>BI$3*MIN(1,(ATM_Conf!$C$6-Links!K94)/(ATM_Conf!$C$6-ATM_Conf!$C$7))</f>
        <v>#DIV/0!</v>
      </c>
      <c r="BA94" s="46" t="e">
        <f>BJ$3*MIN(1,(ATM_Conf!$C$6-Links!L94)/(ATM_Conf!$C$6-ATM_Conf!$C$7))</f>
        <v>#DIV/0!</v>
      </c>
      <c r="BB94" s="46" t="e">
        <f>BK$3*MIN(1,(ATM_Conf!$C$6-Links!M94)/(ATM_Conf!$C$6-ATM_Conf!$C$7))</f>
        <v>#DIV/0!</v>
      </c>
      <c r="BC94" s="46" t="e">
        <f>BL$3*MIN(1,(ATM_Conf!$C$6-Links!N94)/(ATM_Conf!$C$6-ATM_Conf!$C$7))</f>
        <v>#DIV/0!</v>
      </c>
      <c r="BD94" s="46"/>
      <c r="BE94" s="46"/>
      <c r="BF94" s="46"/>
      <c r="BG94" s="46"/>
      <c r="BH94" s="46"/>
      <c r="BI94" s="46"/>
      <c r="BJ94" s="46"/>
      <c r="BK94" s="46"/>
      <c r="BL94" s="46"/>
      <c r="BM94" s="54"/>
      <c r="BN94" s="54"/>
      <c r="BO94" s="54"/>
      <c r="BP94" s="54"/>
      <c r="BQ94" s="54"/>
      <c r="BR94" s="54"/>
      <c r="BS94" s="54"/>
      <c r="BT94" s="54"/>
      <c r="BU94" s="54"/>
      <c r="BV94" s="46" t="e">
        <f t="shared" si="56"/>
        <v>#DIV/0!</v>
      </c>
      <c r="BW94" s="46" t="e">
        <f t="shared" si="57"/>
        <v>#DIV/0!</v>
      </c>
      <c r="BX94" s="46" t="e">
        <f t="shared" si="58"/>
        <v>#DIV/0!</v>
      </c>
      <c r="BY94" s="46" t="e">
        <f t="shared" si="59"/>
        <v>#DIV/0!</v>
      </c>
      <c r="BZ94" s="46" t="e">
        <f t="shared" si="60"/>
        <v>#DIV/0!</v>
      </c>
      <c r="CA94" s="46" t="e">
        <f t="shared" si="61"/>
        <v>#DIV/0!</v>
      </c>
      <c r="CB94" s="46" t="e">
        <f t="shared" si="62"/>
        <v>#DIV/0!</v>
      </c>
      <c r="CC94" s="46" t="e">
        <f t="shared" si="63"/>
        <v>#DIV/0!</v>
      </c>
      <c r="CD94" s="46" t="e">
        <f t="shared" si="64"/>
        <v>#DIV/0!</v>
      </c>
      <c r="CE94" s="56" t="e">
        <f t="shared" si="65"/>
        <v>#DIV/0!</v>
      </c>
      <c r="CF94" s="56" t="e">
        <f t="shared" si="66"/>
        <v>#DIV/0!</v>
      </c>
      <c r="CG94" s="56" t="e">
        <f t="shared" si="67"/>
        <v>#DIV/0!</v>
      </c>
      <c r="CH94" s="56" t="e">
        <f t="shared" si="68"/>
        <v>#DIV/0!</v>
      </c>
      <c r="CI94" s="56" t="e">
        <f t="shared" si="69"/>
        <v>#DIV/0!</v>
      </c>
      <c r="CJ94" s="56" t="e">
        <f t="shared" si="70"/>
        <v>#DIV/0!</v>
      </c>
      <c r="CK94" s="56" t="e">
        <f t="shared" si="71"/>
        <v>#DIV/0!</v>
      </c>
      <c r="CL94" s="56" t="e">
        <f t="shared" si="72"/>
        <v>#DIV/0!</v>
      </c>
      <c r="CM94" s="56" t="e">
        <f t="shared" si="73"/>
        <v>#DIV/0!</v>
      </c>
    </row>
    <row r="95" spans="1:91" x14ac:dyDescent="0.15">
      <c r="A95" s="43">
        <v>93</v>
      </c>
      <c r="B95" s="46">
        <f t="shared" si="79"/>
        <v>1</v>
      </c>
      <c r="C95" s="46">
        <f t="shared" si="78"/>
        <v>1</v>
      </c>
      <c r="D95" s="46">
        <f t="shared" si="78"/>
        <v>1</v>
      </c>
      <c r="E95" s="46">
        <f t="shared" si="78"/>
        <v>1</v>
      </c>
      <c r="F95" s="46">
        <f t="shared" si="78"/>
        <v>1</v>
      </c>
      <c r="G95" s="46">
        <f t="shared" si="78"/>
        <v>1</v>
      </c>
      <c r="H95" s="46">
        <f t="shared" si="78"/>
        <v>1</v>
      </c>
      <c r="I95" s="46">
        <f t="shared" si="78"/>
        <v>1</v>
      </c>
      <c r="J95" s="46">
        <f t="shared" si="78"/>
        <v>1</v>
      </c>
      <c r="K95" s="46" t="e">
        <f>K94+ATM_Conf!$C$5*(T94-AC94)</f>
        <v>#DIV/0!</v>
      </c>
      <c r="L95" s="46" t="e">
        <f>L94+ATM_Conf!$C$5*(U94-AD94)</f>
        <v>#DIV/0!</v>
      </c>
      <c r="M95" s="46" t="e">
        <f>M94+ATM_Conf!$C$5*(V94-AE94)</f>
        <v>#DIV/0!</v>
      </c>
      <c r="N95" s="46" t="e">
        <f>N94+ATM_Conf!$C$5*(W94-AF94)</f>
        <v>#DIV/0!</v>
      </c>
      <c r="O95" s="46" t="e">
        <f>O94+ATM_Conf!$C$5*(X94-AG94)</f>
        <v>#DIV/0!</v>
      </c>
      <c r="P95" s="46" t="e">
        <f>P94+ATM_Conf!$C$5*(Y94-AH94)</f>
        <v>#DIV/0!</v>
      </c>
      <c r="Q95" s="46" t="e">
        <f>Q94+ATM_Conf!$C$5*(Z94-AI94)</f>
        <v>#DIV/0!</v>
      </c>
      <c r="R95" s="46" t="e">
        <f>R94+ATM_Conf!$C$5*(AA94-AJ94)</f>
        <v>#DIV/0!</v>
      </c>
      <c r="S95" s="46" t="e">
        <f>S94+ATM_Conf!$C$5*(AB94-AK94)</f>
        <v>#DIV/0!</v>
      </c>
      <c r="T95" s="46"/>
      <c r="U95" s="46"/>
      <c r="V95" s="46"/>
      <c r="W95" s="46"/>
      <c r="X95" s="46"/>
      <c r="Y95" s="46"/>
      <c r="Z95" s="46"/>
      <c r="AA95" s="46"/>
      <c r="AB95" s="46"/>
      <c r="AC95" s="46" t="e">
        <f t="shared" si="47"/>
        <v>#DIV/0!</v>
      </c>
      <c r="AD95" s="46" t="e">
        <f t="shared" si="48"/>
        <v>#DIV/0!</v>
      </c>
      <c r="AE95" s="46" t="e">
        <f t="shared" si="49"/>
        <v>#DIV/0!</v>
      </c>
      <c r="AF95" s="46" t="e">
        <f t="shared" si="50"/>
        <v>#DIV/0!</v>
      </c>
      <c r="AG95" s="46" t="e">
        <f t="shared" si="51"/>
        <v>#DIV/0!</v>
      </c>
      <c r="AH95" s="46" t="e">
        <f t="shared" si="52"/>
        <v>#DIV/0!</v>
      </c>
      <c r="AI95" s="46" t="e">
        <f t="shared" si="53"/>
        <v>#DIV/0!</v>
      </c>
      <c r="AJ95" s="46" t="e">
        <f t="shared" si="54"/>
        <v>#DIV/0!</v>
      </c>
      <c r="AK95" s="46" t="e">
        <f t="shared" si="55"/>
        <v>#DIV/0!</v>
      </c>
      <c r="AL95" s="46" t="e">
        <f>T$3+K95/ATM_Conf!$C$5</f>
        <v>#DIV/0!</v>
      </c>
      <c r="AM95" s="46" t="e">
        <f>U$3+L95/ATM_Conf!$C$5</f>
        <v>#DIV/0!</v>
      </c>
      <c r="AN95" s="46" t="e">
        <f>V$3+M95/ATM_Conf!$C$5</f>
        <v>#DIV/0!</v>
      </c>
      <c r="AO95" s="46" t="e">
        <f>W$3+N95/ATM_Conf!$C$5</f>
        <v>#DIV/0!</v>
      </c>
      <c r="AP95" s="46" t="e">
        <f>X$3+O95/ATM_Conf!$C$5</f>
        <v>#DIV/0!</v>
      </c>
      <c r="AQ95" s="46" t="e">
        <f>Y$3+P95/ATM_Conf!$C$5</f>
        <v>#DIV/0!</v>
      </c>
      <c r="AR95" s="46" t="e">
        <f>Z$3+Q95/ATM_Conf!$C$5</f>
        <v>#DIV/0!</v>
      </c>
      <c r="AS95" s="46" t="e">
        <f>AA$3+R95/ATM_Conf!$C$5</f>
        <v>#DIV/0!</v>
      </c>
      <c r="AT95" s="46" t="e">
        <f>AB$3+S95/ATM_Conf!$C$5</f>
        <v>#DIV/0!</v>
      </c>
      <c r="AU95" s="46" t="e">
        <f>BD$3*MIN(1,(ATM_Conf!$C$6-Links!F95)/(ATM_Conf!$C$6-ATM_Conf!$C$7))</f>
        <v>#DIV/0!</v>
      </c>
      <c r="AV95" s="46" t="e">
        <f>BE$3*MIN(1,(ATM_Conf!$C$6-Links!G95)/(ATM_Conf!$C$6-ATM_Conf!$C$7))</f>
        <v>#DIV/0!</v>
      </c>
      <c r="AW95" s="46" t="e">
        <f>BF$3*MIN(1,(ATM_Conf!$C$6-Links!H95)/(ATM_Conf!$C$6-ATM_Conf!$C$7))</f>
        <v>#DIV/0!</v>
      </c>
      <c r="AX95" s="46" t="e">
        <f>BG$3*MIN(1,(ATM_Conf!$C$6-Links!I95)/(ATM_Conf!$C$6-ATM_Conf!$C$7))</f>
        <v>#DIV/0!</v>
      </c>
      <c r="AY95" s="46" t="e">
        <f>BH$3*MIN(1,(ATM_Conf!$C$6-Links!J95)/(ATM_Conf!$C$6-ATM_Conf!$C$7))</f>
        <v>#DIV/0!</v>
      </c>
      <c r="AZ95" s="46" t="e">
        <f>BI$3*MIN(1,(ATM_Conf!$C$6-Links!K95)/(ATM_Conf!$C$6-ATM_Conf!$C$7))</f>
        <v>#DIV/0!</v>
      </c>
      <c r="BA95" s="46" t="e">
        <f>BJ$3*MIN(1,(ATM_Conf!$C$6-Links!L95)/(ATM_Conf!$C$6-ATM_Conf!$C$7))</f>
        <v>#DIV/0!</v>
      </c>
      <c r="BB95" s="46" t="e">
        <f>BK$3*MIN(1,(ATM_Conf!$C$6-Links!M95)/(ATM_Conf!$C$6-ATM_Conf!$C$7))</f>
        <v>#DIV/0!</v>
      </c>
      <c r="BC95" s="46" t="e">
        <f>BL$3*MIN(1,(ATM_Conf!$C$6-Links!N95)/(ATM_Conf!$C$6-ATM_Conf!$C$7))</f>
        <v>#DIV/0!</v>
      </c>
      <c r="BD95" s="46"/>
      <c r="BE95" s="46"/>
      <c r="BF95" s="46"/>
      <c r="BG95" s="46"/>
      <c r="BH95" s="46"/>
      <c r="BI95" s="46"/>
      <c r="BJ95" s="46"/>
      <c r="BK95" s="46"/>
      <c r="BL95" s="46"/>
      <c r="BM95" s="54"/>
      <c r="BN95" s="54"/>
      <c r="BO95" s="54"/>
      <c r="BP95" s="54"/>
      <c r="BQ95" s="54"/>
      <c r="BR95" s="54"/>
      <c r="BS95" s="54"/>
      <c r="BT95" s="54"/>
      <c r="BU95" s="54"/>
      <c r="BV95" s="46" t="e">
        <f t="shared" si="56"/>
        <v>#DIV/0!</v>
      </c>
      <c r="BW95" s="46" t="e">
        <f t="shared" si="57"/>
        <v>#DIV/0!</v>
      </c>
      <c r="BX95" s="46" t="e">
        <f t="shared" si="58"/>
        <v>#DIV/0!</v>
      </c>
      <c r="BY95" s="46" t="e">
        <f t="shared" si="59"/>
        <v>#DIV/0!</v>
      </c>
      <c r="BZ95" s="46" t="e">
        <f t="shared" si="60"/>
        <v>#DIV/0!</v>
      </c>
      <c r="CA95" s="46" t="e">
        <f t="shared" si="61"/>
        <v>#DIV/0!</v>
      </c>
      <c r="CB95" s="46" t="e">
        <f t="shared" si="62"/>
        <v>#DIV/0!</v>
      </c>
      <c r="CC95" s="46" t="e">
        <f t="shared" si="63"/>
        <v>#DIV/0!</v>
      </c>
      <c r="CD95" s="46" t="e">
        <f t="shared" si="64"/>
        <v>#DIV/0!</v>
      </c>
      <c r="CE95" s="56" t="e">
        <f t="shared" si="65"/>
        <v>#DIV/0!</v>
      </c>
      <c r="CF95" s="56" t="e">
        <f t="shared" si="66"/>
        <v>#DIV/0!</v>
      </c>
      <c r="CG95" s="56" t="e">
        <f t="shared" si="67"/>
        <v>#DIV/0!</v>
      </c>
      <c r="CH95" s="56" t="e">
        <f t="shared" si="68"/>
        <v>#DIV/0!</v>
      </c>
      <c r="CI95" s="56" t="e">
        <f t="shared" si="69"/>
        <v>#DIV/0!</v>
      </c>
      <c r="CJ95" s="56" t="e">
        <f t="shared" si="70"/>
        <v>#DIV/0!</v>
      </c>
      <c r="CK95" s="56" t="e">
        <f t="shared" si="71"/>
        <v>#DIV/0!</v>
      </c>
      <c r="CL95" s="56" t="e">
        <f t="shared" si="72"/>
        <v>#DIV/0!</v>
      </c>
      <c r="CM95" s="56" t="e">
        <f t="shared" si="73"/>
        <v>#DIV/0!</v>
      </c>
    </row>
    <row r="96" spans="1:91" x14ac:dyDescent="0.15">
      <c r="A96" s="43">
        <v>94</v>
      </c>
      <c r="B96" s="46">
        <f t="shared" si="79"/>
        <v>1</v>
      </c>
      <c r="C96" s="46">
        <f t="shared" si="78"/>
        <v>1</v>
      </c>
      <c r="D96" s="46">
        <f t="shared" si="78"/>
        <v>1</v>
      </c>
      <c r="E96" s="46">
        <f t="shared" si="78"/>
        <v>1</v>
      </c>
      <c r="F96" s="46">
        <f t="shared" si="78"/>
        <v>1</v>
      </c>
      <c r="G96" s="46">
        <f t="shared" si="78"/>
        <v>1</v>
      </c>
      <c r="H96" s="46">
        <f t="shared" si="78"/>
        <v>1</v>
      </c>
      <c r="I96" s="46">
        <f t="shared" si="78"/>
        <v>1</v>
      </c>
      <c r="J96" s="46">
        <f t="shared" si="78"/>
        <v>1</v>
      </c>
      <c r="K96" s="46" t="e">
        <f>K95+ATM_Conf!$C$5*(T95-AC95)</f>
        <v>#DIV/0!</v>
      </c>
      <c r="L96" s="46" t="e">
        <f>L95+ATM_Conf!$C$5*(U95-AD95)</f>
        <v>#DIV/0!</v>
      </c>
      <c r="M96" s="46" t="e">
        <f>M95+ATM_Conf!$C$5*(V95-AE95)</f>
        <v>#DIV/0!</v>
      </c>
      <c r="N96" s="46" t="e">
        <f>N95+ATM_Conf!$C$5*(W95-AF95)</f>
        <v>#DIV/0!</v>
      </c>
      <c r="O96" s="46" t="e">
        <f>O95+ATM_Conf!$C$5*(X95-AG95)</f>
        <v>#DIV/0!</v>
      </c>
      <c r="P96" s="46" t="e">
        <f>P95+ATM_Conf!$C$5*(Y95-AH95)</f>
        <v>#DIV/0!</v>
      </c>
      <c r="Q96" s="46" t="e">
        <f>Q95+ATM_Conf!$C$5*(Z95-AI95)</f>
        <v>#DIV/0!</v>
      </c>
      <c r="R96" s="46" t="e">
        <f>R95+ATM_Conf!$C$5*(AA95-AJ95)</f>
        <v>#DIV/0!</v>
      </c>
      <c r="S96" s="46" t="e">
        <f>S95+ATM_Conf!$C$5*(AB95-AK95)</f>
        <v>#DIV/0!</v>
      </c>
      <c r="T96" s="46"/>
      <c r="U96" s="46"/>
      <c r="V96" s="46"/>
      <c r="W96" s="46"/>
      <c r="X96" s="46"/>
      <c r="Y96" s="46"/>
      <c r="Z96" s="46"/>
      <c r="AA96" s="46"/>
      <c r="AB96" s="46"/>
      <c r="AC96" s="46" t="e">
        <f t="shared" si="47"/>
        <v>#DIV/0!</v>
      </c>
      <c r="AD96" s="46" t="e">
        <f t="shared" si="48"/>
        <v>#DIV/0!</v>
      </c>
      <c r="AE96" s="46" t="e">
        <f t="shared" si="49"/>
        <v>#DIV/0!</v>
      </c>
      <c r="AF96" s="46" t="e">
        <f t="shared" si="50"/>
        <v>#DIV/0!</v>
      </c>
      <c r="AG96" s="46" t="e">
        <f t="shared" si="51"/>
        <v>#DIV/0!</v>
      </c>
      <c r="AH96" s="46" t="e">
        <f t="shared" si="52"/>
        <v>#DIV/0!</v>
      </c>
      <c r="AI96" s="46" t="e">
        <f t="shared" si="53"/>
        <v>#DIV/0!</v>
      </c>
      <c r="AJ96" s="46" t="e">
        <f t="shared" si="54"/>
        <v>#DIV/0!</v>
      </c>
      <c r="AK96" s="46" t="e">
        <f t="shared" si="55"/>
        <v>#DIV/0!</v>
      </c>
      <c r="AL96" s="46" t="e">
        <f>T$3+K96/ATM_Conf!$C$5</f>
        <v>#DIV/0!</v>
      </c>
      <c r="AM96" s="46" t="e">
        <f>U$3+L96/ATM_Conf!$C$5</f>
        <v>#DIV/0!</v>
      </c>
      <c r="AN96" s="46" t="e">
        <f>V$3+M96/ATM_Conf!$C$5</f>
        <v>#DIV/0!</v>
      </c>
      <c r="AO96" s="46" t="e">
        <f>W$3+N96/ATM_Conf!$C$5</f>
        <v>#DIV/0!</v>
      </c>
      <c r="AP96" s="46" t="e">
        <f>X$3+O96/ATM_Conf!$C$5</f>
        <v>#DIV/0!</v>
      </c>
      <c r="AQ96" s="46" t="e">
        <f>Y$3+P96/ATM_Conf!$C$5</f>
        <v>#DIV/0!</v>
      </c>
      <c r="AR96" s="46" t="e">
        <f>Z$3+Q96/ATM_Conf!$C$5</f>
        <v>#DIV/0!</v>
      </c>
      <c r="AS96" s="46" t="e">
        <f>AA$3+R96/ATM_Conf!$C$5</f>
        <v>#DIV/0!</v>
      </c>
      <c r="AT96" s="46" t="e">
        <f>AB$3+S96/ATM_Conf!$C$5</f>
        <v>#DIV/0!</v>
      </c>
      <c r="AU96" s="46" t="e">
        <f>BD$3*MIN(1,(ATM_Conf!$C$6-Links!F96)/(ATM_Conf!$C$6-ATM_Conf!$C$7))</f>
        <v>#DIV/0!</v>
      </c>
      <c r="AV96" s="46" t="e">
        <f>BE$3*MIN(1,(ATM_Conf!$C$6-Links!G96)/(ATM_Conf!$C$6-ATM_Conf!$C$7))</f>
        <v>#DIV/0!</v>
      </c>
      <c r="AW96" s="46" t="e">
        <f>BF$3*MIN(1,(ATM_Conf!$C$6-Links!H96)/(ATM_Conf!$C$6-ATM_Conf!$C$7))</f>
        <v>#DIV/0!</v>
      </c>
      <c r="AX96" s="46" t="e">
        <f>BG$3*MIN(1,(ATM_Conf!$C$6-Links!I96)/(ATM_Conf!$C$6-ATM_Conf!$C$7))</f>
        <v>#DIV/0!</v>
      </c>
      <c r="AY96" s="46" t="e">
        <f>BH$3*MIN(1,(ATM_Conf!$C$6-Links!J96)/(ATM_Conf!$C$6-ATM_Conf!$C$7))</f>
        <v>#DIV/0!</v>
      </c>
      <c r="AZ96" s="46" t="e">
        <f>BI$3*MIN(1,(ATM_Conf!$C$6-Links!K96)/(ATM_Conf!$C$6-ATM_Conf!$C$7))</f>
        <v>#DIV/0!</v>
      </c>
      <c r="BA96" s="46" t="e">
        <f>BJ$3*MIN(1,(ATM_Conf!$C$6-Links!L96)/(ATM_Conf!$C$6-ATM_Conf!$C$7))</f>
        <v>#DIV/0!</v>
      </c>
      <c r="BB96" s="46" t="e">
        <f>BK$3*MIN(1,(ATM_Conf!$C$6-Links!M96)/(ATM_Conf!$C$6-ATM_Conf!$C$7))</f>
        <v>#DIV/0!</v>
      </c>
      <c r="BC96" s="46" t="e">
        <f>BL$3*MIN(1,(ATM_Conf!$C$6-Links!N96)/(ATM_Conf!$C$6-ATM_Conf!$C$7))</f>
        <v>#DIV/0!</v>
      </c>
      <c r="BD96" s="46"/>
      <c r="BE96" s="46"/>
      <c r="BF96" s="46"/>
      <c r="BG96" s="46"/>
      <c r="BH96" s="46"/>
      <c r="BI96" s="46"/>
      <c r="BJ96" s="46"/>
      <c r="BK96" s="46"/>
      <c r="BL96" s="46"/>
      <c r="BM96" s="54"/>
      <c r="BN96" s="54"/>
      <c r="BO96" s="54"/>
      <c r="BP96" s="54"/>
      <c r="BQ96" s="54"/>
      <c r="BR96" s="54"/>
      <c r="BS96" s="54"/>
      <c r="BT96" s="54"/>
      <c r="BU96" s="54"/>
      <c r="BV96" s="46" t="e">
        <f t="shared" si="56"/>
        <v>#DIV/0!</v>
      </c>
      <c r="BW96" s="46" t="e">
        <f t="shared" si="57"/>
        <v>#DIV/0!</v>
      </c>
      <c r="BX96" s="46" t="e">
        <f t="shared" si="58"/>
        <v>#DIV/0!</v>
      </c>
      <c r="BY96" s="46" t="e">
        <f t="shared" si="59"/>
        <v>#DIV/0!</v>
      </c>
      <c r="BZ96" s="46" t="e">
        <f t="shared" si="60"/>
        <v>#DIV/0!</v>
      </c>
      <c r="CA96" s="46" t="e">
        <f t="shared" si="61"/>
        <v>#DIV/0!</v>
      </c>
      <c r="CB96" s="46" t="e">
        <f t="shared" si="62"/>
        <v>#DIV/0!</v>
      </c>
      <c r="CC96" s="46" t="e">
        <f t="shared" si="63"/>
        <v>#DIV/0!</v>
      </c>
      <c r="CD96" s="46" t="e">
        <f t="shared" si="64"/>
        <v>#DIV/0!</v>
      </c>
      <c r="CE96" s="56" t="e">
        <f t="shared" si="65"/>
        <v>#DIV/0!</v>
      </c>
      <c r="CF96" s="56" t="e">
        <f t="shared" si="66"/>
        <v>#DIV/0!</v>
      </c>
      <c r="CG96" s="56" t="e">
        <f t="shared" si="67"/>
        <v>#DIV/0!</v>
      </c>
      <c r="CH96" s="56" t="e">
        <f t="shared" si="68"/>
        <v>#DIV/0!</v>
      </c>
      <c r="CI96" s="56" t="e">
        <f t="shared" si="69"/>
        <v>#DIV/0!</v>
      </c>
      <c r="CJ96" s="56" t="e">
        <f t="shared" si="70"/>
        <v>#DIV/0!</v>
      </c>
      <c r="CK96" s="56" t="e">
        <f t="shared" si="71"/>
        <v>#DIV/0!</v>
      </c>
      <c r="CL96" s="56" t="e">
        <f t="shared" si="72"/>
        <v>#DIV/0!</v>
      </c>
      <c r="CM96" s="56" t="e">
        <f t="shared" si="73"/>
        <v>#DIV/0!</v>
      </c>
    </row>
    <row r="97" spans="1:91" x14ac:dyDescent="0.15">
      <c r="A97" s="43">
        <v>95</v>
      </c>
      <c r="B97" s="46">
        <f t="shared" si="79"/>
        <v>1</v>
      </c>
      <c r="C97" s="46">
        <f t="shared" si="78"/>
        <v>1</v>
      </c>
      <c r="D97" s="46">
        <f t="shared" si="78"/>
        <v>1</v>
      </c>
      <c r="E97" s="46">
        <f t="shared" si="78"/>
        <v>1</v>
      </c>
      <c r="F97" s="46">
        <f t="shared" si="78"/>
        <v>1</v>
      </c>
      <c r="G97" s="46">
        <f t="shared" si="78"/>
        <v>1</v>
      </c>
      <c r="H97" s="46">
        <f t="shared" si="78"/>
        <v>1</v>
      </c>
      <c r="I97" s="46">
        <f t="shared" si="78"/>
        <v>1</v>
      </c>
      <c r="J97" s="46">
        <f t="shared" si="78"/>
        <v>1</v>
      </c>
      <c r="K97" s="46" t="e">
        <f>K96+ATM_Conf!$C$5*(T96-AC96)</f>
        <v>#DIV/0!</v>
      </c>
      <c r="L97" s="46" t="e">
        <f>L96+ATM_Conf!$C$5*(U96-AD96)</f>
        <v>#DIV/0!</v>
      </c>
      <c r="M97" s="46" t="e">
        <f>M96+ATM_Conf!$C$5*(V96-AE96)</f>
        <v>#DIV/0!</v>
      </c>
      <c r="N97" s="46" t="e">
        <f>N96+ATM_Conf!$C$5*(W96-AF96)</f>
        <v>#DIV/0!</v>
      </c>
      <c r="O97" s="46" t="e">
        <f>O96+ATM_Conf!$C$5*(X96-AG96)</f>
        <v>#DIV/0!</v>
      </c>
      <c r="P97" s="46" t="e">
        <f>P96+ATM_Conf!$C$5*(Y96-AH96)</f>
        <v>#DIV/0!</v>
      </c>
      <c r="Q97" s="46" t="e">
        <f>Q96+ATM_Conf!$C$5*(Z96-AI96)</f>
        <v>#DIV/0!</v>
      </c>
      <c r="R97" s="46" t="e">
        <f>R96+ATM_Conf!$C$5*(AA96-AJ96)</f>
        <v>#DIV/0!</v>
      </c>
      <c r="S97" s="46" t="e">
        <f>S96+ATM_Conf!$C$5*(AB96-AK96)</f>
        <v>#DIV/0!</v>
      </c>
      <c r="T97" s="46"/>
      <c r="U97" s="46"/>
      <c r="V97" s="46"/>
      <c r="W97" s="46"/>
      <c r="X97" s="46"/>
      <c r="Y97" s="46"/>
      <c r="Z97" s="46"/>
      <c r="AA97" s="46"/>
      <c r="AB97" s="46"/>
      <c r="AC97" s="46" t="e">
        <f t="shared" si="47"/>
        <v>#DIV/0!</v>
      </c>
      <c r="AD97" s="46" t="e">
        <f t="shared" si="48"/>
        <v>#DIV/0!</v>
      </c>
      <c r="AE97" s="46" t="e">
        <f t="shared" si="49"/>
        <v>#DIV/0!</v>
      </c>
      <c r="AF97" s="46" t="e">
        <f t="shared" si="50"/>
        <v>#DIV/0!</v>
      </c>
      <c r="AG97" s="46" t="e">
        <f t="shared" si="51"/>
        <v>#DIV/0!</v>
      </c>
      <c r="AH97" s="46" t="e">
        <f t="shared" si="52"/>
        <v>#DIV/0!</v>
      </c>
      <c r="AI97" s="46" t="e">
        <f t="shared" si="53"/>
        <v>#DIV/0!</v>
      </c>
      <c r="AJ97" s="46" t="e">
        <f t="shared" si="54"/>
        <v>#DIV/0!</v>
      </c>
      <c r="AK97" s="46" t="e">
        <f t="shared" si="55"/>
        <v>#DIV/0!</v>
      </c>
      <c r="AL97" s="46" t="e">
        <f>T$3+K97/ATM_Conf!$C$5</f>
        <v>#DIV/0!</v>
      </c>
      <c r="AM97" s="46" t="e">
        <f>U$3+L97/ATM_Conf!$C$5</f>
        <v>#DIV/0!</v>
      </c>
      <c r="AN97" s="46" t="e">
        <f>V$3+M97/ATM_Conf!$C$5</f>
        <v>#DIV/0!</v>
      </c>
      <c r="AO97" s="46" t="e">
        <f>W$3+N97/ATM_Conf!$C$5</f>
        <v>#DIV/0!</v>
      </c>
      <c r="AP97" s="46" t="e">
        <f>X$3+O97/ATM_Conf!$C$5</f>
        <v>#DIV/0!</v>
      </c>
      <c r="AQ97" s="46" t="e">
        <f>Y$3+P97/ATM_Conf!$C$5</f>
        <v>#DIV/0!</v>
      </c>
      <c r="AR97" s="46" t="e">
        <f>Z$3+Q97/ATM_Conf!$C$5</f>
        <v>#DIV/0!</v>
      </c>
      <c r="AS97" s="46" t="e">
        <f>AA$3+R97/ATM_Conf!$C$5</f>
        <v>#DIV/0!</v>
      </c>
      <c r="AT97" s="46" t="e">
        <f>AB$3+S97/ATM_Conf!$C$5</f>
        <v>#DIV/0!</v>
      </c>
      <c r="AU97" s="46" t="e">
        <f>BD$3*MIN(1,(ATM_Conf!$C$6-Links!F97)/(ATM_Conf!$C$6-ATM_Conf!$C$7))</f>
        <v>#DIV/0!</v>
      </c>
      <c r="AV97" s="46" t="e">
        <f>BE$3*MIN(1,(ATM_Conf!$C$6-Links!G97)/(ATM_Conf!$C$6-ATM_Conf!$C$7))</f>
        <v>#DIV/0!</v>
      </c>
      <c r="AW97" s="46" t="e">
        <f>BF$3*MIN(1,(ATM_Conf!$C$6-Links!H97)/(ATM_Conf!$C$6-ATM_Conf!$C$7))</f>
        <v>#DIV/0!</v>
      </c>
      <c r="AX97" s="46" t="e">
        <f>BG$3*MIN(1,(ATM_Conf!$C$6-Links!I97)/(ATM_Conf!$C$6-ATM_Conf!$C$7))</f>
        <v>#DIV/0!</v>
      </c>
      <c r="AY97" s="46" t="e">
        <f>BH$3*MIN(1,(ATM_Conf!$C$6-Links!J97)/(ATM_Conf!$C$6-ATM_Conf!$C$7))</f>
        <v>#DIV/0!</v>
      </c>
      <c r="AZ97" s="46" t="e">
        <f>BI$3*MIN(1,(ATM_Conf!$C$6-Links!K97)/(ATM_Conf!$C$6-ATM_Conf!$C$7))</f>
        <v>#DIV/0!</v>
      </c>
      <c r="BA97" s="46" t="e">
        <f>BJ$3*MIN(1,(ATM_Conf!$C$6-Links!L97)/(ATM_Conf!$C$6-ATM_Conf!$C$7))</f>
        <v>#DIV/0!</v>
      </c>
      <c r="BB97" s="46" t="e">
        <f>BK$3*MIN(1,(ATM_Conf!$C$6-Links!M97)/(ATM_Conf!$C$6-ATM_Conf!$C$7))</f>
        <v>#DIV/0!</v>
      </c>
      <c r="BC97" s="46" t="e">
        <f>BL$3*MIN(1,(ATM_Conf!$C$6-Links!N97)/(ATM_Conf!$C$6-ATM_Conf!$C$7))</f>
        <v>#DIV/0!</v>
      </c>
      <c r="BD97" s="46"/>
      <c r="BE97" s="46"/>
      <c r="BF97" s="46"/>
      <c r="BG97" s="46"/>
      <c r="BH97" s="46"/>
      <c r="BI97" s="46"/>
      <c r="BJ97" s="46"/>
      <c r="BK97" s="46"/>
      <c r="BL97" s="46"/>
      <c r="BM97" s="54"/>
      <c r="BN97" s="54"/>
      <c r="BO97" s="54"/>
      <c r="BP97" s="54"/>
      <c r="BQ97" s="54"/>
      <c r="BR97" s="54"/>
      <c r="BS97" s="54"/>
      <c r="BT97" s="54"/>
      <c r="BU97" s="54"/>
      <c r="BV97" s="46" t="e">
        <f t="shared" si="56"/>
        <v>#DIV/0!</v>
      </c>
      <c r="BW97" s="46" t="e">
        <f t="shared" si="57"/>
        <v>#DIV/0!</v>
      </c>
      <c r="BX97" s="46" t="e">
        <f t="shared" si="58"/>
        <v>#DIV/0!</v>
      </c>
      <c r="BY97" s="46" t="e">
        <f t="shared" si="59"/>
        <v>#DIV/0!</v>
      </c>
      <c r="BZ97" s="46" t="e">
        <f t="shared" si="60"/>
        <v>#DIV/0!</v>
      </c>
      <c r="CA97" s="46" t="e">
        <f t="shared" si="61"/>
        <v>#DIV/0!</v>
      </c>
      <c r="CB97" s="46" t="e">
        <f t="shared" si="62"/>
        <v>#DIV/0!</v>
      </c>
      <c r="CC97" s="46" t="e">
        <f t="shared" si="63"/>
        <v>#DIV/0!</v>
      </c>
      <c r="CD97" s="46" t="e">
        <f t="shared" si="64"/>
        <v>#DIV/0!</v>
      </c>
      <c r="CE97" s="56" t="e">
        <f t="shared" si="65"/>
        <v>#DIV/0!</v>
      </c>
      <c r="CF97" s="56" t="e">
        <f t="shared" si="66"/>
        <v>#DIV/0!</v>
      </c>
      <c r="CG97" s="56" t="e">
        <f t="shared" si="67"/>
        <v>#DIV/0!</v>
      </c>
      <c r="CH97" s="56" t="e">
        <f t="shared" si="68"/>
        <v>#DIV/0!</v>
      </c>
      <c r="CI97" s="56" t="e">
        <f t="shared" si="69"/>
        <v>#DIV/0!</v>
      </c>
      <c r="CJ97" s="56" t="e">
        <f t="shared" si="70"/>
        <v>#DIV/0!</v>
      </c>
      <c r="CK97" s="56" t="e">
        <f t="shared" si="71"/>
        <v>#DIV/0!</v>
      </c>
      <c r="CL97" s="56" t="e">
        <f t="shared" si="72"/>
        <v>#DIV/0!</v>
      </c>
      <c r="CM97" s="56" t="e">
        <f t="shared" si="73"/>
        <v>#DIV/0!</v>
      </c>
    </row>
    <row r="98" spans="1:91" x14ac:dyDescent="0.15">
      <c r="A98" s="43">
        <v>96</v>
      </c>
      <c r="B98" s="46">
        <f t="shared" si="79"/>
        <v>1</v>
      </c>
      <c r="C98" s="46">
        <f t="shared" si="78"/>
        <v>1</v>
      </c>
      <c r="D98" s="46">
        <f t="shared" si="78"/>
        <v>1</v>
      </c>
      <c r="E98" s="46">
        <f t="shared" si="78"/>
        <v>1</v>
      </c>
      <c r="F98" s="46">
        <f t="shared" si="78"/>
        <v>1</v>
      </c>
      <c r="G98" s="46">
        <f t="shared" si="78"/>
        <v>1</v>
      </c>
      <c r="H98" s="46">
        <f t="shared" si="78"/>
        <v>1</v>
      </c>
      <c r="I98" s="46">
        <f t="shared" si="78"/>
        <v>1</v>
      </c>
      <c r="J98" s="46">
        <f t="shared" si="78"/>
        <v>1</v>
      </c>
      <c r="K98" s="46" t="e">
        <f>K97+ATM_Conf!$C$5*(T97-AC97)</f>
        <v>#DIV/0!</v>
      </c>
      <c r="L98" s="46" t="e">
        <f>L97+ATM_Conf!$C$5*(U97-AD97)</f>
        <v>#DIV/0!</v>
      </c>
      <c r="M98" s="46" t="e">
        <f>M97+ATM_Conf!$C$5*(V97-AE97)</f>
        <v>#DIV/0!</v>
      </c>
      <c r="N98" s="46" t="e">
        <f>N97+ATM_Conf!$C$5*(W97-AF97)</f>
        <v>#DIV/0!</v>
      </c>
      <c r="O98" s="46" t="e">
        <f>O97+ATM_Conf!$C$5*(X97-AG97)</f>
        <v>#DIV/0!</v>
      </c>
      <c r="P98" s="46" t="e">
        <f>P97+ATM_Conf!$C$5*(Y97-AH97)</f>
        <v>#DIV/0!</v>
      </c>
      <c r="Q98" s="46" t="e">
        <f>Q97+ATM_Conf!$C$5*(Z97-AI97)</f>
        <v>#DIV/0!</v>
      </c>
      <c r="R98" s="46" t="e">
        <f>R97+ATM_Conf!$C$5*(AA97-AJ97)</f>
        <v>#DIV/0!</v>
      </c>
      <c r="S98" s="46" t="e">
        <f>S97+ATM_Conf!$C$5*(AB97-AK97)</f>
        <v>#DIV/0!</v>
      </c>
      <c r="T98" s="46"/>
      <c r="U98" s="46"/>
      <c r="V98" s="46"/>
      <c r="W98" s="46"/>
      <c r="X98" s="46"/>
      <c r="Y98" s="46"/>
      <c r="Z98" s="46"/>
      <c r="AA98" s="46"/>
      <c r="AB98" s="46"/>
      <c r="AC98" s="46" t="e">
        <f t="shared" si="47"/>
        <v>#DIV/0!</v>
      </c>
      <c r="AD98" s="46" t="e">
        <f t="shared" si="48"/>
        <v>#DIV/0!</v>
      </c>
      <c r="AE98" s="46" t="e">
        <f t="shared" si="49"/>
        <v>#DIV/0!</v>
      </c>
      <c r="AF98" s="46" t="e">
        <f t="shared" si="50"/>
        <v>#DIV/0!</v>
      </c>
      <c r="AG98" s="46" t="e">
        <f t="shared" si="51"/>
        <v>#DIV/0!</v>
      </c>
      <c r="AH98" s="46" t="e">
        <f t="shared" si="52"/>
        <v>#DIV/0!</v>
      </c>
      <c r="AI98" s="46" t="e">
        <f t="shared" si="53"/>
        <v>#DIV/0!</v>
      </c>
      <c r="AJ98" s="46" t="e">
        <f t="shared" si="54"/>
        <v>#DIV/0!</v>
      </c>
      <c r="AK98" s="46" t="e">
        <f t="shared" si="55"/>
        <v>#DIV/0!</v>
      </c>
      <c r="AL98" s="46" t="e">
        <f>T$3+K98/ATM_Conf!$C$5</f>
        <v>#DIV/0!</v>
      </c>
      <c r="AM98" s="46" t="e">
        <f>U$3+L98/ATM_Conf!$C$5</f>
        <v>#DIV/0!</v>
      </c>
      <c r="AN98" s="46" t="e">
        <f>V$3+M98/ATM_Conf!$C$5</f>
        <v>#DIV/0!</v>
      </c>
      <c r="AO98" s="46" t="e">
        <f>W$3+N98/ATM_Conf!$C$5</f>
        <v>#DIV/0!</v>
      </c>
      <c r="AP98" s="46" t="e">
        <f>X$3+O98/ATM_Conf!$C$5</f>
        <v>#DIV/0!</v>
      </c>
      <c r="AQ98" s="46" t="e">
        <f>Y$3+P98/ATM_Conf!$C$5</f>
        <v>#DIV/0!</v>
      </c>
      <c r="AR98" s="46" t="e">
        <f>Z$3+Q98/ATM_Conf!$C$5</f>
        <v>#DIV/0!</v>
      </c>
      <c r="AS98" s="46" t="e">
        <f>AA$3+R98/ATM_Conf!$C$5</f>
        <v>#DIV/0!</v>
      </c>
      <c r="AT98" s="46" t="e">
        <f>AB$3+S98/ATM_Conf!$C$5</f>
        <v>#DIV/0!</v>
      </c>
      <c r="AU98" s="46" t="e">
        <f>BD$3*MIN(1,(ATM_Conf!$C$6-Links!F98)/(ATM_Conf!$C$6-ATM_Conf!$C$7))</f>
        <v>#DIV/0!</v>
      </c>
      <c r="AV98" s="46" t="e">
        <f>BE$3*MIN(1,(ATM_Conf!$C$6-Links!G98)/(ATM_Conf!$C$6-ATM_Conf!$C$7))</f>
        <v>#DIV/0!</v>
      </c>
      <c r="AW98" s="46" t="e">
        <f>BF$3*MIN(1,(ATM_Conf!$C$6-Links!H98)/(ATM_Conf!$C$6-ATM_Conf!$C$7))</f>
        <v>#DIV/0!</v>
      </c>
      <c r="AX98" s="46" t="e">
        <f>BG$3*MIN(1,(ATM_Conf!$C$6-Links!I98)/(ATM_Conf!$C$6-ATM_Conf!$C$7))</f>
        <v>#DIV/0!</v>
      </c>
      <c r="AY98" s="46" t="e">
        <f>BH$3*MIN(1,(ATM_Conf!$C$6-Links!J98)/(ATM_Conf!$C$6-ATM_Conf!$C$7))</f>
        <v>#DIV/0!</v>
      </c>
      <c r="AZ98" s="46" t="e">
        <f>BI$3*MIN(1,(ATM_Conf!$C$6-Links!K98)/(ATM_Conf!$C$6-ATM_Conf!$C$7))</f>
        <v>#DIV/0!</v>
      </c>
      <c r="BA98" s="46" t="e">
        <f>BJ$3*MIN(1,(ATM_Conf!$C$6-Links!L98)/(ATM_Conf!$C$6-ATM_Conf!$C$7))</f>
        <v>#DIV/0!</v>
      </c>
      <c r="BB98" s="46" t="e">
        <f>BK$3*MIN(1,(ATM_Conf!$C$6-Links!M98)/(ATM_Conf!$C$6-ATM_Conf!$C$7))</f>
        <v>#DIV/0!</v>
      </c>
      <c r="BC98" s="46" t="e">
        <f>BL$3*MIN(1,(ATM_Conf!$C$6-Links!N98)/(ATM_Conf!$C$6-ATM_Conf!$C$7))</f>
        <v>#DIV/0!</v>
      </c>
      <c r="BD98" s="46"/>
      <c r="BE98" s="46"/>
      <c r="BF98" s="46"/>
      <c r="BG98" s="46"/>
      <c r="BH98" s="46"/>
      <c r="BI98" s="46"/>
      <c r="BJ98" s="46"/>
      <c r="BK98" s="46"/>
      <c r="BL98" s="46"/>
      <c r="BM98" s="54"/>
      <c r="BN98" s="54"/>
      <c r="BO98" s="54"/>
      <c r="BP98" s="54"/>
      <c r="BQ98" s="54"/>
      <c r="BR98" s="54"/>
      <c r="BS98" s="54"/>
      <c r="BT98" s="54"/>
      <c r="BU98" s="54"/>
      <c r="BV98" s="46" t="e">
        <f t="shared" si="56"/>
        <v>#DIV/0!</v>
      </c>
      <c r="BW98" s="46" t="e">
        <f t="shared" si="57"/>
        <v>#DIV/0!</v>
      </c>
      <c r="BX98" s="46" t="e">
        <f t="shared" si="58"/>
        <v>#DIV/0!</v>
      </c>
      <c r="BY98" s="46" t="e">
        <f t="shared" si="59"/>
        <v>#DIV/0!</v>
      </c>
      <c r="BZ98" s="46" t="e">
        <f t="shared" si="60"/>
        <v>#DIV/0!</v>
      </c>
      <c r="CA98" s="46" t="e">
        <f t="shared" si="61"/>
        <v>#DIV/0!</v>
      </c>
      <c r="CB98" s="46" t="e">
        <f t="shared" si="62"/>
        <v>#DIV/0!</v>
      </c>
      <c r="CC98" s="46" t="e">
        <f t="shared" si="63"/>
        <v>#DIV/0!</v>
      </c>
      <c r="CD98" s="46" t="e">
        <f t="shared" si="64"/>
        <v>#DIV/0!</v>
      </c>
      <c r="CE98" s="56" t="e">
        <f t="shared" si="65"/>
        <v>#DIV/0!</v>
      </c>
      <c r="CF98" s="56" t="e">
        <f t="shared" si="66"/>
        <v>#DIV/0!</v>
      </c>
      <c r="CG98" s="56" t="e">
        <f t="shared" si="67"/>
        <v>#DIV/0!</v>
      </c>
      <c r="CH98" s="56" t="e">
        <f t="shared" si="68"/>
        <v>#DIV/0!</v>
      </c>
      <c r="CI98" s="56" t="e">
        <f t="shared" si="69"/>
        <v>#DIV/0!</v>
      </c>
      <c r="CJ98" s="56" t="e">
        <f t="shared" si="70"/>
        <v>#DIV/0!</v>
      </c>
      <c r="CK98" s="56" t="e">
        <f t="shared" si="71"/>
        <v>#DIV/0!</v>
      </c>
      <c r="CL98" s="56" t="e">
        <f t="shared" si="72"/>
        <v>#DIV/0!</v>
      </c>
      <c r="CM98" s="56" t="e">
        <f t="shared" si="73"/>
        <v>#DIV/0!</v>
      </c>
    </row>
    <row r="99" spans="1:91" x14ac:dyDescent="0.15">
      <c r="A99" s="43">
        <v>97</v>
      </c>
      <c r="B99" s="48">
        <v>1</v>
      </c>
      <c r="C99" s="48">
        <v>1</v>
      </c>
      <c r="D99" s="48">
        <v>1</v>
      </c>
      <c r="E99" s="48">
        <v>1</v>
      </c>
      <c r="F99" s="48">
        <v>1</v>
      </c>
      <c r="G99" s="48">
        <v>1</v>
      </c>
      <c r="H99" s="48">
        <v>1</v>
      </c>
      <c r="I99" s="48">
        <v>1</v>
      </c>
      <c r="J99" s="48">
        <v>1</v>
      </c>
      <c r="K99" s="46" t="e">
        <f>K98+ATM_Conf!$C$5*(T98-AC98)</f>
        <v>#DIV/0!</v>
      </c>
      <c r="L99" s="46" t="e">
        <f>L98+ATM_Conf!$C$5*(U98-AD98)</f>
        <v>#DIV/0!</v>
      </c>
      <c r="M99" s="46" t="e">
        <f>M98+ATM_Conf!$C$5*(V98-AE98)</f>
        <v>#DIV/0!</v>
      </c>
      <c r="N99" s="46" t="e">
        <f>N98+ATM_Conf!$C$5*(W98-AF98)</f>
        <v>#DIV/0!</v>
      </c>
      <c r="O99" s="46" t="e">
        <f>O98+ATM_Conf!$C$5*(X98-AG98)</f>
        <v>#DIV/0!</v>
      </c>
      <c r="P99" s="46" t="e">
        <f>P98+ATM_Conf!$C$5*(Y98-AH98)</f>
        <v>#DIV/0!</v>
      </c>
      <c r="Q99" s="46" t="e">
        <f>Q98+ATM_Conf!$C$5*(Z98-AI98)</f>
        <v>#DIV/0!</v>
      </c>
      <c r="R99" s="46" t="e">
        <f>R98+ATM_Conf!$C$5*(AA98-AJ98)</f>
        <v>#DIV/0!</v>
      </c>
      <c r="S99" s="46" t="e">
        <f>S98+ATM_Conf!$C$5*(AB98-AK98)</f>
        <v>#DIV/0!</v>
      </c>
      <c r="T99" s="46"/>
      <c r="U99" s="46"/>
      <c r="V99" s="46"/>
      <c r="W99" s="46"/>
      <c r="X99" s="46"/>
      <c r="Y99" s="46"/>
      <c r="Z99" s="46"/>
      <c r="AA99" s="46"/>
      <c r="AB99" s="46"/>
      <c r="AC99" s="46" t="e">
        <f t="shared" si="47"/>
        <v>#DIV/0!</v>
      </c>
      <c r="AD99" s="46" t="e">
        <f t="shared" si="48"/>
        <v>#DIV/0!</v>
      </c>
      <c r="AE99" s="46" t="e">
        <f t="shared" si="49"/>
        <v>#DIV/0!</v>
      </c>
      <c r="AF99" s="46" t="e">
        <f t="shared" si="50"/>
        <v>#DIV/0!</v>
      </c>
      <c r="AG99" s="46" t="e">
        <f t="shared" si="51"/>
        <v>#DIV/0!</v>
      </c>
      <c r="AH99" s="46" t="e">
        <f t="shared" si="52"/>
        <v>#DIV/0!</v>
      </c>
      <c r="AI99" s="46" t="e">
        <f t="shared" si="53"/>
        <v>#DIV/0!</v>
      </c>
      <c r="AJ99" s="46" t="e">
        <f t="shared" si="54"/>
        <v>#DIV/0!</v>
      </c>
      <c r="AK99" s="46" t="e">
        <f t="shared" si="55"/>
        <v>#DIV/0!</v>
      </c>
      <c r="AL99" s="46" t="e">
        <f>T$3+K99/ATM_Conf!$C$5</f>
        <v>#DIV/0!</v>
      </c>
      <c r="AM99" s="46" t="e">
        <f>U$3+L99/ATM_Conf!$C$5</f>
        <v>#DIV/0!</v>
      </c>
      <c r="AN99" s="46" t="e">
        <f>V$3+M99/ATM_Conf!$C$5</f>
        <v>#DIV/0!</v>
      </c>
      <c r="AO99" s="46" t="e">
        <f>W$3+N99/ATM_Conf!$C$5</f>
        <v>#DIV/0!</v>
      </c>
      <c r="AP99" s="46" t="e">
        <f>X$3+O99/ATM_Conf!$C$5</f>
        <v>#DIV/0!</v>
      </c>
      <c r="AQ99" s="46" t="e">
        <f>Y$3+P99/ATM_Conf!$C$5</f>
        <v>#DIV/0!</v>
      </c>
      <c r="AR99" s="46" t="e">
        <f>Z$3+Q99/ATM_Conf!$C$5</f>
        <v>#DIV/0!</v>
      </c>
      <c r="AS99" s="46" t="e">
        <f>AA$3+R99/ATM_Conf!$C$5</f>
        <v>#DIV/0!</v>
      </c>
      <c r="AT99" s="46" t="e">
        <f>AB$3+S99/ATM_Conf!$C$5</f>
        <v>#DIV/0!</v>
      </c>
      <c r="AU99" s="46" t="e">
        <f>BD$3*MIN(1,(ATM_Conf!$C$6-Links!F99)/(ATM_Conf!$C$6-ATM_Conf!$C$7))</f>
        <v>#DIV/0!</v>
      </c>
      <c r="AV99" s="46" t="e">
        <f>BE$3*MIN(1,(ATM_Conf!$C$6-Links!G99)/(ATM_Conf!$C$6-ATM_Conf!$C$7))</f>
        <v>#DIV/0!</v>
      </c>
      <c r="AW99" s="46" t="e">
        <f>BF$3*MIN(1,(ATM_Conf!$C$6-Links!H99)/(ATM_Conf!$C$6-ATM_Conf!$C$7))</f>
        <v>#DIV/0!</v>
      </c>
      <c r="AX99" s="46" t="e">
        <f>BG$3*MIN(1,(ATM_Conf!$C$6-Links!I99)/(ATM_Conf!$C$6-ATM_Conf!$C$7))</f>
        <v>#DIV/0!</v>
      </c>
      <c r="AY99" s="46" t="e">
        <f>BH$3*MIN(1,(ATM_Conf!$C$6-Links!J99)/(ATM_Conf!$C$6-ATM_Conf!$C$7))</f>
        <v>#DIV/0!</v>
      </c>
      <c r="AZ99" s="46" t="e">
        <f>BI$3*MIN(1,(ATM_Conf!$C$6-Links!K99)/(ATM_Conf!$C$6-ATM_Conf!$C$7))</f>
        <v>#DIV/0!</v>
      </c>
      <c r="BA99" s="46" t="e">
        <f>BJ$3*MIN(1,(ATM_Conf!$C$6-Links!L99)/(ATM_Conf!$C$6-ATM_Conf!$C$7))</f>
        <v>#DIV/0!</v>
      </c>
      <c r="BB99" s="46" t="e">
        <f>BK$3*MIN(1,(ATM_Conf!$C$6-Links!M99)/(ATM_Conf!$C$6-ATM_Conf!$C$7))</f>
        <v>#DIV/0!</v>
      </c>
      <c r="BC99" s="46" t="e">
        <f>BL$3*MIN(1,(ATM_Conf!$C$6-Links!N99)/(ATM_Conf!$C$6-ATM_Conf!$C$7))</f>
        <v>#DIV/0!</v>
      </c>
      <c r="BD99" s="46"/>
      <c r="BE99" s="46"/>
      <c r="BF99" s="46"/>
      <c r="BG99" s="46"/>
      <c r="BH99" s="46"/>
      <c r="BI99" s="46"/>
      <c r="BJ99" s="46"/>
      <c r="BK99" s="46"/>
      <c r="BL99" s="46"/>
      <c r="BM99" s="54">
        <f>(B99-B87)^2</f>
        <v>0</v>
      </c>
      <c r="BN99" s="54">
        <f t="shared" ref="BN99:BU99" si="80">(C99-C87)^2</f>
        <v>0</v>
      </c>
      <c r="BO99" s="54">
        <f t="shared" si="80"/>
        <v>0</v>
      </c>
      <c r="BP99" s="54">
        <f t="shared" si="80"/>
        <v>0</v>
      </c>
      <c r="BQ99" s="54">
        <f t="shared" si="80"/>
        <v>0</v>
      </c>
      <c r="BR99" s="54">
        <f t="shared" si="80"/>
        <v>0</v>
      </c>
      <c r="BS99" s="54">
        <f t="shared" si="80"/>
        <v>0</v>
      </c>
      <c r="BT99" s="54">
        <f t="shared" si="80"/>
        <v>0</v>
      </c>
      <c r="BU99" s="54">
        <f t="shared" si="80"/>
        <v>0</v>
      </c>
      <c r="BV99" s="46" t="e">
        <f t="shared" si="56"/>
        <v>#DIV/0!</v>
      </c>
      <c r="BW99" s="46" t="e">
        <f t="shared" si="57"/>
        <v>#DIV/0!</v>
      </c>
      <c r="BX99" s="46" t="e">
        <f t="shared" si="58"/>
        <v>#DIV/0!</v>
      </c>
      <c r="BY99" s="46" t="e">
        <f t="shared" si="59"/>
        <v>#DIV/0!</v>
      </c>
      <c r="BZ99" s="46" t="e">
        <f t="shared" si="60"/>
        <v>#DIV/0!</v>
      </c>
      <c r="CA99" s="46" t="e">
        <f t="shared" si="61"/>
        <v>#DIV/0!</v>
      </c>
      <c r="CB99" s="46" t="e">
        <f t="shared" si="62"/>
        <v>#DIV/0!</v>
      </c>
      <c r="CC99" s="46" t="e">
        <f t="shared" si="63"/>
        <v>#DIV/0!</v>
      </c>
      <c r="CD99" s="46" t="e">
        <f t="shared" si="64"/>
        <v>#DIV/0!</v>
      </c>
      <c r="CE99" s="56" t="e">
        <f t="shared" si="65"/>
        <v>#DIV/0!</v>
      </c>
      <c r="CF99" s="56" t="e">
        <f t="shared" si="66"/>
        <v>#DIV/0!</v>
      </c>
      <c r="CG99" s="56" t="e">
        <f t="shared" si="67"/>
        <v>#DIV/0!</v>
      </c>
      <c r="CH99" s="56" t="e">
        <f t="shared" si="68"/>
        <v>#DIV/0!</v>
      </c>
      <c r="CI99" s="56" t="e">
        <f t="shared" si="69"/>
        <v>#DIV/0!</v>
      </c>
      <c r="CJ99" s="56" t="e">
        <f t="shared" si="70"/>
        <v>#DIV/0!</v>
      </c>
      <c r="CK99" s="56" t="e">
        <f t="shared" si="71"/>
        <v>#DIV/0!</v>
      </c>
      <c r="CL99" s="56" t="e">
        <f t="shared" si="72"/>
        <v>#DIV/0!</v>
      </c>
      <c r="CM99" s="56" t="e">
        <f t="shared" si="73"/>
        <v>#DIV/0!</v>
      </c>
    </row>
    <row r="100" spans="1:91" x14ac:dyDescent="0.15">
      <c r="A100" s="43">
        <v>98</v>
      </c>
      <c r="B100" s="46">
        <f>B$99</f>
        <v>1</v>
      </c>
      <c r="C100" s="46">
        <f t="shared" ref="C100:J110" si="81">C$99</f>
        <v>1</v>
      </c>
      <c r="D100" s="46">
        <f t="shared" si="81"/>
        <v>1</v>
      </c>
      <c r="E100" s="46">
        <f t="shared" si="81"/>
        <v>1</v>
      </c>
      <c r="F100" s="46">
        <f t="shared" si="81"/>
        <v>1</v>
      </c>
      <c r="G100" s="46">
        <f t="shared" si="81"/>
        <v>1</v>
      </c>
      <c r="H100" s="46">
        <f t="shared" si="81"/>
        <v>1</v>
      </c>
      <c r="I100" s="46">
        <f t="shared" si="81"/>
        <v>1</v>
      </c>
      <c r="J100" s="46">
        <f t="shared" si="81"/>
        <v>1</v>
      </c>
      <c r="K100" s="46" t="e">
        <f>K99+ATM_Conf!$C$5*(T99-AC99)</f>
        <v>#DIV/0!</v>
      </c>
      <c r="L100" s="46" t="e">
        <f>L99+ATM_Conf!$C$5*(U99-AD99)</f>
        <v>#DIV/0!</v>
      </c>
      <c r="M100" s="46" t="e">
        <f>M99+ATM_Conf!$C$5*(V99-AE99)</f>
        <v>#DIV/0!</v>
      </c>
      <c r="N100" s="46" t="e">
        <f>N99+ATM_Conf!$C$5*(W99-AF99)</f>
        <v>#DIV/0!</v>
      </c>
      <c r="O100" s="46" t="e">
        <f>O99+ATM_Conf!$C$5*(X99-AG99)</f>
        <v>#DIV/0!</v>
      </c>
      <c r="P100" s="46" t="e">
        <f>P99+ATM_Conf!$C$5*(Y99-AH99)</f>
        <v>#DIV/0!</v>
      </c>
      <c r="Q100" s="46" t="e">
        <f>Q99+ATM_Conf!$C$5*(Z99-AI99)</f>
        <v>#DIV/0!</v>
      </c>
      <c r="R100" s="46" t="e">
        <f>R99+ATM_Conf!$C$5*(AA99-AJ99)</f>
        <v>#DIV/0!</v>
      </c>
      <c r="S100" s="46" t="e">
        <f>S99+ATM_Conf!$C$5*(AB99-AK99)</f>
        <v>#DIV/0!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 t="e">
        <f t="shared" si="47"/>
        <v>#DIV/0!</v>
      </c>
      <c r="AD100" s="46" t="e">
        <f t="shared" si="48"/>
        <v>#DIV/0!</v>
      </c>
      <c r="AE100" s="46" t="e">
        <f t="shared" si="49"/>
        <v>#DIV/0!</v>
      </c>
      <c r="AF100" s="46" t="e">
        <f t="shared" si="50"/>
        <v>#DIV/0!</v>
      </c>
      <c r="AG100" s="46" t="e">
        <f t="shared" si="51"/>
        <v>#DIV/0!</v>
      </c>
      <c r="AH100" s="46" t="e">
        <f t="shared" si="52"/>
        <v>#DIV/0!</v>
      </c>
      <c r="AI100" s="46" t="e">
        <f t="shared" si="53"/>
        <v>#DIV/0!</v>
      </c>
      <c r="AJ100" s="46" t="e">
        <f t="shared" si="54"/>
        <v>#DIV/0!</v>
      </c>
      <c r="AK100" s="46" t="e">
        <f t="shared" si="55"/>
        <v>#DIV/0!</v>
      </c>
      <c r="AL100" s="46" t="e">
        <f>T$3+K100/ATM_Conf!$C$5</f>
        <v>#DIV/0!</v>
      </c>
      <c r="AM100" s="46" t="e">
        <f>U$3+L100/ATM_Conf!$C$5</f>
        <v>#DIV/0!</v>
      </c>
      <c r="AN100" s="46" t="e">
        <f>V$3+M100/ATM_Conf!$C$5</f>
        <v>#DIV/0!</v>
      </c>
      <c r="AO100" s="46" t="e">
        <f>W$3+N100/ATM_Conf!$C$5</f>
        <v>#DIV/0!</v>
      </c>
      <c r="AP100" s="46" t="e">
        <f>X$3+O100/ATM_Conf!$C$5</f>
        <v>#DIV/0!</v>
      </c>
      <c r="AQ100" s="46" t="e">
        <f>Y$3+P100/ATM_Conf!$C$5</f>
        <v>#DIV/0!</v>
      </c>
      <c r="AR100" s="46" t="e">
        <f>Z$3+Q100/ATM_Conf!$C$5</f>
        <v>#DIV/0!</v>
      </c>
      <c r="AS100" s="46" t="e">
        <f>AA$3+R100/ATM_Conf!$C$5</f>
        <v>#DIV/0!</v>
      </c>
      <c r="AT100" s="46" t="e">
        <f>AB$3+S100/ATM_Conf!$C$5</f>
        <v>#DIV/0!</v>
      </c>
      <c r="AU100" s="46" t="e">
        <f>BD$3*MIN(1,(ATM_Conf!$C$6-Links!F100)/(ATM_Conf!$C$6-ATM_Conf!$C$7))</f>
        <v>#DIV/0!</v>
      </c>
      <c r="AV100" s="46" t="e">
        <f>BE$3*MIN(1,(ATM_Conf!$C$6-Links!G100)/(ATM_Conf!$C$6-ATM_Conf!$C$7))</f>
        <v>#DIV/0!</v>
      </c>
      <c r="AW100" s="46" t="e">
        <f>BF$3*MIN(1,(ATM_Conf!$C$6-Links!H100)/(ATM_Conf!$C$6-ATM_Conf!$C$7))</f>
        <v>#DIV/0!</v>
      </c>
      <c r="AX100" s="46" t="e">
        <f>BG$3*MIN(1,(ATM_Conf!$C$6-Links!I100)/(ATM_Conf!$C$6-ATM_Conf!$C$7))</f>
        <v>#DIV/0!</v>
      </c>
      <c r="AY100" s="46" t="e">
        <f>BH$3*MIN(1,(ATM_Conf!$C$6-Links!J100)/(ATM_Conf!$C$6-ATM_Conf!$C$7))</f>
        <v>#DIV/0!</v>
      </c>
      <c r="AZ100" s="46" t="e">
        <f>BI$3*MIN(1,(ATM_Conf!$C$6-Links!K100)/(ATM_Conf!$C$6-ATM_Conf!$C$7))</f>
        <v>#DIV/0!</v>
      </c>
      <c r="BA100" s="46" t="e">
        <f>BJ$3*MIN(1,(ATM_Conf!$C$6-Links!L100)/(ATM_Conf!$C$6-ATM_Conf!$C$7))</f>
        <v>#DIV/0!</v>
      </c>
      <c r="BB100" s="46" t="e">
        <f>BK$3*MIN(1,(ATM_Conf!$C$6-Links!M100)/(ATM_Conf!$C$6-ATM_Conf!$C$7))</f>
        <v>#DIV/0!</v>
      </c>
      <c r="BC100" s="46" t="e">
        <f>BL$3*MIN(1,(ATM_Conf!$C$6-Links!N100)/(ATM_Conf!$C$6-ATM_Conf!$C$7))</f>
        <v>#DIV/0!</v>
      </c>
      <c r="BD100" s="46"/>
      <c r="BE100" s="46"/>
      <c r="BF100" s="46"/>
      <c r="BG100" s="46"/>
      <c r="BH100" s="46"/>
      <c r="BI100" s="46"/>
      <c r="BJ100" s="46"/>
      <c r="BK100" s="46"/>
      <c r="BL100" s="46"/>
      <c r="BM100" s="54"/>
      <c r="BN100" s="54"/>
      <c r="BO100" s="54"/>
      <c r="BP100" s="54"/>
      <c r="BQ100" s="54"/>
      <c r="BR100" s="54"/>
      <c r="BS100" s="54"/>
      <c r="BT100" s="54"/>
      <c r="BU100" s="54"/>
      <c r="BV100" s="46" t="e">
        <f t="shared" si="56"/>
        <v>#DIV/0!</v>
      </c>
      <c r="BW100" s="46" t="e">
        <f t="shared" si="57"/>
        <v>#DIV/0!</v>
      </c>
      <c r="BX100" s="46" t="e">
        <f t="shared" si="58"/>
        <v>#DIV/0!</v>
      </c>
      <c r="BY100" s="46" t="e">
        <f t="shared" si="59"/>
        <v>#DIV/0!</v>
      </c>
      <c r="BZ100" s="46" t="e">
        <f t="shared" si="60"/>
        <v>#DIV/0!</v>
      </c>
      <c r="CA100" s="46" t="e">
        <f t="shared" si="61"/>
        <v>#DIV/0!</v>
      </c>
      <c r="CB100" s="46" t="e">
        <f t="shared" si="62"/>
        <v>#DIV/0!</v>
      </c>
      <c r="CC100" s="46" t="e">
        <f t="shared" si="63"/>
        <v>#DIV/0!</v>
      </c>
      <c r="CD100" s="46" t="e">
        <f t="shared" si="64"/>
        <v>#DIV/0!</v>
      </c>
      <c r="CE100" s="56" t="e">
        <f t="shared" si="65"/>
        <v>#DIV/0!</v>
      </c>
      <c r="CF100" s="56" t="e">
        <f t="shared" si="66"/>
        <v>#DIV/0!</v>
      </c>
      <c r="CG100" s="56" t="e">
        <f t="shared" si="67"/>
        <v>#DIV/0!</v>
      </c>
      <c r="CH100" s="56" t="e">
        <f t="shared" si="68"/>
        <v>#DIV/0!</v>
      </c>
      <c r="CI100" s="56" t="e">
        <f t="shared" si="69"/>
        <v>#DIV/0!</v>
      </c>
      <c r="CJ100" s="56" t="e">
        <f t="shared" si="70"/>
        <v>#DIV/0!</v>
      </c>
      <c r="CK100" s="56" t="e">
        <f t="shared" si="71"/>
        <v>#DIV/0!</v>
      </c>
      <c r="CL100" s="56" t="e">
        <f t="shared" si="72"/>
        <v>#DIV/0!</v>
      </c>
      <c r="CM100" s="56" t="e">
        <f t="shared" si="73"/>
        <v>#DIV/0!</v>
      </c>
    </row>
    <row r="101" spans="1:91" x14ac:dyDescent="0.15">
      <c r="A101" s="43">
        <v>99</v>
      </c>
      <c r="B101" s="46">
        <f t="shared" ref="B101:B110" si="82">B$99</f>
        <v>1</v>
      </c>
      <c r="C101" s="46">
        <f t="shared" si="81"/>
        <v>1</v>
      </c>
      <c r="D101" s="46">
        <f t="shared" si="81"/>
        <v>1</v>
      </c>
      <c r="E101" s="46">
        <f t="shared" si="81"/>
        <v>1</v>
      </c>
      <c r="F101" s="46">
        <f t="shared" si="81"/>
        <v>1</v>
      </c>
      <c r="G101" s="46">
        <f t="shared" si="81"/>
        <v>1</v>
      </c>
      <c r="H101" s="46">
        <f t="shared" si="81"/>
        <v>1</v>
      </c>
      <c r="I101" s="46">
        <f t="shared" si="81"/>
        <v>1</v>
      </c>
      <c r="J101" s="46">
        <f t="shared" si="81"/>
        <v>1</v>
      </c>
      <c r="K101" s="46" t="e">
        <f>K100+ATM_Conf!$C$5*(T100-AC100)</f>
        <v>#DIV/0!</v>
      </c>
      <c r="L101" s="46" t="e">
        <f>L100+ATM_Conf!$C$5*(U100-AD100)</f>
        <v>#DIV/0!</v>
      </c>
      <c r="M101" s="46" t="e">
        <f>M100+ATM_Conf!$C$5*(V100-AE100)</f>
        <v>#DIV/0!</v>
      </c>
      <c r="N101" s="46" t="e">
        <f>N100+ATM_Conf!$C$5*(W100-AF100)</f>
        <v>#DIV/0!</v>
      </c>
      <c r="O101" s="46" t="e">
        <f>O100+ATM_Conf!$C$5*(X100-AG100)</f>
        <v>#DIV/0!</v>
      </c>
      <c r="P101" s="46" t="e">
        <f>P100+ATM_Conf!$C$5*(Y100-AH100)</f>
        <v>#DIV/0!</v>
      </c>
      <c r="Q101" s="46" t="e">
        <f>Q100+ATM_Conf!$C$5*(Z100-AI100)</f>
        <v>#DIV/0!</v>
      </c>
      <c r="R101" s="46" t="e">
        <f>R100+ATM_Conf!$C$5*(AA100-AJ100)</f>
        <v>#DIV/0!</v>
      </c>
      <c r="S101" s="46" t="e">
        <f>S100+ATM_Conf!$C$5*(AB100-AK100)</f>
        <v>#DIV/0!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 t="e">
        <f t="shared" si="47"/>
        <v>#DIV/0!</v>
      </c>
      <c r="AD101" s="46" t="e">
        <f t="shared" si="48"/>
        <v>#DIV/0!</v>
      </c>
      <c r="AE101" s="46" t="e">
        <f t="shared" si="49"/>
        <v>#DIV/0!</v>
      </c>
      <c r="AF101" s="46" t="e">
        <f t="shared" si="50"/>
        <v>#DIV/0!</v>
      </c>
      <c r="AG101" s="46" t="e">
        <f t="shared" si="51"/>
        <v>#DIV/0!</v>
      </c>
      <c r="AH101" s="46" t="e">
        <f t="shared" si="52"/>
        <v>#DIV/0!</v>
      </c>
      <c r="AI101" s="46" t="e">
        <f t="shared" si="53"/>
        <v>#DIV/0!</v>
      </c>
      <c r="AJ101" s="46" t="e">
        <f t="shared" si="54"/>
        <v>#DIV/0!</v>
      </c>
      <c r="AK101" s="46" t="e">
        <f t="shared" si="55"/>
        <v>#DIV/0!</v>
      </c>
      <c r="AL101" s="46" t="e">
        <f>T$3+K101/ATM_Conf!$C$5</f>
        <v>#DIV/0!</v>
      </c>
      <c r="AM101" s="46" t="e">
        <f>U$3+L101/ATM_Conf!$C$5</f>
        <v>#DIV/0!</v>
      </c>
      <c r="AN101" s="46" t="e">
        <f>V$3+M101/ATM_Conf!$C$5</f>
        <v>#DIV/0!</v>
      </c>
      <c r="AO101" s="46" t="e">
        <f>W$3+N101/ATM_Conf!$C$5</f>
        <v>#DIV/0!</v>
      </c>
      <c r="AP101" s="46" t="e">
        <f>X$3+O101/ATM_Conf!$C$5</f>
        <v>#DIV/0!</v>
      </c>
      <c r="AQ101" s="46" t="e">
        <f>Y$3+P101/ATM_Conf!$C$5</f>
        <v>#DIV/0!</v>
      </c>
      <c r="AR101" s="46" t="e">
        <f>Z$3+Q101/ATM_Conf!$C$5</f>
        <v>#DIV/0!</v>
      </c>
      <c r="AS101" s="46" t="e">
        <f>AA$3+R101/ATM_Conf!$C$5</f>
        <v>#DIV/0!</v>
      </c>
      <c r="AT101" s="46" t="e">
        <f>AB$3+S101/ATM_Conf!$C$5</f>
        <v>#DIV/0!</v>
      </c>
      <c r="AU101" s="46" t="e">
        <f>BD$3*MIN(1,(ATM_Conf!$C$6-Links!F101)/(ATM_Conf!$C$6-ATM_Conf!$C$7))</f>
        <v>#DIV/0!</v>
      </c>
      <c r="AV101" s="46" t="e">
        <f>BE$3*MIN(1,(ATM_Conf!$C$6-Links!G101)/(ATM_Conf!$C$6-ATM_Conf!$C$7))</f>
        <v>#DIV/0!</v>
      </c>
      <c r="AW101" s="46" t="e">
        <f>BF$3*MIN(1,(ATM_Conf!$C$6-Links!H101)/(ATM_Conf!$C$6-ATM_Conf!$C$7))</f>
        <v>#DIV/0!</v>
      </c>
      <c r="AX101" s="46" t="e">
        <f>BG$3*MIN(1,(ATM_Conf!$C$6-Links!I101)/(ATM_Conf!$C$6-ATM_Conf!$C$7))</f>
        <v>#DIV/0!</v>
      </c>
      <c r="AY101" s="46" t="e">
        <f>BH$3*MIN(1,(ATM_Conf!$C$6-Links!J101)/(ATM_Conf!$C$6-ATM_Conf!$C$7))</f>
        <v>#DIV/0!</v>
      </c>
      <c r="AZ101" s="46" t="e">
        <f>BI$3*MIN(1,(ATM_Conf!$C$6-Links!K101)/(ATM_Conf!$C$6-ATM_Conf!$C$7))</f>
        <v>#DIV/0!</v>
      </c>
      <c r="BA101" s="46" t="e">
        <f>BJ$3*MIN(1,(ATM_Conf!$C$6-Links!L101)/(ATM_Conf!$C$6-ATM_Conf!$C$7))</f>
        <v>#DIV/0!</v>
      </c>
      <c r="BB101" s="46" t="e">
        <f>BK$3*MIN(1,(ATM_Conf!$C$6-Links!M101)/(ATM_Conf!$C$6-ATM_Conf!$C$7))</f>
        <v>#DIV/0!</v>
      </c>
      <c r="BC101" s="46" t="e">
        <f>BL$3*MIN(1,(ATM_Conf!$C$6-Links!N101)/(ATM_Conf!$C$6-ATM_Conf!$C$7))</f>
        <v>#DIV/0!</v>
      </c>
      <c r="BD101" s="46"/>
      <c r="BE101" s="46"/>
      <c r="BF101" s="46"/>
      <c r="BG101" s="46"/>
      <c r="BH101" s="46"/>
      <c r="BI101" s="46"/>
      <c r="BJ101" s="46"/>
      <c r="BK101" s="46"/>
      <c r="BL101" s="46"/>
      <c r="BM101" s="54"/>
      <c r="BN101" s="54"/>
      <c r="BO101" s="54"/>
      <c r="BP101" s="54"/>
      <c r="BQ101" s="54"/>
      <c r="BR101" s="54"/>
      <c r="BS101" s="54"/>
      <c r="BT101" s="54"/>
      <c r="BU101" s="54"/>
      <c r="BV101" s="46" t="e">
        <f t="shared" si="56"/>
        <v>#DIV/0!</v>
      </c>
      <c r="BW101" s="46" t="e">
        <f t="shared" si="57"/>
        <v>#DIV/0!</v>
      </c>
      <c r="BX101" s="46" t="e">
        <f t="shared" si="58"/>
        <v>#DIV/0!</v>
      </c>
      <c r="BY101" s="46" t="e">
        <f t="shared" si="59"/>
        <v>#DIV/0!</v>
      </c>
      <c r="BZ101" s="46" t="e">
        <f t="shared" si="60"/>
        <v>#DIV/0!</v>
      </c>
      <c r="CA101" s="46" t="e">
        <f t="shared" si="61"/>
        <v>#DIV/0!</v>
      </c>
      <c r="CB101" s="46" t="e">
        <f t="shared" si="62"/>
        <v>#DIV/0!</v>
      </c>
      <c r="CC101" s="46" t="e">
        <f t="shared" si="63"/>
        <v>#DIV/0!</v>
      </c>
      <c r="CD101" s="46" t="e">
        <f t="shared" si="64"/>
        <v>#DIV/0!</v>
      </c>
      <c r="CE101" s="56" t="e">
        <f t="shared" si="65"/>
        <v>#DIV/0!</v>
      </c>
      <c r="CF101" s="56" t="e">
        <f t="shared" si="66"/>
        <v>#DIV/0!</v>
      </c>
      <c r="CG101" s="56" t="e">
        <f t="shared" si="67"/>
        <v>#DIV/0!</v>
      </c>
      <c r="CH101" s="56" t="e">
        <f t="shared" si="68"/>
        <v>#DIV/0!</v>
      </c>
      <c r="CI101" s="56" t="e">
        <f t="shared" si="69"/>
        <v>#DIV/0!</v>
      </c>
      <c r="CJ101" s="56" t="e">
        <f t="shared" si="70"/>
        <v>#DIV/0!</v>
      </c>
      <c r="CK101" s="56" t="e">
        <f t="shared" si="71"/>
        <v>#DIV/0!</v>
      </c>
      <c r="CL101" s="56" t="e">
        <f t="shared" si="72"/>
        <v>#DIV/0!</v>
      </c>
      <c r="CM101" s="56" t="e">
        <f t="shared" si="73"/>
        <v>#DIV/0!</v>
      </c>
    </row>
    <row r="102" spans="1:91" x14ac:dyDescent="0.15">
      <c r="A102" s="43">
        <v>100</v>
      </c>
      <c r="B102" s="46">
        <f t="shared" si="82"/>
        <v>1</v>
      </c>
      <c r="C102" s="46">
        <f t="shared" si="81"/>
        <v>1</v>
      </c>
      <c r="D102" s="46">
        <f t="shared" si="81"/>
        <v>1</v>
      </c>
      <c r="E102" s="46">
        <f t="shared" si="81"/>
        <v>1</v>
      </c>
      <c r="F102" s="46">
        <f t="shared" si="81"/>
        <v>1</v>
      </c>
      <c r="G102" s="46">
        <f t="shared" si="81"/>
        <v>1</v>
      </c>
      <c r="H102" s="46">
        <f t="shared" si="81"/>
        <v>1</v>
      </c>
      <c r="I102" s="46">
        <f t="shared" si="81"/>
        <v>1</v>
      </c>
      <c r="J102" s="46">
        <f t="shared" si="81"/>
        <v>1</v>
      </c>
      <c r="K102" s="46" t="e">
        <f>K101+ATM_Conf!$C$5*(T101-AC101)</f>
        <v>#DIV/0!</v>
      </c>
      <c r="L102" s="46" t="e">
        <f>L101+ATM_Conf!$C$5*(U101-AD101)</f>
        <v>#DIV/0!</v>
      </c>
      <c r="M102" s="46" t="e">
        <f>M101+ATM_Conf!$C$5*(V101-AE101)</f>
        <v>#DIV/0!</v>
      </c>
      <c r="N102" s="46" t="e">
        <f>N101+ATM_Conf!$C$5*(W101-AF101)</f>
        <v>#DIV/0!</v>
      </c>
      <c r="O102" s="46" t="e">
        <f>O101+ATM_Conf!$C$5*(X101-AG101)</f>
        <v>#DIV/0!</v>
      </c>
      <c r="P102" s="46" t="e">
        <f>P101+ATM_Conf!$C$5*(Y101-AH101)</f>
        <v>#DIV/0!</v>
      </c>
      <c r="Q102" s="46" t="e">
        <f>Q101+ATM_Conf!$C$5*(Z101-AI101)</f>
        <v>#DIV/0!</v>
      </c>
      <c r="R102" s="46" t="e">
        <f>R101+ATM_Conf!$C$5*(AA101-AJ101)</f>
        <v>#DIV/0!</v>
      </c>
      <c r="S102" s="46" t="e">
        <f>S101+ATM_Conf!$C$5*(AB101-AK101)</f>
        <v>#DIV/0!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 t="e">
        <f t="shared" si="47"/>
        <v>#DIV/0!</v>
      </c>
      <c r="AD102" s="46" t="e">
        <f t="shared" si="48"/>
        <v>#DIV/0!</v>
      </c>
      <c r="AE102" s="46" t="e">
        <f t="shared" si="49"/>
        <v>#DIV/0!</v>
      </c>
      <c r="AF102" s="46" t="e">
        <f t="shared" si="50"/>
        <v>#DIV/0!</v>
      </c>
      <c r="AG102" s="46" t="e">
        <f t="shared" si="51"/>
        <v>#DIV/0!</v>
      </c>
      <c r="AH102" s="46" t="e">
        <f t="shared" si="52"/>
        <v>#DIV/0!</v>
      </c>
      <c r="AI102" s="46" t="e">
        <f t="shared" si="53"/>
        <v>#DIV/0!</v>
      </c>
      <c r="AJ102" s="46" t="e">
        <f t="shared" si="54"/>
        <v>#DIV/0!</v>
      </c>
      <c r="AK102" s="46" t="e">
        <f t="shared" si="55"/>
        <v>#DIV/0!</v>
      </c>
      <c r="AL102" s="46" t="e">
        <f>T$3+K102/ATM_Conf!$C$5</f>
        <v>#DIV/0!</v>
      </c>
      <c r="AM102" s="46" t="e">
        <f>U$3+L102/ATM_Conf!$C$5</f>
        <v>#DIV/0!</v>
      </c>
      <c r="AN102" s="46" t="e">
        <f>V$3+M102/ATM_Conf!$C$5</f>
        <v>#DIV/0!</v>
      </c>
      <c r="AO102" s="46" t="e">
        <f>W$3+N102/ATM_Conf!$C$5</f>
        <v>#DIV/0!</v>
      </c>
      <c r="AP102" s="46" t="e">
        <f>X$3+O102/ATM_Conf!$C$5</f>
        <v>#DIV/0!</v>
      </c>
      <c r="AQ102" s="46" t="e">
        <f>Y$3+P102/ATM_Conf!$C$5</f>
        <v>#DIV/0!</v>
      </c>
      <c r="AR102" s="46" t="e">
        <f>Z$3+Q102/ATM_Conf!$C$5</f>
        <v>#DIV/0!</v>
      </c>
      <c r="AS102" s="46" t="e">
        <f>AA$3+R102/ATM_Conf!$C$5</f>
        <v>#DIV/0!</v>
      </c>
      <c r="AT102" s="46" t="e">
        <f>AB$3+S102/ATM_Conf!$C$5</f>
        <v>#DIV/0!</v>
      </c>
      <c r="AU102" s="46" t="e">
        <f>BD$3*MIN(1,(ATM_Conf!$C$6-Links!F102)/(ATM_Conf!$C$6-ATM_Conf!$C$7))</f>
        <v>#DIV/0!</v>
      </c>
      <c r="AV102" s="46" t="e">
        <f>BE$3*MIN(1,(ATM_Conf!$C$6-Links!G102)/(ATM_Conf!$C$6-ATM_Conf!$C$7))</f>
        <v>#DIV/0!</v>
      </c>
      <c r="AW102" s="46" t="e">
        <f>BF$3*MIN(1,(ATM_Conf!$C$6-Links!H102)/(ATM_Conf!$C$6-ATM_Conf!$C$7))</f>
        <v>#DIV/0!</v>
      </c>
      <c r="AX102" s="46" t="e">
        <f>BG$3*MIN(1,(ATM_Conf!$C$6-Links!I102)/(ATM_Conf!$C$6-ATM_Conf!$C$7))</f>
        <v>#DIV/0!</v>
      </c>
      <c r="AY102" s="46" t="e">
        <f>BH$3*MIN(1,(ATM_Conf!$C$6-Links!J102)/(ATM_Conf!$C$6-ATM_Conf!$C$7))</f>
        <v>#DIV/0!</v>
      </c>
      <c r="AZ102" s="46" t="e">
        <f>BI$3*MIN(1,(ATM_Conf!$C$6-Links!K102)/(ATM_Conf!$C$6-ATM_Conf!$C$7))</f>
        <v>#DIV/0!</v>
      </c>
      <c r="BA102" s="46" t="e">
        <f>BJ$3*MIN(1,(ATM_Conf!$C$6-Links!L102)/(ATM_Conf!$C$6-ATM_Conf!$C$7))</f>
        <v>#DIV/0!</v>
      </c>
      <c r="BB102" s="46" t="e">
        <f>BK$3*MIN(1,(ATM_Conf!$C$6-Links!M102)/(ATM_Conf!$C$6-ATM_Conf!$C$7))</f>
        <v>#DIV/0!</v>
      </c>
      <c r="BC102" s="46" t="e">
        <f>BL$3*MIN(1,(ATM_Conf!$C$6-Links!N102)/(ATM_Conf!$C$6-ATM_Conf!$C$7))</f>
        <v>#DIV/0!</v>
      </c>
      <c r="BD102" s="46"/>
      <c r="BE102" s="46"/>
      <c r="BF102" s="46"/>
      <c r="BG102" s="46"/>
      <c r="BH102" s="46"/>
      <c r="BI102" s="46"/>
      <c r="BJ102" s="46"/>
      <c r="BK102" s="46"/>
      <c r="BL102" s="46"/>
      <c r="BM102" s="54"/>
      <c r="BN102" s="54"/>
      <c r="BO102" s="54"/>
      <c r="BP102" s="54"/>
      <c r="BQ102" s="54"/>
      <c r="BR102" s="54"/>
      <c r="BS102" s="54"/>
      <c r="BT102" s="54"/>
      <c r="BU102" s="54"/>
      <c r="BV102" s="46" t="e">
        <f t="shared" si="56"/>
        <v>#DIV/0!</v>
      </c>
      <c r="BW102" s="46" t="e">
        <f t="shared" si="57"/>
        <v>#DIV/0!</v>
      </c>
      <c r="BX102" s="46" t="e">
        <f t="shared" si="58"/>
        <v>#DIV/0!</v>
      </c>
      <c r="BY102" s="46" t="e">
        <f t="shared" si="59"/>
        <v>#DIV/0!</v>
      </c>
      <c r="BZ102" s="46" t="e">
        <f t="shared" si="60"/>
        <v>#DIV/0!</v>
      </c>
      <c r="CA102" s="46" t="e">
        <f t="shared" si="61"/>
        <v>#DIV/0!</v>
      </c>
      <c r="CB102" s="46" t="e">
        <f t="shared" si="62"/>
        <v>#DIV/0!</v>
      </c>
      <c r="CC102" s="46" t="e">
        <f t="shared" si="63"/>
        <v>#DIV/0!</v>
      </c>
      <c r="CD102" s="46" t="e">
        <f t="shared" si="64"/>
        <v>#DIV/0!</v>
      </c>
      <c r="CE102" s="56" t="e">
        <f t="shared" si="65"/>
        <v>#DIV/0!</v>
      </c>
      <c r="CF102" s="56" t="e">
        <f t="shared" si="66"/>
        <v>#DIV/0!</v>
      </c>
      <c r="CG102" s="56" t="e">
        <f t="shared" si="67"/>
        <v>#DIV/0!</v>
      </c>
      <c r="CH102" s="56" t="e">
        <f t="shared" si="68"/>
        <v>#DIV/0!</v>
      </c>
      <c r="CI102" s="56" t="e">
        <f t="shared" si="69"/>
        <v>#DIV/0!</v>
      </c>
      <c r="CJ102" s="56" t="e">
        <f t="shared" si="70"/>
        <v>#DIV/0!</v>
      </c>
      <c r="CK102" s="56" t="e">
        <f t="shared" si="71"/>
        <v>#DIV/0!</v>
      </c>
      <c r="CL102" s="56" t="e">
        <f t="shared" si="72"/>
        <v>#DIV/0!</v>
      </c>
      <c r="CM102" s="56" t="e">
        <f t="shared" si="73"/>
        <v>#DIV/0!</v>
      </c>
    </row>
    <row r="103" spans="1:91" x14ac:dyDescent="0.15">
      <c r="A103" s="43">
        <v>101</v>
      </c>
      <c r="B103" s="46">
        <f t="shared" si="82"/>
        <v>1</v>
      </c>
      <c r="C103" s="46">
        <f t="shared" si="81"/>
        <v>1</v>
      </c>
      <c r="D103" s="46">
        <f t="shared" si="81"/>
        <v>1</v>
      </c>
      <c r="E103" s="46">
        <f t="shared" si="81"/>
        <v>1</v>
      </c>
      <c r="F103" s="46">
        <f t="shared" si="81"/>
        <v>1</v>
      </c>
      <c r="G103" s="46">
        <f t="shared" si="81"/>
        <v>1</v>
      </c>
      <c r="H103" s="46">
        <f t="shared" si="81"/>
        <v>1</v>
      </c>
      <c r="I103" s="46">
        <f t="shared" si="81"/>
        <v>1</v>
      </c>
      <c r="J103" s="46">
        <f t="shared" si="81"/>
        <v>1</v>
      </c>
      <c r="K103" s="46" t="e">
        <f>K102+ATM_Conf!$C$5*(T102-AC102)</f>
        <v>#DIV/0!</v>
      </c>
      <c r="L103" s="46" t="e">
        <f>L102+ATM_Conf!$C$5*(U102-AD102)</f>
        <v>#DIV/0!</v>
      </c>
      <c r="M103" s="46" t="e">
        <f>M102+ATM_Conf!$C$5*(V102-AE102)</f>
        <v>#DIV/0!</v>
      </c>
      <c r="N103" s="46" t="e">
        <f>N102+ATM_Conf!$C$5*(W102-AF102)</f>
        <v>#DIV/0!</v>
      </c>
      <c r="O103" s="46" t="e">
        <f>O102+ATM_Conf!$C$5*(X102-AG102)</f>
        <v>#DIV/0!</v>
      </c>
      <c r="P103" s="46" t="e">
        <f>P102+ATM_Conf!$C$5*(Y102-AH102)</f>
        <v>#DIV/0!</v>
      </c>
      <c r="Q103" s="46" t="e">
        <f>Q102+ATM_Conf!$C$5*(Z102-AI102)</f>
        <v>#DIV/0!</v>
      </c>
      <c r="R103" s="46" t="e">
        <f>R102+ATM_Conf!$C$5*(AA102-AJ102)</f>
        <v>#DIV/0!</v>
      </c>
      <c r="S103" s="46" t="e">
        <f>S102+ATM_Conf!$C$5*(AB102-AK102)</f>
        <v>#DIV/0!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 t="e">
        <f t="shared" si="47"/>
        <v>#DIV/0!</v>
      </c>
      <c r="AD103" s="46" t="e">
        <f t="shared" si="48"/>
        <v>#DIV/0!</v>
      </c>
      <c r="AE103" s="46" t="e">
        <f t="shared" si="49"/>
        <v>#DIV/0!</v>
      </c>
      <c r="AF103" s="46" t="e">
        <f t="shared" si="50"/>
        <v>#DIV/0!</v>
      </c>
      <c r="AG103" s="46" t="e">
        <f t="shared" si="51"/>
        <v>#DIV/0!</v>
      </c>
      <c r="AH103" s="46" t="e">
        <f t="shared" si="52"/>
        <v>#DIV/0!</v>
      </c>
      <c r="AI103" s="46" t="e">
        <f t="shared" si="53"/>
        <v>#DIV/0!</v>
      </c>
      <c r="AJ103" s="46" t="e">
        <f t="shared" si="54"/>
        <v>#DIV/0!</v>
      </c>
      <c r="AK103" s="46" t="e">
        <f t="shared" si="55"/>
        <v>#DIV/0!</v>
      </c>
      <c r="AL103" s="46" t="e">
        <f>T$3+K103/ATM_Conf!$C$5</f>
        <v>#DIV/0!</v>
      </c>
      <c r="AM103" s="46" t="e">
        <f>U$3+L103/ATM_Conf!$C$5</f>
        <v>#DIV/0!</v>
      </c>
      <c r="AN103" s="46" t="e">
        <f>V$3+M103/ATM_Conf!$C$5</f>
        <v>#DIV/0!</v>
      </c>
      <c r="AO103" s="46" t="e">
        <f>W$3+N103/ATM_Conf!$C$5</f>
        <v>#DIV/0!</v>
      </c>
      <c r="AP103" s="46" t="e">
        <f>X$3+O103/ATM_Conf!$C$5</f>
        <v>#DIV/0!</v>
      </c>
      <c r="AQ103" s="46" t="e">
        <f>Y$3+P103/ATM_Conf!$C$5</f>
        <v>#DIV/0!</v>
      </c>
      <c r="AR103" s="46" t="e">
        <f>Z$3+Q103/ATM_Conf!$C$5</f>
        <v>#DIV/0!</v>
      </c>
      <c r="AS103" s="46" t="e">
        <f>AA$3+R103/ATM_Conf!$C$5</f>
        <v>#DIV/0!</v>
      </c>
      <c r="AT103" s="46" t="e">
        <f>AB$3+S103/ATM_Conf!$C$5</f>
        <v>#DIV/0!</v>
      </c>
      <c r="AU103" s="46" t="e">
        <f>BD$3*MIN(1,(ATM_Conf!$C$6-Links!F103)/(ATM_Conf!$C$6-ATM_Conf!$C$7))</f>
        <v>#DIV/0!</v>
      </c>
      <c r="AV103" s="46" t="e">
        <f>BE$3*MIN(1,(ATM_Conf!$C$6-Links!G103)/(ATM_Conf!$C$6-ATM_Conf!$C$7))</f>
        <v>#DIV/0!</v>
      </c>
      <c r="AW103" s="46" t="e">
        <f>BF$3*MIN(1,(ATM_Conf!$C$6-Links!H103)/(ATM_Conf!$C$6-ATM_Conf!$C$7))</f>
        <v>#DIV/0!</v>
      </c>
      <c r="AX103" s="46" t="e">
        <f>BG$3*MIN(1,(ATM_Conf!$C$6-Links!I103)/(ATM_Conf!$C$6-ATM_Conf!$C$7))</f>
        <v>#DIV/0!</v>
      </c>
      <c r="AY103" s="46" t="e">
        <f>BH$3*MIN(1,(ATM_Conf!$C$6-Links!J103)/(ATM_Conf!$C$6-ATM_Conf!$C$7))</f>
        <v>#DIV/0!</v>
      </c>
      <c r="AZ103" s="46" t="e">
        <f>BI$3*MIN(1,(ATM_Conf!$C$6-Links!K103)/(ATM_Conf!$C$6-ATM_Conf!$C$7))</f>
        <v>#DIV/0!</v>
      </c>
      <c r="BA103" s="46" t="e">
        <f>BJ$3*MIN(1,(ATM_Conf!$C$6-Links!L103)/(ATM_Conf!$C$6-ATM_Conf!$C$7))</f>
        <v>#DIV/0!</v>
      </c>
      <c r="BB103" s="46" t="e">
        <f>BK$3*MIN(1,(ATM_Conf!$C$6-Links!M103)/(ATM_Conf!$C$6-ATM_Conf!$C$7))</f>
        <v>#DIV/0!</v>
      </c>
      <c r="BC103" s="46" t="e">
        <f>BL$3*MIN(1,(ATM_Conf!$C$6-Links!N103)/(ATM_Conf!$C$6-ATM_Conf!$C$7))</f>
        <v>#DIV/0!</v>
      </c>
      <c r="BD103" s="46"/>
      <c r="BE103" s="46"/>
      <c r="BF103" s="46"/>
      <c r="BG103" s="46"/>
      <c r="BH103" s="46"/>
      <c r="BI103" s="46"/>
      <c r="BJ103" s="46"/>
      <c r="BK103" s="46"/>
      <c r="BL103" s="46"/>
      <c r="BM103" s="54"/>
      <c r="BN103" s="54"/>
      <c r="BO103" s="54"/>
      <c r="BP103" s="54"/>
      <c r="BQ103" s="54"/>
      <c r="BR103" s="54"/>
      <c r="BS103" s="54"/>
      <c r="BT103" s="54"/>
      <c r="BU103" s="54"/>
      <c r="BV103" s="46" t="e">
        <f t="shared" si="56"/>
        <v>#DIV/0!</v>
      </c>
      <c r="BW103" s="46" t="e">
        <f t="shared" si="57"/>
        <v>#DIV/0!</v>
      </c>
      <c r="BX103" s="46" t="e">
        <f t="shared" si="58"/>
        <v>#DIV/0!</v>
      </c>
      <c r="BY103" s="46" t="e">
        <f t="shared" si="59"/>
        <v>#DIV/0!</v>
      </c>
      <c r="BZ103" s="46" t="e">
        <f t="shared" si="60"/>
        <v>#DIV/0!</v>
      </c>
      <c r="CA103" s="46" t="e">
        <f t="shared" si="61"/>
        <v>#DIV/0!</v>
      </c>
      <c r="CB103" s="46" t="e">
        <f t="shared" si="62"/>
        <v>#DIV/0!</v>
      </c>
      <c r="CC103" s="46" t="e">
        <f t="shared" si="63"/>
        <v>#DIV/0!</v>
      </c>
      <c r="CD103" s="46" t="e">
        <f t="shared" si="64"/>
        <v>#DIV/0!</v>
      </c>
      <c r="CE103" s="56" t="e">
        <f t="shared" si="65"/>
        <v>#DIV/0!</v>
      </c>
      <c r="CF103" s="56" t="e">
        <f t="shared" si="66"/>
        <v>#DIV/0!</v>
      </c>
      <c r="CG103" s="56" t="e">
        <f t="shared" si="67"/>
        <v>#DIV/0!</v>
      </c>
      <c r="CH103" s="56" t="e">
        <f t="shared" si="68"/>
        <v>#DIV/0!</v>
      </c>
      <c r="CI103" s="56" t="e">
        <f t="shared" si="69"/>
        <v>#DIV/0!</v>
      </c>
      <c r="CJ103" s="56" t="e">
        <f t="shared" si="70"/>
        <v>#DIV/0!</v>
      </c>
      <c r="CK103" s="56" t="e">
        <f t="shared" si="71"/>
        <v>#DIV/0!</v>
      </c>
      <c r="CL103" s="56" t="e">
        <f t="shared" si="72"/>
        <v>#DIV/0!</v>
      </c>
      <c r="CM103" s="56" t="e">
        <f t="shared" si="73"/>
        <v>#DIV/0!</v>
      </c>
    </row>
    <row r="104" spans="1:91" x14ac:dyDescent="0.15">
      <c r="A104" s="43">
        <v>102</v>
      </c>
      <c r="B104" s="46">
        <f t="shared" si="82"/>
        <v>1</v>
      </c>
      <c r="C104" s="46">
        <f t="shared" si="81"/>
        <v>1</v>
      </c>
      <c r="D104" s="46">
        <f t="shared" si="81"/>
        <v>1</v>
      </c>
      <c r="E104" s="46">
        <f t="shared" si="81"/>
        <v>1</v>
      </c>
      <c r="F104" s="46">
        <f t="shared" si="81"/>
        <v>1</v>
      </c>
      <c r="G104" s="46">
        <f t="shared" si="81"/>
        <v>1</v>
      </c>
      <c r="H104" s="46">
        <f t="shared" si="81"/>
        <v>1</v>
      </c>
      <c r="I104" s="46">
        <f t="shared" si="81"/>
        <v>1</v>
      </c>
      <c r="J104" s="46">
        <f t="shared" si="81"/>
        <v>1</v>
      </c>
      <c r="K104" s="46" t="e">
        <f>K103+ATM_Conf!$C$5*(T103-AC103)</f>
        <v>#DIV/0!</v>
      </c>
      <c r="L104" s="46" t="e">
        <f>L103+ATM_Conf!$C$5*(U103-AD103)</f>
        <v>#DIV/0!</v>
      </c>
      <c r="M104" s="46" t="e">
        <f>M103+ATM_Conf!$C$5*(V103-AE103)</f>
        <v>#DIV/0!</v>
      </c>
      <c r="N104" s="46" t="e">
        <f>N103+ATM_Conf!$C$5*(W103-AF103)</f>
        <v>#DIV/0!</v>
      </c>
      <c r="O104" s="46" t="e">
        <f>O103+ATM_Conf!$C$5*(X103-AG103)</f>
        <v>#DIV/0!</v>
      </c>
      <c r="P104" s="46" t="e">
        <f>P103+ATM_Conf!$C$5*(Y103-AH103)</f>
        <v>#DIV/0!</v>
      </c>
      <c r="Q104" s="46" t="e">
        <f>Q103+ATM_Conf!$C$5*(Z103-AI103)</f>
        <v>#DIV/0!</v>
      </c>
      <c r="R104" s="46" t="e">
        <f>R103+ATM_Conf!$C$5*(AA103-AJ103)</f>
        <v>#DIV/0!</v>
      </c>
      <c r="S104" s="46" t="e">
        <f>S103+ATM_Conf!$C$5*(AB103-AK103)</f>
        <v>#DIV/0!</v>
      </c>
      <c r="T104" s="46"/>
      <c r="U104" s="46"/>
      <c r="V104" s="46"/>
      <c r="W104" s="46"/>
      <c r="X104" s="46"/>
      <c r="Y104" s="46"/>
      <c r="Z104" s="46"/>
      <c r="AA104" s="46"/>
      <c r="AB104" s="46"/>
      <c r="AC104" s="46" t="e">
        <f t="shared" si="47"/>
        <v>#DIV/0!</v>
      </c>
      <c r="AD104" s="46" t="e">
        <f t="shared" si="48"/>
        <v>#DIV/0!</v>
      </c>
      <c r="AE104" s="46" t="e">
        <f t="shared" si="49"/>
        <v>#DIV/0!</v>
      </c>
      <c r="AF104" s="46" t="e">
        <f t="shared" si="50"/>
        <v>#DIV/0!</v>
      </c>
      <c r="AG104" s="46" t="e">
        <f t="shared" si="51"/>
        <v>#DIV/0!</v>
      </c>
      <c r="AH104" s="46" t="e">
        <f t="shared" si="52"/>
        <v>#DIV/0!</v>
      </c>
      <c r="AI104" s="46" t="e">
        <f t="shared" si="53"/>
        <v>#DIV/0!</v>
      </c>
      <c r="AJ104" s="46" t="e">
        <f t="shared" si="54"/>
        <v>#DIV/0!</v>
      </c>
      <c r="AK104" s="46" t="e">
        <f t="shared" si="55"/>
        <v>#DIV/0!</v>
      </c>
      <c r="AL104" s="46" t="e">
        <f>T$3+K104/ATM_Conf!$C$5</f>
        <v>#DIV/0!</v>
      </c>
      <c r="AM104" s="46" t="e">
        <f>U$3+L104/ATM_Conf!$C$5</f>
        <v>#DIV/0!</v>
      </c>
      <c r="AN104" s="46" t="e">
        <f>V$3+M104/ATM_Conf!$C$5</f>
        <v>#DIV/0!</v>
      </c>
      <c r="AO104" s="46" t="e">
        <f>W$3+N104/ATM_Conf!$C$5</f>
        <v>#DIV/0!</v>
      </c>
      <c r="AP104" s="46" t="e">
        <f>X$3+O104/ATM_Conf!$C$5</f>
        <v>#DIV/0!</v>
      </c>
      <c r="AQ104" s="46" t="e">
        <f>Y$3+P104/ATM_Conf!$C$5</f>
        <v>#DIV/0!</v>
      </c>
      <c r="AR104" s="46" t="e">
        <f>Z$3+Q104/ATM_Conf!$C$5</f>
        <v>#DIV/0!</v>
      </c>
      <c r="AS104" s="46" t="e">
        <f>AA$3+R104/ATM_Conf!$C$5</f>
        <v>#DIV/0!</v>
      </c>
      <c r="AT104" s="46" t="e">
        <f>AB$3+S104/ATM_Conf!$C$5</f>
        <v>#DIV/0!</v>
      </c>
      <c r="AU104" s="46" t="e">
        <f>BD$3*MIN(1,(ATM_Conf!$C$6-Links!F104)/(ATM_Conf!$C$6-ATM_Conf!$C$7))</f>
        <v>#DIV/0!</v>
      </c>
      <c r="AV104" s="46" t="e">
        <f>BE$3*MIN(1,(ATM_Conf!$C$6-Links!G104)/(ATM_Conf!$C$6-ATM_Conf!$C$7))</f>
        <v>#DIV/0!</v>
      </c>
      <c r="AW104" s="46" t="e">
        <f>BF$3*MIN(1,(ATM_Conf!$C$6-Links!H104)/(ATM_Conf!$C$6-ATM_Conf!$C$7))</f>
        <v>#DIV/0!</v>
      </c>
      <c r="AX104" s="46" t="e">
        <f>BG$3*MIN(1,(ATM_Conf!$C$6-Links!I104)/(ATM_Conf!$C$6-ATM_Conf!$C$7))</f>
        <v>#DIV/0!</v>
      </c>
      <c r="AY104" s="46" t="e">
        <f>BH$3*MIN(1,(ATM_Conf!$C$6-Links!J104)/(ATM_Conf!$C$6-ATM_Conf!$C$7))</f>
        <v>#DIV/0!</v>
      </c>
      <c r="AZ104" s="46" t="e">
        <f>BI$3*MIN(1,(ATM_Conf!$C$6-Links!K104)/(ATM_Conf!$C$6-ATM_Conf!$C$7))</f>
        <v>#DIV/0!</v>
      </c>
      <c r="BA104" s="46" t="e">
        <f>BJ$3*MIN(1,(ATM_Conf!$C$6-Links!L104)/(ATM_Conf!$C$6-ATM_Conf!$C$7))</f>
        <v>#DIV/0!</v>
      </c>
      <c r="BB104" s="46" t="e">
        <f>BK$3*MIN(1,(ATM_Conf!$C$6-Links!M104)/(ATM_Conf!$C$6-ATM_Conf!$C$7))</f>
        <v>#DIV/0!</v>
      </c>
      <c r="BC104" s="46" t="e">
        <f>BL$3*MIN(1,(ATM_Conf!$C$6-Links!N104)/(ATM_Conf!$C$6-ATM_Conf!$C$7))</f>
        <v>#DIV/0!</v>
      </c>
      <c r="BD104" s="46"/>
      <c r="BE104" s="46"/>
      <c r="BF104" s="46"/>
      <c r="BG104" s="46"/>
      <c r="BH104" s="46"/>
      <c r="BI104" s="46"/>
      <c r="BJ104" s="46"/>
      <c r="BK104" s="46"/>
      <c r="BL104" s="46"/>
      <c r="BM104" s="54"/>
      <c r="BN104" s="54"/>
      <c r="BO104" s="54"/>
      <c r="BP104" s="54"/>
      <c r="BQ104" s="54"/>
      <c r="BR104" s="54"/>
      <c r="BS104" s="54"/>
      <c r="BT104" s="54"/>
      <c r="BU104" s="54"/>
      <c r="BV104" s="46" t="e">
        <f t="shared" si="56"/>
        <v>#DIV/0!</v>
      </c>
      <c r="BW104" s="46" t="e">
        <f t="shared" si="57"/>
        <v>#DIV/0!</v>
      </c>
      <c r="BX104" s="46" t="e">
        <f t="shared" si="58"/>
        <v>#DIV/0!</v>
      </c>
      <c r="BY104" s="46" t="e">
        <f t="shared" si="59"/>
        <v>#DIV/0!</v>
      </c>
      <c r="BZ104" s="46" t="e">
        <f t="shared" si="60"/>
        <v>#DIV/0!</v>
      </c>
      <c r="CA104" s="46" t="e">
        <f t="shared" si="61"/>
        <v>#DIV/0!</v>
      </c>
      <c r="CB104" s="46" t="e">
        <f t="shared" si="62"/>
        <v>#DIV/0!</v>
      </c>
      <c r="CC104" s="46" t="e">
        <f t="shared" si="63"/>
        <v>#DIV/0!</v>
      </c>
      <c r="CD104" s="46" t="e">
        <f t="shared" si="64"/>
        <v>#DIV/0!</v>
      </c>
      <c r="CE104" s="56" t="e">
        <f t="shared" si="65"/>
        <v>#DIV/0!</v>
      </c>
      <c r="CF104" s="56" t="e">
        <f t="shared" si="66"/>
        <v>#DIV/0!</v>
      </c>
      <c r="CG104" s="56" t="e">
        <f t="shared" si="67"/>
        <v>#DIV/0!</v>
      </c>
      <c r="CH104" s="56" t="e">
        <f t="shared" si="68"/>
        <v>#DIV/0!</v>
      </c>
      <c r="CI104" s="56" t="e">
        <f t="shared" si="69"/>
        <v>#DIV/0!</v>
      </c>
      <c r="CJ104" s="56" t="e">
        <f t="shared" si="70"/>
        <v>#DIV/0!</v>
      </c>
      <c r="CK104" s="56" t="e">
        <f t="shared" si="71"/>
        <v>#DIV/0!</v>
      </c>
      <c r="CL104" s="56" t="e">
        <f t="shared" si="72"/>
        <v>#DIV/0!</v>
      </c>
      <c r="CM104" s="56" t="e">
        <f t="shared" si="73"/>
        <v>#DIV/0!</v>
      </c>
    </row>
    <row r="105" spans="1:91" x14ac:dyDescent="0.15">
      <c r="A105" s="43">
        <v>103</v>
      </c>
      <c r="B105" s="46">
        <f t="shared" si="82"/>
        <v>1</v>
      </c>
      <c r="C105" s="46">
        <f t="shared" si="81"/>
        <v>1</v>
      </c>
      <c r="D105" s="46">
        <f t="shared" si="81"/>
        <v>1</v>
      </c>
      <c r="E105" s="46">
        <f t="shared" si="81"/>
        <v>1</v>
      </c>
      <c r="F105" s="46">
        <f t="shared" si="81"/>
        <v>1</v>
      </c>
      <c r="G105" s="46">
        <f t="shared" si="81"/>
        <v>1</v>
      </c>
      <c r="H105" s="46">
        <f t="shared" si="81"/>
        <v>1</v>
      </c>
      <c r="I105" s="46">
        <f t="shared" si="81"/>
        <v>1</v>
      </c>
      <c r="J105" s="46">
        <f t="shared" si="81"/>
        <v>1</v>
      </c>
      <c r="K105" s="46" t="e">
        <f>K104+ATM_Conf!$C$5*(T104-AC104)</f>
        <v>#DIV/0!</v>
      </c>
      <c r="L105" s="46" t="e">
        <f>L104+ATM_Conf!$C$5*(U104-AD104)</f>
        <v>#DIV/0!</v>
      </c>
      <c r="M105" s="46" t="e">
        <f>M104+ATM_Conf!$C$5*(V104-AE104)</f>
        <v>#DIV/0!</v>
      </c>
      <c r="N105" s="46" t="e">
        <f>N104+ATM_Conf!$C$5*(W104-AF104)</f>
        <v>#DIV/0!</v>
      </c>
      <c r="O105" s="46" t="e">
        <f>O104+ATM_Conf!$C$5*(X104-AG104)</f>
        <v>#DIV/0!</v>
      </c>
      <c r="P105" s="46" t="e">
        <f>P104+ATM_Conf!$C$5*(Y104-AH104)</f>
        <v>#DIV/0!</v>
      </c>
      <c r="Q105" s="46" t="e">
        <f>Q104+ATM_Conf!$C$5*(Z104-AI104)</f>
        <v>#DIV/0!</v>
      </c>
      <c r="R105" s="46" t="e">
        <f>R104+ATM_Conf!$C$5*(AA104-AJ104)</f>
        <v>#DIV/0!</v>
      </c>
      <c r="S105" s="46" t="e">
        <f>S104+ATM_Conf!$C$5*(AB104-AK104)</f>
        <v>#DIV/0!</v>
      </c>
      <c r="T105" s="46"/>
      <c r="U105" s="46"/>
      <c r="V105" s="46"/>
      <c r="W105" s="46"/>
      <c r="X105" s="46"/>
      <c r="Y105" s="46"/>
      <c r="Z105" s="46"/>
      <c r="AA105" s="46"/>
      <c r="AB105" s="46"/>
      <c r="AC105" s="46" t="e">
        <f t="shared" si="47"/>
        <v>#DIV/0!</v>
      </c>
      <c r="AD105" s="46" t="e">
        <f t="shared" si="48"/>
        <v>#DIV/0!</v>
      </c>
      <c r="AE105" s="46" t="e">
        <f t="shared" si="49"/>
        <v>#DIV/0!</v>
      </c>
      <c r="AF105" s="46" t="e">
        <f t="shared" si="50"/>
        <v>#DIV/0!</v>
      </c>
      <c r="AG105" s="46" t="e">
        <f t="shared" si="51"/>
        <v>#DIV/0!</v>
      </c>
      <c r="AH105" s="46" t="e">
        <f t="shared" si="52"/>
        <v>#DIV/0!</v>
      </c>
      <c r="AI105" s="46" t="e">
        <f t="shared" si="53"/>
        <v>#DIV/0!</v>
      </c>
      <c r="AJ105" s="46" t="e">
        <f t="shared" si="54"/>
        <v>#DIV/0!</v>
      </c>
      <c r="AK105" s="46" t="e">
        <f t="shared" si="55"/>
        <v>#DIV/0!</v>
      </c>
      <c r="AL105" s="46" t="e">
        <f>T$3+K105/ATM_Conf!$C$5</f>
        <v>#DIV/0!</v>
      </c>
      <c r="AM105" s="46" t="e">
        <f>U$3+L105/ATM_Conf!$C$5</f>
        <v>#DIV/0!</v>
      </c>
      <c r="AN105" s="46" t="e">
        <f>V$3+M105/ATM_Conf!$C$5</f>
        <v>#DIV/0!</v>
      </c>
      <c r="AO105" s="46" t="e">
        <f>W$3+N105/ATM_Conf!$C$5</f>
        <v>#DIV/0!</v>
      </c>
      <c r="AP105" s="46" t="e">
        <f>X$3+O105/ATM_Conf!$C$5</f>
        <v>#DIV/0!</v>
      </c>
      <c r="AQ105" s="46" t="e">
        <f>Y$3+P105/ATM_Conf!$C$5</f>
        <v>#DIV/0!</v>
      </c>
      <c r="AR105" s="46" t="e">
        <f>Z$3+Q105/ATM_Conf!$C$5</f>
        <v>#DIV/0!</v>
      </c>
      <c r="AS105" s="46" t="e">
        <f>AA$3+R105/ATM_Conf!$C$5</f>
        <v>#DIV/0!</v>
      </c>
      <c r="AT105" s="46" t="e">
        <f>AB$3+S105/ATM_Conf!$C$5</f>
        <v>#DIV/0!</v>
      </c>
      <c r="AU105" s="46" t="e">
        <f>BD$3*MIN(1,(ATM_Conf!$C$6-Links!F105)/(ATM_Conf!$C$6-ATM_Conf!$C$7))</f>
        <v>#DIV/0!</v>
      </c>
      <c r="AV105" s="46" t="e">
        <f>BE$3*MIN(1,(ATM_Conf!$C$6-Links!G105)/(ATM_Conf!$C$6-ATM_Conf!$C$7))</f>
        <v>#DIV/0!</v>
      </c>
      <c r="AW105" s="46" t="e">
        <f>BF$3*MIN(1,(ATM_Conf!$C$6-Links!H105)/(ATM_Conf!$C$6-ATM_Conf!$C$7))</f>
        <v>#DIV/0!</v>
      </c>
      <c r="AX105" s="46" t="e">
        <f>BG$3*MIN(1,(ATM_Conf!$C$6-Links!I105)/(ATM_Conf!$C$6-ATM_Conf!$C$7))</f>
        <v>#DIV/0!</v>
      </c>
      <c r="AY105" s="46" t="e">
        <f>BH$3*MIN(1,(ATM_Conf!$C$6-Links!J105)/(ATM_Conf!$C$6-ATM_Conf!$C$7))</f>
        <v>#DIV/0!</v>
      </c>
      <c r="AZ105" s="46" t="e">
        <f>BI$3*MIN(1,(ATM_Conf!$C$6-Links!K105)/(ATM_Conf!$C$6-ATM_Conf!$C$7))</f>
        <v>#DIV/0!</v>
      </c>
      <c r="BA105" s="46" t="e">
        <f>BJ$3*MIN(1,(ATM_Conf!$C$6-Links!L105)/(ATM_Conf!$C$6-ATM_Conf!$C$7))</f>
        <v>#DIV/0!</v>
      </c>
      <c r="BB105" s="46" t="e">
        <f>BK$3*MIN(1,(ATM_Conf!$C$6-Links!M105)/(ATM_Conf!$C$6-ATM_Conf!$C$7))</f>
        <v>#DIV/0!</v>
      </c>
      <c r="BC105" s="46" t="e">
        <f>BL$3*MIN(1,(ATM_Conf!$C$6-Links!N105)/(ATM_Conf!$C$6-ATM_Conf!$C$7))</f>
        <v>#DIV/0!</v>
      </c>
      <c r="BD105" s="46"/>
      <c r="BE105" s="46"/>
      <c r="BF105" s="46"/>
      <c r="BG105" s="46"/>
      <c r="BH105" s="46"/>
      <c r="BI105" s="46"/>
      <c r="BJ105" s="46"/>
      <c r="BK105" s="46"/>
      <c r="BL105" s="46"/>
      <c r="BM105" s="54"/>
      <c r="BN105" s="54"/>
      <c r="BO105" s="54"/>
      <c r="BP105" s="54"/>
      <c r="BQ105" s="54"/>
      <c r="BR105" s="54"/>
      <c r="BS105" s="54"/>
      <c r="BT105" s="54"/>
      <c r="BU105" s="54"/>
      <c r="BV105" s="46" t="e">
        <f t="shared" si="56"/>
        <v>#DIV/0!</v>
      </c>
      <c r="BW105" s="46" t="e">
        <f t="shared" si="57"/>
        <v>#DIV/0!</v>
      </c>
      <c r="BX105" s="46" t="e">
        <f t="shared" si="58"/>
        <v>#DIV/0!</v>
      </c>
      <c r="BY105" s="46" t="e">
        <f t="shared" si="59"/>
        <v>#DIV/0!</v>
      </c>
      <c r="BZ105" s="46" t="e">
        <f t="shared" si="60"/>
        <v>#DIV/0!</v>
      </c>
      <c r="CA105" s="46" t="e">
        <f t="shared" si="61"/>
        <v>#DIV/0!</v>
      </c>
      <c r="CB105" s="46" t="e">
        <f t="shared" si="62"/>
        <v>#DIV/0!</v>
      </c>
      <c r="CC105" s="46" t="e">
        <f t="shared" si="63"/>
        <v>#DIV/0!</v>
      </c>
      <c r="CD105" s="46" t="e">
        <f t="shared" si="64"/>
        <v>#DIV/0!</v>
      </c>
      <c r="CE105" s="56" t="e">
        <f t="shared" si="65"/>
        <v>#DIV/0!</v>
      </c>
      <c r="CF105" s="56" t="e">
        <f t="shared" si="66"/>
        <v>#DIV/0!</v>
      </c>
      <c r="CG105" s="56" t="e">
        <f t="shared" si="67"/>
        <v>#DIV/0!</v>
      </c>
      <c r="CH105" s="56" t="e">
        <f t="shared" si="68"/>
        <v>#DIV/0!</v>
      </c>
      <c r="CI105" s="56" t="e">
        <f t="shared" si="69"/>
        <v>#DIV/0!</v>
      </c>
      <c r="CJ105" s="56" t="e">
        <f t="shared" si="70"/>
        <v>#DIV/0!</v>
      </c>
      <c r="CK105" s="56" t="e">
        <f t="shared" si="71"/>
        <v>#DIV/0!</v>
      </c>
      <c r="CL105" s="56" t="e">
        <f t="shared" si="72"/>
        <v>#DIV/0!</v>
      </c>
      <c r="CM105" s="56" t="e">
        <f t="shared" si="73"/>
        <v>#DIV/0!</v>
      </c>
    </row>
    <row r="106" spans="1:91" x14ac:dyDescent="0.15">
      <c r="A106" s="43">
        <v>104</v>
      </c>
      <c r="B106" s="46">
        <f t="shared" si="82"/>
        <v>1</v>
      </c>
      <c r="C106" s="46">
        <f t="shared" si="81"/>
        <v>1</v>
      </c>
      <c r="D106" s="46">
        <f t="shared" si="81"/>
        <v>1</v>
      </c>
      <c r="E106" s="46">
        <f t="shared" si="81"/>
        <v>1</v>
      </c>
      <c r="F106" s="46">
        <f t="shared" si="81"/>
        <v>1</v>
      </c>
      <c r="G106" s="46">
        <f t="shared" si="81"/>
        <v>1</v>
      </c>
      <c r="H106" s="46">
        <f t="shared" si="81"/>
        <v>1</v>
      </c>
      <c r="I106" s="46">
        <f t="shared" si="81"/>
        <v>1</v>
      </c>
      <c r="J106" s="46">
        <f t="shared" si="81"/>
        <v>1</v>
      </c>
      <c r="K106" s="46" t="e">
        <f>K105+ATM_Conf!$C$5*(T105-AC105)</f>
        <v>#DIV/0!</v>
      </c>
      <c r="L106" s="46" t="e">
        <f>L105+ATM_Conf!$C$5*(U105-AD105)</f>
        <v>#DIV/0!</v>
      </c>
      <c r="M106" s="46" t="e">
        <f>M105+ATM_Conf!$C$5*(V105-AE105)</f>
        <v>#DIV/0!</v>
      </c>
      <c r="N106" s="46" t="e">
        <f>N105+ATM_Conf!$C$5*(W105-AF105)</f>
        <v>#DIV/0!</v>
      </c>
      <c r="O106" s="46" t="e">
        <f>O105+ATM_Conf!$C$5*(X105-AG105)</f>
        <v>#DIV/0!</v>
      </c>
      <c r="P106" s="46" t="e">
        <f>P105+ATM_Conf!$C$5*(Y105-AH105)</f>
        <v>#DIV/0!</v>
      </c>
      <c r="Q106" s="46" t="e">
        <f>Q105+ATM_Conf!$C$5*(Z105-AI105)</f>
        <v>#DIV/0!</v>
      </c>
      <c r="R106" s="46" t="e">
        <f>R105+ATM_Conf!$C$5*(AA105-AJ105)</f>
        <v>#DIV/0!</v>
      </c>
      <c r="S106" s="46" t="e">
        <f>S105+ATM_Conf!$C$5*(AB105-AK105)</f>
        <v>#DIV/0!</v>
      </c>
      <c r="T106" s="46"/>
      <c r="U106" s="46"/>
      <c r="V106" s="46"/>
      <c r="W106" s="46"/>
      <c r="X106" s="46"/>
      <c r="Y106" s="46"/>
      <c r="Z106" s="46"/>
      <c r="AA106" s="46"/>
      <c r="AB106" s="46"/>
      <c r="AC106" s="46" t="e">
        <f t="shared" si="47"/>
        <v>#DIV/0!</v>
      </c>
      <c r="AD106" s="46" t="e">
        <f t="shared" si="48"/>
        <v>#DIV/0!</v>
      </c>
      <c r="AE106" s="46" t="e">
        <f t="shared" si="49"/>
        <v>#DIV/0!</v>
      </c>
      <c r="AF106" s="46" t="e">
        <f t="shared" si="50"/>
        <v>#DIV/0!</v>
      </c>
      <c r="AG106" s="46" t="e">
        <f t="shared" si="51"/>
        <v>#DIV/0!</v>
      </c>
      <c r="AH106" s="46" t="e">
        <f t="shared" si="52"/>
        <v>#DIV/0!</v>
      </c>
      <c r="AI106" s="46" t="e">
        <f t="shared" si="53"/>
        <v>#DIV/0!</v>
      </c>
      <c r="AJ106" s="46" t="e">
        <f t="shared" si="54"/>
        <v>#DIV/0!</v>
      </c>
      <c r="AK106" s="46" t="e">
        <f t="shared" si="55"/>
        <v>#DIV/0!</v>
      </c>
      <c r="AL106" s="46" t="e">
        <f>T$3+K106/ATM_Conf!$C$5</f>
        <v>#DIV/0!</v>
      </c>
      <c r="AM106" s="46" t="e">
        <f>U$3+L106/ATM_Conf!$C$5</f>
        <v>#DIV/0!</v>
      </c>
      <c r="AN106" s="46" t="e">
        <f>V$3+M106/ATM_Conf!$C$5</f>
        <v>#DIV/0!</v>
      </c>
      <c r="AO106" s="46" t="e">
        <f>W$3+N106/ATM_Conf!$C$5</f>
        <v>#DIV/0!</v>
      </c>
      <c r="AP106" s="46" t="e">
        <f>X$3+O106/ATM_Conf!$C$5</f>
        <v>#DIV/0!</v>
      </c>
      <c r="AQ106" s="46" t="e">
        <f>Y$3+P106/ATM_Conf!$C$5</f>
        <v>#DIV/0!</v>
      </c>
      <c r="AR106" s="46" t="e">
        <f>Z$3+Q106/ATM_Conf!$C$5</f>
        <v>#DIV/0!</v>
      </c>
      <c r="AS106" s="46" t="e">
        <f>AA$3+R106/ATM_Conf!$C$5</f>
        <v>#DIV/0!</v>
      </c>
      <c r="AT106" s="46" t="e">
        <f>AB$3+S106/ATM_Conf!$C$5</f>
        <v>#DIV/0!</v>
      </c>
      <c r="AU106" s="46" t="e">
        <f>BD$3*MIN(1,(ATM_Conf!$C$6-Links!F106)/(ATM_Conf!$C$6-ATM_Conf!$C$7))</f>
        <v>#DIV/0!</v>
      </c>
      <c r="AV106" s="46" t="e">
        <f>BE$3*MIN(1,(ATM_Conf!$C$6-Links!G106)/(ATM_Conf!$C$6-ATM_Conf!$C$7))</f>
        <v>#DIV/0!</v>
      </c>
      <c r="AW106" s="46" t="e">
        <f>BF$3*MIN(1,(ATM_Conf!$C$6-Links!H106)/(ATM_Conf!$C$6-ATM_Conf!$C$7))</f>
        <v>#DIV/0!</v>
      </c>
      <c r="AX106" s="46" t="e">
        <f>BG$3*MIN(1,(ATM_Conf!$C$6-Links!I106)/(ATM_Conf!$C$6-ATM_Conf!$C$7))</f>
        <v>#DIV/0!</v>
      </c>
      <c r="AY106" s="46" t="e">
        <f>BH$3*MIN(1,(ATM_Conf!$C$6-Links!J106)/(ATM_Conf!$C$6-ATM_Conf!$C$7))</f>
        <v>#DIV/0!</v>
      </c>
      <c r="AZ106" s="46" t="e">
        <f>BI$3*MIN(1,(ATM_Conf!$C$6-Links!K106)/(ATM_Conf!$C$6-ATM_Conf!$C$7))</f>
        <v>#DIV/0!</v>
      </c>
      <c r="BA106" s="46" t="e">
        <f>BJ$3*MIN(1,(ATM_Conf!$C$6-Links!L106)/(ATM_Conf!$C$6-ATM_Conf!$C$7))</f>
        <v>#DIV/0!</v>
      </c>
      <c r="BB106" s="46" t="e">
        <f>BK$3*MIN(1,(ATM_Conf!$C$6-Links!M106)/(ATM_Conf!$C$6-ATM_Conf!$C$7))</f>
        <v>#DIV/0!</v>
      </c>
      <c r="BC106" s="46" t="e">
        <f>BL$3*MIN(1,(ATM_Conf!$C$6-Links!N106)/(ATM_Conf!$C$6-ATM_Conf!$C$7))</f>
        <v>#DIV/0!</v>
      </c>
      <c r="BD106" s="46"/>
      <c r="BE106" s="46"/>
      <c r="BF106" s="46"/>
      <c r="BG106" s="46"/>
      <c r="BH106" s="46"/>
      <c r="BI106" s="46"/>
      <c r="BJ106" s="46"/>
      <c r="BK106" s="46"/>
      <c r="BL106" s="46"/>
      <c r="BM106" s="54"/>
      <c r="BN106" s="54"/>
      <c r="BO106" s="54"/>
      <c r="BP106" s="54"/>
      <c r="BQ106" s="54"/>
      <c r="BR106" s="54"/>
      <c r="BS106" s="54"/>
      <c r="BT106" s="54"/>
      <c r="BU106" s="54"/>
      <c r="BV106" s="46" t="e">
        <f t="shared" si="56"/>
        <v>#DIV/0!</v>
      </c>
      <c r="BW106" s="46" t="e">
        <f t="shared" si="57"/>
        <v>#DIV/0!</v>
      </c>
      <c r="BX106" s="46" t="e">
        <f t="shared" si="58"/>
        <v>#DIV/0!</v>
      </c>
      <c r="BY106" s="46" t="e">
        <f t="shared" si="59"/>
        <v>#DIV/0!</v>
      </c>
      <c r="BZ106" s="46" t="e">
        <f t="shared" si="60"/>
        <v>#DIV/0!</v>
      </c>
      <c r="CA106" s="46" t="e">
        <f t="shared" si="61"/>
        <v>#DIV/0!</v>
      </c>
      <c r="CB106" s="46" t="e">
        <f t="shared" si="62"/>
        <v>#DIV/0!</v>
      </c>
      <c r="CC106" s="46" t="e">
        <f t="shared" si="63"/>
        <v>#DIV/0!</v>
      </c>
      <c r="CD106" s="46" t="e">
        <f t="shared" si="64"/>
        <v>#DIV/0!</v>
      </c>
      <c r="CE106" s="56" t="e">
        <f t="shared" si="65"/>
        <v>#DIV/0!</v>
      </c>
      <c r="CF106" s="56" t="e">
        <f t="shared" si="66"/>
        <v>#DIV/0!</v>
      </c>
      <c r="CG106" s="56" t="e">
        <f t="shared" si="67"/>
        <v>#DIV/0!</v>
      </c>
      <c r="CH106" s="56" t="e">
        <f t="shared" si="68"/>
        <v>#DIV/0!</v>
      </c>
      <c r="CI106" s="56" t="e">
        <f t="shared" si="69"/>
        <v>#DIV/0!</v>
      </c>
      <c r="CJ106" s="56" t="e">
        <f t="shared" si="70"/>
        <v>#DIV/0!</v>
      </c>
      <c r="CK106" s="56" t="e">
        <f t="shared" si="71"/>
        <v>#DIV/0!</v>
      </c>
      <c r="CL106" s="56" t="e">
        <f t="shared" si="72"/>
        <v>#DIV/0!</v>
      </c>
      <c r="CM106" s="56" t="e">
        <f t="shared" si="73"/>
        <v>#DIV/0!</v>
      </c>
    </row>
    <row r="107" spans="1:91" x14ac:dyDescent="0.15">
      <c r="A107" s="43">
        <v>105</v>
      </c>
      <c r="B107" s="46">
        <f t="shared" si="82"/>
        <v>1</v>
      </c>
      <c r="C107" s="46">
        <f t="shared" si="81"/>
        <v>1</v>
      </c>
      <c r="D107" s="46">
        <f t="shared" si="81"/>
        <v>1</v>
      </c>
      <c r="E107" s="46">
        <f t="shared" si="81"/>
        <v>1</v>
      </c>
      <c r="F107" s="46">
        <f t="shared" si="81"/>
        <v>1</v>
      </c>
      <c r="G107" s="46">
        <f t="shared" si="81"/>
        <v>1</v>
      </c>
      <c r="H107" s="46">
        <f t="shared" si="81"/>
        <v>1</v>
      </c>
      <c r="I107" s="46">
        <f t="shared" si="81"/>
        <v>1</v>
      </c>
      <c r="J107" s="46">
        <f t="shared" si="81"/>
        <v>1</v>
      </c>
      <c r="K107" s="46" t="e">
        <f>K106+ATM_Conf!$C$5*(T106-AC106)</f>
        <v>#DIV/0!</v>
      </c>
      <c r="L107" s="46" t="e">
        <f>L106+ATM_Conf!$C$5*(U106-AD106)</f>
        <v>#DIV/0!</v>
      </c>
      <c r="M107" s="46" t="e">
        <f>M106+ATM_Conf!$C$5*(V106-AE106)</f>
        <v>#DIV/0!</v>
      </c>
      <c r="N107" s="46" t="e">
        <f>N106+ATM_Conf!$C$5*(W106-AF106)</f>
        <v>#DIV/0!</v>
      </c>
      <c r="O107" s="46" t="e">
        <f>O106+ATM_Conf!$C$5*(X106-AG106)</f>
        <v>#DIV/0!</v>
      </c>
      <c r="P107" s="46" t="e">
        <f>P106+ATM_Conf!$C$5*(Y106-AH106)</f>
        <v>#DIV/0!</v>
      </c>
      <c r="Q107" s="46" t="e">
        <f>Q106+ATM_Conf!$C$5*(Z106-AI106)</f>
        <v>#DIV/0!</v>
      </c>
      <c r="R107" s="46" t="e">
        <f>R106+ATM_Conf!$C$5*(AA106-AJ106)</f>
        <v>#DIV/0!</v>
      </c>
      <c r="S107" s="46" t="e">
        <f>S106+ATM_Conf!$C$5*(AB106-AK106)</f>
        <v>#DIV/0!</v>
      </c>
      <c r="T107" s="46"/>
      <c r="U107" s="46"/>
      <c r="V107" s="46"/>
      <c r="W107" s="46"/>
      <c r="X107" s="46"/>
      <c r="Y107" s="46"/>
      <c r="Z107" s="46"/>
      <c r="AA107" s="46"/>
      <c r="AB107" s="46"/>
      <c r="AC107" s="46" t="e">
        <f t="shared" si="47"/>
        <v>#DIV/0!</v>
      </c>
      <c r="AD107" s="46" t="e">
        <f t="shared" si="48"/>
        <v>#DIV/0!</v>
      </c>
      <c r="AE107" s="46" t="e">
        <f t="shared" si="49"/>
        <v>#DIV/0!</v>
      </c>
      <c r="AF107" s="46" t="e">
        <f t="shared" si="50"/>
        <v>#DIV/0!</v>
      </c>
      <c r="AG107" s="46" t="e">
        <f t="shared" si="51"/>
        <v>#DIV/0!</v>
      </c>
      <c r="AH107" s="46" t="e">
        <f t="shared" si="52"/>
        <v>#DIV/0!</v>
      </c>
      <c r="AI107" s="46" t="e">
        <f t="shared" si="53"/>
        <v>#DIV/0!</v>
      </c>
      <c r="AJ107" s="46" t="e">
        <f t="shared" si="54"/>
        <v>#DIV/0!</v>
      </c>
      <c r="AK107" s="46" t="e">
        <f t="shared" si="55"/>
        <v>#DIV/0!</v>
      </c>
      <c r="AL107" s="46" t="e">
        <f>T$3+K107/ATM_Conf!$C$5</f>
        <v>#DIV/0!</v>
      </c>
      <c r="AM107" s="46" t="e">
        <f>U$3+L107/ATM_Conf!$C$5</f>
        <v>#DIV/0!</v>
      </c>
      <c r="AN107" s="46" t="e">
        <f>V$3+M107/ATM_Conf!$C$5</f>
        <v>#DIV/0!</v>
      </c>
      <c r="AO107" s="46" t="e">
        <f>W$3+N107/ATM_Conf!$C$5</f>
        <v>#DIV/0!</v>
      </c>
      <c r="AP107" s="46" t="e">
        <f>X$3+O107/ATM_Conf!$C$5</f>
        <v>#DIV/0!</v>
      </c>
      <c r="AQ107" s="46" t="e">
        <f>Y$3+P107/ATM_Conf!$C$5</f>
        <v>#DIV/0!</v>
      </c>
      <c r="AR107" s="46" t="e">
        <f>Z$3+Q107/ATM_Conf!$C$5</f>
        <v>#DIV/0!</v>
      </c>
      <c r="AS107" s="46" t="e">
        <f>AA$3+R107/ATM_Conf!$C$5</f>
        <v>#DIV/0!</v>
      </c>
      <c r="AT107" s="46" t="e">
        <f>AB$3+S107/ATM_Conf!$C$5</f>
        <v>#DIV/0!</v>
      </c>
      <c r="AU107" s="46" t="e">
        <f>BD$3*MIN(1,(ATM_Conf!$C$6-Links!F107)/(ATM_Conf!$C$6-ATM_Conf!$C$7))</f>
        <v>#DIV/0!</v>
      </c>
      <c r="AV107" s="46" t="e">
        <f>BE$3*MIN(1,(ATM_Conf!$C$6-Links!G107)/(ATM_Conf!$C$6-ATM_Conf!$C$7))</f>
        <v>#DIV/0!</v>
      </c>
      <c r="AW107" s="46" t="e">
        <f>BF$3*MIN(1,(ATM_Conf!$C$6-Links!H107)/(ATM_Conf!$C$6-ATM_Conf!$C$7))</f>
        <v>#DIV/0!</v>
      </c>
      <c r="AX107" s="46" t="e">
        <f>BG$3*MIN(1,(ATM_Conf!$C$6-Links!I107)/(ATM_Conf!$C$6-ATM_Conf!$C$7))</f>
        <v>#DIV/0!</v>
      </c>
      <c r="AY107" s="46" t="e">
        <f>BH$3*MIN(1,(ATM_Conf!$C$6-Links!J107)/(ATM_Conf!$C$6-ATM_Conf!$C$7))</f>
        <v>#DIV/0!</v>
      </c>
      <c r="AZ107" s="46" t="e">
        <f>BI$3*MIN(1,(ATM_Conf!$C$6-Links!K107)/(ATM_Conf!$C$6-ATM_Conf!$C$7))</f>
        <v>#DIV/0!</v>
      </c>
      <c r="BA107" s="46" t="e">
        <f>BJ$3*MIN(1,(ATM_Conf!$C$6-Links!L107)/(ATM_Conf!$C$6-ATM_Conf!$C$7))</f>
        <v>#DIV/0!</v>
      </c>
      <c r="BB107" s="46" t="e">
        <f>BK$3*MIN(1,(ATM_Conf!$C$6-Links!M107)/(ATM_Conf!$C$6-ATM_Conf!$C$7))</f>
        <v>#DIV/0!</v>
      </c>
      <c r="BC107" s="46" t="e">
        <f>BL$3*MIN(1,(ATM_Conf!$C$6-Links!N107)/(ATM_Conf!$C$6-ATM_Conf!$C$7))</f>
        <v>#DIV/0!</v>
      </c>
      <c r="BD107" s="46"/>
      <c r="BE107" s="46"/>
      <c r="BF107" s="46"/>
      <c r="BG107" s="46"/>
      <c r="BH107" s="46"/>
      <c r="BI107" s="46"/>
      <c r="BJ107" s="46"/>
      <c r="BK107" s="46"/>
      <c r="BL107" s="46"/>
      <c r="BM107" s="54"/>
      <c r="BN107" s="54"/>
      <c r="BO107" s="54"/>
      <c r="BP107" s="54"/>
      <c r="BQ107" s="54"/>
      <c r="BR107" s="54"/>
      <c r="BS107" s="54"/>
      <c r="BT107" s="54"/>
      <c r="BU107" s="54"/>
      <c r="BV107" s="46" t="e">
        <f t="shared" si="56"/>
        <v>#DIV/0!</v>
      </c>
      <c r="BW107" s="46" t="e">
        <f t="shared" si="57"/>
        <v>#DIV/0!</v>
      </c>
      <c r="BX107" s="46" t="e">
        <f t="shared" si="58"/>
        <v>#DIV/0!</v>
      </c>
      <c r="BY107" s="46" t="e">
        <f t="shared" si="59"/>
        <v>#DIV/0!</v>
      </c>
      <c r="BZ107" s="46" t="e">
        <f t="shared" si="60"/>
        <v>#DIV/0!</v>
      </c>
      <c r="CA107" s="46" t="e">
        <f t="shared" si="61"/>
        <v>#DIV/0!</v>
      </c>
      <c r="CB107" s="46" t="e">
        <f t="shared" si="62"/>
        <v>#DIV/0!</v>
      </c>
      <c r="CC107" s="46" t="e">
        <f t="shared" si="63"/>
        <v>#DIV/0!</v>
      </c>
      <c r="CD107" s="46" t="e">
        <f t="shared" si="64"/>
        <v>#DIV/0!</v>
      </c>
      <c r="CE107" s="56" t="e">
        <f t="shared" si="65"/>
        <v>#DIV/0!</v>
      </c>
      <c r="CF107" s="56" t="e">
        <f t="shared" si="66"/>
        <v>#DIV/0!</v>
      </c>
      <c r="CG107" s="56" t="e">
        <f t="shared" si="67"/>
        <v>#DIV/0!</v>
      </c>
      <c r="CH107" s="56" t="e">
        <f t="shared" si="68"/>
        <v>#DIV/0!</v>
      </c>
      <c r="CI107" s="56" t="e">
        <f t="shared" si="69"/>
        <v>#DIV/0!</v>
      </c>
      <c r="CJ107" s="56" t="e">
        <f t="shared" si="70"/>
        <v>#DIV/0!</v>
      </c>
      <c r="CK107" s="56" t="e">
        <f t="shared" si="71"/>
        <v>#DIV/0!</v>
      </c>
      <c r="CL107" s="56" t="e">
        <f t="shared" si="72"/>
        <v>#DIV/0!</v>
      </c>
      <c r="CM107" s="56" t="e">
        <f t="shared" si="73"/>
        <v>#DIV/0!</v>
      </c>
    </row>
    <row r="108" spans="1:91" x14ac:dyDescent="0.15">
      <c r="A108" s="43">
        <v>106</v>
      </c>
      <c r="B108" s="46">
        <f t="shared" si="82"/>
        <v>1</v>
      </c>
      <c r="C108" s="46">
        <f t="shared" si="81"/>
        <v>1</v>
      </c>
      <c r="D108" s="46">
        <f t="shared" si="81"/>
        <v>1</v>
      </c>
      <c r="E108" s="46">
        <f t="shared" si="81"/>
        <v>1</v>
      </c>
      <c r="F108" s="46">
        <f t="shared" si="81"/>
        <v>1</v>
      </c>
      <c r="G108" s="46">
        <f t="shared" si="81"/>
        <v>1</v>
      </c>
      <c r="H108" s="46">
        <f t="shared" si="81"/>
        <v>1</v>
      </c>
      <c r="I108" s="46">
        <f t="shared" si="81"/>
        <v>1</v>
      </c>
      <c r="J108" s="46">
        <f t="shared" si="81"/>
        <v>1</v>
      </c>
      <c r="K108" s="46" t="e">
        <f>K107+ATM_Conf!$C$5*(T107-AC107)</f>
        <v>#DIV/0!</v>
      </c>
      <c r="L108" s="46" t="e">
        <f>L107+ATM_Conf!$C$5*(U107-AD107)</f>
        <v>#DIV/0!</v>
      </c>
      <c r="M108" s="46" t="e">
        <f>M107+ATM_Conf!$C$5*(V107-AE107)</f>
        <v>#DIV/0!</v>
      </c>
      <c r="N108" s="46" t="e">
        <f>N107+ATM_Conf!$C$5*(W107-AF107)</f>
        <v>#DIV/0!</v>
      </c>
      <c r="O108" s="46" t="e">
        <f>O107+ATM_Conf!$C$5*(X107-AG107)</f>
        <v>#DIV/0!</v>
      </c>
      <c r="P108" s="46" t="e">
        <f>P107+ATM_Conf!$C$5*(Y107-AH107)</f>
        <v>#DIV/0!</v>
      </c>
      <c r="Q108" s="46" t="e">
        <f>Q107+ATM_Conf!$C$5*(Z107-AI107)</f>
        <v>#DIV/0!</v>
      </c>
      <c r="R108" s="46" t="e">
        <f>R107+ATM_Conf!$C$5*(AA107-AJ107)</f>
        <v>#DIV/0!</v>
      </c>
      <c r="S108" s="46" t="e">
        <f>S107+ATM_Conf!$C$5*(AB107-AK107)</f>
        <v>#DIV/0!</v>
      </c>
      <c r="T108" s="46"/>
      <c r="U108" s="46"/>
      <c r="V108" s="46"/>
      <c r="W108" s="46"/>
      <c r="X108" s="46"/>
      <c r="Y108" s="46"/>
      <c r="Z108" s="46"/>
      <c r="AA108" s="46"/>
      <c r="AB108" s="46"/>
      <c r="AC108" s="46" t="e">
        <f t="shared" si="47"/>
        <v>#DIV/0!</v>
      </c>
      <c r="AD108" s="46" t="e">
        <f t="shared" si="48"/>
        <v>#DIV/0!</v>
      </c>
      <c r="AE108" s="46" t="e">
        <f t="shared" si="49"/>
        <v>#DIV/0!</v>
      </c>
      <c r="AF108" s="46" t="e">
        <f t="shared" si="50"/>
        <v>#DIV/0!</v>
      </c>
      <c r="AG108" s="46" t="e">
        <f t="shared" si="51"/>
        <v>#DIV/0!</v>
      </c>
      <c r="AH108" s="46" t="e">
        <f t="shared" si="52"/>
        <v>#DIV/0!</v>
      </c>
      <c r="AI108" s="46" t="e">
        <f t="shared" si="53"/>
        <v>#DIV/0!</v>
      </c>
      <c r="AJ108" s="46" t="e">
        <f t="shared" si="54"/>
        <v>#DIV/0!</v>
      </c>
      <c r="AK108" s="46" t="e">
        <f t="shared" si="55"/>
        <v>#DIV/0!</v>
      </c>
      <c r="AL108" s="46" t="e">
        <f>T$3+K108/ATM_Conf!$C$5</f>
        <v>#DIV/0!</v>
      </c>
      <c r="AM108" s="46" t="e">
        <f>U$3+L108/ATM_Conf!$C$5</f>
        <v>#DIV/0!</v>
      </c>
      <c r="AN108" s="46" t="e">
        <f>V$3+M108/ATM_Conf!$C$5</f>
        <v>#DIV/0!</v>
      </c>
      <c r="AO108" s="46" t="e">
        <f>W$3+N108/ATM_Conf!$C$5</f>
        <v>#DIV/0!</v>
      </c>
      <c r="AP108" s="46" t="e">
        <f>X$3+O108/ATM_Conf!$C$5</f>
        <v>#DIV/0!</v>
      </c>
      <c r="AQ108" s="46" t="e">
        <f>Y$3+P108/ATM_Conf!$C$5</f>
        <v>#DIV/0!</v>
      </c>
      <c r="AR108" s="46" t="e">
        <f>Z$3+Q108/ATM_Conf!$C$5</f>
        <v>#DIV/0!</v>
      </c>
      <c r="AS108" s="46" t="e">
        <f>AA$3+R108/ATM_Conf!$C$5</f>
        <v>#DIV/0!</v>
      </c>
      <c r="AT108" s="46" t="e">
        <f>AB$3+S108/ATM_Conf!$C$5</f>
        <v>#DIV/0!</v>
      </c>
      <c r="AU108" s="46" t="e">
        <f>BD$3*MIN(1,(ATM_Conf!$C$6-Links!F108)/(ATM_Conf!$C$6-ATM_Conf!$C$7))</f>
        <v>#DIV/0!</v>
      </c>
      <c r="AV108" s="46" t="e">
        <f>BE$3*MIN(1,(ATM_Conf!$C$6-Links!G108)/(ATM_Conf!$C$6-ATM_Conf!$C$7))</f>
        <v>#DIV/0!</v>
      </c>
      <c r="AW108" s="46" t="e">
        <f>BF$3*MIN(1,(ATM_Conf!$C$6-Links!H108)/(ATM_Conf!$C$6-ATM_Conf!$C$7))</f>
        <v>#DIV/0!</v>
      </c>
      <c r="AX108" s="46" t="e">
        <f>BG$3*MIN(1,(ATM_Conf!$C$6-Links!I108)/(ATM_Conf!$C$6-ATM_Conf!$C$7))</f>
        <v>#DIV/0!</v>
      </c>
      <c r="AY108" s="46" t="e">
        <f>BH$3*MIN(1,(ATM_Conf!$C$6-Links!J108)/(ATM_Conf!$C$6-ATM_Conf!$C$7))</f>
        <v>#DIV/0!</v>
      </c>
      <c r="AZ108" s="46" t="e">
        <f>BI$3*MIN(1,(ATM_Conf!$C$6-Links!K108)/(ATM_Conf!$C$6-ATM_Conf!$C$7))</f>
        <v>#DIV/0!</v>
      </c>
      <c r="BA108" s="46" t="e">
        <f>BJ$3*MIN(1,(ATM_Conf!$C$6-Links!L108)/(ATM_Conf!$C$6-ATM_Conf!$C$7))</f>
        <v>#DIV/0!</v>
      </c>
      <c r="BB108" s="46" t="e">
        <f>BK$3*MIN(1,(ATM_Conf!$C$6-Links!M108)/(ATM_Conf!$C$6-ATM_Conf!$C$7))</f>
        <v>#DIV/0!</v>
      </c>
      <c r="BC108" s="46" t="e">
        <f>BL$3*MIN(1,(ATM_Conf!$C$6-Links!N108)/(ATM_Conf!$C$6-ATM_Conf!$C$7))</f>
        <v>#DIV/0!</v>
      </c>
      <c r="BD108" s="46"/>
      <c r="BE108" s="46"/>
      <c r="BF108" s="46"/>
      <c r="BG108" s="46"/>
      <c r="BH108" s="46"/>
      <c r="BI108" s="46"/>
      <c r="BJ108" s="46"/>
      <c r="BK108" s="46"/>
      <c r="BL108" s="46"/>
      <c r="BM108" s="54"/>
      <c r="BN108" s="54"/>
      <c r="BO108" s="54"/>
      <c r="BP108" s="54"/>
      <c r="BQ108" s="54"/>
      <c r="BR108" s="54"/>
      <c r="BS108" s="54"/>
      <c r="BT108" s="54"/>
      <c r="BU108" s="54"/>
      <c r="BV108" s="46" t="e">
        <f t="shared" si="56"/>
        <v>#DIV/0!</v>
      </c>
      <c r="BW108" s="46" t="e">
        <f t="shared" si="57"/>
        <v>#DIV/0!</v>
      </c>
      <c r="BX108" s="46" t="e">
        <f t="shared" si="58"/>
        <v>#DIV/0!</v>
      </c>
      <c r="BY108" s="46" t="e">
        <f t="shared" si="59"/>
        <v>#DIV/0!</v>
      </c>
      <c r="BZ108" s="46" t="e">
        <f t="shared" si="60"/>
        <v>#DIV/0!</v>
      </c>
      <c r="CA108" s="46" t="e">
        <f t="shared" si="61"/>
        <v>#DIV/0!</v>
      </c>
      <c r="CB108" s="46" t="e">
        <f t="shared" si="62"/>
        <v>#DIV/0!</v>
      </c>
      <c r="CC108" s="46" t="e">
        <f t="shared" si="63"/>
        <v>#DIV/0!</v>
      </c>
      <c r="CD108" s="46" t="e">
        <f t="shared" si="64"/>
        <v>#DIV/0!</v>
      </c>
      <c r="CE108" s="56" t="e">
        <f t="shared" si="65"/>
        <v>#DIV/0!</v>
      </c>
      <c r="CF108" s="56" t="e">
        <f t="shared" si="66"/>
        <v>#DIV/0!</v>
      </c>
      <c r="CG108" s="56" t="e">
        <f t="shared" si="67"/>
        <v>#DIV/0!</v>
      </c>
      <c r="CH108" s="56" t="e">
        <f t="shared" si="68"/>
        <v>#DIV/0!</v>
      </c>
      <c r="CI108" s="56" t="e">
        <f t="shared" si="69"/>
        <v>#DIV/0!</v>
      </c>
      <c r="CJ108" s="56" t="e">
        <f t="shared" si="70"/>
        <v>#DIV/0!</v>
      </c>
      <c r="CK108" s="56" t="e">
        <f t="shared" si="71"/>
        <v>#DIV/0!</v>
      </c>
      <c r="CL108" s="56" t="e">
        <f t="shared" si="72"/>
        <v>#DIV/0!</v>
      </c>
      <c r="CM108" s="56" t="e">
        <f t="shared" si="73"/>
        <v>#DIV/0!</v>
      </c>
    </row>
    <row r="109" spans="1:91" x14ac:dyDescent="0.15">
      <c r="A109" s="43">
        <v>107</v>
      </c>
      <c r="B109" s="46">
        <f t="shared" si="82"/>
        <v>1</v>
      </c>
      <c r="C109" s="46">
        <f t="shared" si="81"/>
        <v>1</v>
      </c>
      <c r="D109" s="46">
        <f t="shared" si="81"/>
        <v>1</v>
      </c>
      <c r="E109" s="46">
        <f t="shared" si="81"/>
        <v>1</v>
      </c>
      <c r="F109" s="46">
        <f t="shared" si="81"/>
        <v>1</v>
      </c>
      <c r="G109" s="46">
        <f t="shared" si="81"/>
        <v>1</v>
      </c>
      <c r="H109" s="46">
        <f t="shared" si="81"/>
        <v>1</v>
      </c>
      <c r="I109" s="46">
        <f t="shared" si="81"/>
        <v>1</v>
      </c>
      <c r="J109" s="46">
        <f t="shared" si="81"/>
        <v>1</v>
      </c>
      <c r="K109" s="46" t="e">
        <f>K108+ATM_Conf!$C$5*(T108-AC108)</f>
        <v>#DIV/0!</v>
      </c>
      <c r="L109" s="46" t="e">
        <f>L108+ATM_Conf!$C$5*(U108-AD108)</f>
        <v>#DIV/0!</v>
      </c>
      <c r="M109" s="46" t="e">
        <f>M108+ATM_Conf!$C$5*(V108-AE108)</f>
        <v>#DIV/0!</v>
      </c>
      <c r="N109" s="46" t="e">
        <f>N108+ATM_Conf!$C$5*(W108-AF108)</f>
        <v>#DIV/0!</v>
      </c>
      <c r="O109" s="46" t="e">
        <f>O108+ATM_Conf!$C$5*(X108-AG108)</f>
        <v>#DIV/0!</v>
      </c>
      <c r="P109" s="46" t="e">
        <f>P108+ATM_Conf!$C$5*(Y108-AH108)</f>
        <v>#DIV/0!</v>
      </c>
      <c r="Q109" s="46" t="e">
        <f>Q108+ATM_Conf!$C$5*(Z108-AI108)</f>
        <v>#DIV/0!</v>
      </c>
      <c r="R109" s="46" t="e">
        <f>R108+ATM_Conf!$C$5*(AA108-AJ108)</f>
        <v>#DIV/0!</v>
      </c>
      <c r="S109" s="46" t="e">
        <f>S108+ATM_Conf!$C$5*(AB108-AK108)</f>
        <v>#DIV/0!</v>
      </c>
      <c r="T109" s="46"/>
      <c r="U109" s="46"/>
      <c r="V109" s="46"/>
      <c r="W109" s="46"/>
      <c r="X109" s="46"/>
      <c r="Y109" s="46"/>
      <c r="Z109" s="46"/>
      <c r="AA109" s="46"/>
      <c r="AB109" s="46"/>
      <c r="AC109" s="46" t="e">
        <f t="shared" si="47"/>
        <v>#DIV/0!</v>
      </c>
      <c r="AD109" s="46" t="e">
        <f t="shared" si="48"/>
        <v>#DIV/0!</v>
      </c>
      <c r="AE109" s="46" t="e">
        <f t="shared" si="49"/>
        <v>#DIV/0!</v>
      </c>
      <c r="AF109" s="46" t="e">
        <f t="shared" si="50"/>
        <v>#DIV/0!</v>
      </c>
      <c r="AG109" s="46" t="e">
        <f t="shared" si="51"/>
        <v>#DIV/0!</v>
      </c>
      <c r="AH109" s="46" t="e">
        <f t="shared" si="52"/>
        <v>#DIV/0!</v>
      </c>
      <c r="AI109" s="46" t="e">
        <f t="shared" si="53"/>
        <v>#DIV/0!</v>
      </c>
      <c r="AJ109" s="46" t="e">
        <f t="shared" si="54"/>
        <v>#DIV/0!</v>
      </c>
      <c r="AK109" s="46" t="e">
        <f t="shared" si="55"/>
        <v>#DIV/0!</v>
      </c>
      <c r="AL109" s="46" t="e">
        <f>T$3+K109/ATM_Conf!$C$5</f>
        <v>#DIV/0!</v>
      </c>
      <c r="AM109" s="46" t="e">
        <f>U$3+L109/ATM_Conf!$C$5</f>
        <v>#DIV/0!</v>
      </c>
      <c r="AN109" s="46" t="e">
        <f>V$3+M109/ATM_Conf!$C$5</f>
        <v>#DIV/0!</v>
      </c>
      <c r="AO109" s="46" t="e">
        <f>W$3+N109/ATM_Conf!$C$5</f>
        <v>#DIV/0!</v>
      </c>
      <c r="AP109" s="46" t="e">
        <f>X$3+O109/ATM_Conf!$C$5</f>
        <v>#DIV/0!</v>
      </c>
      <c r="AQ109" s="46" t="e">
        <f>Y$3+P109/ATM_Conf!$C$5</f>
        <v>#DIV/0!</v>
      </c>
      <c r="AR109" s="46" t="e">
        <f>Z$3+Q109/ATM_Conf!$C$5</f>
        <v>#DIV/0!</v>
      </c>
      <c r="AS109" s="46" t="e">
        <f>AA$3+R109/ATM_Conf!$C$5</f>
        <v>#DIV/0!</v>
      </c>
      <c r="AT109" s="46" t="e">
        <f>AB$3+S109/ATM_Conf!$C$5</f>
        <v>#DIV/0!</v>
      </c>
      <c r="AU109" s="46" t="e">
        <f>BD$3*MIN(1,(ATM_Conf!$C$6-Links!F109)/(ATM_Conf!$C$6-ATM_Conf!$C$7))</f>
        <v>#DIV/0!</v>
      </c>
      <c r="AV109" s="46" t="e">
        <f>BE$3*MIN(1,(ATM_Conf!$C$6-Links!G109)/(ATM_Conf!$C$6-ATM_Conf!$C$7))</f>
        <v>#DIV/0!</v>
      </c>
      <c r="AW109" s="46" t="e">
        <f>BF$3*MIN(1,(ATM_Conf!$C$6-Links!H109)/(ATM_Conf!$C$6-ATM_Conf!$C$7))</f>
        <v>#DIV/0!</v>
      </c>
      <c r="AX109" s="46" t="e">
        <f>BG$3*MIN(1,(ATM_Conf!$C$6-Links!I109)/(ATM_Conf!$C$6-ATM_Conf!$C$7))</f>
        <v>#DIV/0!</v>
      </c>
      <c r="AY109" s="46" t="e">
        <f>BH$3*MIN(1,(ATM_Conf!$C$6-Links!J109)/(ATM_Conf!$C$6-ATM_Conf!$C$7))</f>
        <v>#DIV/0!</v>
      </c>
      <c r="AZ109" s="46" t="e">
        <f>BI$3*MIN(1,(ATM_Conf!$C$6-Links!K109)/(ATM_Conf!$C$6-ATM_Conf!$C$7))</f>
        <v>#DIV/0!</v>
      </c>
      <c r="BA109" s="46" t="e">
        <f>BJ$3*MIN(1,(ATM_Conf!$C$6-Links!L109)/(ATM_Conf!$C$6-ATM_Conf!$C$7))</f>
        <v>#DIV/0!</v>
      </c>
      <c r="BB109" s="46" t="e">
        <f>BK$3*MIN(1,(ATM_Conf!$C$6-Links!M109)/(ATM_Conf!$C$6-ATM_Conf!$C$7))</f>
        <v>#DIV/0!</v>
      </c>
      <c r="BC109" s="46" t="e">
        <f>BL$3*MIN(1,(ATM_Conf!$C$6-Links!N109)/(ATM_Conf!$C$6-ATM_Conf!$C$7))</f>
        <v>#DIV/0!</v>
      </c>
      <c r="BD109" s="46"/>
      <c r="BE109" s="46"/>
      <c r="BF109" s="46"/>
      <c r="BG109" s="46"/>
      <c r="BH109" s="46"/>
      <c r="BI109" s="46"/>
      <c r="BJ109" s="46"/>
      <c r="BK109" s="46"/>
      <c r="BL109" s="46"/>
      <c r="BM109" s="54"/>
      <c r="BN109" s="54"/>
      <c r="BO109" s="54"/>
      <c r="BP109" s="54"/>
      <c r="BQ109" s="54"/>
      <c r="BR109" s="54"/>
      <c r="BS109" s="54"/>
      <c r="BT109" s="54"/>
      <c r="BU109" s="54"/>
      <c r="BV109" s="46" t="e">
        <f t="shared" si="56"/>
        <v>#DIV/0!</v>
      </c>
      <c r="BW109" s="46" t="e">
        <f t="shared" si="57"/>
        <v>#DIV/0!</v>
      </c>
      <c r="BX109" s="46" t="e">
        <f t="shared" si="58"/>
        <v>#DIV/0!</v>
      </c>
      <c r="BY109" s="46" t="e">
        <f t="shared" si="59"/>
        <v>#DIV/0!</v>
      </c>
      <c r="BZ109" s="46" t="e">
        <f t="shared" si="60"/>
        <v>#DIV/0!</v>
      </c>
      <c r="CA109" s="46" t="e">
        <f t="shared" si="61"/>
        <v>#DIV/0!</v>
      </c>
      <c r="CB109" s="46" t="e">
        <f t="shared" si="62"/>
        <v>#DIV/0!</v>
      </c>
      <c r="CC109" s="46" t="e">
        <f t="shared" si="63"/>
        <v>#DIV/0!</v>
      </c>
      <c r="CD109" s="46" t="e">
        <f t="shared" si="64"/>
        <v>#DIV/0!</v>
      </c>
      <c r="CE109" s="56" t="e">
        <f t="shared" si="65"/>
        <v>#DIV/0!</v>
      </c>
      <c r="CF109" s="56" t="e">
        <f t="shared" si="66"/>
        <v>#DIV/0!</v>
      </c>
      <c r="CG109" s="56" t="e">
        <f t="shared" si="67"/>
        <v>#DIV/0!</v>
      </c>
      <c r="CH109" s="56" t="e">
        <f t="shared" si="68"/>
        <v>#DIV/0!</v>
      </c>
      <c r="CI109" s="56" t="e">
        <f t="shared" si="69"/>
        <v>#DIV/0!</v>
      </c>
      <c r="CJ109" s="56" t="e">
        <f t="shared" si="70"/>
        <v>#DIV/0!</v>
      </c>
      <c r="CK109" s="56" t="e">
        <f t="shared" si="71"/>
        <v>#DIV/0!</v>
      </c>
      <c r="CL109" s="56" t="e">
        <f t="shared" si="72"/>
        <v>#DIV/0!</v>
      </c>
      <c r="CM109" s="56" t="e">
        <f t="shared" si="73"/>
        <v>#DIV/0!</v>
      </c>
    </row>
    <row r="110" spans="1:91" x14ac:dyDescent="0.15">
      <c r="A110" s="43">
        <v>108</v>
      </c>
      <c r="B110" s="46">
        <f t="shared" si="82"/>
        <v>1</v>
      </c>
      <c r="C110" s="46">
        <f t="shared" si="81"/>
        <v>1</v>
      </c>
      <c r="D110" s="46">
        <f t="shared" si="81"/>
        <v>1</v>
      </c>
      <c r="E110" s="46">
        <f t="shared" si="81"/>
        <v>1</v>
      </c>
      <c r="F110" s="46">
        <f t="shared" si="81"/>
        <v>1</v>
      </c>
      <c r="G110" s="46">
        <f t="shared" si="81"/>
        <v>1</v>
      </c>
      <c r="H110" s="46">
        <f t="shared" si="81"/>
        <v>1</v>
      </c>
      <c r="I110" s="46">
        <f t="shared" si="81"/>
        <v>1</v>
      </c>
      <c r="J110" s="46">
        <f t="shared" si="81"/>
        <v>1</v>
      </c>
      <c r="K110" s="46" t="e">
        <f>K109+ATM_Conf!$C$5*(T109-AC109)</f>
        <v>#DIV/0!</v>
      </c>
      <c r="L110" s="46" t="e">
        <f>L109+ATM_Conf!$C$5*(U109-AD109)</f>
        <v>#DIV/0!</v>
      </c>
      <c r="M110" s="46" t="e">
        <f>M109+ATM_Conf!$C$5*(V109-AE109)</f>
        <v>#DIV/0!</v>
      </c>
      <c r="N110" s="46" t="e">
        <f>N109+ATM_Conf!$C$5*(W109-AF109)</f>
        <v>#DIV/0!</v>
      </c>
      <c r="O110" s="46" t="e">
        <f>O109+ATM_Conf!$C$5*(X109-AG109)</f>
        <v>#DIV/0!</v>
      </c>
      <c r="P110" s="46" t="e">
        <f>P109+ATM_Conf!$C$5*(Y109-AH109)</f>
        <v>#DIV/0!</v>
      </c>
      <c r="Q110" s="46" t="e">
        <f>Q109+ATM_Conf!$C$5*(Z109-AI109)</f>
        <v>#DIV/0!</v>
      </c>
      <c r="R110" s="46" t="e">
        <f>R109+ATM_Conf!$C$5*(AA109-AJ109)</f>
        <v>#DIV/0!</v>
      </c>
      <c r="S110" s="46" t="e">
        <f>S109+ATM_Conf!$C$5*(AB109-AK109)</f>
        <v>#DIV/0!</v>
      </c>
      <c r="T110" s="46"/>
      <c r="U110" s="46"/>
      <c r="V110" s="46"/>
      <c r="W110" s="46"/>
      <c r="X110" s="46"/>
      <c r="Y110" s="46"/>
      <c r="Z110" s="46"/>
      <c r="AA110" s="46"/>
      <c r="AB110" s="46"/>
      <c r="AC110" s="46" t="e">
        <f t="shared" si="47"/>
        <v>#DIV/0!</v>
      </c>
      <c r="AD110" s="46" t="e">
        <f t="shared" si="48"/>
        <v>#DIV/0!</v>
      </c>
      <c r="AE110" s="46" t="e">
        <f t="shared" si="49"/>
        <v>#DIV/0!</v>
      </c>
      <c r="AF110" s="46" t="e">
        <f t="shared" si="50"/>
        <v>#DIV/0!</v>
      </c>
      <c r="AG110" s="46" t="e">
        <f t="shared" si="51"/>
        <v>#DIV/0!</v>
      </c>
      <c r="AH110" s="46" t="e">
        <f t="shared" si="52"/>
        <v>#DIV/0!</v>
      </c>
      <c r="AI110" s="46" t="e">
        <f t="shared" si="53"/>
        <v>#DIV/0!</v>
      </c>
      <c r="AJ110" s="46" t="e">
        <f t="shared" si="54"/>
        <v>#DIV/0!</v>
      </c>
      <c r="AK110" s="46" t="e">
        <f t="shared" si="55"/>
        <v>#DIV/0!</v>
      </c>
      <c r="AL110" s="46" t="e">
        <f>T$3+K110/ATM_Conf!$C$5</f>
        <v>#DIV/0!</v>
      </c>
      <c r="AM110" s="46" t="e">
        <f>U$3+L110/ATM_Conf!$C$5</f>
        <v>#DIV/0!</v>
      </c>
      <c r="AN110" s="46" t="e">
        <f>V$3+M110/ATM_Conf!$C$5</f>
        <v>#DIV/0!</v>
      </c>
      <c r="AO110" s="46" t="e">
        <f>W$3+N110/ATM_Conf!$C$5</f>
        <v>#DIV/0!</v>
      </c>
      <c r="AP110" s="46" t="e">
        <f>X$3+O110/ATM_Conf!$C$5</f>
        <v>#DIV/0!</v>
      </c>
      <c r="AQ110" s="46" t="e">
        <f>Y$3+P110/ATM_Conf!$C$5</f>
        <v>#DIV/0!</v>
      </c>
      <c r="AR110" s="46" t="e">
        <f>Z$3+Q110/ATM_Conf!$C$5</f>
        <v>#DIV/0!</v>
      </c>
      <c r="AS110" s="46" t="e">
        <f>AA$3+R110/ATM_Conf!$C$5</f>
        <v>#DIV/0!</v>
      </c>
      <c r="AT110" s="46" t="e">
        <f>AB$3+S110/ATM_Conf!$C$5</f>
        <v>#DIV/0!</v>
      </c>
      <c r="AU110" s="46" t="e">
        <f>BD$3*MIN(1,(ATM_Conf!$C$6-Links!F110)/(ATM_Conf!$C$6-ATM_Conf!$C$7))</f>
        <v>#DIV/0!</v>
      </c>
      <c r="AV110" s="46" t="e">
        <f>BE$3*MIN(1,(ATM_Conf!$C$6-Links!G110)/(ATM_Conf!$C$6-ATM_Conf!$C$7))</f>
        <v>#DIV/0!</v>
      </c>
      <c r="AW110" s="46" t="e">
        <f>BF$3*MIN(1,(ATM_Conf!$C$6-Links!H110)/(ATM_Conf!$C$6-ATM_Conf!$C$7))</f>
        <v>#DIV/0!</v>
      </c>
      <c r="AX110" s="46" t="e">
        <f>BG$3*MIN(1,(ATM_Conf!$C$6-Links!I110)/(ATM_Conf!$C$6-ATM_Conf!$C$7))</f>
        <v>#DIV/0!</v>
      </c>
      <c r="AY110" s="46" t="e">
        <f>BH$3*MIN(1,(ATM_Conf!$C$6-Links!J110)/(ATM_Conf!$C$6-ATM_Conf!$C$7))</f>
        <v>#DIV/0!</v>
      </c>
      <c r="AZ110" s="46" t="e">
        <f>BI$3*MIN(1,(ATM_Conf!$C$6-Links!K110)/(ATM_Conf!$C$6-ATM_Conf!$C$7))</f>
        <v>#DIV/0!</v>
      </c>
      <c r="BA110" s="46" t="e">
        <f>BJ$3*MIN(1,(ATM_Conf!$C$6-Links!L110)/(ATM_Conf!$C$6-ATM_Conf!$C$7))</f>
        <v>#DIV/0!</v>
      </c>
      <c r="BB110" s="46" t="e">
        <f>BK$3*MIN(1,(ATM_Conf!$C$6-Links!M110)/(ATM_Conf!$C$6-ATM_Conf!$C$7))</f>
        <v>#DIV/0!</v>
      </c>
      <c r="BC110" s="46" t="e">
        <f>BL$3*MIN(1,(ATM_Conf!$C$6-Links!N110)/(ATM_Conf!$C$6-ATM_Conf!$C$7))</f>
        <v>#DIV/0!</v>
      </c>
      <c r="BD110" s="46"/>
      <c r="BE110" s="46"/>
      <c r="BF110" s="46"/>
      <c r="BG110" s="46"/>
      <c r="BH110" s="46"/>
      <c r="BI110" s="46"/>
      <c r="BJ110" s="46"/>
      <c r="BK110" s="46"/>
      <c r="BL110" s="46"/>
      <c r="BM110" s="54"/>
      <c r="BN110" s="54"/>
      <c r="BO110" s="54"/>
      <c r="BP110" s="54"/>
      <c r="BQ110" s="54"/>
      <c r="BR110" s="54"/>
      <c r="BS110" s="54"/>
      <c r="BT110" s="54"/>
      <c r="BU110" s="54"/>
      <c r="BV110" s="46" t="e">
        <f t="shared" si="56"/>
        <v>#DIV/0!</v>
      </c>
      <c r="BW110" s="46" t="e">
        <f t="shared" si="57"/>
        <v>#DIV/0!</v>
      </c>
      <c r="BX110" s="46" t="e">
        <f t="shared" si="58"/>
        <v>#DIV/0!</v>
      </c>
      <c r="BY110" s="46" t="e">
        <f t="shared" si="59"/>
        <v>#DIV/0!</v>
      </c>
      <c r="BZ110" s="46" t="e">
        <f t="shared" si="60"/>
        <v>#DIV/0!</v>
      </c>
      <c r="CA110" s="46" t="e">
        <f t="shared" si="61"/>
        <v>#DIV/0!</v>
      </c>
      <c r="CB110" s="46" t="e">
        <f t="shared" si="62"/>
        <v>#DIV/0!</v>
      </c>
      <c r="CC110" s="46" t="e">
        <f t="shared" si="63"/>
        <v>#DIV/0!</v>
      </c>
      <c r="CD110" s="46" t="e">
        <f t="shared" si="64"/>
        <v>#DIV/0!</v>
      </c>
      <c r="CE110" s="56" t="e">
        <f t="shared" si="65"/>
        <v>#DIV/0!</v>
      </c>
      <c r="CF110" s="56" t="e">
        <f t="shared" si="66"/>
        <v>#DIV/0!</v>
      </c>
      <c r="CG110" s="56" t="e">
        <f t="shared" si="67"/>
        <v>#DIV/0!</v>
      </c>
      <c r="CH110" s="56" t="e">
        <f t="shared" si="68"/>
        <v>#DIV/0!</v>
      </c>
      <c r="CI110" s="56" t="e">
        <f t="shared" si="69"/>
        <v>#DIV/0!</v>
      </c>
      <c r="CJ110" s="56" t="e">
        <f t="shared" si="70"/>
        <v>#DIV/0!</v>
      </c>
      <c r="CK110" s="56" t="e">
        <f t="shared" si="71"/>
        <v>#DIV/0!</v>
      </c>
      <c r="CL110" s="56" t="e">
        <f t="shared" si="72"/>
        <v>#DIV/0!</v>
      </c>
      <c r="CM110" s="56" t="e">
        <f t="shared" si="73"/>
        <v>#DIV/0!</v>
      </c>
    </row>
    <row r="111" spans="1:91" x14ac:dyDescent="0.15">
      <c r="A111" s="43">
        <v>109</v>
      </c>
      <c r="B111" s="48">
        <v>1</v>
      </c>
      <c r="C111" s="48">
        <v>1</v>
      </c>
      <c r="D111" s="48">
        <v>1</v>
      </c>
      <c r="E111" s="48">
        <v>1</v>
      </c>
      <c r="F111" s="48">
        <v>1</v>
      </c>
      <c r="G111" s="48">
        <v>1</v>
      </c>
      <c r="H111" s="48">
        <v>1</v>
      </c>
      <c r="I111" s="48">
        <v>1</v>
      </c>
      <c r="J111" s="48">
        <v>1</v>
      </c>
      <c r="K111" s="46" t="e">
        <f>K110+ATM_Conf!$C$5*(T110-AC110)</f>
        <v>#DIV/0!</v>
      </c>
      <c r="L111" s="46" t="e">
        <f>L110+ATM_Conf!$C$5*(U110-AD110)</f>
        <v>#DIV/0!</v>
      </c>
      <c r="M111" s="46" t="e">
        <f>M110+ATM_Conf!$C$5*(V110-AE110)</f>
        <v>#DIV/0!</v>
      </c>
      <c r="N111" s="46" t="e">
        <f>N110+ATM_Conf!$C$5*(W110-AF110)</f>
        <v>#DIV/0!</v>
      </c>
      <c r="O111" s="46" t="e">
        <f>O110+ATM_Conf!$C$5*(X110-AG110)</f>
        <v>#DIV/0!</v>
      </c>
      <c r="P111" s="46" t="e">
        <f>P110+ATM_Conf!$C$5*(Y110-AH110)</f>
        <v>#DIV/0!</v>
      </c>
      <c r="Q111" s="46" t="e">
        <f>Q110+ATM_Conf!$C$5*(Z110-AI110)</f>
        <v>#DIV/0!</v>
      </c>
      <c r="R111" s="46" t="e">
        <f>R110+ATM_Conf!$C$5*(AA110-AJ110)</f>
        <v>#DIV/0!</v>
      </c>
      <c r="S111" s="46" t="e">
        <f>S110+ATM_Conf!$C$5*(AB110-AK110)</f>
        <v>#DIV/0!</v>
      </c>
      <c r="T111" s="46"/>
      <c r="U111" s="46"/>
      <c r="V111" s="46"/>
      <c r="W111" s="46"/>
      <c r="X111" s="46"/>
      <c r="Y111" s="46"/>
      <c r="Z111" s="46"/>
      <c r="AA111" s="46"/>
      <c r="AB111" s="46"/>
      <c r="AC111" s="46" t="e">
        <f t="shared" si="47"/>
        <v>#DIV/0!</v>
      </c>
      <c r="AD111" s="46" t="e">
        <f t="shared" si="48"/>
        <v>#DIV/0!</v>
      </c>
      <c r="AE111" s="46" t="e">
        <f t="shared" si="49"/>
        <v>#DIV/0!</v>
      </c>
      <c r="AF111" s="46" t="e">
        <f t="shared" si="50"/>
        <v>#DIV/0!</v>
      </c>
      <c r="AG111" s="46" t="e">
        <f t="shared" si="51"/>
        <v>#DIV/0!</v>
      </c>
      <c r="AH111" s="46" t="e">
        <f t="shared" si="52"/>
        <v>#DIV/0!</v>
      </c>
      <c r="AI111" s="46" t="e">
        <f t="shared" si="53"/>
        <v>#DIV/0!</v>
      </c>
      <c r="AJ111" s="46" t="e">
        <f t="shared" si="54"/>
        <v>#DIV/0!</v>
      </c>
      <c r="AK111" s="46" t="e">
        <f t="shared" si="55"/>
        <v>#DIV/0!</v>
      </c>
      <c r="AL111" s="46" t="e">
        <f>T$3+K111/ATM_Conf!$C$5</f>
        <v>#DIV/0!</v>
      </c>
      <c r="AM111" s="46" t="e">
        <f>U$3+L111/ATM_Conf!$C$5</f>
        <v>#DIV/0!</v>
      </c>
      <c r="AN111" s="46" t="e">
        <f>V$3+M111/ATM_Conf!$C$5</f>
        <v>#DIV/0!</v>
      </c>
      <c r="AO111" s="46" t="e">
        <f>W$3+N111/ATM_Conf!$C$5</f>
        <v>#DIV/0!</v>
      </c>
      <c r="AP111" s="46" t="e">
        <f>X$3+O111/ATM_Conf!$C$5</f>
        <v>#DIV/0!</v>
      </c>
      <c r="AQ111" s="46" t="e">
        <f>Y$3+P111/ATM_Conf!$C$5</f>
        <v>#DIV/0!</v>
      </c>
      <c r="AR111" s="46" t="e">
        <f>Z$3+Q111/ATM_Conf!$C$5</f>
        <v>#DIV/0!</v>
      </c>
      <c r="AS111" s="46" t="e">
        <f>AA$3+R111/ATM_Conf!$C$5</f>
        <v>#DIV/0!</v>
      </c>
      <c r="AT111" s="46" t="e">
        <f>AB$3+S111/ATM_Conf!$C$5</f>
        <v>#DIV/0!</v>
      </c>
      <c r="AU111" s="46" t="e">
        <f>BD$3*MIN(1,(ATM_Conf!$C$6-Links!F111)/(ATM_Conf!$C$6-ATM_Conf!$C$7))</f>
        <v>#DIV/0!</v>
      </c>
      <c r="AV111" s="46" t="e">
        <f>BE$3*MIN(1,(ATM_Conf!$C$6-Links!G111)/(ATM_Conf!$C$6-ATM_Conf!$C$7))</f>
        <v>#DIV/0!</v>
      </c>
      <c r="AW111" s="46" t="e">
        <f>BF$3*MIN(1,(ATM_Conf!$C$6-Links!H111)/(ATM_Conf!$C$6-ATM_Conf!$C$7))</f>
        <v>#DIV/0!</v>
      </c>
      <c r="AX111" s="46" t="e">
        <f>BG$3*MIN(1,(ATM_Conf!$C$6-Links!I111)/(ATM_Conf!$C$6-ATM_Conf!$C$7))</f>
        <v>#DIV/0!</v>
      </c>
      <c r="AY111" s="46" t="e">
        <f>BH$3*MIN(1,(ATM_Conf!$C$6-Links!J111)/(ATM_Conf!$C$6-ATM_Conf!$C$7))</f>
        <v>#DIV/0!</v>
      </c>
      <c r="AZ111" s="46" t="e">
        <f>BI$3*MIN(1,(ATM_Conf!$C$6-Links!K111)/(ATM_Conf!$C$6-ATM_Conf!$C$7))</f>
        <v>#DIV/0!</v>
      </c>
      <c r="BA111" s="46" t="e">
        <f>BJ$3*MIN(1,(ATM_Conf!$C$6-Links!L111)/(ATM_Conf!$C$6-ATM_Conf!$C$7))</f>
        <v>#DIV/0!</v>
      </c>
      <c r="BB111" s="46" t="e">
        <f>BK$3*MIN(1,(ATM_Conf!$C$6-Links!M111)/(ATM_Conf!$C$6-ATM_Conf!$C$7))</f>
        <v>#DIV/0!</v>
      </c>
      <c r="BC111" s="46" t="e">
        <f>BL$3*MIN(1,(ATM_Conf!$C$6-Links!N111)/(ATM_Conf!$C$6-ATM_Conf!$C$7))</f>
        <v>#DIV/0!</v>
      </c>
      <c r="BD111" s="46"/>
      <c r="BE111" s="46"/>
      <c r="BF111" s="46"/>
      <c r="BG111" s="46"/>
      <c r="BH111" s="46"/>
      <c r="BI111" s="46"/>
      <c r="BJ111" s="46"/>
      <c r="BK111" s="46"/>
      <c r="BL111" s="46"/>
      <c r="BM111" s="54">
        <f>(B111-B99)^2</f>
        <v>0</v>
      </c>
      <c r="BN111" s="54">
        <f t="shared" ref="BN111:BU111" si="83">(C111-C99)^2</f>
        <v>0</v>
      </c>
      <c r="BO111" s="54">
        <f t="shared" si="83"/>
        <v>0</v>
      </c>
      <c r="BP111" s="54">
        <f t="shared" si="83"/>
        <v>0</v>
      </c>
      <c r="BQ111" s="54">
        <f t="shared" si="83"/>
        <v>0</v>
      </c>
      <c r="BR111" s="54">
        <f t="shared" si="83"/>
        <v>0</v>
      </c>
      <c r="BS111" s="54">
        <f t="shared" si="83"/>
        <v>0</v>
      </c>
      <c r="BT111" s="54">
        <f t="shared" si="83"/>
        <v>0</v>
      </c>
      <c r="BU111" s="54">
        <f t="shared" si="83"/>
        <v>0</v>
      </c>
      <c r="BV111" s="46" t="e">
        <f t="shared" si="56"/>
        <v>#DIV/0!</v>
      </c>
      <c r="BW111" s="46" t="e">
        <f t="shared" si="57"/>
        <v>#DIV/0!</v>
      </c>
      <c r="BX111" s="46" t="e">
        <f t="shared" si="58"/>
        <v>#DIV/0!</v>
      </c>
      <c r="BY111" s="46" t="e">
        <f t="shared" si="59"/>
        <v>#DIV/0!</v>
      </c>
      <c r="BZ111" s="46" t="e">
        <f t="shared" si="60"/>
        <v>#DIV/0!</v>
      </c>
      <c r="CA111" s="46" t="e">
        <f t="shared" si="61"/>
        <v>#DIV/0!</v>
      </c>
      <c r="CB111" s="46" t="e">
        <f t="shared" si="62"/>
        <v>#DIV/0!</v>
      </c>
      <c r="CC111" s="46" t="e">
        <f t="shared" si="63"/>
        <v>#DIV/0!</v>
      </c>
      <c r="CD111" s="46" t="e">
        <f t="shared" si="64"/>
        <v>#DIV/0!</v>
      </c>
      <c r="CE111" s="56" t="e">
        <f t="shared" si="65"/>
        <v>#DIV/0!</v>
      </c>
      <c r="CF111" s="56" t="e">
        <f t="shared" si="66"/>
        <v>#DIV/0!</v>
      </c>
      <c r="CG111" s="56" t="e">
        <f t="shared" si="67"/>
        <v>#DIV/0!</v>
      </c>
      <c r="CH111" s="56" t="e">
        <f t="shared" si="68"/>
        <v>#DIV/0!</v>
      </c>
      <c r="CI111" s="56" t="e">
        <f t="shared" si="69"/>
        <v>#DIV/0!</v>
      </c>
      <c r="CJ111" s="56" t="e">
        <f t="shared" si="70"/>
        <v>#DIV/0!</v>
      </c>
      <c r="CK111" s="56" t="e">
        <f t="shared" si="71"/>
        <v>#DIV/0!</v>
      </c>
      <c r="CL111" s="56" t="e">
        <f t="shared" si="72"/>
        <v>#DIV/0!</v>
      </c>
      <c r="CM111" s="56" t="e">
        <f t="shared" si="73"/>
        <v>#DIV/0!</v>
      </c>
    </row>
    <row r="112" spans="1:91" x14ac:dyDescent="0.15">
      <c r="A112" s="43">
        <v>110</v>
      </c>
      <c r="B112" s="46">
        <f>B$111</f>
        <v>1</v>
      </c>
      <c r="C112" s="46">
        <f t="shared" ref="C112:J122" si="84">C$111</f>
        <v>1</v>
      </c>
      <c r="D112" s="46">
        <f t="shared" si="84"/>
        <v>1</v>
      </c>
      <c r="E112" s="46">
        <f t="shared" si="84"/>
        <v>1</v>
      </c>
      <c r="F112" s="46">
        <f t="shared" si="84"/>
        <v>1</v>
      </c>
      <c r="G112" s="46">
        <f t="shared" si="84"/>
        <v>1</v>
      </c>
      <c r="H112" s="46">
        <f t="shared" si="84"/>
        <v>1</v>
      </c>
      <c r="I112" s="46">
        <f t="shared" si="84"/>
        <v>1</v>
      </c>
      <c r="J112" s="46">
        <f t="shared" si="84"/>
        <v>1</v>
      </c>
      <c r="K112" s="46" t="e">
        <f>K111+ATM_Conf!$C$5*(T111-AC111)</f>
        <v>#DIV/0!</v>
      </c>
      <c r="L112" s="46" t="e">
        <f>L111+ATM_Conf!$C$5*(U111-AD111)</f>
        <v>#DIV/0!</v>
      </c>
      <c r="M112" s="46" t="e">
        <f>M111+ATM_Conf!$C$5*(V111-AE111)</f>
        <v>#DIV/0!</v>
      </c>
      <c r="N112" s="46" t="e">
        <f>N111+ATM_Conf!$C$5*(W111-AF111)</f>
        <v>#DIV/0!</v>
      </c>
      <c r="O112" s="46" t="e">
        <f>O111+ATM_Conf!$C$5*(X111-AG111)</f>
        <v>#DIV/0!</v>
      </c>
      <c r="P112" s="46" t="e">
        <f>P111+ATM_Conf!$C$5*(Y111-AH111)</f>
        <v>#DIV/0!</v>
      </c>
      <c r="Q112" s="46" t="e">
        <f>Q111+ATM_Conf!$C$5*(Z111-AI111)</f>
        <v>#DIV/0!</v>
      </c>
      <c r="R112" s="46" t="e">
        <f>R111+ATM_Conf!$C$5*(AA111-AJ111)</f>
        <v>#DIV/0!</v>
      </c>
      <c r="S112" s="46" t="e">
        <f>S111+ATM_Conf!$C$5*(AB111-AK111)</f>
        <v>#DIV/0!</v>
      </c>
      <c r="T112" s="46"/>
      <c r="U112" s="46"/>
      <c r="V112" s="46"/>
      <c r="W112" s="46"/>
      <c r="X112" s="46"/>
      <c r="Y112" s="46"/>
      <c r="Z112" s="46"/>
      <c r="AA112" s="46"/>
      <c r="AB112" s="46"/>
      <c r="AC112" s="46" t="e">
        <f t="shared" si="47"/>
        <v>#DIV/0!</v>
      </c>
      <c r="AD112" s="46" t="e">
        <f t="shared" si="48"/>
        <v>#DIV/0!</v>
      </c>
      <c r="AE112" s="46" t="e">
        <f t="shared" si="49"/>
        <v>#DIV/0!</v>
      </c>
      <c r="AF112" s="46" t="e">
        <f t="shared" si="50"/>
        <v>#DIV/0!</v>
      </c>
      <c r="AG112" s="46" t="e">
        <f t="shared" si="51"/>
        <v>#DIV/0!</v>
      </c>
      <c r="AH112" s="46" t="e">
        <f t="shared" si="52"/>
        <v>#DIV/0!</v>
      </c>
      <c r="AI112" s="46" t="e">
        <f t="shared" si="53"/>
        <v>#DIV/0!</v>
      </c>
      <c r="AJ112" s="46" t="e">
        <f t="shared" si="54"/>
        <v>#DIV/0!</v>
      </c>
      <c r="AK112" s="46" t="e">
        <f t="shared" si="55"/>
        <v>#DIV/0!</v>
      </c>
      <c r="AL112" s="46" t="e">
        <f>T$3+K112/ATM_Conf!$C$5</f>
        <v>#DIV/0!</v>
      </c>
      <c r="AM112" s="46" t="e">
        <f>U$3+L112/ATM_Conf!$C$5</f>
        <v>#DIV/0!</v>
      </c>
      <c r="AN112" s="46" t="e">
        <f>V$3+M112/ATM_Conf!$C$5</f>
        <v>#DIV/0!</v>
      </c>
      <c r="AO112" s="46" t="e">
        <f>W$3+N112/ATM_Conf!$C$5</f>
        <v>#DIV/0!</v>
      </c>
      <c r="AP112" s="46" t="e">
        <f>X$3+O112/ATM_Conf!$C$5</f>
        <v>#DIV/0!</v>
      </c>
      <c r="AQ112" s="46" t="e">
        <f>Y$3+P112/ATM_Conf!$C$5</f>
        <v>#DIV/0!</v>
      </c>
      <c r="AR112" s="46" t="e">
        <f>Z$3+Q112/ATM_Conf!$C$5</f>
        <v>#DIV/0!</v>
      </c>
      <c r="AS112" s="46" t="e">
        <f>AA$3+R112/ATM_Conf!$C$5</f>
        <v>#DIV/0!</v>
      </c>
      <c r="AT112" s="46" t="e">
        <f>AB$3+S112/ATM_Conf!$C$5</f>
        <v>#DIV/0!</v>
      </c>
      <c r="AU112" s="46" t="e">
        <f>BD$3*MIN(1,(ATM_Conf!$C$6-Links!F112)/(ATM_Conf!$C$6-ATM_Conf!$C$7))</f>
        <v>#DIV/0!</v>
      </c>
      <c r="AV112" s="46" t="e">
        <f>BE$3*MIN(1,(ATM_Conf!$C$6-Links!G112)/(ATM_Conf!$C$6-ATM_Conf!$C$7))</f>
        <v>#DIV/0!</v>
      </c>
      <c r="AW112" s="46" t="e">
        <f>BF$3*MIN(1,(ATM_Conf!$C$6-Links!H112)/(ATM_Conf!$C$6-ATM_Conf!$C$7))</f>
        <v>#DIV/0!</v>
      </c>
      <c r="AX112" s="46" t="e">
        <f>BG$3*MIN(1,(ATM_Conf!$C$6-Links!I112)/(ATM_Conf!$C$6-ATM_Conf!$C$7))</f>
        <v>#DIV/0!</v>
      </c>
      <c r="AY112" s="46" t="e">
        <f>BH$3*MIN(1,(ATM_Conf!$C$6-Links!J112)/(ATM_Conf!$C$6-ATM_Conf!$C$7))</f>
        <v>#DIV/0!</v>
      </c>
      <c r="AZ112" s="46" t="e">
        <f>BI$3*MIN(1,(ATM_Conf!$C$6-Links!K112)/(ATM_Conf!$C$6-ATM_Conf!$C$7))</f>
        <v>#DIV/0!</v>
      </c>
      <c r="BA112" s="46" t="e">
        <f>BJ$3*MIN(1,(ATM_Conf!$C$6-Links!L112)/(ATM_Conf!$C$6-ATM_Conf!$C$7))</f>
        <v>#DIV/0!</v>
      </c>
      <c r="BB112" s="46" t="e">
        <f>BK$3*MIN(1,(ATM_Conf!$C$6-Links!M112)/(ATM_Conf!$C$6-ATM_Conf!$C$7))</f>
        <v>#DIV/0!</v>
      </c>
      <c r="BC112" s="46" t="e">
        <f>BL$3*MIN(1,(ATM_Conf!$C$6-Links!N112)/(ATM_Conf!$C$6-ATM_Conf!$C$7))</f>
        <v>#DIV/0!</v>
      </c>
      <c r="BD112" s="46"/>
      <c r="BE112" s="46"/>
      <c r="BF112" s="46"/>
      <c r="BG112" s="46"/>
      <c r="BH112" s="46"/>
      <c r="BI112" s="46"/>
      <c r="BJ112" s="46"/>
      <c r="BK112" s="46"/>
      <c r="BL112" s="46"/>
      <c r="BM112" s="54"/>
      <c r="BN112" s="54"/>
      <c r="BO112" s="54"/>
      <c r="BP112" s="54"/>
      <c r="BQ112" s="54"/>
      <c r="BR112" s="54"/>
      <c r="BS112" s="54"/>
      <c r="BT112" s="54"/>
      <c r="BU112" s="54"/>
      <c r="BV112" s="46" t="e">
        <f t="shared" si="56"/>
        <v>#DIV/0!</v>
      </c>
      <c r="BW112" s="46" t="e">
        <f t="shared" si="57"/>
        <v>#DIV/0!</v>
      </c>
      <c r="BX112" s="46" t="e">
        <f t="shared" si="58"/>
        <v>#DIV/0!</v>
      </c>
      <c r="BY112" s="46" t="e">
        <f t="shared" si="59"/>
        <v>#DIV/0!</v>
      </c>
      <c r="BZ112" s="46" t="e">
        <f t="shared" si="60"/>
        <v>#DIV/0!</v>
      </c>
      <c r="CA112" s="46" t="e">
        <f t="shared" si="61"/>
        <v>#DIV/0!</v>
      </c>
      <c r="CB112" s="46" t="e">
        <f t="shared" si="62"/>
        <v>#DIV/0!</v>
      </c>
      <c r="CC112" s="46" t="e">
        <f t="shared" si="63"/>
        <v>#DIV/0!</v>
      </c>
      <c r="CD112" s="46" t="e">
        <f t="shared" si="64"/>
        <v>#DIV/0!</v>
      </c>
      <c r="CE112" s="56" t="e">
        <f t="shared" si="65"/>
        <v>#DIV/0!</v>
      </c>
      <c r="CF112" s="56" t="e">
        <f t="shared" si="66"/>
        <v>#DIV/0!</v>
      </c>
      <c r="CG112" s="56" t="e">
        <f t="shared" si="67"/>
        <v>#DIV/0!</v>
      </c>
      <c r="CH112" s="56" t="e">
        <f t="shared" si="68"/>
        <v>#DIV/0!</v>
      </c>
      <c r="CI112" s="56" t="e">
        <f t="shared" si="69"/>
        <v>#DIV/0!</v>
      </c>
      <c r="CJ112" s="56" t="e">
        <f t="shared" si="70"/>
        <v>#DIV/0!</v>
      </c>
      <c r="CK112" s="56" t="e">
        <f t="shared" si="71"/>
        <v>#DIV/0!</v>
      </c>
      <c r="CL112" s="56" t="e">
        <f t="shared" si="72"/>
        <v>#DIV/0!</v>
      </c>
      <c r="CM112" s="56" t="e">
        <f t="shared" si="73"/>
        <v>#DIV/0!</v>
      </c>
    </row>
    <row r="113" spans="1:91" x14ac:dyDescent="0.15">
      <c r="A113" s="43">
        <v>111</v>
      </c>
      <c r="B113" s="46">
        <f t="shared" ref="B113:B121" si="85">B$111</f>
        <v>1</v>
      </c>
      <c r="C113" s="46">
        <f t="shared" si="84"/>
        <v>1</v>
      </c>
      <c r="D113" s="46">
        <f t="shared" si="84"/>
        <v>1</v>
      </c>
      <c r="E113" s="46">
        <f t="shared" si="84"/>
        <v>1</v>
      </c>
      <c r="F113" s="46">
        <f t="shared" si="84"/>
        <v>1</v>
      </c>
      <c r="G113" s="46">
        <f t="shared" si="84"/>
        <v>1</v>
      </c>
      <c r="H113" s="46">
        <f t="shared" si="84"/>
        <v>1</v>
      </c>
      <c r="I113" s="46">
        <f t="shared" si="84"/>
        <v>1</v>
      </c>
      <c r="J113" s="46">
        <f t="shared" si="84"/>
        <v>1</v>
      </c>
      <c r="K113" s="46" t="e">
        <f>K112+ATM_Conf!$C$5*(T112-AC112)</f>
        <v>#DIV/0!</v>
      </c>
      <c r="L113" s="46" t="e">
        <f>L112+ATM_Conf!$C$5*(U112-AD112)</f>
        <v>#DIV/0!</v>
      </c>
      <c r="M113" s="46" t="e">
        <f>M112+ATM_Conf!$C$5*(V112-AE112)</f>
        <v>#DIV/0!</v>
      </c>
      <c r="N113" s="46" t="e">
        <f>N112+ATM_Conf!$C$5*(W112-AF112)</f>
        <v>#DIV/0!</v>
      </c>
      <c r="O113" s="46" t="e">
        <f>O112+ATM_Conf!$C$5*(X112-AG112)</f>
        <v>#DIV/0!</v>
      </c>
      <c r="P113" s="46" t="e">
        <f>P112+ATM_Conf!$C$5*(Y112-AH112)</f>
        <v>#DIV/0!</v>
      </c>
      <c r="Q113" s="46" t="e">
        <f>Q112+ATM_Conf!$C$5*(Z112-AI112)</f>
        <v>#DIV/0!</v>
      </c>
      <c r="R113" s="46" t="e">
        <f>R112+ATM_Conf!$C$5*(AA112-AJ112)</f>
        <v>#DIV/0!</v>
      </c>
      <c r="S113" s="46" t="e">
        <f>S112+ATM_Conf!$C$5*(AB112-AK112)</f>
        <v>#DIV/0!</v>
      </c>
      <c r="T113" s="46"/>
      <c r="U113" s="46"/>
      <c r="V113" s="46"/>
      <c r="W113" s="46"/>
      <c r="X113" s="46"/>
      <c r="Y113" s="46"/>
      <c r="Z113" s="46"/>
      <c r="AA113" s="46"/>
      <c r="AB113" s="46"/>
      <c r="AC113" s="46" t="e">
        <f t="shared" si="47"/>
        <v>#DIV/0!</v>
      </c>
      <c r="AD113" s="46" t="e">
        <f t="shared" si="48"/>
        <v>#DIV/0!</v>
      </c>
      <c r="AE113" s="46" t="e">
        <f t="shared" si="49"/>
        <v>#DIV/0!</v>
      </c>
      <c r="AF113" s="46" t="e">
        <f t="shared" si="50"/>
        <v>#DIV/0!</v>
      </c>
      <c r="AG113" s="46" t="e">
        <f t="shared" si="51"/>
        <v>#DIV/0!</v>
      </c>
      <c r="AH113" s="46" t="e">
        <f t="shared" si="52"/>
        <v>#DIV/0!</v>
      </c>
      <c r="AI113" s="46" t="e">
        <f t="shared" si="53"/>
        <v>#DIV/0!</v>
      </c>
      <c r="AJ113" s="46" t="e">
        <f t="shared" si="54"/>
        <v>#DIV/0!</v>
      </c>
      <c r="AK113" s="46" t="e">
        <f t="shared" si="55"/>
        <v>#DIV/0!</v>
      </c>
      <c r="AL113" s="46" t="e">
        <f>T$3+K113/ATM_Conf!$C$5</f>
        <v>#DIV/0!</v>
      </c>
      <c r="AM113" s="46" t="e">
        <f>U$3+L113/ATM_Conf!$C$5</f>
        <v>#DIV/0!</v>
      </c>
      <c r="AN113" s="46" t="e">
        <f>V$3+M113/ATM_Conf!$C$5</f>
        <v>#DIV/0!</v>
      </c>
      <c r="AO113" s="46" t="e">
        <f>W$3+N113/ATM_Conf!$C$5</f>
        <v>#DIV/0!</v>
      </c>
      <c r="AP113" s="46" t="e">
        <f>X$3+O113/ATM_Conf!$C$5</f>
        <v>#DIV/0!</v>
      </c>
      <c r="AQ113" s="46" t="e">
        <f>Y$3+P113/ATM_Conf!$C$5</f>
        <v>#DIV/0!</v>
      </c>
      <c r="AR113" s="46" t="e">
        <f>Z$3+Q113/ATM_Conf!$C$5</f>
        <v>#DIV/0!</v>
      </c>
      <c r="AS113" s="46" t="e">
        <f>AA$3+R113/ATM_Conf!$C$5</f>
        <v>#DIV/0!</v>
      </c>
      <c r="AT113" s="46" t="e">
        <f>AB$3+S113/ATM_Conf!$C$5</f>
        <v>#DIV/0!</v>
      </c>
      <c r="AU113" s="46" t="e">
        <f>BD$3*MIN(1,(ATM_Conf!$C$6-Links!F113)/(ATM_Conf!$C$6-ATM_Conf!$C$7))</f>
        <v>#DIV/0!</v>
      </c>
      <c r="AV113" s="46" t="e">
        <f>BE$3*MIN(1,(ATM_Conf!$C$6-Links!G113)/(ATM_Conf!$C$6-ATM_Conf!$C$7))</f>
        <v>#DIV/0!</v>
      </c>
      <c r="AW113" s="46" t="e">
        <f>BF$3*MIN(1,(ATM_Conf!$C$6-Links!H113)/(ATM_Conf!$C$6-ATM_Conf!$C$7))</f>
        <v>#DIV/0!</v>
      </c>
      <c r="AX113" s="46" t="e">
        <f>BG$3*MIN(1,(ATM_Conf!$C$6-Links!I113)/(ATM_Conf!$C$6-ATM_Conf!$C$7))</f>
        <v>#DIV/0!</v>
      </c>
      <c r="AY113" s="46" t="e">
        <f>BH$3*MIN(1,(ATM_Conf!$C$6-Links!J113)/(ATM_Conf!$C$6-ATM_Conf!$C$7))</f>
        <v>#DIV/0!</v>
      </c>
      <c r="AZ113" s="46" t="e">
        <f>BI$3*MIN(1,(ATM_Conf!$C$6-Links!K113)/(ATM_Conf!$C$6-ATM_Conf!$C$7))</f>
        <v>#DIV/0!</v>
      </c>
      <c r="BA113" s="46" t="e">
        <f>BJ$3*MIN(1,(ATM_Conf!$C$6-Links!L113)/(ATM_Conf!$C$6-ATM_Conf!$C$7))</f>
        <v>#DIV/0!</v>
      </c>
      <c r="BB113" s="46" t="e">
        <f>BK$3*MIN(1,(ATM_Conf!$C$6-Links!M113)/(ATM_Conf!$C$6-ATM_Conf!$C$7))</f>
        <v>#DIV/0!</v>
      </c>
      <c r="BC113" s="46" t="e">
        <f>BL$3*MIN(1,(ATM_Conf!$C$6-Links!N113)/(ATM_Conf!$C$6-ATM_Conf!$C$7))</f>
        <v>#DIV/0!</v>
      </c>
      <c r="BD113" s="46"/>
      <c r="BE113" s="46"/>
      <c r="BF113" s="46"/>
      <c r="BG113" s="46"/>
      <c r="BH113" s="46"/>
      <c r="BI113" s="46"/>
      <c r="BJ113" s="46"/>
      <c r="BK113" s="46"/>
      <c r="BL113" s="46"/>
      <c r="BM113" s="54"/>
      <c r="BN113" s="54"/>
      <c r="BO113" s="54"/>
      <c r="BP113" s="54"/>
      <c r="BQ113" s="54"/>
      <c r="BR113" s="54"/>
      <c r="BS113" s="54"/>
      <c r="BT113" s="54"/>
      <c r="BU113" s="54"/>
      <c r="BV113" s="46" t="e">
        <f t="shared" si="56"/>
        <v>#DIV/0!</v>
      </c>
      <c r="BW113" s="46" t="e">
        <f t="shared" si="57"/>
        <v>#DIV/0!</v>
      </c>
      <c r="BX113" s="46" t="e">
        <f t="shared" si="58"/>
        <v>#DIV/0!</v>
      </c>
      <c r="BY113" s="46" t="e">
        <f t="shared" si="59"/>
        <v>#DIV/0!</v>
      </c>
      <c r="BZ113" s="46" t="e">
        <f t="shared" si="60"/>
        <v>#DIV/0!</v>
      </c>
      <c r="CA113" s="46" t="e">
        <f t="shared" si="61"/>
        <v>#DIV/0!</v>
      </c>
      <c r="CB113" s="46" t="e">
        <f t="shared" si="62"/>
        <v>#DIV/0!</v>
      </c>
      <c r="CC113" s="46" t="e">
        <f t="shared" si="63"/>
        <v>#DIV/0!</v>
      </c>
      <c r="CD113" s="46" t="e">
        <f t="shared" si="64"/>
        <v>#DIV/0!</v>
      </c>
      <c r="CE113" s="56" t="e">
        <f t="shared" si="65"/>
        <v>#DIV/0!</v>
      </c>
      <c r="CF113" s="56" t="e">
        <f t="shared" si="66"/>
        <v>#DIV/0!</v>
      </c>
      <c r="CG113" s="56" t="e">
        <f t="shared" si="67"/>
        <v>#DIV/0!</v>
      </c>
      <c r="CH113" s="56" t="e">
        <f t="shared" si="68"/>
        <v>#DIV/0!</v>
      </c>
      <c r="CI113" s="56" t="e">
        <f t="shared" si="69"/>
        <v>#DIV/0!</v>
      </c>
      <c r="CJ113" s="56" t="e">
        <f t="shared" si="70"/>
        <v>#DIV/0!</v>
      </c>
      <c r="CK113" s="56" t="e">
        <f t="shared" si="71"/>
        <v>#DIV/0!</v>
      </c>
      <c r="CL113" s="56" t="e">
        <f t="shared" si="72"/>
        <v>#DIV/0!</v>
      </c>
      <c r="CM113" s="56" t="e">
        <f t="shared" si="73"/>
        <v>#DIV/0!</v>
      </c>
    </row>
    <row r="114" spans="1:91" x14ac:dyDescent="0.15">
      <c r="A114" s="43">
        <v>112</v>
      </c>
      <c r="B114" s="46">
        <f t="shared" si="85"/>
        <v>1</v>
      </c>
      <c r="C114" s="46">
        <f t="shared" si="84"/>
        <v>1</v>
      </c>
      <c r="D114" s="46">
        <f t="shared" si="84"/>
        <v>1</v>
      </c>
      <c r="E114" s="46">
        <f t="shared" si="84"/>
        <v>1</v>
      </c>
      <c r="F114" s="46">
        <f t="shared" si="84"/>
        <v>1</v>
      </c>
      <c r="G114" s="46">
        <f t="shared" si="84"/>
        <v>1</v>
      </c>
      <c r="H114" s="46">
        <f t="shared" si="84"/>
        <v>1</v>
      </c>
      <c r="I114" s="46">
        <f t="shared" si="84"/>
        <v>1</v>
      </c>
      <c r="J114" s="46">
        <f t="shared" si="84"/>
        <v>1</v>
      </c>
      <c r="K114" s="46" t="e">
        <f>K113+ATM_Conf!$C$5*(T113-AC113)</f>
        <v>#DIV/0!</v>
      </c>
      <c r="L114" s="46" t="e">
        <f>L113+ATM_Conf!$C$5*(U113-AD113)</f>
        <v>#DIV/0!</v>
      </c>
      <c r="M114" s="46" t="e">
        <f>M113+ATM_Conf!$C$5*(V113-AE113)</f>
        <v>#DIV/0!</v>
      </c>
      <c r="N114" s="46" t="e">
        <f>N113+ATM_Conf!$C$5*(W113-AF113)</f>
        <v>#DIV/0!</v>
      </c>
      <c r="O114" s="46" t="e">
        <f>O113+ATM_Conf!$C$5*(X113-AG113)</f>
        <v>#DIV/0!</v>
      </c>
      <c r="P114" s="46" t="e">
        <f>P113+ATM_Conf!$C$5*(Y113-AH113)</f>
        <v>#DIV/0!</v>
      </c>
      <c r="Q114" s="46" t="e">
        <f>Q113+ATM_Conf!$C$5*(Z113-AI113)</f>
        <v>#DIV/0!</v>
      </c>
      <c r="R114" s="46" t="e">
        <f>R113+ATM_Conf!$C$5*(AA113-AJ113)</f>
        <v>#DIV/0!</v>
      </c>
      <c r="S114" s="46" t="e">
        <f>S113+ATM_Conf!$C$5*(AB113-AK113)</f>
        <v>#DIV/0!</v>
      </c>
      <c r="T114" s="46"/>
      <c r="U114" s="46"/>
      <c r="V114" s="46"/>
      <c r="W114" s="46"/>
      <c r="X114" s="46"/>
      <c r="Y114" s="46"/>
      <c r="Z114" s="46"/>
      <c r="AA114" s="46"/>
      <c r="AB114" s="46"/>
      <c r="AC114" s="46" t="e">
        <f t="shared" si="47"/>
        <v>#DIV/0!</v>
      </c>
      <c r="AD114" s="46" t="e">
        <f t="shared" si="48"/>
        <v>#DIV/0!</v>
      </c>
      <c r="AE114" s="46" t="e">
        <f t="shared" si="49"/>
        <v>#DIV/0!</v>
      </c>
      <c r="AF114" s="46" t="e">
        <f t="shared" si="50"/>
        <v>#DIV/0!</v>
      </c>
      <c r="AG114" s="46" t="e">
        <f t="shared" si="51"/>
        <v>#DIV/0!</v>
      </c>
      <c r="AH114" s="46" t="e">
        <f t="shared" si="52"/>
        <v>#DIV/0!</v>
      </c>
      <c r="AI114" s="46" t="e">
        <f t="shared" si="53"/>
        <v>#DIV/0!</v>
      </c>
      <c r="AJ114" s="46" t="e">
        <f t="shared" si="54"/>
        <v>#DIV/0!</v>
      </c>
      <c r="AK114" s="46" t="e">
        <f t="shared" si="55"/>
        <v>#DIV/0!</v>
      </c>
      <c r="AL114" s="46" t="e">
        <f>T$3+K114/ATM_Conf!$C$5</f>
        <v>#DIV/0!</v>
      </c>
      <c r="AM114" s="46" t="e">
        <f>U$3+L114/ATM_Conf!$C$5</f>
        <v>#DIV/0!</v>
      </c>
      <c r="AN114" s="46" t="e">
        <f>V$3+M114/ATM_Conf!$C$5</f>
        <v>#DIV/0!</v>
      </c>
      <c r="AO114" s="46" t="e">
        <f>W$3+N114/ATM_Conf!$C$5</f>
        <v>#DIV/0!</v>
      </c>
      <c r="AP114" s="46" t="e">
        <f>X$3+O114/ATM_Conf!$C$5</f>
        <v>#DIV/0!</v>
      </c>
      <c r="AQ114" s="46" t="e">
        <f>Y$3+P114/ATM_Conf!$C$5</f>
        <v>#DIV/0!</v>
      </c>
      <c r="AR114" s="46" t="e">
        <f>Z$3+Q114/ATM_Conf!$C$5</f>
        <v>#DIV/0!</v>
      </c>
      <c r="AS114" s="46" t="e">
        <f>AA$3+R114/ATM_Conf!$C$5</f>
        <v>#DIV/0!</v>
      </c>
      <c r="AT114" s="46" t="e">
        <f>AB$3+S114/ATM_Conf!$C$5</f>
        <v>#DIV/0!</v>
      </c>
      <c r="AU114" s="46" t="e">
        <f>BD$3*MIN(1,(ATM_Conf!$C$6-Links!F114)/(ATM_Conf!$C$6-ATM_Conf!$C$7))</f>
        <v>#DIV/0!</v>
      </c>
      <c r="AV114" s="46" t="e">
        <f>BE$3*MIN(1,(ATM_Conf!$C$6-Links!G114)/(ATM_Conf!$C$6-ATM_Conf!$C$7))</f>
        <v>#DIV/0!</v>
      </c>
      <c r="AW114" s="46" t="e">
        <f>BF$3*MIN(1,(ATM_Conf!$C$6-Links!H114)/(ATM_Conf!$C$6-ATM_Conf!$C$7))</f>
        <v>#DIV/0!</v>
      </c>
      <c r="AX114" s="46" t="e">
        <f>BG$3*MIN(1,(ATM_Conf!$C$6-Links!I114)/(ATM_Conf!$C$6-ATM_Conf!$C$7))</f>
        <v>#DIV/0!</v>
      </c>
      <c r="AY114" s="46" t="e">
        <f>BH$3*MIN(1,(ATM_Conf!$C$6-Links!J114)/(ATM_Conf!$C$6-ATM_Conf!$C$7))</f>
        <v>#DIV/0!</v>
      </c>
      <c r="AZ114" s="46" t="e">
        <f>BI$3*MIN(1,(ATM_Conf!$C$6-Links!K114)/(ATM_Conf!$C$6-ATM_Conf!$C$7))</f>
        <v>#DIV/0!</v>
      </c>
      <c r="BA114" s="46" t="e">
        <f>BJ$3*MIN(1,(ATM_Conf!$C$6-Links!L114)/(ATM_Conf!$C$6-ATM_Conf!$C$7))</f>
        <v>#DIV/0!</v>
      </c>
      <c r="BB114" s="46" t="e">
        <f>BK$3*MIN(1,(ATM_Conf!$C$6-Links!M114)/(ATM_Conf!$C$6-ATM_Conf!$C$7))</f>
        <v>#DIV/0!</v>
      </c>
      <c r="BC114" s="46" t="e">
        <f>BL$3*MIN(1,(ATM_Conf!$C$6-Links!N114)/(ATM_Conf!$C$6-ATM_Conf!$C$7))</f>
        <v>#DIV/0!</v>
      </c>
      <c r="BD114" s="46"/>
      <c r="BE114" s="46"/>
      <c r="BF114" s="46"/>
      <c r="BG114" s="46"/>
      <c r="BH114" s="46"/>
      <c r="BI114" s="46"/>
      <c r="BJ114" s="46"/>
      <c r="BK114" s="46"/>
      <c r="BL114" s="46"/>
      <c r="BM114" s="54"/>
      <c r="BN114" s="54"/>
      <c r="BO114" s="54"/>
      <c r="BP114" s="54"/>
      <c r="BQ114" s="54"/>
      <c r="BR114" s="54"/>
      <c r="BS114" s="54"/>
      <c r="BT114" s="54"/>
      <c r="BU114" s="54"/>
      <c r="BV114" s="46" t="e">
        <f t="shared" si="56"/>
        <v>#DIV/0!</v>
      </c>
      <c r="BW114" s="46" t="e">
        <f t="shared" si="57"/>
        <v>#DIV/0!</v>
      </c>
      <c r="BX114" s="46" t="e">
        <f t="shared" si="58"/>
        <v>#DIV/0!</v>
      </c>
      <c r="BY114" s="46" t="e">
        <f t="shared" si="59"/>
        <v>#DIV/0!</v>
      </c>
      <c r="BZ114" s="46" t="e">
        <f t="shared" si="60"/>
        <v>#DIV/0!</v>
      </c>
      <c r="CA114" s="46" t="e">
        <f t="shared" si="61"/>
        <v>#DIV/0!</v>
      </c>
      <c r="CB114" s="46" t="e">
        <f t="shared" si="62"/>
        <v>#DIV/0!</v>
      </c>
      <c r="CC114" s="46" t="e">
        <f t="shared" si="63"/>
        <v>#DIV/0!</v>
      </c>
      <c r="CD114" s="46" t="e">
        <f t="shared" si="64"/>
        <v>#DIV/0!</v>
      </c>
      <c r="CE114" s="56" t="e">
        <f t="shared" si="65"/>
        <v>#DIV/0!</v>
      </c>
      <c r="CF114" s="56" t="e">
        <f t="shared" si="66"/>
        <v>#DIV/0!</v>
      </c>
      <c r="CG114" s="56" t="e">
        <f t="shared" si="67"/>
        <v>#DIV/0!</v>
      </c>
      <c r="CH114" s="56" t="e">
        <f t="shared" si="68"/>
        <v>#DIV/0!</v>
      </c>
      <c r="CI114" s="56" t="e">
        <f t="shared" si="69"/>
        <v>#DIV/0!</v>
      </c>
      <c r="CJ114" s="56" t="e">
        <f t="shared" si="70"/>
        <v>#DIV/0!</v>
      </c>
      <c r="CK114" s="56" t="e">
        <f t="shared" si="71"/>
        <v>#DIV/0!</v>
      </c>
      <c r="CL114" s="56" t="e">
        <f t="shared" si="72"/>
        <v>#DIV/0!</v>
      </c>
      <c r="CM114" s="56" t="e">
        <f t="shared" si="73"/>
        <v>#DIV/0!</v>
      </c>
    </row>
    <row r="115" spans="1:91" x14ac:dyDescent="0.15">
      <c r="A115" s="43">
        <v>113</v>
      </c>
      <c r="B115" s="46">
        <f t="shared" si="85"/>
        <v>1</v>
      </c>
      <c r="C115" s="46">
        <f t="shared" si="84"/>
        <v>1</v>
      </c>
      <c r="D115" s="46">
        <f t="shared" si="84"/>
        <v>1</v>
      </c>
      <c r="E115" s="46">
        <f t="shared" si="84"/>
        <v>1</v>
      </c>
      <c r="F115" s="46">
        <f t="shared" si="84"/>
        <v>1</v>
      </c>
      <c r="G115" s="46">
        <f t="shared" si="84"/>
        <v>1</v>
      </c>
      <c r="H115" s="46">
        <f t="shared" si="84"/>
        <v>1</v>
      </c>
      <c r="I115" s="46">
        <f t="shared" si="84"/>
        <v>1</v>
      </c>
      <c r="J115" s="46">
        <f t="shared" si="84"/>
        <v>1</v>
      </c>
      <c r="K115" s="46" t="e">
        <f>K114+ATM_Conf!$C$5*(T114-AC114)</f>
        <v>#DIV/0!</v>
      </c>
      <c r="L115" s="46" t="e">
        <f>L114+ATM_Conf!$C$5*(U114-AD114)</f>
        <v>#DIV/0!</v>
      </c>
      <c r="M115" s="46" t="e">
        <f>M114+ATM_Conf!$C$5*(V114-AE114)</f>
        <v>#DIV/0!</v>
      </c>
      <c r="N115" s="46" t="e">
        <f>N114+ATM_Conf!$C$5*(W114-AF114)</f>
        <v>#DIV/0!</v>
      </c>
      <c r="O115" s="46" t="e">
        <f>O114+ATM_Conf!$C$5*(X114-AG114)</f>
        <v>#DIV/0!</v>
      </c>
      <c r="P115" s="46" t="e">
        <f>P114+ATM_Conf!$C$5*(Y114-AH114)</f>
        <v>#DIV/0!</v>
      </c>
      <c r="Q115" s="46" t="e">
        <f>Q114+ATM_Conf!$C$5*(Z114-AI114)</f>
        <v>#DIV/0!</v>
      </c>
      <c r="R115" s="46" t="e">
        <f>R114+ATM_Conf!$C$5*(AA114-AJ114)</f>
        <v>#DIV/0!</v>
      </c>
      <c r="S115" s="46" t="e">
        <f>S114+ATM_Conf!$C$5*(AB114-AK114)</f>
        <v>#DIV/0!</v>
      </c>
      <c r="T115" s="46"/>
      <c r="U115" s="46"/>
      <c r="V115" s="46"/>
      <c r="W115" s="46"/>
      <c r="X115" s="46"/>
      <c r="Y115" s="46"/>
      <c r="Z115" s="46"/>
      <c r="AA115" s="46"/>
      <c r="AB115" s="46"/>
      <c r="AC115" s="46" t="e">
        <f t="shared" si="47"/>
        <v>#DIV/0!</v>
      </c>
      <c r="AD115" s="46" t="e">
        <f t="shared" si="48"/>
        <v>#DIV/0!</v>
      </c>
      <c r="AE115" s="46" t="e">
        <f t="shared" si="49"/>
        <v>#DIV/0!</v>
      </c>
      <c r="AF115" s="46" t="e">
        <f t="shared" si="50"/>
        <v>#DIV/0!</v>
      </c>
      <c r="AG115" s="46" t="e">
        <f t="shared" si="51"/>
        <v>#DIV/0!</v>
      </c>
      <c r="AH115" s="46" t="e">
        <f t="shared" si="52"/>
        <v>#DIV/0!</v>
      </c>
      <c r="AI115" s="46" t="e">
        <f t="shared" si="53"/>
        <v>#DIV/0!</v>
      </c>
      <c r="AJ115" s="46" t="e">
        <f t="shared" si="54"/>
        <v>#DIV/0!</v>
      </c>
      <c r="AK115" s="46" t="e">
        <f t="shared" si="55"/>
        <v>#DIV/0!</v>
      </c>
      <c r="AL115" s="46" t="e">
        <f>T$3+K115/ATM_Conf!$C$5</f>
        <v>#DIV/0!</v>
      </c>
      <c r="AM115" s="46" t="e">
        <f>U$3+L115/ATM_Conf!$C$5</f>
        <v>#DIV/0!</v>
      </c>
      <c r="AN115" s="46" t="e">
        <f>V$3+M115/ATM_Conf!$C$5</f>
        <v>#DIV/0!</v>
      </c>
      <c r="AO115" s="46" t="e">
        <f>W$3+N115/ATM_Conf!$C$5</f>
        <v>#DIV/0!</v>
      </c>
      <c r="AP115" s="46" t="e">
        <f>X$3+O115/ATM_Conf!$C$5</f>
        <v>#DIV/0!</v>
      </c>
      <c r="AQ115" s="46" t="e">
        <f>Y$3+P115/ATM_Conf!$C$5</f>
        <v>#DIV/0!</v>
      </c>
      <c r="AR115" s="46" t="e">
        <f>Z$3+Q115/ATM_Conf!$C$5</f>
        <v>#DIV/0!</v>
      </c>
      <c r="AS115" s="46" t="e">
        <f>AA$3+R115/ATM_Conf!$C$5</f>
        <v>#DIV/0!</v>
      </c>
      <c r="AT115" s="46" t="e">
        <f>AB$3+S115/ATM_Conf!$C$5</f>
        <v>#DIV/0!</v>
      </c>
      <c r="AU115" s="46" t="e">
        <f>BD$3*MIN(1,(ATM_Conf!$C$6-Links!F115)/(ATM_Conf!$C$6-ATM_Conf!$C$7))</f>
        <v>#DIV/0!</v>
      </c>
      <c r="AV115" s="46" t="e">
        <f>BE$3*MIN(1,(ATM_Conf!$C$6-Links!G115)/(ATM_Conf!$C$6-ATM_Conf!$C$7))</f>
        <v>#DIV/0!</v>
      </c>
      <c r="AW115" s="46" t="e">
        <f>BF$3*MIN(1,(ATM_Conf!$C$6-Links!H115)/(ATM_Conf!$C$6-ATM_Conf!$C$7))</f>
        <v>#DIV/0!</v>
      </c>
      <c r="AX115" s="46" t="e">
        <f>BG$3*MIN(1,(ATM_Conf!$C$6-Links!I115)/(ATM_Conf!$C$6-ATM_Conf!$C$7))</f>
        <v>#DIV/0!</v>
      </c>
      <c r="AY115" s="46" t="e">
        <f>BH$3*MIN(1,(ATM_Conf!$C$6-Links!J115)/(ATM_Conf!$C$6-ATM_Conf!$C$7))</f>
        <v>#DIV/0!</v>
      </c>
      <c r="AZ115" s="46" t="e">
        <f>BI$3*MIN(1,(ATM_Conf!$C$6-Links!K115)/(ATM_Conf!$C$6-ATM_Conf!$C$7))</f>
        <v>#DIV/0!</v>
      </c>
      <c r="BA115" s="46" t="e">
        <f>BJ$3*MIN(1,(ATM_Conf!$C$6-Links!L115)/(ATM_Conf!$C$6-ATM_Conf!$C$7))</f>
        <v>#DIV/0!</v>
      </c>
      <c r="BB115" s="46" t="e">
        <f>BK$3*MIN(1,(ATM_Conf!$C$6-Links!M115)/(ATM_Conf!$C$6-ATM_Conf!$C$7))</f>
        <v>#DIV/0!</v>
      </c>
      <c r="BC115" s="46" t="e">
        <f>BL$3*MIN(1,(ATM_Conf!$C$6-Links!N115)/(ATM_Conf!$C$6-ATM_Conf!$C$7))</f>
        <v>#DIV/0!</v>
      </c>
      <c r="BD115" s="46"/>
      <c r="BE115" s="46"/>
      <c r="BF115" s="46"/>
      <c r="BG115" s="46"/>
      <c r="BH115" s="46"/>
      <c r="BI115" s="46"/>
      <c r="BJ115" s="46"/>
      <c r="BK115" s="46"/>
      <c r="BL115" s="46"/>
      <c r="BM115" s="54"/>
      <c r="BN115" s="54"/>
      <c r="BO115" s="54"/>
      <c r="BP115" s="54"/>
      <c r="BQ115" s="54"/>
      <c r="BR115" s="54"/>
      <c r="BS115" s="54"/>
      <c r="BT115" s="54"/>
      <c r="BU115" s="54"/>
      <c r="BV115" s="46" t="e">
        <f t="shared" si="56"/>
        <v>#DIV/0!</v>
      </c>
      <c r="BW115" s="46" t="e">
        <f t="shared" si="57"/>
        <v>#DIV/0!</v>
      </c>
      <c r="BX115" s="46" t="e">
        <f t="shared" si="58"/>
        <v>#DIV/0!</v>
      </c>
      <c r="BY115" s="46" t="e">
        <f t="shared" si="59"/>
        <v>#DIV/0!</v>
      </c>
      <c r="BZ115" s="46" t="e">
        <f t="shared" si="60"/>
        <v>#DIV/0!</v>
      </c>
      <c r="CA115" s="46" t="e">
        <f t="shared" si="61"/>
        <v>#DIV/0!</v>
      </c>
      <c r="CB115" s="46" t="e">
        <f t="shared" si="62"/>
        <v>#DIV/0!</v>
      </c>
      <c r="CC115" s="46" t="e">
        <f t="shared" si="63"/>
        <v>#DIV/0!</v>
      </c>
      <c r="CD115" s="46" t="e">
        <f t="shared" si="64"/>
        <v>#DIV/0!</v>
      </c>
      <c r="CE115" s="56" t="e">
        <f t="shared" si="65"/>
        <v>#DIV/0!</v>
      </c>
      <c r="CF115" s="56" t="e">
        <f t="shared" si="66"/>
        <v>#DIV/0!</v>
      </c>
      <c r="CG115" s="56" t="e">
        <f t="shared" si="67"/>
        <v>#DIV/0!</v>
      </c>
      <c r="CH115" s="56" t="e">
        <f t="shared" si="68"/>
        <v>#DIV/0!</v>
      </c>
      <c r="CI115" s="56" t="e">
        <f t="shared" si="69"/>
        <v>#DIV/0!</v>
      </c>
      <c r="CJ115" s="56" t="e">
        <f t="shared" si="70"/>
        <v>#DIV/0!</v>
      </c>
      <c r="CK115" s="56" t="e">
        <f t="shared" si="71"/>
        <v>#DIV/0!</v>
      </c>
      <c r="CL115" s="56" t="e">
        <f t="shared" si="72"/>
        <v>#DIV/0!</v>
      </c>
      <c r="CM115" s="56" t="e">
        <f t="shared" si="73"/>
        <v>#DIV/0!</v>
      </c>
    </row>
    <row r="116" spans="1:91" x14ac:dyDescent="0.15">
      <c r="A116" s="43">
        <v>114</v>
      </c>
      <c r="B116" s="46">
        <f t="shared" si="85"/>
        <v>1</v>
      </c>
      <c r="C116" s="46">
        <f t="shared" si="84"/>
        <v>1</v>
      </c>
      <c r="D116" s="46">
        <f t="shared" si="84"/>
        <v>1</v>
      </c>
      <c r="E116" s="46">
        <f t="shared" si="84"/>
        <v>1</v>
      </c>
      <c r="F116" s="46">
        <f t="shared" si="84"/>
        <v>1</v>
      </c>
      <c r="G116" s="46">
        <f t="shared" si="84"/>
        <v>1</v>
      </c>
      <c r="H116" s="46">
        <f t="shared" si="84"/>
        <v>1</v>
      </c>
      <c r="I116" s="46">
        <f t="shared" si="84"/>
        <v>1</v>
      </c>
      <c r="J116" s="46">
        <f t="shared" si="84"/>
        <v>1</v>
      </c>
      <c r="K116" s="46" t="e">
        <f>K115+ATM_Conf!$C$5*(T115-AC115)</f>
        <v>#DIV/0!</v>
      </c>
      <c r="L116" s="46" t="e">
        <f>L115+ATM_Conf!$C$5*(U115-AD115)</f>
        <v>#DIV/0!</v>
      </c>
      <c r="M116" s="46" t="e">
        <f>M115+ATM_Conf!$C$5*(V115-AE115)</f>
        <v>#DIV/0!</v>
      </c>
      <c r="N116" s="46" t="e">
        <f>N115+ATM_Conf!$C$5*(W115-AF115)</f>
        <v>#DIV/0!</v>
      </c>
      <c r="O116" s="46" t="e">
        <f>O115+ATM_Conf!$C$5*(X115-AG115)</f>
        <v>#DIV/0!</v>
      </c>
      <c r="P116" s="46" t="e">
        <f>P115+ATM_Conf!$C$5*(Y115-AH115)</f>
        <v>#DIV/0!</v>
      </c>
      <c r="Q116" s="46" t="e">
        <f>Q115+ATM_Conf!$C$5*(Z115-AI115)</f>
        <v>#DIV/0!</v>
      </c>
      <c r="R116" s="46" t="e">
        <f>R115+ATM_Conf!$C$5*(AA115-AJ115)</f>
        <v>#DIV/0!</v>
      </c>
      <c r="S116" s="46" t="e">
        <f>S115+ATM_Conf!$C$5*(AB115-AK115)</f>
        <v>#DIV/0!</v>
      </c>
      <c r="T116" s="46"/>
      <c r="U116" s="46"/>
      <c r="V116" s="46"/>
      <c r="W116" s="46"/>
      <c r="X116" s="46"/>
      <c r="Y116" s="46"/>
      <c r="Z116" s="46"/>
      <c r="AA116" s="46"/>
      <c r="AB116" s="46"/>
      <c r="AC116" s="46" t="e">
        <f t="shared" si="47"/>
        <v>#DIV/0!</v>
      </c>
      <c r="AD116" s="46" t="e">
        <f t="shared" si="48"/>
        <v>#DIV/0!</v>
      </c>
      <c r="AE116" s="46" t="e">
        <f t="shared" si="49"/>
        <v>#DIV/0!</v>
      </c>
      <c r="AF116" s="46" t="e">
        <f t="shared" si="50"/>
        <v>#DIV/0!</v>
      </c>
      <c r="AG116" s="46" t="e">
        <f t="shared" si="51"/>
        <v>#DIV/0!</v>
      </c>
      <c r="AH116" s="46" t="e">
        <f t="shared" si="52"/>
        <v>#DIV/0!</v>
      </c>
      <c r="AI116" s="46" t="e">
        <f t="shared" si="53"/>
        <v>#DIV/0!</v>
      </c>
      <c r="AJ116" s="46" t="e">
        <f t="shared" si="54"/>
        <v>#DIV/0!</v>
      </c>
      <c r="AK116" s="46" t="e">
        <f t="shared" si="55"/>
        <v>#DIV/0!</v>
      </c>
      <c r="AL116" s="46" t="e">
        <f>T$3+K116/ATM_Conf!$C$5</f>
        <v>#DIV/0!</v>
      </c>
      <c r="AM116" s="46" t="e">
        <f>U$3+L116/ATM_Conf!$C$5</f>
        <v>#DIV/0!</v>
      </c>
      <c r="AN116" s="46" t="e">
        <f>V$3+M116/ATM_Conf!$C$5</f>
        <v>#DIV/0!</v>
      </c>
      <c r="AO116" s="46" t="e">
        <f>W$3+N116/ATM_Conf!$C$5</f>
        <v>#DIV/0!</v>
      </c>
      <c r="AP116" s="46" t="e">
        <f>X$3+O116/ATM_Conf!$C$5</f>
        <v>#DIV/0!</v>
      </c>
      <c r="AQ116" s="46" t="e">
        <f>Y$3+P116/ATM_Conf!$C$5</f>
        <v>#DIV/0!</v>
      </c>
      <c r="AR116" s="46" t="e">
        <f>Z$3+Q116/ATM_Conf!$C$5</f>
        <v>#DIV/0!</v>
      </c>
      <c r="AS116" s="46" t="e">
        <f>AA$3+R116/ATM_Conf!$C$5</f>
        <v>#DIV/0!</v>
      </c>
      <c r="AT116" s="46" t="e">
        <f>AB$3+S116/ATM_Conf!$C$5</f>
        <v>#DIV/0!</v>
      </c>
      <c r="AU116" s="46" t="e">
        <f>BD$3*MIN(1,(ATM_Conf!$C$6-Links!F116)/(ATM_Conf!$C$6-ATM_Conf!$C$7))</f>
        <v>#DIV/0!</v>
      </c>
      <c r="AV116" s="46" t="e">
        <f>BE$3*MIN(1,(ATM_Conf!$C$6-Links!G116)/(ATM_Conf!$C$6-ATM_Conf!$C$7))</f>
        <v>#DIV/0!</v>
      </c>
      <c r="AW116" s="46" t="e">
        <f>BF$3*MIN(1,(ATM_Conf!$C$6-Links!H116)/(ATM_Conf!$C$6-ATM_Conf!$C$7))</f>
        <v>#DIV/0!</v>
      </c>
      <c r="AX116" s="46" t="e">
        <f>BG$3*MIN(1,(ATM_Conf!$C$6-Links!I116)/(ATM_Conf!$C$6-ATM_Conf!$C$7))</f>
        <v>#DIV/0!</v>
      </c>
      <c r="AY116" s="46" t="e">
        <f>BH$3*MIN(1,(ATM_Conf!$C$6-Links!J116)/(ATM_Conf!$C$6-ATM_Conf!$C$7))</f>
        <v>#DIV/0!</v>
      </c>
      <c r="AZ116" s="46" t="e">
        <f>BI$3*MIN(1,(ATM_Conf!$C$6-Links!K116)/(ATM_Conf!$C$6-ATM_Conf!$C$7))</f>
        <v>#DIV/0!</v>
      </c>
      <c r="BA116" s="46" t="e">
        <f>BJ$3*MIN(1,(ATM_Conf!$C$6-Links!L116)/(ATM_Conf!$C$6-ATM_Conf!$C$7))</f>
        <v>#DIV/0!</v>
      </c>
      <c r="BB116" s="46" t="e">
        <f>BK$3*MIN(1,(ATM_Conf!$C$6-Links!M116)/(ATM_Conf!$C$6-ATM_Conf!$C$7))</f>
        <v>#DIV/0!</v>
      </c>
      <c r="BC116" s="46" t="e">
        <f>BL$3*MIN(1,(ATM_Conf!$C$6-Links!N116)/(ATM_Conf!$C$6-ATM_Conf!$C$7))</f>
        <v>#DIV/0!</v>
      </c>
      <c r="BD116" s="46"/>
      <c r="BE116" s="46"/>
      <c r="BF116" s="46"/>
      <c r="BG116" s="46"/>
      <c r="BH116" s="46"/>
      <c r="BI116" s="46"/>
      <c r="BJ116" s="46"/>
      <c r="BK116" s="46"/>
      <c r="BL116" s="46"/>
      <c r="BM116" s="54"/>
      <c r="BN116" s="54"/>
      <c r="BO116" s="54"/>
      <c r="BP116" s="54"/>
      <c r="BQ116" s="54"/>
      <c r="BR116" s="54"/>
      <c r="BS116" s="54"/>
      <c r="BT116" s="54"/>
      <c r="BU116" s="54"/>
      <c r="BV116" s="46" t="e">
        <f t="shared" si="56"/>
        <v>#DIV/0!</v>
      </c>
      <c r="BW116" s="46" t="e">
        <f t="shared" si="57"/>
        <v>#DIV/0!</v>
      </c>
      <c r="BX116" s="46" t="e">
        <f t="shared" si="58"/>
        <v>#DIV/0!</v>
      </c>
      <c r="BY116" s="46" t="e">
        <f t="shared" si="59"/>
        <v>#DIV/0!</v>
      </c>
      <c r="BZ116" s="46" t="e">
        <f t="shared" si="60"/>
        <v>#DIV/0!</v>
      </c>
      <c r="CA116" s="46" t="e">
        <f t="shared" si="61"/>
        <v>#DIV/0!</v>
      </c>
      <c r="CB116" s="46" t="e">
        <f t="shared" si="62"/>
        <v>#DIV/0!</v>
      </c>
      <c r="CC116" s="46" t="e">
        <f t="shared" si="63"/>
        <v>#DIV/0!</v>
      </c>
      <c r="CD116" s="46" t="e">
        <f t="shared" si="64"/>
        <v>#DIV/0!</v>
      </c>
      <c r="CE116" s="56" t="e">
        <f t="shared" si="65"/>
        <v>#DIV/0!</v>
      </c>
      <c r="CF116" s="56" t="e">
        <f t="shared" si="66"/>
        <v>#DIV/0!</v>
      </c>
      <c r="CG116" s="56" t="e">
        <f t="shared" si="67"/>
        <v>#DIV/0!</v>
      </c>
      <c r="CH116" s="56" t="e">
        <f t="shared" si="68"/>
        <v>#DIV/0!</v>
      </c>
      <c r="CI116" s="56" t="e">
        <f t="shared" si="69"/>
        <v>#DIV/0!</v>
      </c>
      <c r="CJ116" s="56" t="e">
        <f t="shared" si="70"/>
        <v>#DIV/0!</v>
      </c>
      <c r="CK116" s="56" t="e">
        <f t="shared" si="71"/>
        <v>#DIV/0!</v>
      </c>
      <c r="CL116" s="56" t="e">
        <f t="shared" si="72"/>
        <v>#DIV/0!</v>
      </c>
      <c r="CM116" s="56" t="e">
        <f t="shared" si="73"/>
        <v>#DIV/0!</v>
      </c>
    </row>
    <row r="117" spans="1:91" x14ac:dyDescent="0.15">
      <c r="A117" s="43">
        <v>115</v>
      </c>
      <c r="B117" s="46">
        <f t="shared" si="85"/>
        <v>1</v>
      </c>
      <c r="C117" s="46">
        <f t="shared" si="84"/>
        <v>1</v>
      </c>
      <c r="D117" s="46">
        <f t="shared" si="84"/>
        <v>1</v>
      </c>
      <c r="E117" s="46">
        <f t="shared" si="84"/>
        <v>1</v>
      </c>
      <c r="F117" s="46">
        <f t="shared" si="84"/>
        <v>1</v>
      </c>
      <c r="G117" s="46">
        <f t="shared" si="84"/>
        <v>1</v>
      </c>
      <c r="H117" s="46">
        <f t="shared" si="84"/>
        <v>1</v>
      </c>
      <c r="I117" s="46">
        <f t="shared" si="84"/>
        <v>1</v>
      </c>
      <c r="J117" s="46">
        <f t="shared" si="84"/>
        <v>1</v>
      </c>
      <c r="K117" s="46" t="e">
        <f>K116+ATM_Conf!$C$5*(T116-AC116)</f>
        <v>#DIV/0!</v>
      </c>
      <c r="L117" s="46" t="e">
        <f>L116+ATM_Conf!$C$5*(U116-AD116)</f>
        <v>#DIV/0!</v>
      </c>
      <c r="M117" s="46" t="e">
        <f>M116+ATM_Conf!$C$5*(V116-AE116)</f>
        <v>#DIV/0!</v>
      </c>
      <c r="N117" s="46" t="e">
        <f>N116+ATM_Conf!$C$5*(W116-AF116)</f>
        <v>#DIV/0!</v>
      </c>
      <c r="O117" s="46" t="e">
        <f>O116+ATM_Conf!$C$5*(X116-AG116)</f>
        <v>#DIV/0!</v>
      </c>
      <c r="P117" s="46" t="e">
        <f>P116+ATM_Conf!$C$5*(Y116-AH116)</f>
        <v>#DIV/0!</v>
      </c>
      <c r="Q117" s="46" t="e">
        <f>Q116+ATM_Conf!$C$5*(Z116-AI116)</f>
        <v>#DIV/0!</v>
      </c>
      <c r="R117" s="46" t="e">
        <f>R116+ATM_Conf!$C$5*(AA116-AJ116)</f>
        <v>#DIV/0!</v>
      </c>
      <c r="S117" s="46" t="e">
        <f>S116+ATM_Conf!$C$5*(AB116-AK116)</f>
        <v>#DIV/0!</v>
      </c>
      <c r="T117" s="46"/>
      <c r="U117" s="46"/>
      <c r="V117" s="46"/>
      <c r="W117" s="46"/>
      <c r="X117" s="46"/>
      <c r="Y117" s="46"/>
      <c r="Z117" s="46"/>
      <c r="AA117" s="46"/>
      <c r="AB117" s="46"/>
      <c r="AC117" s="46" t="e">
        <f t="shared" si="47"/>
        <v>#DIV/0!</v>
      </c>
      <c r="AD117" s="46" t="e">
        <f t="shared" si="48"/>
        <v>#DIV/0!</v>
      </c>
      <c r="AE117" s="46" t="e">
        <f t="shared" si="49"/>
        <v>#DIV/0!</v>
      </c>
      <c r="AF117" s="46" t="e">
        <f t="shared" si="50"/>
        <v>#DIV/0!</v>
      </c>
      <c r="AG117" s="46" t="e">
        <f t="shared" si="51"/>
        <v>#DIV/0!</v>
      </c>
      <c r="AH117" s="46" t="e">
        <f t="shared" si="52"/>
        <v>#DIV/0!</v>
      </c>
      <c r="AI117" s="46" t="e">
        <f t="shared" si="53"/>
        <v>#DIV/0!</v>
      </c>
      <c r="AJ117" s="46" t="e">
        <f t="shared" si="54"/>
        <v>#DIV/0!</v>
      </c>
      <c r="AK117" s="46" t="e">
        <f t="shared" si="55"/>
        <v>#DIV/0!</v>
      </c>
      <c r="AL117" s="46" t="e">
        <f>T$3+K117/ATM_Conf!$C$5</f>
        <v>#DIV/0!</v>
      </c>
      <c r="AM117" s="46" t="e">
        <f>U$3+L117/ATM_Conf!$C$5</f>
        <v>#DIV/0!</v>
      </c>
      <c r="AN117" s="46" t="e">
        <f>V$3+M117/ATM_Conf!$C$5</f>
        <v>#DIV/0!</v>
      </c>
      <c r="AO117" s="46" t="e">
        <f>W$3+N117/ATM_Conf!$C$5</f>
        <v>#DIV/0!</v>
      </c>
      <c r="AP117" s="46" t="e">
        <f>X$3+O117/ATM_Conf!$C$5</f>
        <v>#DIV/0!</v>
      </c>
      <c r="AQ117" s="46" t="e">
        <f>Y$3+P117/ATM_Conf!$C$5</f>
        <v>#DIV/0!</v>
      </c>
      <c r="AR117" s="46" t="e">
        <f>Z$3+Q117/ATM_Conf!$C$5</f>
        <v>#DIV/0!</v>
      </c>
      <c r="AS117" s="46" t="e">
        <f>AA$3+R117/ATM_Conf!$C$5</f>
        <v>#DIV/0!</v>
      </c>
      <c r="AT117" s="46" t="e">
        <f>AB$3+S117/ATM_Conf!$C$5</f>
        <v>#DIV/0!</v>
      </c>
      <c r="AU117" s="46" t="e">
        <f>BD$3*MIN(1,(ATM_Conf!$C$6-Links!F117)/(ATM_Conf!$C$6-ATM_Conf!$C$7))</f>
        <v>#DIV/0!</v>
      </c>
      <c r="AV117" s="46" t="e">
        <f>BE$3*MIN(1,(ATM_Conf!$C$6-Links!G117)/(ATM_Conf!$C$6-ATM_Conf!$C$7))</f>
        <v>#DIV/0!</v>
      </c>
      <c r="AW117" s="46" t="e">
        <f>BF$3*MIN(1,(ATM_Conf!$C$6-Links!H117)/(ATM_Conf!$C$6-ATM_Conf!$C$7))</f>
        <v>#DIV/0!</v>
      </c>
      <c r="AX117" s="46" t="e">
        <f>BG$3*MIN(1,(ATM_Conf!$C$6-Links!I117)/(ATM_Conf!$C$6-ATM_Conf!$C$7))</f>
        <v>#DIV/0!</v>
      </c>
      <c r="AY117" s="46" t="e">
        <f>BH$3*MIN(1,(ATM_Conf!$C$6-Links!J117)/(ATM_Conf!$C$6-ATM_Conf!$C$7))</f>
        <v>#DIV/0!</v>
      </c>
      <c r="AZ117" s="46" t="e">
        <f>BI$3*MIN(1,(ATM_Conf!$C$6-Links!K117)/(ATM_Conf!$C$6-ATM_Conf!$C$7))</f>
        <v>#DIV/0!</v>
      </c>
      <c r="BA117" s="46" t="e">
        <f>BJ$3*MIN(1,(ATM_Conf!$C$6-Links!L117)/(ATM_Conf!$C$6-ATM_Conf!$C$7))</f>
        <v>#DIV/0!</v>
      </c>
      <c r="BB117" s="46" t="e">
        <f>BK$3*MIN(1,(ATM_Conf!$C$6-Links!M117)/(ATM_Conf!$C$6-ATM_Conf!$C$7))</f>
        <v>#DIV/0!</v>
      </c>
      <c r="BC117" s="46" t="e">
        <f>BL$3*MIN(1,(ATM_Conf!$C$6-Links!N117)/(ATM_Conf!$C$6-ATM_Conf!$C$7))</f>
        <v>#DIV/0!</v>
      </c>
      <c r="BD117" s="46"/>
      <c r="BE117" s="46"/>
      <c r="BF117" s="46"/>
      <c r="BG117" s="46"/>
      <c r="BH117" s="46"/>
      <c r="BI117" s="46"/>
      <c r="BJ117" s="46"/>
      <c r="BK117" s="46"/>
      <c r="BL117" s="46"/>
      <c r="BM117" s="54"/>
      <c r="BN117" s="54"/>
      <c r="BO117" s="54"/>
      <c r="BP117" s="54"/>
      <c r="BQ117" s="54"/>
      <c r="BR117" s="54"/>
      <c r="BS117" s="54"/>
      <c r="BT117" s="54"/>
      <c r="BU117" s="54"/>
      <c r="BV117" s="46" t="e">
        <f t="shared" si="56"/>
        <v>#DIV/0!</v>
      </c>
      <c r="BW117" s="46" t="e">
        <f t="shared" si="57"/>
        <v>#DIV/0!</v>
      </c>
      <c r="BX117" s="46" t="e">
        <f t="shared" si="58"/>
        <v>#DIV/0!</v>
      </c>
      <c r="BY117" s="46" t="e">
        <f t="shared" si="59"/>
        <v>#DIV/0!</v>
      </c>
      <c r="BZ117" s="46" t="e">
        <f t="shared" si="60"/>
        <v>#DIV/0!</v>
      </c>
      <c r="CA117" s="46" t="e">
        <f t="shared" si="61"/>
        <v>#DIV/0!</v>
      </c>
      <c r="CB117" s="46" t="e">
        <f t="shared" si="62"/>
        <v>#DIV/0!</v>
      </c>
      <c r="CC117" s="46" t="e">
        <f t="shared" si="63"/>
        <v>#DIV/0!</v>
      </c>
      <c r="CD117" s="46" t="e">
        <f t="shared" si="64"/>
        <v>#DIV/0!</v>
      </c>
      <c r="CE117" s="56" t="e">
        <f t="shared" si="65"/>
        <v>#DIV/0!</v>
      </c>
      <c r="CF117" s="56" t="e">
        <f t="shared" si="66"/>
        <v>#DIV/0!</v>
      </c>
      <c r="CG117" s="56" t="e">
        <f t="shared" si="67"/>
        <v>#DIV/0!</v>
      </c>
      <c r="CH117" s="56" t="e">
        <f t="shared" si="68"/>
        <v>#DIV/0!</v>
      </c>
      <c r="CI117" s="56" t="e">
        <f t="shared" si="69"/>
        <v>#DIV/0!</v>
      </c>
      <c r="CJ117" s="56" t="e">
        <f t="shared" si="70"/>
        <v>#DIV/0!</v>
      </c>
      <c r="CK117" s="56" t="e">
        <f t="shared" si="71"/>
        <v>#DIV/0!</v>
      </c>
      <c r="CL117" s="56" t="e">
        <f t="shared" si="72"/>
        <v>#DIV/0!</v>
      </c>
      <c r="CM117" s="56" t="e">
        <f t="shared" si="73"/>
        <v>#DIV/0!</v>
      </c>
    </row>
    <row r="118" spans="1:91" x14ac:dyDescent="0.15">
      <c r="A118" s="43">
        <v>116</v>
      </c>
      <c r="B118" s="46">
        <f t="shared" si="85"/>
        <v>1</v>
      </c>
      <c r="C118" s="46">
        <f t="shared" si="84"/>
        <v>1</v>
      </c>
      <c r="D118" s="46">
        <f t="shared" si="84"/>
        <v>1</v>
      </c>
      <c r="E118" s="46">
        <f t="shared" si="84"/>
        <v>1</v>
      </c>
      <c r="F118" s="46">
        <f t="shared" si="84"/>
        <v>1</v>
      </c>
      <c r="G118" s="46">
        <f t="shared" si="84"/>
        <v>1</v>
      </c>
      <c r="H118" s="46">
        <f t="shared" si="84"/>
        <v>1</v>
      </c>
      <c r="I118" s="46">
        <f t="shared" si="84"/>
        <v>1</v>
      </c>
      <c r="J118" s="46">
        <f t="shared" si="84"/>
        <v>1</v>
      </c>
      <c r="K118" s="46" t="e">
        <f>K117+ATM_Conf!$C$5*(T117-AC117)</f>
        <v>#DIV/0!</v>
      </c>
      <c r="L118" s="46" t="e">
        <f>L117+ATM_Conf!$C$5*(U117-AD117)</f>
        <v>#DIV/0!</v>
      </c>
      <c r="M118" s="46" t="e">
        <f>M117+ATM_Conf!$C$5*(V117-AE117)</f>
        <v>#DIV/0!</v>
      </c>
      <c r="N118" s="46" t="e">
        <f>N117+ATM_Conf!$C$5*(W117-AF117)</f>
        <v>#DIV/0!</v>
      </c>
      <c r="O118" s="46" t="e">
        <f>O117+ATM_Conf!$C$5*(X117-AG117)</f>
        <v>#DIV/0!</v>
      </c>
      <c r="P118" s="46" t="e">
        <f>P117+ATM_Conf!$C$5*(Y117-AH117)</f>
        <v>#DIV/0!</v>
      </c>
      <c r="Q118" s="46" t="e">
        <f>Q117+ATM_Conf!$C$5*(Z117-AI117)</f>
        <v>#DIV/0!</v>
      </c>
      <c r="R118" s="46" t="e">
        <f>R117+ATM_Conf!$C$5*(AA117-AJ117)</f>
        <v>#DIV/0!</v>
      </c>
      <c r="S118" s="46" t="e">
        <f>S117+ATM_Conf!$C$5*(AB117-AK117)</f>
        <v>#DIV/0!</v>
      </c>
      <c r="T118" s="46"/>
      <c r="U118" s="46"/>
      <c r="V118" s="46"/>
      <c r="W118" s="46"/>
      <c r="X118" s="46"/>
      <c r="Y118" s="46"/>
      <c r="Z118" s="46"/>
      <c r="AA118" s="46"/>
      <c r="AB118" s="46"/>
      <c r="AC118" s="46" t="e">
        <f t="shared" si="47"/>
        <v>#DIV/0!</v>
      </c>
      <c r="AD118" s="46" t="e">
        <f t="shared" si="48"/>
        <v>#DIV/0!</v>
      </c>
      <c r="AE118" s="46" t="e">
        <f t="shared" si="49"/>
        <v>#DIV/0!</v>
      </c>
      <c r="AF118" s="46" t="e">
        <f t="shared" si="50"/>
        <v>#DIV/0!</v>
      </c>
      <c r="AG118" s="46" t="e">
        <f t="shared" si="51"/>
        <v>#DIV/0!</v>
      </c>
      <c r="AH118" s="46" t="e">
        <f t="shared" si="52"/>
        <v>#DIV/0!</v>
      </c>
      <c r="AI118" s="46" t="e">
        <f t="shared" si="53"/>
        <v>#DIV/0!</v>
      </c>
      <c r="AJ118" s="46" t="e">
        <f t="shared" si="54"/>
        <v>#DIV/0!</v>
      </c>
      <c r="AK118" s="46" t="e">
        <f t="shared" si="55"/>
        <v>#DIV/0!</v>
      </c>
      <c r="AL118" s="46" t="e">
        <f>T$3+K118/ATM_Conf!$C$5</f>
        <v>#DIV/0!</v>
      </c>
      <c r="AM118" s="46" t="e">
        <f>U$3+L118/ATM_Conf!$C$5</f>
        <v>#DIV/0!</v>
      </c>
      <c r="AN118" s="46" t="e">
        <f>V$3+M118/ATM_Conf!$C$5</f>
        <v>#DIV/0!</v>
      </c>
      <c r="AO118" s="46" t="e">
        <f>W$3+N118/ATM_Conf!$C$5</f>
        <v>#DIV/0!</v>
      </c>
      <c r="AP118" s="46" t="e">
        <f>X$3+O118/ATM_Conf!$C$5</f>
        <v>#DIV/0!</v>
      </c>
      <c r="AQ118" s="46" t="e">
        <f>Y$3+P118/ATM_Conf!$C$5</f>
        <v>#DIV/0!</v>
      </c>
      <c r="AR118" s="46" t="e">
        <f>Z$3+Q118/ATM_Conf!$C$5</f>
        <v>#DIV/0!</v>
      </c>
      <c r="AS118" s="46" t="e">
        <f>AA$3+R118/ATM_Conf!$C$5</f>
        <v>#DIV/0!</v>
      </c>
      <c r="AT118" s="46" t="e">
        <f>AB$3+S118/ATM_Conf!$C$5</f>
        <v>#DIV/0!</v>
      </c>
      <c r="AU118" s="46" t="e">
        <f>BD$3*MIN(1,(ATM_Conf!$C$6-Links!F118)/(ATM_Conf!$C$6-ATM_Conf!$C$7))</f>
        <v>#DIV/0!</v>
      </c>
      <c r="AV118" s="46" t="e">
        <f>BE$3*MIN(1,(ATM_Conf!$C$6-Links!G118)/(ATM_Conf!$C$6-ATM_Conf!$C$7))</f>
        <v>#DIV/0!</v>
      </c>
      <c r="AW118" s="46" t="e">
        <f>BF$3*MIN(1,(ATM_Conf!$C$6-Links!H118)/(ATM_Conf!$C$6-ATM_Conf!$C$7))</f>
        <v>#DIV/0!</v>
      </c>
      <c r="AX118" s="46" t="e">
        <f>BG$3*MIN(1,(ATM_Conf!$C$6-Links!I118)/(ATM_Conf!$C$6-ATM_Conf!$C$7))</f>
        <v>#DIV/0!</v>
      </c>
      <c r="AY118" s="46" t="e">
        <f>BH$3*MIN(1,(ATM_Conf!$C$6-Links!J118)/(ATM_Conf!$C$6-ATM_Conf!$C$7))</f>
        <v>#DIV/0!</v>
      </c>
      <c r="AZ118" s="46" t="e">
        <f>BI$3*MIN(1,(ATM_Conf!$C$6-Links!K118)/(ATM_Conf!$C$6-ATM_Conf!$C$7))</f>
        <v>#DIV/0!</v>
      </c>
      <c r="BA118" s="46" t="e">
        <f>BJ$3*MIN(1,(ATM_Conf!$C$6-Links!L118)/(ATM_Conf!$C$6-ATM_Conf!$C$7))</f>
        <v>#DIV/0!</v>
      </c>
      <c r="BB118" s="46" t="e">
        <f>BK$3*MIN(1,(ATM_Conf!$C$6-Links!M118)/(ATM_Conf!$C$6-ATM_Conf!$C$7))</f>
        <v>#DIV/0!</v>
      </c>
      <c r="BC118" s="46" t="e">
        <f>BL$3*MIN(1,(ATM_Conf!$C$6-Links!N118)/(ATM_Conf!$C$6-ATM_Conf!$C$7))</f>
        <v>#DIV/0!</v>
      </c>
      <c r="BD118" s="46"/>
      <c r="BE118" s="46"/>
      <c r="BF118" s="46"/>
      <c r="BG118" s="46"/>
      <c r="BH118" s="46"/>
      <c r="BI118" s="46"/>
      <c r="BJ118" s="46"/>
      <c r="BK118" s="46"/>
      <c r="BL118" s="46"/>
      <c r="BM118" s="54"/>
      <c r="BN118" s="54"/>
      <c r="BO118" s="54"/>
      <c r="BP118" s="54"/>
      <c r="BQ118" s="54"/>
      <c r="BR118" s="54"/>
      <c r="BS118" s="54"/>
      <c r="BT118" s="54"/>
      <c r="BU118" s="54"/>
      <c r="BV118" s="46" t="e">
        <f t="shared" si="56"/>
        <v>#DIV/0!</v>
      </c>
      <c r="BW118" s="46" t="e">
        <f t="shared" si="57"/>
        <v>#DIV/0!</v>
      </c>
      <c r="BX118" s="46" t="e">
        <f t="shared" si="58"/>
        <v>#DIV/0!</v>
      </c>
      <c r="BY118" s="46" t="e">
        <f t="shared" si="59"/>
        <v>#DIV/0!</v>
      </c>
      <c r="BZ118" s="46" t="e">
        <f t="shared" si="60"/>
        <v>#DIV/0!</v>
      </c>
      <c r="CA118" s="46" t="e">
        <f t="shared" si="61"/>
        <v>#DIV/0!</v>
      </c>
      <c r="CB118" s="46" t="e">
        <f t="shared" si="62"/>
        <v>#DIV/0!</v>
      </c>
      <c r="CC118" s="46" t="e">
        <f t="shared" si="63"/>
        <v>#DIV/0!</v>
      </c>
      <c r="CD118" s="46" t="e">
        <f t="shared" si="64"/>
        <v>#DIV/0!</v>
      </c>
      <c r="CE118" s="56" t="e">
        <f t="shared" si="65"/>
        <v>#DIV/0!</v>
      </c>
      <c r="CF118" s="56" t="e">
        <f t="shared" si="66"/>
        <v>#DIV/0!</v>
      </c>
      <c r="CG118" s="56" t="e">
        <f t="shared" si="67"/>
        <v>#DIV/0!</v>
      </c>
      <c r="CH118" s="56" t="e">
        <f t="shared" si="68"/>
        <v>#DIV/0!</v>
      </c>
      <c r="CI118" s="56" t="e">
        <f t="shared" si="69"/>
        <v>#DIV/0!</v>
      </c>
      <c r="CJ118" s="56" t="e">
        <f t="shared" si="70"/>
        <v>#DIV/0!</v>
      </c>
      <c r="CK118" s="56" t="e">
        <f t="shared" si="71"/>
        <v>#DIV/0!</v>
      </c>
      <c r="CL118" s="56" t="e">
        <f t="shared" si="72"/>
        <v>#DIV/0!</v>
      </c>
      <c r="CM118" s="56" t="e">
        <f t="shared" si="73"/>
        <v>#DIV/0!</v>
      </c>
    </row>
    <row r="119" spans="1:91" x14ac:dyDescent="0.15">
      <c r="A119" s="43">
        <v>117</v>
      </c>
      <c r="B119" s="46">
        <f t="shared" si="85"/>
        <v>1</v>
      </c>
      <c r="C119" s="46">
        <f t="shared" si="84"/>
        <v>1</v>
      </c>
      <c r="D119" s="46">
        <f t="shared" si="84"/>
        <v>1</v>
      </c>
      <c r="E119" s="46">
        <f t="shared" si="84"/>
        <v>1</v>
      </c>
      <c r="F119" s="46">
        <f t="shared" si="84"/>
        <v>1</v>
      </c>
      <c r="G119" s="46">
        <f t="shared" si="84"/>
        <v>1</v>
      </c>
      <c r="H119" s="46">
        <f t="shared" si="84"/>
        <v>1</v>
      </c>
      <c r="I119" s="46">
        <f t="shared" si="84"/>
        <v>1</v>
      </c>
      <c r="J119" s="46">
        <f t="shared" si="84"/>
        <v>1</v>
      </c>
      <c r="K119" s="46" t="e">
        <f>K118+ATM_Conf!$C$5*(T118-AC118)</f>
        <v>#DIV/0!</v>
      </c>
      <c r="L119" s="46" t="e">
        <f>L118+ATM_Conf!$C$5*(U118-AD118)</f>
        <v>#DIV/0!</v>
      </c>
      <c r="M119" s="46" t="e">
        <f>M118+ATM_Conf!$C$5*(V118-AE118)</f>
        <v>#DIV/0!</v>
      </c>
      <c r="N119" s="46" t="e">
        <f>N118+ATM_Conf!$C$5*(W118-AF118)</f>
        <v>#DIV/0!</v>
      </c>
      <c r="O119" s="46" t="e">
        <f>O118+ATM_Conf!$C$5*(X118-AG118)</f>
        <v>#DIV/0!</v>
      </c>
      <c r="P119" s="46" t="e">
        <f>P118+ATM_Conf!$C$5*(Y118-AH118)</f>
        <v>#DIV/0!</v>
      </c>
      <c r="Q119" s="46" t="e">
        <f>Q118+ATM_Conf!$C$5*(Z118-AI118)</f>
        <v>#DIV/0!</v>
      </c>
      <c r="R119" s="46" t="e">
        <f>R118+ATM_Conf!$C$5*(AA118-AJ118)</f>
        <v>#DIV/0!</v>
      </c>
      <c r="S119" s="46" t="e">
        <f>S118+ATM_Conf!$C$5*(AB118-AK118)</f>
        <v>#DIV/0!</v>
      </c>
      <c r="T119" s="46"/>
      <c r="U119" s="46"/>
      <c r="V119" s="46"/>
      <c r="W119" s="46"/>
      <c r="X119" s="46"/>
      <c r="Y119" s="46"/>
      <c r="Z119" s="46"/>
      <c r="AA119" s="46"/>
      <c r="AB119" s="46"/>
      <c r="AC119" s="46" t="e">
        <f t="shared" si="47"/>
        <v>#DIV/0!</v>
      </c>
      <c r="AD119" s="46" t="e">
        <f t="shared" si="48"/>
        <v>#DIV/0!</v>
      </c>
      <c r="AE119" s="46" t="e">
        <f t="shared" si="49"/>
        <v>#DIV/0!</v>
      </c>
      <c r="AF119" s="46" t="e">
        <f t="shared" si="50"/>
        <v>#DIV/0!</v>
      </c>
      <c r="AG119" s="46" t="e">
        <f t="shared" si="51"/>
        <v>#DIV/0!</v>
      </c>
      <c r="AH119" s="46" t="e">
        <f t="shared" si="52"/>
        <v>#DIV/0!</v>
      </c>
      <c r="AI119" s="46" t="e">
        <f t="shared" si="53"/>
        <v>#DIV/0!</v>
      </c>
      <c r="AJ119" s="46" t="e">
        <f t="shared" si="54"/>
        <v>#DIV/0!</v>
      </c>
      <c r="AK119" s="46" t="e">
        <f t="shared" si="55"/>
        <v>#DIV/0!</v>
      </c>
      <c r="AL119" s="46" t="e">
        <f>T$3+K119/ATM_Conf!$C$5</f>
        <v>#DIV/0!</v>
      </c>
      <c r="AM119" s="46" t="e">
        <f>U$3+L119/ATM_Conf!$C$5</f>
        <v>#DIV/0!</v>
      </c>
      <c r="AN119" s="46" t="e">
        <f>V$3+M119/ATM_Conf!$C$5</f>
        <v>#DIV/0!</v>
      </c>
      <c r="AO119" s="46" t="e">
        <f>W$3+N119/ATM_Conf!$C$5</f>
        <v>#DIV/0!</v>
      </c>
      <c r="AP119" s="46" t="e">
        <f>X$3+O119/ATM_Conf!$C$5</f>
        <v>#DIV/0!</v>
      </c>
      <c r="AQ119" s="46" t="e">
        <f>Y$3+P119/ATM_Conf!$C$5</f>
        <v>#DIV/0!</v>
      </c>
      <c r="AR119" s="46" t="e">
        <f>Z$3+Q119/ATM_Conf!$C$5</f>
        <v>#DIV/0!</v>
      </c>
      <c r="AS119" s="46" t="e">
        <f>AA$3+R119/ATM_Conf!$C$5</f>
        <v>#DIV/0!</v>
      </c>
      <c r="AT119" s="46" t="e">
        <f>AB$3+S119/ATM_Conf!$C$5</f>
        <v>#DIV/0!</v>
      </c>
      <c r="AU119" s="46" t="e">
        <f>BD$3*MIN(1,(ATM_Conf!$C$6-Links!F119)/(ATM_Conf!$C$6-ATM_Conf!$C$7))</f>
        <v>#DIV/0!</v>
      </c>
      <c r="AV119" s="46" t="e">
        <f>BE$3*MIN(1,(ATM_Conf!$C$6-Links!G119)/(ATM_Conf!$C$6-ATM_Conf!$C$7))</f>
        <v>#DIV/0!</v>
      </c>
      <c r="AW119" s="46" t="e">
        <f>BF$3*MIN(1,(ATM_Conf!$C$6-Links!H119)/(ATM_Conf!$C$6-ATM_Conf!$C$7))</f>
        <v>#DIV/0!</v>
      </c>
      <c r="AX119" s="46" t="e">
        <f>BG$3*MIN(1,(ATM_Conf!$C$6-Links!I119)/(ATM_Conf!$C$6-ATM_Conf!$C$7))</f>
        <v>#DIV/0!</v>
      </c>
      <c r="AY119" s="46" t="e">
        <f>BH$3*MIN(1,(ATM_Conf!$C$6-Links!J119)/(ATM_Conf!$C$6-ATM_Conf!$C$7))</f>
        <v>#DIV/0!</v>
      </c>
      <c r="AZ119" s="46" t="e">
        <f>BI$3*MIN(1,(ATM_Conf!$C$6-Links!K119)/(ATM_Conf!$C$6-ATM_Conf!$C$7))</f>
        <v>#DIV/0!</v>
      </c>
      <c r="BA119" s="46" t="e">
        <f>BJ$3*MIN(1,(ATM_Conf!$C$6-Links!L119)/(ATM_Conf!$C$6-ATM_Conf!$C$7))</f>
        <v>#DIV/0!</v>
      </c>
      <c r="BB119" s="46" t="e">
        <f>BK$3*MIN(1,(ATM_Conf!$C$6-Links!M119)/(ATM_Conf!$C$6-ATM_Conf!$C$7))</f>
        <v>#DIV/0!</v>
      </c>
      <c r="BC119" s="46" t="e">
        <f>BL$3*MIN(1,(ATM_Conf!$C$6-Links!N119)/(ATM_Conf!$C$6-ATM_Conf!$C$7))</f>
        <v>#DIV/0!</v>
      </c>
      <c r="BD119" s="46"/>
      <c r="BE119" s="46"/>
      <c r="BF119" s="46"/>
      <c r="BG119" s="46"/>
      <c r="BH119" s="46"/>
      <c r="BI119" s="46"/>
      <c r="BJ119" s="46"/>
      <c r="BK119" s="46"/>
      <c r="BL119" s="46"/>
      <c r="BM119" s="54"/>
      <c r="BN119" s="54"/>
      <c r="BO119" s="54"/>
      <c r="BP119" s="54"/>
      <c r="BQ119" s="54"/>
      <c r="BR119" s="54"/>
      <c r="BS119" s="54"/>
      <c r="BT119" s="54"/>
      <c r="BU119" s="54"/>
      <c r="BV119" s="46" t="e">
        <f t="shared" si="56"/>
        <v>#DIV/0!</v>
      </c>
      <c r="BW119" s="46" t="e">
        <f t="shared" si="57"/>
        <v>#DIV/0!</v>
      </c>
      <c r="BX119" s="46" t="e">
        <f t="shared" si="58"/>
        <v>#DIV/0!</v>
      </c>
      <c r="BY119" s="46" t="e">
        <f t="shared" si="59"/>
        <v>#DIV/0!</v>
      </c>
      <c r="BZ119" s="46" t="e">
        <f t="shared" si="60"/>
        <v>#DIV/0!</v>
      </c>
      <c r="CA119" s="46" t="e">
        <f t="shared" si="61"/>
        <v>#DIV/0!</v>
      </c>
      <c r="CB119" s="46" t="e">
        <f t="shared" si="62"/>
        <v>#DIV/0!</v>
      </c>
      <c r="CC119" s="46" t="e">
        <f t="shared" si="63"/>
        <v>#DIV/0!</v>
      </c>
      <c r="CD119" s="46" t="e">
        <f t="shared" si="64"/>
        <v>#DIV/0!</v>
      </c>
      <c r="CE119" s="56" t="e">
        <f t="shared" si="65"/>
        <v>#DIV/0!</v>
      </c>
      <c r="CF119" s="56" t="e">
        <f t="shared" si="66"/>
        <v>#DIV/0!</v>
      </c>
      <c r="CG119" s="56" t="e">
        <f t="shared" si="67"/>
        <v>#DIV/0!</v>
      </c>
      <c r="CH119" s="56" t="e">
        <f t="shared" si="68"/>
        <v>#DIV/0!</v>
      </c>
      <c r="CI119" s="56" t="e">
        <f t="shared" si="69"/>
        <v>#DIV/0!</v>
      </c>
      <c r="CJ119" s="56" t="e">
        <f t="shared" si="70"/>
        <v>#DIV/0!</v>
      </c>
      <c r="CK119" s="56" t="e">
        <f t="shared" si="71"/>
        <v>#DIV/0!</v>
      </c>
      <c r="CL119" s="56" t="e">
        <f t="shared" si="72"/>
        <v>#DIV/0!</v>
      </c>
      <c r="CM119" s="56" t="e">
        <f t="shared" si="73"/>
        <v>#DIV/0!</v>
      </c>
    </row>
    <row r="120" spans="1:91" x14ac:dyDescent="0.15">
      <c r="A120" s="43">
        <v>118</v>
      </c>
      <c r="B120" s="46">
        <f t="shared" si="85"/>
        <v>1</v>
      </c>
      <c r="C120" s="46">
        <f t="shared" si="84"/>
        <v>1</v>
      </c>
      <c r="D120" s="46">
        <f t="shared" si="84"/>
        <v>1</v>
      </c>
      <c r="E120" s="46">
        <f t="shared" si="84"/>
        <v>1</v>
      </c>
      <c r="F120" s="46">
        <f t="shared" si="84"/>
        <v>1</v>
      </c>
      <c r="G120" s="46">
        <f t="shared" si="84"/>
        <v>1</v>
      </c>
      <c r="H120" s="46">
        <f t="shared" si="84"/>
        <v>1</v>
      </c>
      <c r="I120" s="46">
        <f t="shared" si="84"/>
        <v>1</v>
      </c>
      <c r="J120" s="46">
        <f t="shared" si="84"/>
        <v>1</v>
      </c>
      <c r="K120" s="46" t="e">
        <f>K119+ATM_Conf!$C$5*(T119-AC119)</f>
        <v>#DIV/0!</v>
      </c>
      <c r="L120" s="46" t="e">
        <f>L119+ATM_Conf!$C$5*(U119-AD119)</f>
        <v>#DIV/0!</v>
      </c>
      <c r="M120" s="46" t="e">
        <f>M119+ATM_Conf!$C$5*(V119-AE119)</f>
        <v>#DIV/0!</v>
      </c>
      <c r="N120" s="46" t="e">
        <f>N119+ATM_Conf!$C$5*(W119-AF119)</f>
        <v>#DIV/0!</v>
      </c>
      <c r="O120" s="46" t="e">
        <f>O119+ATM_Conf!$C$5*(X119-AG119)</f>
        <v>#DIV/0!</v>
      </c>
      <c r="P120" s="46" t="e">
        <f>P119+ATM_Conf!$C$5*(Y119-AH119)</f>
        <v>#DIV/0!</v>
      </c>
      <c r="Q120" s="46" t="e">
        <f>Q119+ATM_Conf!$C$5*(Z119-AI119)</f>
        <v>#DIV/0!</v>
      </c>
      <c r="R120" s="46" t="e">
        <f>R119+ATM_Conf!$C$5*(AA119-AJ119)</f>
        <v>#DIV/0!</v>
      </c>
      <c r="S120" s="46" t="e">
        <f>S119+ATM_Conf!$C$5*(AB119-AK119)</f>
        <v>#DIV/0!</v>
      </c>
      <c r="T120" s="46"/>
      <c r="U120" s="46"/>
      <c r="V120" s="46"/>
      <c r="W120" s="46"/>
      <c r="X120" s="46"/>
      <c r="Y120" s="46"/>
      <c r="Z120" s="46"/>
      <c r="AA120" s="46"/>
      <c r="AB120" s="46"/>
      <c r="AC120" s="46" t="e">
        <f t="shared" si="47"/>
        <v>#DIV/0!</v>
      </c>
      <c r="AD120" s="46" t="e">
        <f t="shared" si="48"/>
        <v>#DIV/0!</v>
      </c>
      <c r="AE120" s="46" t="e">
        <f t="shared" si="49"/>
        <v>#DIV/0!</v>
      </c>
      <c r="AF120" s="46" t="e">
        <f t="shared" si="50"/>
        <v>#DIV/0!</v>
      </c>
      <c r="AG120" s="46" t="e">
        <f t="shared" si="51"/>
        <v>#DIV/0!</v>
      </c>
      <c r="AH120" s="46" t="e">
        <f t="shared" si="52"/>
        <v>#DIV/0!</v>
      </c>
      <c r="AI120" s="46" t="e">
        <f t="shared" si="53"/>
        <v>#DIV/0!</v>
      </c>
      <c r="AJ120" s="46" t="e">
        <f t="shared" si="54"/>
        <v>#DIV/0!</v>
      </c>
      <c r="AK120" s="46" t="e">
        <f t="shared" si="55"/>
        <v>#DIV/0!</v>
      </c>
      <c r="AL120" s="46" t="e">
        <f>T$3+K120/ATM_Conf!$C$5</f>
        <v>#DIV/0!</v>
      </c>
      <c r="AM120" s="46" t="e">
        <f>U$3+L120/ATM_Conf!$C$5</f>
        <v>#DIV/0!</v>
      </c>
      <c r="AN120" s="46" t="e">
        <f>V$3+M120/ATM_Conf!$C$5</f>
        <v>#DIV/0!</v>
      </c>
      <c r="AO120" s="46" t="e">
        <f>W$3+N120/ATM_Conf!$C$5</f>
        <v>#DIV/0!</v>
      </c>
      <c r="AP120" s="46" t="e">
        <f>X$3+O120/ATM_Conf!$C$5</f>
        <v>#DIV/0!</v>
      </c>
      <c r="AQ120" s="46" t="e">
        <f>Y$3+P120/ATM_Conf!$C$5</f>
        <v>#DIV/0!</v>
      </c>
      <c r="AR120" s="46" t="e">
        <f>Z$3+Q120/ATM_Conf!$C$5</f>
        <v>#DIV/0!</v>
      </c>
      <c r="AS120" s="46" t="e">
        <f>AA$3+R120/ATM_Conf!$C$5</f>
        <v>#DIV/0!</v>
      </c>
      <c r="AT120" s="46" t="e">
        <f>AB$3+S120/ATM_Conf!$C$5</f>
        <v>#DIV/0!</v>
      </c>
      <c r="AU120" s="46" t="e">
        <f>BD$3*MIN(1,(ATM_Conf!$C$6-Links!F120)/(ATM_Conf!$C$6-ATM_Conf!$C$7))</f>
        <v>#DIV/0!</v>
      </c>
      <c r="AV120" s="46" t="e">
        <f>BE$3*MIN(1,(ATM_Conf!$C$6-Links!G120)/(ATM_Conf!$C$6-ATM_Conf!$C$7))</f>
        <v>#DIV/0!</v>
      </c>
      <c r="AW120" s="46" t="e">
        <f>BF$3*MIN(1,(ATM_Conf!$C$6-Links!H120)/(ATM_Conf!$C$6-ATM_Conf!$C$7))</f>
        <v>#DIV/0!</v>
      </c>
      <c r="AX120" s="46" t="e">
        <f>BG$3*MIN(1,(ATM_Conf!$C$6-Links!I120)/(ATM_Conf!$C$6-ATM_Conf!$C$7))</f>
        <v>#DIV/0!</v>
      </c>
      <c r="AY120" s="46" t="e">
        <f>BH$3*MIN(1,(ATM_Conf!$C$6-Links!J120)/(ATM_Conf!$C$6-ATM_Conf!$C$7))</f>
        <v>#DIV/0!</v>
      </c>
      <c r="AZ120" s="46" t="e">
        <f>BI$3*MIN(1,(ATM_Conf!$C$6-Links!K120)/(ATM_Conf!$C$6-ATM_Conf!$C$7))</f>
        <v>#DIV/0!</v>
      </c>
      <c r="BA120" s="46" t="e">
        <f>BJ$3*MIN(1,(ATM_Conf!$C$6-Links!L120)/(ATM_Conf!$C$6-ATM_Conf!$C$7))</f>
        <v>#DIV/0!</v>
      </c>
      <c r="BB120" s="46" t="e">
        <f>BK$3*MIN(1,(ATM_Conf!$C$6-Links!M120)/(ATM_Conf!$C$6-ATM_Conf!$C$7))</f>
        <v>#DIV/0!</v>
      </c>
      <c r="BC120" s="46" t="e">
        <f>BL$3*MIN(1,(ATM_Conf!$C$6-Links!N120)/(ATM_Conf!$C$6-ATM_Conf!$C$7))</f>
        <v>#DIV/0!</v>
      </c>
      <c r="BD120" s="46"/>
      <c r="BE120" s="46"/>
      <c r="BF120" s="46"/>
      <c r="BG120" s="46"/>
      <c r="BH120" s="46"/>
      <c r="BI120" s="46"/>
      <c r="BJ120" s="46"/>
      <c r="BK120" s="46"/>
      <c r="BL120" s="46"/>
      <c r="BM120" s="54"/>
      <c r="BN120" s="54"/>
      <c r="BO120" s="54"/>
      <c r="BP120" s="54"/>
      <c r="BQ120" s="54"/>
      <c r="BR120" s="54"/>
      <c r="BS120" s="54"/>
      <c r="BT120" s="54"/>
      <c r="BU120" s="54"/>
      <c r="BV120" s="46" t="e">
        <f t="shared" si="56"/>
        <v>#DIV/0!</v>
      </c>
      <c r="BW120" s="46" t="e">
        <f t="shared" si="57"/>
        <v>#DIV/0!</v>
      </c>
      <c r="BX120" s="46" t="e">
        <f t="shared" si="58"/>
        <v>#DIV/0!</v>
      </c>
      <c r="BY120" s="46" t="e">
        <f t="shared" si="59"/>
        <v>#DIV/0!</v>
      </c>
      <c r="BZ120" s="46" t="e">
        <f t="shared" si="60"/>
        <v>#DIV/0!</v>
      </c>
      <c r="CA120" s="46" t="e">
        <f t="shared" si="61"/>
        <v>#DIV/0!</v>
      </c>
      <c r="CB120" s="46" t="e">
        <f t="shared" si="62"/>
        <v>#DIV/0!</v>
      </c>
      <c r="CC120" s="46" t="e">
        <f t="shared" si="63"/>
        <v>#DIV/0!</v>
      </c>
      <c r="CD120" s="46" t="e">
        <f t="shared" si="64"/>
        <v>#DIV/0!</v>
      </c>
      <c r="CE120" s="56" t="e">
        <f t="shared" si="65"/>
        <v>#DIV/0!</v>
      </c>
      <c r="CF120" s="56" t="e">
        <f t="shared" si="66"/>
        <v>#DIV/0!</v>
      </c>
      <c r="CG120" s="56" t="e">
        <f t="shared" si="67"/>
        <v>#DIV/0!</v>
      </c>
      <c r="CH120" s="56" t="e">
        <f t="shared" si="68"/>
        <v>#DIV/0!</v>
      </c>
      <c r="CI120" s="56" t="e">
        <f t="shared" si="69"/>
        <v>#DIV/0!</v>
      </c>
      <c r="CJ120" s="56" t="e">
        <f t="shared" si="70"/>
        <v>#DIV/0!</v>
      </c>
      <c r="CK120" s="56" t="e">
        <f t="shared" si="71"/>
        <v>#DIV/0!</v>
      </c>
      <c r="CL120" s="56" t="e">
        <f t="shared" si="72"/>
        <v>#DIV/0!</v>
      </c>
      <c r="CM120" s="56" t="e">
        <f t="shared" si="73"/>
        <v>#DIV/0!</v>
      </c>
    </row>
    <row r="121" spans="1:91" x14ac:dyDescent="0.15">
      <c r="A121" s="43">
        <v>119</v>
      </c>
      <c r="B121" s="46">
        <f t="shared" si="85"/>
        <v>1</v>
      </c>
      <c r="C121" s="46">
        <f t="shared" si="84"/>
        <v>1</v>
      </c>
      <c r="D121" s="46">
        <f t="shared" si="84"/>
        <v>1</v>
      </c>
      <c r="E121" s="46">
        <f t="shared" si="84"/>
        <v>1</v>
      </c>
      <c r="F121" s="46">
        <f t="shared" si="84"/>
        <v>1</v>
      </c>
      <c r="G121" s="46">
        <f t="shared" si="84"/>
        <v>1</v>
      </c>
      <c r="H121" s="46">
        <f t="shared" si="84"/>
        <v>1</v>
      </c>
      <c r="I121" s="46">
        <f t="shared" si="84"/>
        <v>1</v>
      </c>
      <c r="J121" s="46">
        <f t="shared" si="84"/>
        <v>1</v>
      </c>
      <c r="K121" s="46" t="e">
        <f>K120+ATM_Conf!$C$5*(T120-AC120)</f>
        <v>#DIV/0!</v>
      </c>
      <c r="L121" s="46" t="e">
        <f>L120+ATM_Conf!$C$5*(U120-AD120)</f>
        <v>#DIV/0!</v>
      </c>
      <c r="M121" s="46" t="e">
        <f>M120+ATM_Conf!$C$5*(V120-AE120)</f>
        <v>#DIV/0!</v>
      </c>
      <c r="N121" s="46" t="e">
        <f>N120+ATM_Conf!$C$5*(W120-AF120)</f>
        <v>#DIV/0!</v>
      </c>
      <c r="O121" s="46" t="e">
        <f>O120+ATM_Conf!$C$5*(X120-AG120)</f>
        <v>#DIV/0!</v>
      </c>
      <c r="P121" s="46" t="e">
        <f>P120+ATM_Conf!$C$5*(Y120-AH120)</f>
        <v>#DIV/0!</v>
      </c>
      <c r="Q121" s="46" t="e">
        <f>Q120+ATM_Conf!$C$5*(Z120-AI120)</f>
        <v>#DIV/0!</v>
      </c>
      <c r="R121" s="46" t="e">
        <f>R120+ATM_Conf!$C$5*(AA120-AJ120)</f>
        <v>#DIV/0!</v>
      </c>
      <c r="S121" s="46" t="e">
        <f>S120+ATM_Conf!$C$5*(AB120-AK120)</f>
        <v>#DIV/0!</v>
      </c>
      <c r="T121" s="46"/>
      <c r="U121" s="46"/>
      <c r="V121" s="46"/>
      <c r="W121" s="46"/>
      <c r="X121" s="46"/>
      <c r="Y121" s="46"/>
      <c r="Z121" s="46"/>
      <c r="AA121" s="46"/>
      <c r="AB121" s="46"/>
      <c r="AC121" s="46" t="e">
        <f t="shared" si="47"/>
        <v>#DIV/0!</v>
      </c>
      <c r="AD121" s="46" t="e">
        <f t="shared" si="48"/>
        <v>#DIV/0!</v>
      </c>
      <c r="AE121" s="46" t="e">
        <f t="shared" si="49"/>
        <v>#DIV/0!</v>
      </c>
      <c r="AF121" s="46" t="e">
        <f t="shared" si="50"/>
        <v>#DIV/0!</v>
      </c>
      <c r="AG121" s="46" t="e">
        <f t="shared" si="51"/>
        <v>#DIV/0!</v>
      </c>
      <c r="AH121" s="46" t="e">
        <f t="shared" si="52"/>
        <v>#DIV/0!</v>
      </c>
      <c r="AI121" s="46" t="e">
        <f t="shared" si="53"/>
        <v>#DIV/0!</v>
      </c>
      <c r="AJ121" s="46" t="e">
        <f t="shared" si="54"/>
        <v>#DIV/0!</v>
      </c>
      <c r="AK121" s="46" t="e">
        <f t="shared" si="55"/>
        <v>#DIV/0!</v>
      </c>
      <c r="AL121" s="46" t="e">
        <f>T$3+K121/ATM_Conf!$C$5</f>
        <v>#DIV/0!</v>
      </c>
      <c r="AM121" s="46" t="e">
        <f>U$3+L121/ATM_Conf!$C$5</f>
        <v>#DIV/0!</v>
      </c>
      <c r="AN121" s="46" t="e">
        <f>V$3+M121/ATM_Conf!$C$5</f>
        <v>#DIV/0!</v>
      </c>
      <c r="AO121" s="46" t="e">
        <f>W$3+N121/ATM_Conf!$C$5</f>
        <v>#DIV/0!</v>
      </c>
      <c r="AP121" s="46" t="e">
        <f>X$3+O121/ATM_Conf!$C$5</f>
        <v>#DIV/0!</v>
      </c>
      <c r="AQ121" s="46" t="e">
        <f>Y$3+P121/ATM_Conf!$C$5</f>
        <v>#DIV/0!</v>
      </c>
      <c r="AR121" s="46" t="e">
        <f>Z$3+Q121/ATM_Conf!$C$5</f>
        <v>#DIV/0!</v>
      </c>
      <c r="AS121" s="46" t="e">
        <f>AA$3+R121/ATM_Conf!$C$5</f>
        <v>#DIV/0!</v>
      </c>
      <c r="AT121" s="46" t="e">
        <f>AB$3+S121/ATM_Conf!$C$5</f>
        <v>#DIV/0!</v>
      </c>
      <c r="AU121" s="46" t="e">
        <f>BD$3*MIN(1,(ATM_Conf!$C$6-Links!F121)/(ATM_Conf!$C$6-ATM_Conf!$C$7))</f>
        <v>#DIV/0!</v>
      </c>
      <c r="AV121" s="46" t="e">
        <f>BE$3*MIN(1,(ATM_Conf!$C$6-Links!G121)/(ATM_Conf!$C$6-ATM_Conf!$C$7))</f>
        <v>#DIV/0!</v>
      </c>
      <c r="AW121" s="46" t="e">
        <f>BF$3*MIN(1,(ATM_Conf!$C$6-Links!H121)/(ATM_Conf!$C$6-ATM_Conf!$C$7))</f>
        <v>#DIV/0!</v>
      </c>
      <c r="AX121" s="46" t="e">
        <f>BG$3*MIN(1,(ATM_Conf!$C$6-Links!I121)/(ATM_Conf!$C$6-ATM_Conf!$C$7))</f>
        <v>#DIV/0!</v>
      </c>
      <c r="AY121" s="46" t="e">
        <f>BH$3*MIN(1,(ATM_Conf!$C$6-Links!J121)/(ATM_Conf!$C$6-ATM_Conf!$C$7))</f>
        <v>#DIV/0!</v>
      </c>
      <c r="AZ121" s="46" t="e">
        <f>BI$3*MIN(1,(ATM_Conf!$C$6-Links!K121)/(ATM_Conf!$C$6-ATM_Conf!$C$7))</f>
        <v>#DIV/0!</v>
      </c>
      <c r="BA121" s="46" t="e">
        <f>BJ$3*MIN(1,(ATM_Conf!$C$6-Links!L121)/(ATM_Conf!$C$6-ATM_Conf!$C$7))</f>
        <v>#DIV/0!</v>
      </c>
      <c r="BB121" s="46" t="e">
        <f>BK$3*MIN(1,(ATM_Conf!$C$6-Links!M121)/(ATM_Conf!$C$6-ATM_Conf!$C$7))</f>
        <v>#DIV/0!</v>
      </c>
      <c r="BC121" s="46" t="e">
        <f>BL$3*MIN(1,(ATM_Conf!$C$6-Links!N121)/(ATM_Conf!$C$6-ATM_Conf!$C$7))</f>
        <v>#DIV/0!</v>
      </c>
      <c r="BD121" s="46"/>
      <c r="BE121" s="46"/>
      <c r="BF121" s="46"/>
      <c r="BG121" s="46"/>
      <c r="BH121" s="46"/>
      <c r="BI121" s="46"/>
      <c r="BJ121" s="46"/>
      <c r="BK121" s="46"/>
      <c r="BL121" s="46"/>
      <c r="BM121" s="54"/>
      <c r="BN121" s="54"/>
      <c r="BO121" s="54"/>
      <c r="BP121" s="54"/>
      <c r="BQ121" s="54"/>
      <c r="BR121" s="54"/>
      <c r="BS121" s="54"/>
      <c r="BT121" s="54"/>
      <c r="BU121" s="54"/>
      <c r="BV121" s="46" t="e">
        <f t="shared" si="56"/>
        <v>#DIV/0!</v>
      </c>
      <c r="BW121" s="46" t="e">
        <f t="shared" si="57"/>
        <v>#DIV/0!</v>
      </c>
      <c r="BX121" s="46" t="e">
        <f t="shared" si="58"/>
        <v>#DIV/0!</v>
      </c>
      <c r="BY121" s="46" t="e">
        <f t="shared" si="59"/>
        <v>#DIV/0!</v>
      </c>
      <c r="BZ121" s="46" t="e">
        <f t="shared" si="60"/>
        <v>#DIV/0!</v>
      </c>
      <c r="CA121" s="46" t="e">
        <f t="shared" si="61"/>
        <v>#DIV/0!</v>
      </c>
      <c r="CB121" s="46" t="e">
        <f t="shared" si="62"/>
        <v>#DIV/0!</v>
      </c>
      <c r="CC121" s="46" t="e">
        <f t="shared" si="63"/>
        <v>#DIV/0!</v>
      </c>
      <c r="CD121" s="46" t="e">
        <f t="shared" si="64"/>
        <v>#DIV/0!</v>
      </c>
      <c r="CE121" s="56" t="e">
        <f t="shared" si="65"/>
        <v>#DIV/0!</v>
      </c>
      <c r="CF121" s="56" t="e">
        <f t="shared" si="66"/>
        <v>#DIV/0!</v>
      </c>
      <c r="CG121" s="56" t="e">
        <f t="shared" si="67"/>
        <v>#DIV/0!</v>
      </c>
      <c r="CH121" s="56" t="e">
        <f t="shared" si="68"/>
        <v>#DIV/0!</v>
      </c>
      <c r="CI121" s="56" t="e">
        <f t="shared" si="69"/>
        <v>#DIV/0!</v>
      </c>
      <c r="CJ121" s="56" t="e">
        <f t="shared" si="70"/>
        <v>#DIV/0!</v>
      </c>
      <c r="CK121" s="56" t="e">
        <f t="shared" si="71"/>
        <v>#DIV/0!</v>
      </c>
      <c r="CL121" s="56" t="e">
        <f t="shared" si="72"/>
        <v>#DIV/0!</v>
      </c>
      <c r="CM121" s="56" t="e">
        <f t="shared" si="73"/>
        <v>#DIV/0!</v>
      </c>
    </row>
    <row r="122" spans="1:91" x14ac:dyDescent="0.15">
      <c r="A122" s="43">
        <v>120</v>
      </c>
      <c r="B122" s="46">
        <f>B$111</f>
        <v>1</v>
      </c>
      <c r="C122" s="46">
        <f t="shared" si="84"/>
        <v>1</v>
      </c>
      <c r="D122" s="46">
        <f t="shared" si="84"/>
        <v>1</v>
      </c>
      <c r="E122" s="46">
        <f t="shared" si="84"/>
        <v>1</v>
      </c>
      <c r="F122" s="46">
        <f t="shared" si="84"/>
        <v>1</v>
      </c>
      <c r="G122" s="46">
        <f t="shared" si="84"/>
        <v>1</v>
      </c>
      <c r="H122" s="46">
        <f t="shared" si="84"/>
        <v>1</v>
      </c>
      <c r="I122" s="46">
        <f t="shared" si="84"/>
        <v>1</v>
      </c>
      <c r="J122" s="46">
        <f t="shared" si="84"/>
        <v>1</v>
      </c>
      <c r="K122" s="46" t="e">
        <f>K121+ATM_Conf!$C$5*(T121-AC121)</f>
        <v>#DIV/0!</v>
      </c>
      <c r="L122" s="46" t="e">
        <f>L121+ATM_Conf!$C$5*(U121-AD121)</f>
        <v>#DIV/0!</v>
      </c>
      <c r="M122" s="46" t="e">
        <f>M121+ATM_Conf!$C$5*(V121-AE121)</f>
        <v>#DIV/0!</v>
      </c>
      <c r="N122" s="46" t="e">
        <f>N121+ATM_Conf!$C$5*(W121-AF121)</f>
        <v>#DIV/0!</v>
      </c>
      <c r="O122" s="46" t="e">
        <f>O121+ATM_Conf!$C$5*(X121-AG121)</f>
        <v>#DIV/0!</v>
      </c>
      <c r="P122" s="46" t="e">
        <f>P121+ATM_Conf!$C$5*(Y121-AH121)</f>
        <v>#DIV/0!</v>
      </c>
      <c r="Q122" s="46" t="e">
        <f>Q121+ATM_Conf!$C$5*(Z121-AI121)</f>
        <v>#DIV/0!</v>
      </c>
      <c r="R122" s="46" t="e">
        <f>R121+ATM_Conf!$C$5*(AA121-AJ121)</f>
        <v>#DIV/0!</v>
      </c>
      <c r="S122" s="46" t="e">
        <f>S121+ATM_Conf!$C$5*(AB121-AK121)</f>
        <v>#DIV/0!</v>
      </c>
      <c r="T122" s="46"/>
      <c r="U122" s="46"/>
      <c r="V122" s="46"/>
      <c r="W122" s="46"/>
      <c r="X122" s="46"/>
      <c r="Y122" s="46"/>
      <c r="Z122" s="46"/>
      <c r="AA122" s="46"/>
      <c r="AB122" s="46"/>
      <c r="AC122" s="46" t="e">
        <f t="shared" si="47"/>
        <v>#DIV/0!</v>
      </c>
      <c r="AD122" s="46" t="e">
        <f t="shared" si="48"/>
        <v>#DIV/0!</v>
      </c>
      <c r="AE122" s="46" t="e">
        <f t="shared" si="49"/>
        <v>#DIV/0!</v>
      </c>
      <c r="AF122" s="46" t="e">
        <f t="shared" si="50"/>
        <v>#DIV/0!</v>
      </c>
      <c r="AG122" s="46" t="e">
        <f t="shared" si="51"/>
        <v>#DIV/0!</v>
      </c>
      <c r="AH122" s="46" t="e">
        <f t="shared" si="52"/>
        <v>#DIV/0!</v>
      </c>
      <c r="AI122" s="46" t="e">
        <f t="shared" si="53"/>
        <v>#DIV/0!</v>
      </c>
      <c r="AJ122" s="46" t="e">
        <f t="shared" si="54"/>
        <v>#DIV/0!</v>
      </c>
      <c r="AK122" s="46" t="e">
        <f t="shared" si="55"/>
        <v>#DIV/0!</v>
      </c>
      <c r="AL122" s="46" t="e">
        <f>T$3+K122/ATM_Conf!$C$5</f>
        <v>#DIV/0!</v>
      </c>
      <c r="AM122" s="46" t="e">
        <f>U$3+L122/ATM_Conf!$C$5</f>
        <v>#DIV/0!</v>
      </c>
      <c r="AN122" s="46" t="e">
        <f>V$3+M122/ATM_Conf!$C$5</f>
        <v>#DIV/0!</v>
      </c>
      <c r="AO122" s="46" t="e">
        <f>W$3+N122/ATM_Conf!$C$5</f>
        <v>#DIV/0!</v>
      </c>
      <c r="AP122" s="46" t="e">
        <f>X$3+O122/ATM_Conf!$C$5</f>
        <v>#DIV/0!</v>
      </c>
      <c r="AQ122" s="46" t="e">
        <f>Y$3+P122/ATM_Conf!$C$5</f>
        <v>#DIV/0!</v>
      </c>
      <c r="AR122" s="46" t="e">
        <f>Z$3+Q122/ATM_Conf!$C$5</f>
        <v>#DIV/0!</v>
      </c>
      <c r="AS122" s="46" t="e">
        <f>AA$3+R122/ATM_Conf!$C$5</f>
        <v>#DIV/0!</v>
      </c>
      <c r="AT122" s="46" t="e">
        <f>AB$3+S122/ATM_Conf!$C$5</f>
        <v>#DIV/0!</v>
      </c>
      <c r="AU122" s="46" t="e">
        <f>BD$3*MIN(1,(ATM_Conf!$C$6-Links!F122)/(ATM_Conf!$C$6-ATM_Conf!$C$7))</f>
        <v>#DIV/0!</v>
      </c>
      <c r="AV122" s="46" t="e">
        <f>BE$3*MIN(1,(ATM_Conf!$C$6-Links!G122)/(ATM_Conf!$C$6-ATM_Conf!$C$7))</f>
        <v>#DIV/0!</v>
      </c>
      <c r="AW122" s="46" t="e">
        <f>BF$3*MIN(1,(ATM_Conf!$C$6-Links!H122)/(ATM_Conf!$C$6-ATM_Conf!$C$7))</f>
        <v>#DIV/0!</v>
      </c>
      <c r="AX122" s="46" t="e">
        <f>BG$3*MIN(1,(ATM_Conf!$C$6-Links!I122)/(ATM_Conf!$C$6-ATM_Conf!$C$7))</f>
        <v>#DIV/0!</v>
      </c>
      <c r="AY122" s="46" t="e">
        <f>BH$3*MIN(1,(ATM_Conf!$C$6-Links!J122)/(ATM_Conf!$C$6-ATM_Conf!$C$7))</f>
        <v>#DIV/0!</v>
      </c>
      <c r="AZ122" s="46" t="e">
        <f>BI$3*MIN(1,(ATM_Conf!$C$6-Links!K122)/(ATM_Conf!$C$6-ATM_Conf!$C$7))</f>
        <v>#DIV/0!</v>
      </c>
      <c r="BA122" s="46" t="e">
        <f>BJ$3*MIN(1,(ATM_Conf!$C$6-Links!L122)/(ATM_Conf!$C$6-ATM_Conf!$C$7))</f>
        <v>#DIV/0!</v>
      </c>
      <c r="BB122" s="46" t="e">
        <f>BK$3*MIN(1,(ATM_Conf!$C$6-Links!M122)/(ATM_Conf!$C$6-ATM_Conf!$C$7))</f>
        <v>#DIV/0!</v>
      </c>
      <c r="BC122" s="46" t="e">
        <f>BL$3*MIN(1,(ATM_Conf!$C$6-Links!N122)/(ATM_Conf!$C$6-ATM_Conf!$C$7))</f>
        <v>#DIV/0!</v>
      </c>
      <c r="BD122" s="46"/>
      <c r="BE122" s="46"/>
      <c r="BF122" s="46"/>
      <c r="BG122" s="46"/>
      <c r="BH122" s="46"/>
      <c r="BI122" s="46"/>
      <c r="BJ122" s="46"/>
      <c r="BK122" s="46"/>
      <c r="BL122" s="46"/>
      <c r="BM122" s="54"/>
      <c r="BN122" s="54"/>
      <c r="BO122" s="54"/>
      <c r="BP122" s="54"/>
      <c r="BQ122" s="54"/>
      <c r="BR122" s="54"/>
      <c r="BS122" s="54"/>
      <c r="BT122" s="54"/>
      <c r="BU122" s="54"/>
      <c r="BV122" s="46" t="e">
        <f t="shared" si="56"/>
        <v>#DIV/0!</v>
      </c>
      <c r="BW122" s="46" t="e">
        <f t="shared" si="57"/>
        <v>#DIV/0!</v>
      </c>
      <c r="BX122" s="46" t="e">
        <f t="shared" si="58"/>
        <v>#DIV/0!</v>
      </c>
      <c r="BY122" s="46" t="e">
        <f t="shared" si="59"/>
        <v>#DIV/0!</v>
      </c>
      <c r="BZ122" s="46" t="e">
        <f t="shared" si="60"/>
        <v>#DIV/0!</v>
      </c>
      <c r="CA122" s="46" t="e">
        <f t="shared" si="61"/>
        <v>#DIV/0!</v>
      </c>
      <c r="CB122" s="46" t="e">
        <f t="shared" si="62"/>
        <v>#DIV/0!</v>
      </c>
      <c r="CC122" s="46" t="e">
        <f t="shared" si="63"/>
        <v>#DIV/0!</v>
      </c>
      <c r="CD122" s="46" t="e">
        <f t="shared" si="64"/>
        <v>#DIV/0!</v>
      </c>
      <c r="CE122" s="56" t="e">
        <f t="shared" si="65"/>
        <v>#DIV/0!</v>
      </c>
      <c r="CF122" s="56" t="e">
        <f t="shared" si="66"/>
        <v>#DIV/0!</v>
      </c>
      <c r="CG122" s="56" t="e">
        <f t="shared" si="67"/>
        <v>#DIV/0!</v>
      </c>
      <c r="CH122" s="56" t="e">
        <f t="shared" si="68"/>
        <v>#DIV/0!</v>
      </c>
      <c r="CI122" s="56" t="e">
        <f t="shared" si="69"/>
        <v>#DIV/0!</v>
      </c>
      <c r="CJ122" s="56" t="e">
        <f t="shared" si="70"/>
        <v>#DIV/0!</v>
      </c>
      <c r="CK122" s="56" t="e">
        <f t="shared" si="71"/>
        <v>#DIV/0!</v>
      </c>
      <c r="CL122" s="56" t="e">
        <f t="shared" si="72"/>
        <v>#DIV/0!</v>
      </c>
      <c r="CM122" s="56" t="e">
        <f t="shared" si="73"/>
        <v>#DIV/0!</v>
      </c>
    </row>
    <row r="123" spans="1:91" x14ac:dyDescent="0.15">
      <c r="A123" s="43">
        <v>121</v>
      </c>
      <c r="B123" s="48">
        <v>1</v>
      </c>
      <c r="C123" s="48">
        <v>1</v>
      </c>
      <c r="D123" s="48">
        <v>1</v>
      </c>
      <c r="E123" s="48">
        <v>1</v>
      </c>
      <c r="F123" s="48">
        <v>1</v>
      </c>
      <c r="G123" s="48">
        <v>1</v>
      </c>
      <c r="H123" s="48">
        <v>1</v>
      </c>
      <c r="I123" s="48">
        <v>1</v>
      </c>
      <c r="J123" s="48">
        <v>1</v>
      </c>
      <c r="K123" s="46" t="e">
        <f>K122+ATM_Conf!$C$5*(T122-AC122)</f>
        <v>#DIV/0!</v>
      </c>
      <c r="L123" s="46" t="e">
        <f>L122+ATM_Conf!$C$5*(U122-AD122)</f>
        <v>#DIV/0!</v>
      </c>
      <c r="M123" s="46" t="e">
        <f>M122+ATM_Conf!$C$5*(V122-AE122)</f>
        <v>#DIV/0!</v>
      </c>
      <c r="N123" s="46" t="e">
        <f>N122+ATM_Conf!$C$5*(W122-AF122)</f>
        <v>#DIV/0!</v>
      </c>
      <c r="O123" s="46" t="e">
        <f>O122+ATM_Conf!$C$5*(X122-AG122)</f>
        <v>#DIV/0!</v>
      </c>
      <c r="P123" s="46" t="e">
        <f>P122+ATM_Conf!$C$5*(Y122-AH122)</f>
        <v>#DIV/0!</v>
      </c>
      <c r="Q123" s="46" t="e">
        <f>Q122+ATM_Conf!$C$5*(Z122-AI122)</f>
        <v>#DIV/0!</v>
      </c>
      <c r="R123" s="46" t="e">
        <f>R122+ATM_Conf!$C$5*(AA122-AJ122)</f>
        <v>#DIV/0!</v>
      </c>
      <c r="S123" s="46" t="e">
        <f>S122+ATM_Conf!$C$5*(AB122-AK122)</f>
        <v>#DIV/0!</v>
      </c>
      <c r="T123" s="46"/>
      <c r="U123" s="46"/>
      <c r="V123" s="46"/>
      <c r="W123" s="46"/>
      <c r="X123" s="46"/>
      <c r="Y123" s="46"/>
      <c r="Z123" s="46"/>
      <c r="AA123" s="46"/>
      <c r="AB123" s="46"/>
      <c r="AC123" s="46" t="e">
        <f t="shared" si="47"/>
        <v>#DIV/0!</v>
      </c>
      <c r="AD123" s="46" t="e">
        <f t="shared" si="48"/>
        <v>#DIV/0!</v>
      </c>
      <c r="AE123" s="46" t="e">
        <f t="shared" si="49"/>
        <v>#DIV/0!</v>
      </c>
      <c r="AF123" s="46" t="e">
        <f t="shared" si="50"/>
        <v>#DIV/0!</v>
      </c>
      <c r="AG123" s="46" t="e">
        <f t="shared" si="51"/>
        <v>#DIV/0!</v>
      </c>
      <c r="AH123" s="46" t="e">
        <f t="shared" si="52"/>
        <v>#DIV/0!</v>
      </c>
      <c r="AI123" s="46" t="e">
        <f t="shared" si="53"/>
        <v>#DIV/0!</v>
      </c>
      <c r="AJ123" s="46" t="e">
        <f t="shared" si="54"/>
        <v>#DIV/0!</v>
      </c>
      <c r="AK123" s="46" t="e">
        <f t="shared" si="55"/>
        <v>#DIV/0!</v>
      </c>
      <c r="AL123" s="46" t="e">
        <f>T$3+K123/ATM_Conf!$C$5</f>
        <v>#DIV/0!</v>
      </c>
      <c r="AM123" s="46" t="e">
        <f>U$3+L123/ATM_Conf!$C$5</f>
        <v>#DIV/0!</v>
      </c>
      <c r="AN123" s="46" t="e">
        <f>V$3+M123/ATM_Conf!$C$5</f>
        <v>#DIV/0!</v>
      </c>
      <c r="AO123" s="46" t="e">
        <f>W$3+N123/ATM_Conf!$C$5</f>
        <v>#DIV/0!</v>
      </c>
      <c r="AP123" s="46" t="e">
        <f>X$3+O123/ATM_Conf!$C$5</f>
        <v>#DIV/0!</v>
      </c>
      <c r="AQ123" s="46" t="e">
        <f>Y$3+P123/ATM_Conf!$C$5</f>
        <v>#DIV/0!</v>
      </c>
      <c r="AR123" s="46" t="e">
        <f>Z$3+Q123/ATM_Conf!$C$5</f>
        <v>#DIV/0!</v>
      </c>
      <c r="AS123" s="46" t="e">
        <f>AA$3+R123/ATM_Conf!$C$5</f>
        <v>#DIV/0!</v>
      </c>
      <c r="AT123" s="46" t="e">
        <f>AB$3+S123/ATM_Conf!$C$5</f>
        <v>#DIV/0!</v>
      </c>
      <c r="AU123" s="46" t="e">
        <f>BD$3*MIN(1,(ATM_Conf!$C$6-Links!F123)/(ATM_Conf!$C$6-ATM_Conf!$C$7))</f>
        <v>#DIV/0!</v>
      </c>
      <c r="AV123" s="46" t="e">
        <f>BE$3*MIN(1,(ATM_Conf!$C$6-Links!G123)/(ATM_Conf!$C$6-ATM_Conf!$C$7))</f>
        <v>#DIV/0!</v>
      </c>
      <c r="AW123" s="46" t="e">
        <f>BF$3*MIN(1,(ATM_Conf!$C$6-Links!H123)/(ATM_Conf!$C$6-ATM_Conf!$C$7))</f>
        <v>#DIV/0!</v>
      </c>
      <c r="AX123" s="46" t="e">
        <f>BG$3*MIN(1,(ATM_Conf!$C$6-Links!I123)/(ATM_Conf!$C$6-ATM_Conf!$C$7))</f>
        <v>#DIV/0!</v>
      </c>
      <c r="AY123" s="46" t="e">
        <f>BH$3*MIN(1,(ATM_Conf!$C$6-Links!J123)/(ATM_Conf!$C$6-ATM_Conf!$C$7))</f>
        <v>#DIV/0!</v>
      </c>
      <c r="AZ123" s="46" t="e">
        <f>BI$3*MIN(1,(ATM_Conf!$C$6-Links!K123)/(ATM_Conf!$C$6-ATM_Conf!$C$7))</f>
        <v>#DIV/0!</v>
      </c>
      <c r="BA123" s="46" t="e">
        <f>BJ$3*MIN(1,(ATM_Conf!$C$6-Links!L123)/(ATM_Conf!$C$6-ATM_Conf!$C$7))</f>
        <v>#DIV/0!</v>
      </c>
      <c r="BB123" s="46" t="e">
        <f>BK$3*MIN(1,(ATM_Conf!$C$6-Links!M123)/(ATM_Conf!$C$6-ATM_Conf!$C$7))</f>
        <v>#DIV/0!</v>
      </c>
      <c r="BC123" s="46" t="e">
        <f>BL$3*MIN(1,(ATM_Conf!$C$6-Links!N123)/(ATM_Conf!$C$6-ATM_Conf!$C$7))</f>
        <v>#DIV/0!</v>
      </c>
      <c r="BD123" s="46"/>
      <c r="BE123" s="46"/>
      <c r="BF123" s="46"/>
      <c r="BG123" s="46"/>
      <c r="BH123" s="46"/>
      <c r="BI123" s="46"/>
      <c r="BJ123" s="46"/>
      <c r="BK123" s="46"/>
      <c r="BL123" s="46"/>
      <c r="BM123" s="54">
        <f>(B123-B111)^2</f>
        <v>0</v>
      </c>
      <c r="BN123" s="54">
        <f t="shared" ref="BN123:BU123" si="86">(C123-C111)^2</f>
        <v>0</v>
      </c>
      <c r="BO123" s="54">
        <f t="shared" si="86"/>
        <v>0</v>
      </c>
      <c r="BP123" s="54">
        <f t="shared" si="86"/>
        <v>0</v>
      </c>
      <c r="BQ123" s="54">
        <f t="shared" si="86"/>
        <v>0</v>
      </c>
      <c r="BR123" s="54">
        <f t="shared" si="86"/>
        <v>0</v>
      </c>
      <c r="BS123" s="54">
        <f t="shared" si="86"/>
        <v>0</v>
      </c>
      <c r="BT123" s="54">
        <f t="shared" si="86"/>
        <v>0</v>
      </c>
      <c r="BU123" s="54">
        <f t="shared" si="86"/>
        <v>0</v>
      </c>
      <c r="BV123" s="46" t="e">
        <f t="shared" si="56"/>
        <v>#DIV/0!</v>
      </c>
      <c r="BW123" s="46" t="e">
        <f t="shared" si="57"/>
        <v>#DIV/0!</v>
      </c>
      <c r="BX123" s="46" t="e">
        <f t="shared" si="58"/>
        <v>#DIV/0!</v>
      </c>
      <c r="BY123" s="46" t="e">
        <f t="shared" si="59"/>
        <v>#DIV/0!</v>
      </c>
      <c r="BZ123" s="46" t="e">
        <f t="shared" si="60"/>
        <v>#DIV/0!</v>
      </c>
      <c r="CA123" s="46" t="e">
        <f t="shared" si="61"/>
        <v>#DIV/0!</v>
      </c>
      <c r="CB123" s="46" t="e">
        <f t="shared" si="62"/>
        <v>#DIV/0!</v>
      </c>
      <c r="CC123" s="46" t="e">
        <f t="shared" si="63"/>
        <v>#DIV/0!</v>
      </c>
      <c r="CD123" s="46" t="e">
        <f t="shared" si="64"/>
        <v>#DIV/0!</v>
      </c>
      <c r="CE123" s="56" t="e">
        <f t="shared" si="65"/>
        <v>#DIV/0!</v>
      </c>
      <c r="CF123" s="56" t="e">
        <f t="shared" si="66"/>
        <v>#DIV/0!</v>
      </c>
      <c r="CG123" s="56" t="e">
        <f t="shared" si="67"/>
        <v>#DIV/0!</v>
      </c>
      <c r="CH123" s="56" t="e">
        <f t="shared" si="68"/>
        <v>#DIV/0!</v>
      </c>
      <c r="CI123" s="56" t="e">
        <f t="shared" si="69"/>
        <v>#DIV/0!</v>
      </c>
      <c r="CJ123" s="56" t="e">
        <f t="shared" si="70"/>
        <v>#DIV/0!</v>
      </c>
      <c r="CK123" s="56" t="e">
        <f t="shared" si="71"/>
        <v>#DIV/0!</v>
      </c>
      <c r="CL123" s="56" t="e">
        <f t="shared" si="72"/>
        <v>#DIV/0!</v>
      </c>
      <c r="CM123" s="56" t="e">
        <f t="shared" si="73"/>
        <v>#DIV/0!</v>
      </c>
    </row>
    <row r="124" spans="1:91" x14ac:dyDescent="0.15">
      <c r="A124" s="43">
        <v>122</v>
      </c>
      <c r="B124" s="46">
        <f>B$123</f>
        <v>1</v>
      </c>
      <c r="C124" s="46">
        <f t="shared" ref="C124:J134" si="87">C$123</f>
        <v>1</v>
      </c>
      <c r="D124" s="46">
        <f t="shared" si="87"/>
        <v>1</v>
      </c>
      <c r="E124" s="46">
        <f t="shared" si="87"/>
        <v>1</v>
      </c>
      <c r="F124" s="46">
        <f t="shared" si="87"/>
        <v>1</v>
      </c>
      <c r="G124" s="46">
        <f t="shared" si="87"/>
        <v>1</v>
      </c>
      <c r="H124" s="46">
        <f t="shared" si="87"/>
        <v>1</v>
      </c>
      <c r="I124" s="46">
        <f t="shared" si="87"/>
        <v>1</v>
      </c>
      <c r="J124" s="46">
        <f t="shared" si="87"/>
        <v>1</v>
      </c>
      <c r="K124" s="46" t="e">
        <f>K123+ATM_Conf!$C$5*(T123-AC123)</f>
        <v>#DIV/0!</v>
      </c>
      <c r="L124" s="46" t="e">
        <f>L123+ATM_Conf!$C$5*(U123-AD123)</f>
        <v>#DIV/0!</v>
      </c>
      <c r="M124" s="46" t="e">
        <f>M123+ATM_Conf!$C$5*(V123-AE123)</f>
        <v>#DIV/0!</v>
      </c>
      <c r="N124" s="46" t="e">
        <f>N123+ATM_Conf!$C$5*(W123-AF123)</f>
        <v>#DIV/0!</v>
      </c>
      <c r="O124" s="46" t="e">
        <f>O123+ATM_Conf!$C$5*(X123-AG123)</f>
        <v>#DIV/0!</v>
      </c>
      <c r="P124" s="46" t="e">
        <f>P123+ATM_Conf!$C$5*(Y123-AH123)</f>
        <v>#DIV/0!</v>
      </c>
      <c r="Q124" s="46" t="e">
        <f>Q123+ATM_Conf!$C$5*(Z123-AI123)</f>
        <v>#DIV/0!</v>
      </c>
      <c r="R124" s="46" t="e">
        <f>R123+ATM_Conf!$C$5*(AA123-AJ123)</f>
        <v>#DIV/0!</v>
      </c>
      <c r="S124" s="46" t="e">
        <f>S123+ATM_Conf!$C$5*(AB123-AK123)</f>
        <v>#DIV/0!</v>
      </c>
      <c r="T124" s="46"/>
      <c r="U124" s="46"/>
      <c r="V124" s="46"/>
      <c r="W124" s="46"/>
      <c r="X124" s="46"/>
      <c r="Y124" s="46"/>
      <c r="Z124" s="46"/>
      <c r="AA124" s="46"/>
      <c r="AB124" s="46"/>
      <c r="AC124" s="46" t="e">
        <f t="shared" si="47"/>
        <v>#DIV/0!</v>
      </c>
      <c r="AD124" s="46" t="e">
        <f t="shared" si="48"/>
        <v>#DIV/0!</v>
      </c>
      <c r="AE124" s="46" t="e">
        <f t="shared" si="49"/>
        <v>#DIV/0!</v>
      </c>
      <c r="AF124" s="46" t="e">
        <f t="shared" si="50"/>
        <v>#DIV/0!</v>
      </c>
      <c r="AG124" s="46" t="e">
        <f t="shared" si="51"/>
        <v>#DIV/0!</v>
      </c>
      <c r="AH124" s="46" t="e">
        <f t="shared" si="52"/>
        <v>#DIV/0!</v>
      </c>
      <c r="AI124" s="46" t="e">
        <f t="shared" si="53"/>
        <v>#DIV/0!</v>
      </c>
      <c r="AJ124" s="46" t="e">
        <f t="shared" si="54"/>
        <v>#DIV/0!</v>
      </c>
      <c r="AK124" s="46" t="e">
        <f t="shared" si="55"/>
        <v>#DIV/0!</v>
      </c>
      <c r="AL124" s="46" t="e">
        <f>T$3+K124/ATM_Conf!$C$5</f>
        <v>#DIV/0!</v>
      </c>
      <c r="AM124" s="46" t="e">
        <f>U$3+L124/ATM_Conf!$C$5</f>
        <v>#DIV/0!</v>
      </c>
      <c r="AN124" s="46" t="e">
        <f>V$3+M124/ATM_Conf!$C$5</f>
        <v>#DIV/0!</v>
      </c>
      <c r="AO124" s="46" t="e">
        <f>W$3+N124/ATM_Conf!$C$5</f>
        <v>#DIV/0!</v>
      </c>
      <c r="AP124" s="46" t="e">
        <f>X$3+O124/ATM_Conf!$C$5</f>
        <v>#DIV/0!</v>
      </c>
      <c r="AQ124" s="46" t="e">
        <f>Y$3+P124/ATM_Conf!$C$5</f>
        <v>#DIV/0!</v>
      </c>
      <c r="AR124" s="46" t="e">
        <f>Z$3+Q124/ATM_Conf!$C$5</f>
        <v>#DIV/0!</v>
      </c>
      <c r="AS124" s="46" t="e">
        <f>AA$3+R124/ATM_Conf!$C$5</f>
        <v>#DIV/0!</v>
      </c>
      <c r="AT124" s="46" t="e">
        <f>AB$3+S124/ATM_Conf!$C$5</f>
        <v>#DIV/0!</v>
      </c>
      <c r="AU124" s="46" t="e">
        <f>BD$3*MIN(1,(ATM_Conf!$C$6-Links!F124)/(ATM_Conf!$C$6-ATM_Conf!$C$7))</f>
        <v>#DIV/0!</v>
      </c>
      <c r="AV124" s="46" t="e">
        <f>BE$3*MIN(1,(ATM_Conf!$C$6-Links!G124)/(ATM_Conf!$C$6-ATM_Conf!$C$7))</f>
        <v>#DIV/0!</v>
      </c>
      <c r="AW124" s="46" t="e">
        <f>BF$3*MIN(1,(ATM_Conf!$C$6-Links!H124)/(ATM_Conf!$C$6-ATM_Conf!$C$7))</f>
        <v>#DIV/0!</v>
      </c>
      <c r="AX124" s="46" t="e">
        <f>BG$3*MIN(1,(ATM_Conf!$C$6-Links!I124)/(ATM_Conf!$C$6-ATM_Conf!$C$7))</f>
        <v>#DIV/0!</v>
      </c>
      <c r="AY124" s="46" t="e">
        <f>BH$3*MIN(1,(ATM_Conf!$C$6-Links!J124)/(ATM_Conf!$C$6-ATM_Conf!$C$7))</f>
        <v>#DIV/0!</v>
      </c>
      <c r="AZ124" s="46" t="e">
        <f>BI$3*MIN(1,(ATM_Conf!$C$6-Links!K124)/(ATM_Conf!$C$6-ATM_Conf!$C$7))</f>
        <v>#DIV/0!</v>
      </c>
      <c r="BA124" s="46" t="e">
        <f>BJ$3*MIN(1,(ATM_Conf!$C$6-Links!L124)/(ATM_Conf!$C$6-ATM_Conf!$C$7))</f>
        <v>#DIV/0!</v>
      </c>
      <c r="BB124" s="46" t="e">
        <f>BK$3*MIN(1,(ATM_Conf!$C$6-Links!M124)/(ATM_Conf!$C$6-ATM_Conf!$C$7))</f>
        <v>#DIV/0!</v>
      </c>
      <c r="BC124" s="46" t="e">
        <f>BL$3*MIN(1,(ATM_Conf!$C$6-Links!N124)/(ATM_Conf!$C$6-ATM_Conf!$C$7))</f>
        <v>#DIV/0!</v>
      </c>
      <c r="BD124" s="46"/>
      <c r="BE124" s="46"/>
      <c r="BF124" s="46"/>
      <c r="BG124" s="46"/>
      <c r="BH124" s="46"/>
      <c r="BI124" s="46"/>
      <c r="BJ124" s="46"/>
      <c r="BK124" s="46"/>
      <c r="BL124" s="46"/>
      <c r="BM124" s="54"/>
      <c r="BN124" s="54"/>
      <c r="BO124" s="54"/>
      <c r="BP124" s="54"/>
      <c r="BQ124" s="54"/>
      <c r="BR124" s="54"/>
      <c r="BS124" s="54"/>
      <c r="BT124" s="54"/>
      <c r="BU124" s="54"/>
      <c r="BV124" s="46" t="e">
        <f t="shared" si="56"/>
        <v>#DIV/0!</v>
      </c>
      <c r="BW124" s="46" t="e">
        <f t="shared" si="57"/>
        <v>#DIV/0!</v>
      </c>
      <c r="BX124" s="46" t="e">
        <f t="shared" si="58"/>
        <v>#DIV/0!</v>
      </c>
      <c r="BY124" s="46" t="e">
        <f t="shared" si="59"/>
        <v>#DIV/0!</v>
      </c>
      <c r="BZ124" s="46" t="e">
        <f t="shared" si="60"/>
        <v>#DIV/0!</v>
      </c>
      <c r="CA124" s="46" t="e">
        <f t="shared" si="61"/>
        <v>#DIV/0!</v>
      </c>
      <c r="CB124" s="46" t="e">
        <f t="shared" si="62"/>
        <v>#DIV/0!</v>
      </c>
      <c r="CC124" s="46" t="e">
        <f t="shared" si="63"/>
        <v>#DIV/0!</v>
      </c>
      <c r="CD124" s="46" t="e">
        <f t="shared" si="64"/>
        <v>#DIV/0!</v>
      </c>
      <c r="CE124" s="56" t="e">
        <f t="shared" si="65"/>
        <v>#DIV/0!</v>
      </c>
      <c r="CF124" s="56" t="e">
        <f t="shared" si="66"/>
        <v>#DIV/0!</v>
      </c>
      <c r="CG124" s="56" t="e">
        <f t="shared" si="67"/>
        <v>#DIV/0!</v>
      </c>
      <c r="CH124" s="56" t="e">
        <f t="shared" si="68"/>
        <v>#DIV/0!</v>
      </c>
      <c r="CI124" s="56" t="e">
        <f t="shared" si="69"/>
        <v>#DIV/0!</v>
      </c>
      <c r="CJ124" s="56" t="e">
        <f t="shared" si="70"/>
        <v>#DIV/0!</v>
      </c>
      <c r="CK124" s="56" t="e">
        <f t="shared" si="71"/>
        <v>#DIV/0!</v>
      </c>
      <c r="CL124" s="56" t="e">
        <f t="shared" si="72"/>
        <v>#DIV/0!</v>
      </c>
      <c r="CM124" s="56" t="e">
        <f t="shared" si="73"/>
        <v>#DIV/0!</v>
      </c>
    </row>
    <row r="125" spans="1:91" x14ac:dyDescent="0.15">
      <c r="A125" s="43">
        <v>123</v>
      </c>
      <c r="B125" s="46">
        <f t="shared" ref="B125:B134" si="88">B$123</f>
        <v>1</v>
      </c>
      <c r="C125" s="46">
        <f t="shared" si="87"/>
        <v>1</v>
      </c>
      <c r="D125" s="46">
        <f t="shared" si="87"/>
        <v>1</v>
      </c>
      <c r="E125" s="46">
        <f t="shared" si="87"/>
        <v>1</v>
      </c>
      <c r="F125" s="46">
        <f t="shared" si="87"/>
        <v>1</v>
      </c>
      <c r="G125" s="46">
        <f t="shared" si="87"/>
        <v>1</v>
      </c>
      <c r="H125" s="46">
        <f t="shared" si="87"/>
        <v>1</v>
      </c>
      <c r="I125" s="46">
        <f t="shared" si="87"/>
        <v>1</v>
      </c>
      <c r="J125" s="46">
        <f t="shared" si="87"/>
        <v>1</v>
      </c>
      <c r="K125" s="46" t="e">
        <f>K124+ATM_Conf!$C$5*(T124-AC124)</f>
        <v>#DIV/0!</v>
      </c>
      <c r="L125" s="46" t="e">
        <f>L124+ATM_Conf!$C$5*(U124-AD124)</f>
        <v>#DIV/0!</v>
      </c>
      <c r="M125" s="46" t="e">
        <f>M124+ATM_Conf!$C$5*(V124-AE124)</f>
        <v>#DIV/0!</v>
      </c>
      <c r="N125" s="46" t="e">
        <f>N124+ATM_Conf!$C$5*(W124-AF124)</f>
        <v>#DIV/0!</v>
      </c>
      <c r="O125" s="46" t="e">
        <f>O124+ATM_Conf!$C$5*(X124-AG124)</f>
        <v>#DIV/0!</v>
      </c>
      <c r="P125" s="46" t="e">
        <f>P124+ATM_Conf!$C$5*(Y124-AH124)</f>
        <v>#DIV/0!</v>
      </c>
      <c r="Q125" s="46" t="e">
        <f>Q124+ATM_Conf!$C$5*(Z124-AI124)</f>
        <v>#DIV/0!</v>
      </c>
      <c r="R125" s="46" t="e">
        <f>R124+ATM_Conf!$C$5*(AA124-AJ124)</f>
        <v>#DIV/0!</v>
      </c>
      <c r="S125" s="46" t="e">
        <f>S124+ATM_Conf!$C$5*(AB124-AK124)</f>
        <v>#DIV/0!</v>
      </c>
      <c r="T125" s="46"/>
      <c r="U125" s="46"/>
      <c r="V125" s="46"/>
      <c r="W125" s="46"/>
      <c r="X125" s="46"/>
      <c r="Y125" s="46"/>
      <c r="Z125" s="46"/>
      <c r="AA125" s="46"/>
      <c r="AB125" s="46"/>
      <c r="AC125" s="46" t="e">
        <f t="shared" si="47"/>
        <v>#DIV/0!</v>
      </c>
      <c r="AD125" s="46" t="e">
        <f t="shared" si="48"/>
        <v>#DIV/0!</v>
      </c>
      <c r="AE125" s="46" t="e">
        <f t="shared" si="49"/>
        <v>#DIV/0!</v>
      </c>
      <c r="AF125" s="46" t="e">
        <f t="shared" si="50"/>
        <v>#DIV/0!</v>
      </c>
      <c r="AG125" s="46" t="e">
        <f t="shared" si="51"/>
        <v>#DIV/0!</v>
      </c>
      <c r="AH125" s="46" t="e">
        <f t="shared" si="52"/>
        <v>#DIV/0!</v>
      </c>
      <c r="AI125" s="46" t="e">
        <f t="shared" si="53"/>
        <v>#DIV/0!</v>
      </c>
      <c r="AJ125" s="46" t="e">
        <f t="shared" si="54"/>
        <v>#DIV/0!</v>
      </c>
      <c r="AK125" s="46" t="e">
        <f t="shared" si="55"/>
        <v>#DIV/0!</v>
      </c>
      <c r="AL125" s="46" t="e">
        <f>T$3+K125/ATM_Conf!$C$5</f>
        <v>#DIV/0!</v>
      </c>
      <c r="AM125" s="46" t="e">
        <f>U$3+L125/ATM_Conf!$C$5</f>
        <v>#DIV/0!</v>
      </c>
      <c r="AN125" s="46" t="e">
        <f>V$3+M125/ATM_Conf!$C$5</f>
        <v>#DIV/0!</v>
      </c>
      <c r="AO125" s="46" t="e">
        <f>W$3+N125/ATM_Conf!$C$5</f>
        <v>#DIV/0!</v>
      </c>
      <c r="AP125" s="46" t="e">
        <f>X$3+O125/ATM_Conf!$C$5</f>
        <v>#DIV/0!</v>
      </c>
      <c r="AQ125" s="46" t="e">
        <f>Y$3+P125/ATM_Conf!$C$5</f>
        <v>#DIV/0!</v>
      </c>
      <c r="AR125" s="46" t="e">
        <f>Z$3+Q125/ATM_Conf!$C$5</f>
        <v>#DIV/0!</v>
      </c>
      <c r="AS125" s="46" t="e">
        <f>AA$3+R125/ATM_Conf!$C$5</f>
        <v>#DIV/0!</v>
      </c>
      <c r="AT125" s="46" t="e">
        <f>AB$3+S125/ATM_Conf!$C$5</f>
        <v>#DIV/0!</v>
      </c>
      <c r="AU125" s="46" t="e">
        <f>BD$3*MIN(1,(ATM_Conf!$C$6-Links!F125)/(ATM_Conf!$C$6-ATM_Conf!$C$7))</f>
        <v>#DIV/0!</v>
      </c>
      <c r="AV125" s="46" t="e">
        <f>BE$3*MIN(1,(ATM_Conf!$C$6-Links!G125)/(ATM_Conf!$C$6-ATM_Conf!$C$7))</f>
        <v>#DIV/0!</v>
      </c>
      <c r="AW125" s="46" t="e">
        <f>BF$3*MIN(1,(ATM_Conf!$C$6-Links!H125)/(ATM_Conf!$C$6-ATM_Conf!$C$7))</f>
        <v>#DIV/0!</v>
      </c>
      <c r="AX125" s="46" t="e">
        <f>BG$3*MIN(1,(ATM_Conf!$C$6-Links!I125)/(ATM_Conf!$C$6-ATM_Conf!$C$7))</f>
        <v>#DIV/0!</v>
      </c>
      <c r="AY125" s="46" t="e">
        <f>BH$3*MIN(1,(ATM_Conf!$C$6-Links!J125)/(ATM_Conf!$C$6-ATM_Conf!$C$7))</f>
        <v>#DIV/0!</v>
      </c>
      <c r="AZ125" s="46" t="e">
        <f>BI$3*MIN(1,(ATM_Conf!$C$6-Links!K125)/(ATM_Conf!$C$6-ATM_Conf!$C$7))</f>
        <v>#DIV/0!</v>
      </c>
      <c r="BA125" s="46" t="e">
        <f>BJ$3*MIN(1,(ATM_Conf!$C$6-Links!L125)/(ATM_Conf!$C$6-ATM_Conf!$C$7))</f>
        <v>#DIV/0!</v>
      </c>
      <c r="BB125" s="46" t="e">
        <f>BK$3*MIN(1,(ATM_Conf!$C$6-Links!M125)/(ATM_Conf!$C$6-ATM_Conf!$C$7))</f>
        <v>#DIV/0!</v>
      </c>
      <c r="BC125" s="46" t="e">
        <f>BL$3*MIN(1,(ATM_Conf!$C$6-Links!N125)/(ATM_Conf!$C$6-ATM_Conf!$C$7))</f>
        <v>#DIV/0!</v>
      </c>
      <c r="BD125" s="46"/>
      <c r="BE125" s="46"/>
      <c r="BF125" s="46"/>
      <c r="BG125" s="46"/>
      <c r="BH125" s="46"/>
      <c r="BI125" s="46"/>
      <c r="BJ125" s="46"/>
      <c r="BK125" s="46"/>
      <c r="BL125" s="46"/>
      <c r="BM125" s="54"/>
      <c r="BN125" s="54"/>
      <c r="BO125" s="54"/>
      <c r="BP125" s="54"/>
      <c r="BQ125" s="54"/>
      <c r="BR125" s="54"/>
      <c r="BS125" s="54"/>
      <c r="BT125" s="54"/>
      <c r="BU125" s="54"/>
      <c r="BV125" s="46" t="e">
        <f t="shared" si="56"/>
        <v>#DIV/0!</v>
      </c>
      <c r="BW125" s="46" t="e">
        <f t="shared" si="57"/>
        <v>#DIV/0!</v>
      </c>
      <c r="BX125" s="46" t="e">
        <f t="shared" si="58"/>
        <v>#DIV/0!</v>
      </c>
      <c r="BY125" s="46" t="e">
        <f t="shared" si="59"/>
        <v>#DIV/0!</v>
      </c>
      <c r="BZ125" s="46" t="e">
        <f t="shared" si="60"/>
        <v>#DIV/0!</v>
      </c>
      <c r="CA125" s="46" t="e">
        <f t="shared" si="61"/>
        <v>#DIV/0!</v>
      </c>
      <c r="CB125" s="46" t="e">
        <f t="shared" si="62"/>
        <v>#DIV/0!</v>
      </c>
      <c r="CC125" s="46" t="e">
        <f t="shared" si="63"/>
        <v>#DIV/0!</v>
      </c>
      <c r="CD125" s="46" t="e">
        <f t="shared" si="64"/>
        <v>#DIV/0!</v>
      </c>
      <c r="CE125" s="56" t="e">
        <f t="shared" si="65"/>
        <v>#DIV/0!</v>
      </c>
      <c r="CF125" s="56" t="e">
        <f t="shared" si="66"/>
        <v>#DIV/0!</v>
      </c>
      <c r="CG125" s="56" t="e">
        <f t="shared" si="67"/>
        <v>#DIV/0!</v>
      </c>
      <c r="CH125" s="56" t="e">
        <f t="shared" si="68"/>
        <v>#DIV/0!</v>
      </c>
      <c r="CI125" s="56" t="e">
        <f t="shared" si="69"/>
        <v>#DIV/0!</v>
      </c>
      <c r="CJ125" s="56" t="e">
        <f t="shared" si="70"/>
        <v>#DIV/0!</v>
      </c>
      <c r="CK125" s="56" t="e">
        <f t="shared" si="71"/>
        <v>#DIV/0!</v>
      </c>
      <c r="CL125" s="56" t="e">
        <f t="shared" si="72"/>
        <v>#DIV/0!</v>
      </c>
      <c r="CM125" s="56" t="e">
        <f t="shared" si="73"/>
        <v>#DIV/0!</v>
      </c>
    </row>
    <row r="126" spans="1:91" x14ac:dyDescent="0.15">
      <c r="A126" s="43">
        <v>124</v>
      </c>
      <c r="B126" s="46">
        <f t="shared" si="88"/>
        <v>1</v>
      </c>
      <c r="C126" s="46">
        <f t="shared" si="87"/>
        <v>1</v>
      </c>
      <c r="D126" s="46">
        <f t="shared" si="87"/>
        <v>1</v>
      </c>
      <c r="E126" s="46">
        <f t="shared" si="87"/>
        <v>1</v>
      </c>
      <c r="F126" s="46">
        <f t="shared" si="87"/>
        <v>1</v>
      </c>
      <c r="G126" s="46">
        <f t="shared" si="87"/>
        <v>1</v>
      </c>
      <c r="H126" s="46">
        <f t="shared" si="87"/>
        <v>1</v>
      </c>
      <c r="I126" s="46">
        <f t="shared" si="87"/>
        <v>1</v>
      </c>
      <c r="J126" s="46">
        <f t="shared" si="87"/>
        <v>1</v>
      </c>
      <c r="K126" s="46" t="e">
        <f>K125+ATM_Conf!$C$5*(T125-AC125)</f>
        <v>#DIV/0!</v>
      </c>
      <c r="L126" s="46" t="e">
        <f>L125+ATM_Conf!$C$5*(U125-AD125)</f>
        <v>#DIV/0!</v>
      </c>
      <c r="M126" s="46" t="e">
        <f>M125+ATM_Conf!$C$5*(V125-AE125)</f>
        <v>#DIV/0!</v>
      </c>
      <c r="N126" s="46" t="e">
        <f>N125+ATM_Conf!$C$5*(W125-AF125)</f>
        <v>#DIV/0!</v>
      </c>
      <c r="O126" s="46" t="e">
        <f>O125+ATM_Conf!$C$5*(X125-AG125)</f>
        <v>#DIV/0!</v>
      </c>
      <c r="P126" s="46" t="e">
        <f>P125+ATM_Conf!$C$5*(Y125-AH125)</f>
        <v>#DIV/0!</v>
      </c>
      <c r="Q126" s="46" t="e">
        <f>Q125+ATM_Conf!$C$5*(Z125-AI125)</f>
        <v>#DIV/0!</v>
      </c>
      <c r="R126" s="46" t="e">
        <f>R125+ATM_Conf!$C$5*(AA125-AJ125)</f>
        <v>#DIV/0!</v>
      </c>
      <c r="S126" s="46" t="e">
        <f>S125+ATM_Conf!$C$5*(AB125-AK125)</f>
        <v>#DIV/0!</v>
      </c>
      <c r="T126" s="46"/>
      <c r="U126" s="46"/>
      <c r="V126" s="46"/>
      <c r="W126" s="46"/>
      <c r="X126" s="46"/>
      <c r="Y126" s="46"/>
      <c r="Z126" s="46"/>
      <c r="AA126" s="46"/>
      <c r="AB126" s="46"/>
      <c r="AC126" s="46" t="e">
        <f t="shared" si="47"/>
        <v>#DIV/0!</v>
      </c>
      <c r="AD126" s="46" t="e">
        <f t="shared" si="48"/>
        <v>#DIV/0!</v>
      </c>
      <c r="AE126" s="46" t="e">
        <f t="shared" si="49"/>
        <v>#DIV/0!</v>
      </c>
      <c r="AF126" s="46" t="e">
        <f t="shared" si="50"/>
        <v>#DIV/0!</v>
      </c>
      <c r="AG126" s="46" t="e">
        <f t="shared" si="51"/>
        <v>#DIV/0!</v>
      </c>
      <c r="AH126" s="46" t="e">
        <f t="shared" si="52"/>
        <v>#DIV/0!</v>
      </c>
      <c r="AI126" s="46" t="e">
        <f t="shared" si="53"/>
        <v>#DIV/0!</v>
      </c>
      <c r="AJ126" s="46" t="e">
        <f t="shared" si="54"/>
        <v>#DIV/0!</v>
      </c>
      <c r="AK126" s="46" t="e">
        <f t="shared" si="55"/>
        <v>#DIV/0!</v>
      </c>
      <c r="AL126" s="46" t="e">
        <f>T$3+K126/ATM_Conf!$C$5</f>
        <v>#DIV/0!</v>
      </c>
      <c r="AM126" s="46" t="e">
        <f>U$3+L126/ATM_Conf!$C$5</f>
        <v>#DIV/0!</v>
      </c>
      <c r="AN126" s="46" t="e">
        <f>V$3+M126/ATM_Conf!$C$5</f>
        <v>#DIV/0!</v>
      </c>
      <c r="AO126" s="46" t="e">
        <f>W$3+N126/ATM_Conf!$C$5</f>
        <v>#DIV/0!</v>
      </c>
      <c r="AP126" s="46" t="e">
        <f>X$3+O126/ATM_Conf!$C$5</f>
        <v>#DIV/0!</v>
      </c>
      <c r="AQ126" s="46" t="e">
        <f>Y$3+P126/ATM_Conf!$C$5</f>
        <v>#DIV/0!</v>
      </c>
      <c r="AR126" s="46" t="e">
        <f>Z$3+Q126/ATM_Conf!$C$5</f>
        <v>#DIV/0!</v>
      </c>
      <c r="AS126" s="46" t="e">
        <f>AA$3+R126/ATM_Conf!$C$5</f>
        <v>#DIV/0!</v>
      </c>
      <c r="AT126" s="46" t="e">
        <f>AB$3+S126/ATM_Conf!$C$5</f>
        <v>#DIV/0!</v>
      </c>
      <c r="AU126" s="46" t="e">
        <f>BD$3*MIN(1,(ATM_Conf!$C$6-Links!F126)/(ATM_Conf!$C$6-ATM_Conf!$C$7))</f>
        <v>#DIV/0!</v>
      </c>
      <c r="AV126" s="46" t="e">
        <f>BE$3*MIN(1,(ATM_Conf!$C$6-Links!G126)/(ATM_Conf!$C$6-ATM_Conf!$C$7))</f>
        <v>#DIV/0!</v>
      </c>
      <c r="AW126" s="46" t="e">
        <f>BF$3*MIN(1,(ATM_Conf!$C$6-Links!H126)/(ATM_Conf!$C$6-ATM_Conf!$C$7))</f>
        <v>#DIV/0!</v>
      </c>
      <c r="AX126" s="46" t="e">
        <f>BG$3*MIN(1,(ATM_Conf!$C$6-Links!I126)/(ATM_Conf!$C$6-ATM_Conf!$C$7))</f>
        <v>#DIV/0!</v>
      </c>
      <c r="AY126" s="46" t="e">
        <f>BH$3*MIN(1,(ATM_Conf!$C$6-Links!J126)/(ATM_Conf!$C$6-ATM_Conf!$C$7))</f>
        <v>#DIV/0!</v>
      </c>
      <c r="AZ126" s="46" t="e">
        <f>BI$3*MIN(1,(ATM_Conf!$C$6-Links!K126)/(ATM_Conf!$C$6-ATM_Conf!$C$7))</f>
        <v>#DIV/0!</v>
      </c>
      <c r="BA126" s="46" t="e">
        <f>BJ$3*MIN(1,(ATM_Conf!$C$6-Links!L126)/(ATM_Conf!$C$6-ATM_Conf!$C$7))</f>
        <v>#DIV/0!</v>
      </c>
      <c r="BB126" s="46" t="e">
        <f>BK$3*MIN(1,(ATM_Conf!$C$6-Links!M126)/(ATM_Conf!$C$6-ATM_Conf!$C$7))</f>
        <v>#DIV/0!</v>
      </c>
      <c r="BC126" s="46" t="e">
        <f>BL$3*MIN(1,(ATM_Conf!$C$6-Links!N126)/(ATM_Conf!$C$6-ATM_Conf!$C$7))</f>
        <v>#DIV/0!</v>
      </c>
      <c r="BD126" s="46"/>
      <c r="BE126" s="46"/>
      <c r="BF126" s="46"/>
      <c r="BG126" s="46"/>
      <c r="BH126" s="46"/>
      <c r="BI126" s="46"/>
      <c r="BJ126" s="46"/>
      <c r="BK126" s="46"/>
      <c r="BL126" s="46"/>
      <c r="BM126" s="54"/>
      <c r="BN126" s="54"/>
      <c r="BO126" s="54"/>
      <c r="BP126" s="54"/>
      <c r="BQ126" s="54"/>
      <c r="BR126" s="54"/>
      <c r="BS126" s="54"/>
      <c r="BT126" s="54"/>
      <c r="BU126" s="54"/>
      <c r="BV126" s="46" t="e">
        <f t="shared" si="56"/>
        <v>#DIV/0!</v>
      </c>
      <c r="BW126" s="46" t="e">
        <f t="shared" si="57"/>
        <v>#DIV/0!</v>
      </c>
      <c r="BX126" s="46" t="e">
        <f t="shared" si="58"/>
        <v>#DIV/0!</v>
      </c>
      <c r="BY126" s="46" t="e">
        <f t="shared" si="59"/>
        <v>#DIV/0!</v>
      </c>
      <c r="BZ126" s="46" t="e">
        <f t="shared" si="60"/>
        <v>#DIV/0!</v>
      </c>
      <c r="CA126" s="46" t="e">
        <f t="shared" si="61"/>
        <v>#DIV/0!</v>
      </c>
      <c r="CB126" s="46" t="e">
        <f t="shared" si="62"/>
        <v>#DIV/0!</v>
      </c>
      <c r="CC126" s="46" t="e">
        <f t="shared" si="63"/>
        <v>#DIV/0!</v>
      </c>
      <c r="CD126" s="46" t="e">
        <f t="shared" si="64"/>
        <v>#DIV/0!</v>
      </c>
      <c r="CE126" s="56" t="e">
        <f t="shared" si="65"/>
        <v>#DIV/0!</v>
      </c>
      <c r="CF126" s="56" t="e">
        <f t="shared" si="66"/>
        <v>#DIV/0!</v>
      </c>
      <c r="CG126" s="56" t="e">
        <f t="shared" si="67"/>
        <v>#DIV/0!</v>
      </c>
      <c r="CH126" s="56" t="e">
        <f t="shared" si="68"/>
        <v>#DIV/0!</v>
      </c>
      <c r="CI126" s="56" t="e">
        <f t="shared" si="69"/>
        <v>#DIV/0!</v>
      </c>
      <c r="CJ126" s="56" t="e">
        <f t="shared" si="70"/>
        <v>#DIV/0!</v>
      </c>
      <c r="CK126" s="56" t="e">
        <f t="shared" si="71"/>
        <v>#DIV/0!</v>
      </c>
      <c r="CL126" s="56" t="e">
        <f t="shared" si="72"/>
        <v>#DIV/0!</v>
      </c>
      <c r="CM126" s="56" t="e">
        <f t="shared" si="73"/>
        <v>#DIV/0!</v>
      </c>
    </row>
    <row r="127" spans="1:91" x14ac:dyDescent="0.15">
      <c r="A127" s="43">
        <v>125</v>
      </c>
      <c r="B127" s="46">
        <f t="shared" si="88"/>
        <v>1</v>
      </c>
      <c r="C127" s="46">
        <f t="shared" si="87"/>
        <v>1</v>
      </c>
      <c r="D127" s="46">
        <f t="shared" si="87"/>
        <v>1</v>
      </c>
      <c r="E127" s="46">
        <f t="shared" si="87"/>
        <v>1</v>
      </c>
      <c r="F127" s="46">
        <f t="shared" si="87"/>
        <v>1</v>
      </c>
      <c r="G127" s="46">
        <f t="shared" si="87"/>
        <v>1</v>
      </c>
      <c r="H127" s="46">
        <f t="shared" si="87"/>
        <v>1</v>
      </c>
      <c r="I127" s="46">
        <f t="shared" si="87"/>
        <v>1</v>
      </c>
      <c r="J127" s="46">
        <f t="shared" si="87"/>
        <v>1</v>
      </c>
      <c r="K127" s="46" t="e">
        <f>K126+ATM_Conf!$C$5*(T126-AC126)</f>
        <v>#DIV/0!</v>
      </c>
      <c r="L127" s="46" t="e">
        <f>L126+ATM_Conf!$C$5*(U126-AD126)</f>
        <v>#DIV/0!</v>
      </c>
      <c r="M127" s="46" t="e">
        <f>M126+ATM_Conf!$C$5*(V126-AE126)</f>
        <v>#DIV/0!</v>
      </c>
      <c r="N127" s="46" t="e">
        <f>N126+ATM_Conf!$C$5*(W126-AF126)</f>
        <v>#DIV/0!</v>
      </c>
      <c r="O127" s="46" t="e">
        <f>O126+ATM_Conf!$C$5*(X126-AG126)</f>
        <v>#DIV/0!</v>
      </c>
      <c r="P127" s="46" t="e">
        <f>P126+ATM_Conf!$C$5*(Y126-AH126)</f>
        <v>#DIV/0!</v>
      </c>
      <c r="Q127" s="46" t="e">
        <f>Q126+ATM_Conf!$C$5*(Z126-AI126)</f>
        <v>#DIV/0!</v>
      </c>
      <c r="R127" s="46" t="e">
        <f>R126+ATM_Conf!$C$5*(AA126-AJ126)</f>
        <v>#DIV/0!</v>
      </c>
      <c r="S127" s="46" t="e">
        <f>S126+ATM_Conf!$C$5*(AB126-AK126)</f>
        <v>#DIV/0!</v>
      </c>
      <c r="T127" s="46"/>
      <c r="U127" s="46"/>
      <c r="V127" s="46"/>
      <c r="W127" s="46"/>
      <c r="X127" s="46"/>
      <c r="Y127" s="46"/>
      <c r="Z127" s="46"/>
      <c r="AA127" s="46"/>
      <c r="AB127" s="46"/>
      <c r="AC127" s="46" t="e">
        <f t="shared" si="47"/>
        <v>#DIV/0!</v>
      </c>
      <c r="AD127" s="46" t="e">
        <f t="shared" si="48"/>
        <v>#DIV/0!</v>
      </c>
      <c r="AE127" s="46" t="e">
        <f t="shared" si="49"/>
        <v>#DIV/0!</v>
      </c>
      <c r="AF127" s="46" t="e">
        <f t="shared" si="50"/>
        <v>#DIV/0!</v>
      </c>
      <c r="AG127" s="46" t="e">
        <f t="shared" si="51"/>
        <v>#DIV/0!</v>
      </c>
      <c r="AH127" s="46" t="e">
        <f t="shared" si="52"/>
        <v>#DIV/0!</v>
      </c>
      <c r="AI127" s="46" t="e">
        <f t="shared" si="53"/>
        <v>#DIV/0!</v>
      </c>
      <c r="AJ127" s="46" t="e">
        <f t="shared" si="54"/>
        <v>#DIV/0!</v>
      </c>
      <c r="AK127" s="46" t="e">
        <f t="shared" si="55"/>
        <v>#DIV/0!</v>
      </c>
      <c r="AL127" s="46" t="e">
        <f>T$3+K127/ATM_Conf!$C$5</f>
        <v>#DIV/0!</v>
      </c>
      <c r="AM127" s="46" t="e">
        <f>U$3+L127/ATM_Conf!$C$5</f>
        <v>#DIV/0!</v>
      </c>
      <c r="AN127" s="46" t="e">
        <f>V$3+M127/ATM_Conf!$C$5</f>
        <v>#DIV/0!</v>
      </c>
      <c r="AO127" s="46" t="e">
        <f>W$3+N127/ATM_Conf!$C$5</f>
        <v>#DIV/0!</v>
      </c>
      <c r="AP127" s="46" t="e">
        <f>X$3+O127/ATM_Conf!$C$5</f>
        <v>#DIV/0!</v>
      </c>
      <c r="AQ127" s="46" t="e">
        <f>Y$3+P127/ATM_Conf!$C$5</f>
        <v>#DIV/0!</v>
      </c>
      <c r="AR127" s="46" t="e">
        <f>Z$3+Q127/ATM_Conf!$C$5</f>
        <v>#DIV/0!</v>
      </c>
      <c r="AS127" s="46" t="e">
        <f>AA$3+R127/ATM_Conf!$C$5</f>
        <v>#DIV/0!</v>
      </c>
      <c r="AT127" s="46" t="e">
        <f>AB$3+S127/ATM_Conf!$C$5</f>
        <v>#DIV/0!</v>
      </c>
      <c r="AU127" s="46" t="e">
        <f>BD$3*MIN(1,(ATM_Conf!$C$6-Links!F127)/(ATM_Conf!$C$6-ATM_Conf!$C$7))</f>
        <v>#DIV/0!</v>
      </c>
      <c r="AV127" s="46" t="e">
        <f>BE$3*MIN(1,(ATM_Conf!$C$6-Links!G127)/(ATM_Conf!$C$6-ATM_Conf!$C$7))</f>
        <v>#DIV/0!</v>
      </c>
      <c r="AW127" s="46" t="e">
        <f>BF$3*MIN(1,(ATM_Conf!$C$6-Links!H127)/(ATM_Conf!$C$6-ATM_Conf!$C$7))</f>
        <v>#DIV/0!</v>
      </c>
      <c r="AX127" s="46" t="e">
        <f>BG$3*MIN(1,(ATM_Conf!$C$6-Links!I127)/(ATM_Conf!$C$6-ATM_Conf!$C$7))</f>
        <v>#DIV/0!</v>
      </c>
      <c r="AY127" s="46" t="e">
        <f>BH$3*MIN(1,(ATM_Conf!$C$6-Links!J127)/(ATM_Conf!$C$6-ATM_Conf!$C$7))</f>
        <v>#DIV/0!</v>
      </c>
      <c r="AZ127" s="46" t="e">
        <f>BI$3*MIN(1,(ATM_Conf!$C$6-Links!K127)/(ATM_Conf!$C$6-ATM_Conf!$C$7))</f>
        <v>#DIV/0!</v>
      </c>
      <c r="BA127" s="46" t="e">
        <f>BJ$3*MIN(1,(ATM_Conf!$C$6-Links!L127)/(ATM_Conf!$C$6-ATM_Conf!$C$7))</f>
        <v>#DIV/0!</v>
      </c>
      <c r="BB127" s="46" t="e">
        <f>BK$3*MIN(1,(ATM_Conf!$C$6-Links!M127)/(ATM_Conf!$C$6-ATM_Conf!$C$7))</f>
        <v>#DIV/0!</v>
      </c>
      <c r="BC127" s="46" t="e">
        <f>BL$3*MIN(1,(ATM_Conf!$C$6-Links!N127)/(ATM_Conf!$C$6-ATM_Conf!$C$7))</f>
        <v>#DIV/0!</v>
      </c>
      <c r="BD127" s="46"/>
      <c r="BE127" s="46"/>
      <c r="BF127" s="46"/>
      <c r="BG127" s="46"/>
      <c r="BH127" s="46"/>
      <c r="BI127" s="46"/>
      <c r="BJ127" s="46"/>
      <c r="BK127" s="46"/>
      <c r="BL127" s="46"/>
      <c r="BM127" s="54"/>
      <c r="BN127" s="54"/>
      <c r="BO127" s="54"/>
      <c r="BP127" s="54"/>
      <c r="BQ127" s="54"/>
      <c r="BR127" s="54"/>
      <c r="BS127" s="54"/>
      <c r="BT127" s="54"/>
      <c r="BU127" s="54"/>
      <c r="BV127" s="46" t="e">
        <f t="shared" si="56"/>
        <v>#DIV/0!</v>
      </c>
      <c r="BW127" s="46" t="e">
        <f t="shared" si="57"/>
        <v>#DIV/0!</v>
      </c>
      <c r="BX127" s="46" t="e">
        <f t="shared" si="58"/>
        <v>#DIV/0!</v>
      </c>
      <c r="BY127" s="46" t="e">
        <f t="shared" si="59"/>
        <v>#DIV/0!</v>
      </c>
      <c r="BZ127" s="46" t="e">
        <f t="shared" si="60"/>
        <v>#DIV/0!</v>
      </c>
      <c r="CA127" s="46" t="e">
        <f t="shared" si="61"/>
        <v>#DIV/0!</v>
      </c>
      <c r="CB127" s="46" t="e">
        <f t="shared" si="62"/>
        <v>#DIV/0!</v>
      </c>
      <c r="CC127" s="46" t="e">
        <f t="shared" si="63"/>
        <v>#DIV/0!</v>
      </c>
      <c r="CD127" s="46" t="e">
        <f t="shared" si="64"/>
        <v>#DIV/0!</v>
      </c>
      <c r="CE127" s="56" t="e">
        <f t="shared" si="65"/>
        <v>#DIV/0!</v>
      </c>
      <c r="CF127" s="56" t="e">
        <f t="shared" si="66"/>
        <v>#DIV/0!</v>
      </c>
      <c r="CG127" s="56" t="e">
        <f t="shared" si="67"/>
        <v>#DIV/0!</v>
      </c>
      <c r="CH127" s="56" t="e">
        <f t="shared" si="68"/>
        <v>#DIV/0!</v>
      </c>
      <c r="CI127" s="56" t="e">
        <f t="shared" si="69"/>
        <v>#DIV/0!</v>
      </c>
      <c r="CJ127" s="56" t="e">
        <f t="shared" si="70"/>
        <v>#DIV/0!</v>
      </c>
      <c r="CK127" s="56" t="e">
        <f t="shared" si="71"/>
        <v>#DIV/0!</v>
      </c>
      <c r="CL127" s="56" t="e">
        <f t="shared" si="72"/>
        <v>#DIV/0!</v>
      </c>
      <c r="CM127" s="56" t="e">
        <f t="shared" si="73"/>
        <v>#DIV/0!</v>
      </c>
    </row>
    <row r="128" spans="1:91" x14ac:dyDescent="0.15">
      <c r="A128" s="43">
        <v>126</v>
      </c>
      <c r="B128" s="46">
        <f t="shared" si="88"/>
        <v>1</v>
      </c>
      <c r="C128" s="46">
        <f t="shared" si="87"/>
        <v>1</v>
      </c>
      <c r="D128" s="46">
        <f t="shared" si="87"/>
        <v>1</v>
      </c>
      <c r="E128" s="46">
        <f t="shared" si="87"/>
        <v>1</v>
      </c>
      <c r="F128" s="46">
        <f t="shared" si="87"/>
        <v>1</v>
      </c>
      <c r="G128" s="46">
        <f t="shared" si="87"/>
        <v>1</v>
      </c>
      <c r="H128" s="46">
        <f t="shared" si="87"/>
        <v>1</v>
      </c>
      <c r="I128" s="46">
        <f t="shared" si="87"/>
        <v>1</v>
      </c>
      <c r="J128" s="46">
        <f t="shared" si="87"/>
        <v>1</v>
      </c>
      <c r="K128" s="46" t="e">
        <f>K127+ATM_Conf!$C$5*(T127-AC127)</f>
        <v>#DIV/0!</v>
      </c>
      <c r="L128" s="46" t="e">
        <f>L127+ATM_Conf!$C$5*(U127-AD127)</f>
        <v>#DIV/0!</v>
      </c>
      <c r="M128" s="46" t="e">
        <f>M127+ATM_Conf!$C$5*(V127-AE127)</f>
        <v>#DIV/0!</v>
      </c>
      <c r="N128" s="46" t="e">
        <f>N127+ATM_Conf!$C$5*(W127-AF127)</f>
        <v>#DIV/0!</v>
      </c>
      <c r="O128" s="46" t="e">
        <f>O127+ATM_Conf!$C$5*(X127-AG127)</f>
        <v>#DIV/0!</v>
      </c>
      <c r="P128" s="46" t="e">
        <f>P127+ATM_Conf!$C$5*(Y127-AH127)</f>
        <v>#DIV/0!</v>
      </c>
      <c r="Q128" s="46" t="e">
        <f>Q127+ATM_Conf!$C$5*(Z127-AI127)</f>
        <v>#DIV/0!</v>
      </c>
      <c r="R128" s="46" t="e">
        <f>R127+ATM_Conf!$C$5*(AA127-AJ127)</f>
        <v>#DIV/0!</v>
      </c>
      <c r="S128" s="46" t="e">
        <f>S127+ATM_Conf!$C$5*(AB127-AK127)</f>
        <v>#DIV/0!</v>
      </c>
      <c r="T128" s="46"/>
      <c r="U128" s="46"/>
      <c r="V128" s="46"/>
      <c r="W128" s="46"/>
      <c r="X128" s="46"/>
      <c r="Y128" s="46"/>
      <c r="Z128" s="46"/>
      <c r="AA128" s="46"/>
      <c r="AB128" s="46"/>
      <c r="AC128" s="46" t="e">
        <f t="shared" si="47"/>
        <v>#DIV/0!</v>
      </c>
      <c r="AD128" s="46" t="e">
        <f t="shared" si="48"/>
        <v>#DIV/0!</v>
      </c>
      <c r="AE128" s="46" t="e">
        <f t="shared" si="49"/>
        <v>#DIV/0!</v>
      </c>
      <c r="AF128" s="46" t="e">
        <f t="shared" si="50"/>
        <v>#DIV/0!</v>
      </c>
      <c r="AG128" s="46" t="e">
        <f t="shared" si="51"/>
        <v>#DIV/0!</v>
      </c>
      <c r="AH128" s="46" t="e">
        <f t="shared" si="52"/>
        <v>#DIV/0!</v>
      </c>
      <c r="AI128" s="46" t="e">
        <f t="shared" si="53"/>
        <v>#DIV/0!</v>
      </c>
      <c r="AJ128" s="46" t="e">
        <f t="shared" si="54"/>
        <v>#DIV/0!</v>
      </c>
      <c r="AK128" s="46" t="e">
        <f t="shared" si="55"/>
        <v>#DIV/0!</v>
      </c>
      <c r="AL128" s="46" t="e">
        <f>T$3+K128/ATM_Conf!$C$5</f>
        <v>#DIV/0!</v>
      </c>
      <c r="AM128" s="46" t="e">
        <f>U$3+L128/ATM_Conf!$C$5</f>
        <v>#DIV/0!</v>
      </c>
      <c r="AN128" s="46" t="e">
        <f>V$3+M128/ATM_Conf!$C$5</f>
        <v>#DIV/0!</v>
      </c>
      <c r="AO128" s="46" t="e">
        <f>W$3+N128/ATM_Conf!$C$5</f>
        <v>#DIV/0!</v>
      </c>
      <c r="AP128" s="46" t="e">
        <f>X$3+O128/ATM_Conf!$C$5</f>
        <v>#DIV/0!</v>
      </c>
      <c r="AQ128" s="46" t="e">
        <f>Y$3+P128/ATM_Conf!$C$5</f>
        <v>#DIV/0!</v>
      </c>
      <c r="AR128" s="46" t="e">
        <f>Z$3+Q128/ATM_Conf!$C$5</f>
        <v>#DIV/0!</v>
      </c>
      <c r="AS128" s="46" t="e">
        <f>AA$3+R128/ATM_Conf!$C$5</f>
        <v>#DIV/0!</v>
      </c>
      <c r="AT128" s="46" t="e">
        <f>AB$3+S128/ATM_Conf!$C$5</f>
        <v>#DIV/0!</v>
      </c>
      <c r="AU128" s="46" t="e">
        <f>BD$3*MIN(1,(ATM_Conf!$C$6-Links!F128)/(ATM_Conf!$C$6-ATM_Conf!$C$7))</f>
        <v>#DIV/0!</v>
      </c>
      <c r="AV128" s="46" t="e">
        <f>BE$3*MIN(1,(ATM_Conf!$C$6-Links!G128)/(ATM_Conf!$C$6-ATM_Conf!$C$7))</f>
        <v>#DIV/0!</v>
      </c>
      <c r="AW128" s="46" t="e">
        <f>BF$3*MIN(1,(ATM_Conf!$C$6-Links!H128)/(ATM_Conf!$C$6-ATM_Conf!$C$7))</f>
        <v>#DIV/0!</v>
      </c>
      <c r="AX128" s="46" t="e">
        <f>BG$3*MIN(1,(ATM_Conf!$C$6-Links!I128)/(ATM_Conf!$C$6-ATM_Conf!$C$7))</f>
        <v>#DIV/0!</v>
      </c>
      <c r="AY128" s="46" t="e">
        <f>BH$3*MIN(1,(ATM_Conf!$C$6-Links!J128)/(ATM_Conf!$C$6-ATM_Conf!$C$7))</f>
        <v>#DIV/0!</v>
      </c>
      <c r="AZ128" s="46" t="e">
        <f>BI$3*MIN(1,(ATM_Conf!$C$6-Links!K128)/(ATM_Conf!$C$6-ATM_Conf!$C$7))</f>
        <v>#DIV/0!</v>
      </c>
      <c r="BA128" s="46" t="e">
        <f>BJ$3*MIN(1,(ATM_Conf!$C$6-Links!L128)/(ATM_Conf!$C$6-ATM_Conf!$C$7))</f>
        <v>#DIV/0!</v>
      </c>
      <c r="BB128" s="46" t="e">
        <f>BK$3*MIN(1,(ATM_Conf!$C$6-Links!M128)/(ATM_Conf!$C$6-ATM_Conf!$C$7))</f>
        <v>#DIV/0!</v>
      </c>
      <c r="BC128" s="46" t="e">
        <f>BL$3*MIN(1,(ATM_Conf!$C$6-Links!N128)/(ATM_Conf!$C$6-ATM_Conf!$C$7))</f>
        <v>#DIV/0!</v>
      </c>
      <c r="BD128" s="46"/>
      <c r="BE128" s="46"/>
      <c r="BF128" s="46"/>
      <c r="BG128" s="46"/>
      <c r="BH128" s="46"/>
      <c r="BI128" s="46"/>
      <c r="BJ128" s="46"/>
      <c r="BK128" s="46"/>
      <c r="BL128" s="46"/>
      <c r="BM128" s="54"/>
      <c r="BN128" s="54"/>
      <c r="BO128" s="54"/>
      <c r="BP128" s="54"/>
      <c r="BQ128" s="54"/>
      <c r="BR128" s="54"/>
      <c r="BS128" s="54"/>
      <c r="BT128" s="54"/>
      <c r="BU128" s="54"/>
      <c r="BV128" s="46" t="e">
        <f t="shared" si="56"/>
        <v>#DIV/0!</v>
      </c>
      <c r="BW128" s="46" t="e">
        <f t="shared" si="57"/>
        <v>#DIV/0!</v>
      </c>
      <c r="BX128" s="46" t="e">
        <f t="shared" si="58"/>
        <v>#DIV/0!</v>
      </c>
      <c r="BY128" s="46" t="e">
        <f t="shared" si="59"/>
        <v>#DIV/0!</v>
      </c>
      <c r="BZ128" s="46" t="e">
        <f t="shared" si="60"/>
        <v>#DIV/0!</v>
      </c>
      <c r="CA128" s="46" t="e">
        <f t="shared" si="61"/>
        <v>#DIV/0!</v>
      </c>
      <c r="CB128" s="46" t="e">
        <f t="shared" si="62"/>
        <v>#DIV/0!</v>
      </c>
      <c r="CC128" s="46" t="e">
        <f t="shared" si="63"/>
        <v>#DIV/0!</v>
      </c>
      <c r="CD128" s="46" t="e">
        <f t="shared" si="64"/>
        <v>#DIV/0!</v>
      </c>
      <c r="CE128" s="56" t="e">
        <f t="shared" si="65"/>
        <v>#DIV/0!</v>
      </c>
      <c r="CF128" s="56" t="e">
        <f t="shared" si="66"/>
        <v>#DIV/0!</v>
      </c>
      <c r="CG128" s="56" t="e">
        <f t="shared" si="67"/>
        <v>#DIV/0!</v>
      </c>
      <c r="CH128" s="56" t="e">
        <f t="shared" si="68"/>
        <v>#DIV/0!</v>
      </c>
      <c r="CI128" s="56" t="e">
        <f t="shared" si="69"/>
        <v>#DIV/0!</v>
      </c>
      <c r="CJ128" s="56" t="e">
        <f t="shared" si="70"/>
        <v>#DIV/0!</v>
      </c>
      <c r="CK128" s="56" t="e">
        <f t="shared" si="71"/>
        <v>#DIV/0!</v>
      </c>
      <c r="CL128" s="56" t="e">
        <f t="shared" si="72"/>
        <v>#DIV/0!</v>
      </c>
      <c r="CM128" s="56" t="e">
        <f t="shared" si="73"/>
        <v>#DIV/0!</v>
      </c>
    </row>
    <row r="129" spans="1:91" x14ac:dyDescent="0.15">
      <c r="A129" s="43">
        <v>127</v>
      </c>
      <c r="B129" s="46">
        <f t="shared" si="88"/>
        <v>1</v>
      </c>
      <c r="C129" s="46">
        <f t="shared" si="87"/>
        <v>1</v>
      </c>
      <c r="D129" s="46">
        <f t="shared" si="87"/>
        <v>1</v>
      </c>
      <c r="E129" s="46">
        <f t="shared" si="87"/>
        <v>1</v>
      </c>
      <c r="F129" s="46">
        <f t="shared" si="87"/>
        <v>1</v>
      </c>
      <c r="G129" s="46">
        <f t="shared" si="87"/>
        <v>1</v>
      </c>
      <c r="H129" s="46">
        <f t="shared" si="87"/>
        <v>1</v>
      </c>
      <c r="I129" s="46">
        <f t="shared" si="87"/>
        <v>1</v>
      </c>
      <c r="J129" s="46">
        <f t="shared" si="87"/>
        <v>1</v>
      </c>
      <c r="K129" s="46" t="e">
        <f>K128+ATM_Conf!$C$5*(T128-AC128)</f>
        <v>#DIV/0!</v>
      </c>
      <c r="L129" s="46" t="e">
        <f>L128+ATM_Conf!$C$5*(U128-AD128)</f>
        <v>#DIV/0!</v>
      </c>
      <c r="M129" s="46" t="e">
        <f>M128+ATM_Conf!$C$5*(V128-AE128)</f>
        <v>#DIV/0!</v>
      </c>
      <c r="N129" s="46" t="e">
        <f>N128+ATM_Conf!$C$5*(W128-AF128)</f>
        <v>#DIV/0!</v>
      </c>
      <c r="O129" s="46" t="e">
        <f>O128+ATM_Conf!$C$5*(X128-AG128)</f>
        <v>#DIV/0!</v>
      </c>
      <c r="P129" s="46" t="e">
        <f>P128+ATM_Conf!$C$5*(Y128-AH128)</f>
        <v>#DIV/0!</v>
      </c>
      <c r="Q129" s="46" t="e">
        <f>Q128+ATM_Conf!$C$5*(Z128-AI128)</f>
        <v>#DIV/0!</v>
      </c>
      <c r="R129" s="46" t="e">
        <f>R128+ATM_Conf!$C$5*(AA128-AJ128)</f>
        <v>#DIV/0!</v>
      </c>
      <c r="S129" s="46" t="e">
        <f>S128+ATM_Conf!$C$5*(AB128-AK128)</f>
        <v>#DIV/0!</v>
      </c>
      <c r="T129" s="46"/>
      <c r="U129" s="46"/>
      <c r="V129" s="46"/>
      <c r="W129" s="46"/>
      <c r="X129" s="46"/>
      <c r="Y129" s="46"/>
      <c r="Z129" s="46"/>
      <c r="AA129" s="46"/>
      <c r="AB129" s="46"/>
      <c r="AC129" s="46" t="e">
        <f t="shared" si="47"/>
        <v>#DIV/0!</v>
      </c>
      <c r="AD129" s="46" t="e">
        <f t="shared" si="48"/>
        <v>#DIV/0!</v>
      </c>
      <c r="AE129" s="46" t="e">
        <f t="shared" si="49"/>
        <v>#DIV/0!</v>
      </c>
      <c r="AF129" s="46" t="e">
        <f t="shared" si="50"/>
        <v>#DIV/0!</v>
      </c>
      <c r="AG129" s="46" t="e">
        <f t="shared" si="51"/>
        <v>#DIV/0!</v>
      </c>
      <c r="AH129" s="46" t="e">
        <f t="shared" si="52"/>
        <v>#DIV/0!</v>
      </c>
      <c r="AI129" s="46" t="e">
        <f t="shared" si="53"/>
        <v>#DIV/0!</v>
      </c>
      <c r="AJ129" s="46" t="e">
        <f t="shared" si="54"/>
        <v>#DIV/0!</v>
      </c>
      <c r="AK129" s="46" t="e">
        <f t="shared" si="55"/>
        <v>#DIV/0!</v>
      </c>
      <c r="AL129" s="46" t="e">
        <f>T$3+K129/ATM_Conf!$C$5</f>
        <v>#DIV/0!</v>
      </c>
      <c r="AM129" s="46" t="e">
        <f>U$3+L129/ATM_Conf!$C$5</f>
        <v>#DIV/0!</v>
      </c>
      <c r="AN129" s="46" t="e">
        <f>V$3+M129/ATM_Conf!$C$5</f>
        <v>#DIV/0!</v>
      </c>
      <c r="AO129" s="46" t="e">
        <f>W$3+N129/ATM_Conf!$C$5</f>
        <v>#DIV/0!</v>
      </c>
      <c r="AP129" s="46" t="e">
        <f>X$3+O129/ATM_Conf!$C$5</f>
        <v>#DIV/0!</v>
      </c>
      <c r="AQ129" s="46" t="e">
        <f>Y$3+P129/ATM_Conf!$C$5</f>
        <v>#DIV/0!</v>
      </c>
      <c r="AR129" s="46" t="e">
        <f>Z$3+Q129/ATM_Conf!$C$5</f>
        <v>#DIV/0!</v>
      </c>
      <c r="AS129" s="46" t="e">
        <f>AA$3+R129/ATM_Conf!$C$5</f>
        <v>#DIV/0!</v>
      </c>
      <c r="AT129" s="46" t="e">
        <f>AB$3+S129/ATM_Conf!$C$5</f>
        <v>#DIV/0!</v>
      </c>
      <c r="AU129" s="46" t="e">
        <f>BD$3*MIN(1,(ATM_Conf!$C$6-Links!F129)/(ATM_Conf!$C$6-ATM_Conf!$C$7))</f>
        <v>#DIV/0!</v>
      </c>
      <c r="AV129" s="46" t="e">
        <f>BE$3*MIN(1,(ATM_Conf!$C$6-Links!G129)/(ATM_Conf!$C$6-ATM_Conf!$C$7))</f>
        <v>#DIV/0!</v>
      </c>
      <c r="AW129" s="46" t="e">
        <f>BF$3*MIN(1,(ATM_Conf!$C$6-Links!H129)/(ATM_Conf!$C$6-ATM_Conf!$C$7))</f>
        <v>#DIV/0!</v>
      </c>
      <c r="AX129" s="46" t="e">
        <f>BG$3*MIN(1,(ATM_Conf!$C$6-Links!I129)/(ATM_Conf!$C$6-ATM_Conf!$C$7))</f>
        <v>#DIV/0!</v>
      </c>
      <c r="AY129" s="46" t="e">
        <f>BH$3*MIN(1,(ATM_Conf!$C$6-Links!J129)/(ATM_Conf!$C$6-ATM_Conf!$C$7))</f>
        <v>#DIV/0!</v>
      </c>
      <c r="AZ129" s="46" t="e">
        <f>BI$3*MIN(1,(ATM_Conf!$C$6-Links!K129)/(ATM_Conf!$C$6-ATM_Conf!$C$7))</f>
        <v>#DIV/0!</v>
      </c>
      <c r="BA129" s="46" t="e">
        <f>BJ$3*MIN(1,(ATM_Conf!$C$6-Links!L129)/(ATM_Conf!$C$6-ATM_Conf!$C$7))</f>
        <v>#DIV/0!</v>
      </c>
      <c r="BB129" s="46" t="e">
        <f>BK$3*MIN(1,(ATM_Conf!$C$6-Links!M129)/(ATM_Conf!$C$6-ATM_Conf!$C$7))</f>
        <v>#DIV/0!</v>
      </c>
      <c r="BC129" s="46" t="e">
        <f>BL$3*MIN(1,(ATM_Conf!$C$6-Links!N129)/(ATM_Conf!$C$6-ATM_Conf!$C$7))</f>
        <v>#DIV/0!</v>
      </c>
      <c r="BD129" s="46"/>
      <c r="BE129" s="46"/>
      <c r="BF129" s="46"/>
      <c r="BG129" s="46"/>
      <c r="BH129" s="46"/>
      <c r="BI129" s="46"/>
      <c r="BJ129" s="46"/>
      <c r="BK129" s="46"/>
      <c r="BL129" s="46"/>
      <c r="BM129" s="54"/>
      <c r="BN129" s="54"/>
      <c r="BO129" s="54"/>
      <c r="BP129" s="54"/>
      <c r="BQ129" s="54"/>
      <c r="BR129" s="54"/>
      <c r="BS129" s="54"/>
      <c r="BT129" s="54"/>
      <c r="BU129" s="54"/>
      <c r="BV129" s="46" t="e">
        <f t="shared" si="56"/>
        <v>#DIV/0!</v>
      </c>
      <c r="BW129" s="46" t="e">
        <f t="shared" si="57"/>
        <v>#DIV/0!</v>
      </c>
      <c r="BX129" s="46" t="e">
        <f t="shared" si="58"/>
        <v>#DIV/0!</v>
      </c>
      <c r="BY129" s="46" t="e">
        <f t="shared" si="59"/>
        <v>#DIV/0!</v>
      </c>
      <c r="BZ129" s="46" t="e">
        <f t="shared" si="60"/>
        <v>#DIV/0!</v>
      </c>
      <c r="CA129" s="46" t="e">
        <f t="shared" si="61"/>
        <v>#DIV/0!</v>
      </c>
      <c r="CB129" s="46" t="e">
        <f t="shared" si="62"/>
        <v>#DIV/0!</v>
      </c>
      <c r="CC129" s="46" t="e">
        <f t="shared" si="63"/>
        <v>#DIV/0!</v>
      </c>
      <c r="CD129" s="46" t="e">
        <f t="shared" si="64"/>
        <v>#DIV/0!</v>
      </c>
      <c r="CE129" s="56" t="e">
        <f t="shared" si="65"/>
        <v>#DIV/0!</v>
      </c>
      <c r="CF129" s="56" t="e">
        <f t="shared" si="66"/>
        <v>#DIV/0!</v>
      </c>
      <c r="CG129" s="56" t="e">
        <f t="shared" si="67"/>
        <v>#DIV/0!</v>
      </c>
      <c r="CH129" s="56" t="e">
        <f t="shared" si="68"/>
        <v>#DIV/0!</v>
      </c>
      <c r="CI129" s="56" t="e">
        <f t="shared" si="69"/>
        <v>#DIV/0!</v>
      </c>
      <c r="CJ129" s="56" t="e">
        <f t="shared" si="70"/>
        <v>#DIV/0!</v>
      </c>
      <c r="CK129" s="56" t="e">
        <f t="shared" si="71"/>
        <v>#DIV/0!</v>
      </c>
      <c r="CL129" s="56" t="e">
        <f t="shared" si="72"/>
        <v>#DIV/0!</v>
      </c>
      <c r="CM129" s="56" t="e">
        <f t="shared" si="73"/>
        <v>#DIV/0!</v>
      </c>
    </row>
    <row r="130" spans="1:91" x14ac:dyDescent="0.15">
      <c r="A130" s="43">
        <v>128</v>
      </c>
      <c r="B130" s="46">
        <f t="shared" si="88"/>
        <v>1</v>
      </c>
      <c r="C130" s="46">
        <f t="shared" si="87"/>
        <v>1</v>
      </c>
      <c r="D130" s="46">
        <f t="shared" si="87"/>
        <v>1</v>
      </c>
      <c r="E130" s="46">
        <f t="shared" si="87"/>
        <v>1</v>
      </c>
      <c r="F130" s="46">
        <f t="shared" si="87"/>
        <v>1</v>
      </c>
      <c r="G130" s="46">
        <f t="shared" si="87"/>
        <v>1</v>
      </c>
      <c r="H130" s="46">
        <f t="shared" si="87"/>
        <v>1</v>
      </c>
      <c r="I130" s="46">
        <f t="shared" si="87"/>
        <v>1</v>
      </c>
      <c r="J130" s="46">
        <f t="shared" si="87"/>
        <v>1</v>
      </c>
      <c r="K130" s="46" t="e">
        <f>K129+ATM_Conf!$C$5*(T129-AC129)</f>
        <v>#DIV/0!</v>
      </c>
      <c r="L130" s="46" t="e">
        <f>L129+ATM_Conf!$C$5*(U129-AD129)</f>
        <v>#DIV/0!</v>
      </c>
      <c r="M130" s="46" t="e">
        <f>M129+ATM_Conf!$C$5*(V129-AE129)</f>
        <v>#DIV/0!</v>
      </c>
      <c r="N130" s="46" t="e">
        <f>N129+ATM_Conf!$C$5*(W129-AF129)</f>
        <v>#DIV/0!</v>
      </c>
      <c r="O130" s="46" t="e">
        <f>O129+ATM_Conf!$C$5*(X129-AG129)</f>
        <v>#DIV/0!</v>
      </c>
      <c r="P130" s="46" t="e">
        <f>P129+ATM_Conf!$C$5*(Y129-AH129)</f>
        <v>#DIV/0!</v>
      </c>
      <c r="Q130" s="46" t="e">
        <f>Q129+ATM_Conf!$C$5*(Z129-AI129)</f>
        <v>#DIV/0!</v>
      </c>
      <c r="R130" s="46" t="e">
        <f>R129+ATM_Conf!$C$5*(AA129-AJ129)</f>
        <v>#DIV/0!</v>
      </c>
      <c r="S130" s="46" t="e">
        <f>S129+ATM_Conf!$C$5*(AB129-AK129)</f>
        <v>#DIV/0!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 t="e">
        <f t="shared" si="47"/>
        <v>#DIV/0!</v>
      </c>
      <c r="AD130" s="46" t="e">
        <f t="shared" si="48"/>
        <v>#DIV/0!</v>
      </c>
      <c r="AE130" s="46" t="e">
        <f t="shared" si="49"/>
        <v>#DIV/0!</v>
      </c>
      <c r="AF130" s="46" t="e">
        <f t="shared" si="50"/>
        <v>#DIV/0!</v>
      </c>
      <c r="AG130" s="46" t="e">
        <f t="shared" si="51"/>
        <v>#DIV/0!</v>
      </c>
      <c r="AH130" s="46" t="e">
        <f t="shared" si="52"/>
        <v>#DIV/0!</v>
      </c>
      <c r="AI130" s="46" t="e">
        <f t="shared" si="53"/>
        <v>#DIV/0!</v>
      </c>
      <c r="AJ130" s="46" t="e">
        <f t="shared" si="54"/>
        <v>#DIV/0!</v>
      </c>
      <c r="AK130" s="46" t="e">
        <f t="shared" si="55"/>
        <v>#DIV/0!</v>
      </c>
      <c r="AL130" s="46" t="e">
        <f>T$3+K130/ATM_Conf!$C$5</f>
        <v>#DIV/0!</v>
      </c>
      <c r="AM130" s="46" t="e">
        <f>U$3+L130/ATM_Conf!$C$5</f>
        <v>#DIV/0!</v>
      </c>
      <c r="AN130" s="46" t="e">
        <f>V$3+M130/ATM_Conf!$C$5</f>
        <v>#DIV/0!</v>
      </c>
      <c r="AO130" s="46" t="e">
        <f>W$3+N130/ATM_Conf!$C$5</f>
        <v>#DIV/0!</v>
      </c>
      <c r="AP130" s="46" t="e">
        <f>X$3+O130/ATM_Conf!$C$5</f>
        <v>#DIV/0!</v>
      </c>
      <c r="AQ130" s="46" t="e">
        <f>Y$3+P130/ATM_Conf!$C$5</f>
        <v>#DIV/0!</v>
      </c>
      <c r="AR130" s="46" t="e">
        <f>Z$3+Q130/ATM_Conf!$C$5</f>
        <v>#DIV/0!</v>
      </c>
      <c r="AS130" s="46" t="e">
        <f>AA$3+R130/ATM_Conf!$C$5</f>
        <v>#DIV/0!</v>
      </c>
      <c r="AT130" s="46" t="e">
        <f>AB$3+S130/ATM_Conf!$C$5</f>
        <v>#DIV/0!</v>
      </c>
      <c r="AU130" s="46" t="e">
        <f>BD$3*MIN(1,(ATM_Conf!$C$6-Links!F130)/(ATM_Conf!$C$6-ATM_Conf!$C$7))</f>
        <v>#DIV/0!</v>
      </c>
      <c r="AV130" s="46" t="e">
        <f>BE$3*MIN(1,(ATM_Conf!$C$6-Links!G130)/(ATM_Conf!$C$6-ATM_Conf!$C$7))</f>
        <v>#DIV/0!</v>
      </c>
      <c r="AW130" s="46" t="e">
        <f>BF$3*MIN(1,(ATM_Conf!$C$6-Links!H130)/(ATM_Conf!$C$6-ATM_Conf!$C$7))</f>
        <v>#DIV/0!</v>
      </c>
      <c r="AX130" s="46" t="e">
        <f>BG$3*MIN(1,(ATM_Conf!$C$6-Links!I130)/(ATM_Conf!$C$6-ATM_Conf!$C$7))</f>
        <v>#DIV/0!</v>
      </c>
      <c r="AY130" s="46" t="e">
        <f>BH$3*MIN(1,(ATM_Conf!$C$6-Links!J130)/(ATM_Conf!$C$6-ATM_Conf!$C$7))</f>
        <v>#DIV/0!</v>
      </c>
      <c r="AZ130" s="46" t="e">
        <f>BI$3*MIN(1,(ATM_Conf!$C$6-Links!K130)/(ATM_Conf!$C$6-ATM_Conf!$C$7))</f>
        <v>#DIV/0!</v>
      </c>
      <c r="BA130" s="46" t="e">
        <f>BJ$3*MIN(1,(ATM_Conf!$C$6-Links!L130)/(ATM_Conf!$C$6-ATM_Conf!$C$7))</f>
        <v>#DIV/0!</v>
      </c>
      <c r="BB130" s="46" t="e">
        <f>BK$3*MIN(1,(ATM_Conf!$C$6-Links!M130)/(ATM_Conf!$C$6-ATM_Conf!$C$7))</f>
        <v>#DIV/0!</v>
      </c>
      <c r="BC130" s="46" t="e">
        <f>BL$3*MIN(1,(ATM_Conf!$C$6-Links!N130)/(ATM_Conf!$C$6-ATM_Conf!$C$7))</f>
        <v>#DIV/0!</v>
      </c>
      <c r="BD130" s="46"/>
      <c r="BE130" s="46"/>
      <c r="BF130" s="46"/>
      <c r="BG130" s="46"/>
      <c r="BH130" s="46"/>
      <c r="BI130" s="46"/>
      <c r="BJ130" s="46"/>
      <c r="BK130" s="46"/>
      <c r="BL130" s="46"/>
      <c r="BM130" s="54"/>
      <c r="BN130" s="54"/>
      <c r="BO130" s="54"/>
      <c r="BP130" s="54"/>
      <c r="BQ130" s="54"/>
      <c r="BR130" s="54"/>
      <c r="BS130" s="54"/>
      <c r="BT130" s="54"/>
      <c r="BU130" s="54"/>
      <c r="BV130" s="46" t="e">
        <f t="shared" si="56"/>
        <v>#DIV/0!</v>
      </c>
      <c r="BW130" s="46" t="e">
        <f t="shared" si="57"/>
        <v>#DIV/0!</v>
      </c>
      <c r="BX130" s="46" t="e">
        <f t="shared" si="58"/>
        <v>#DIV/0!</v>
      </c>
      <c r="BY130" s="46" t="e">
        <f t="shared" si="59"/>
        <v>#DIV/0!</v>
      </c>
      <c r="BZ130" s="46" t="e">
        <f t="shared" si="60"/>
        <v>#DIV/0!</v>
      </c>
      <c r="CA130" s="46" t="e">
        <f t="shared" si="61"/>
        <v>#DIV/0!</v>
      </c>
      <c r="CB130" s="46" t="e">
        <f t="shared" si="62"/>
        <v>#DIV/0!</v>
      </c>
      <c r="CC130" s="46" t="e">
        <f t="shared" si="63"/>
        <v>#DIV/0!</v>
      </c>
      <c r="CD130" s="46" t="e">
        <f t="shared" si="64"/>
        <v>#DIV/0!</v>
      </c>
      <c r="CE130" s="56" t="e">
        <f t="shared" si="65"/>
        <v>#DIV/0!</v>
      </c>
      <c r="CF130" s="56" t="e">
        <f t="shared" si="66"/>
        <v>#DIV/0!</v>
      </c>
      <c r="CG130" s="56" t="e">
        <f t="shared" si="67"/>
        <v>#DIV/0!</v>
      </c>
      <c r="CH130" s="56" t="e">
        <f t="shared" si="68"/>
        <v>#DIV/0!</v>
      </c>
      <c r="CI130" s="56" t="e">
        <f t="shared" si="69"/>
        <v>#DIV/0!</v>
      </c>
      <c r="CJ130" s="56" t="e">
        <f t="shared" si="70"/>
        <v>#DIV/0!</v>
      </c>
      <c r="CK130" s="56" t="e">
        <f t="shared" si="71"/>
        <v>#DIV/0!</v>
      </c>
      <c r="CL130" s="56" t="e">
        <f t="shared" si="72"/>
        <v>#DIV/0!</v>
      </c>
      <c r="CM130" s="56" t="e">
        <f t="shared" si="73"/>
        <v>#DIV/0!</v>
      </c>
    </row>
    <row r="131" spans="1:91" x14ac:dyDescent="0.15">
      <c r="A131" s="43">
        <v>129</v>
      </c>
      <c r="B131" s="46">
        <f t="shared" si="88"/>
        <v>1</v>
      </c>
      <c r="C131" s="46">
        <f t="shared" si="87"/>
        <v>1</v>
      </c>
      <c r="D131" s="46">
        <f t="shared" si="87"/>
        <v>1</v>
      </c>
      <c r="E131" s="46">
        <f t="shared" si="87"/>
        <v>1</v>
      </c>
      <c r="F131" s="46">
        <f t="shared" si="87"/>
        <v>1</v>
      </c>
      <c r="G131" s="46">
        <f t="shared" si="87"/>
        <v>1</v>
      </c>
      <c r="H131" s="46">
        <f t="shared" si="87"/>
        <v>1</v>
      </c>
      <c r="I131" s="46">
        <f t="shared" si="87"/>
        <v>1</v>
      </c>
      <c r="J131" s="46">
        <f t="shared" si="87"/>
        <v>1</v>
      </c>
      <c r="K131" s="46" t="e">
        <f>K130+ATM_Conf!$C$5*(T130-AC130)</f>
        <v>#DIV/0!</v>
      </c>
      <c r="L131" s="46" t="e">
        <f>L130+ATM_Conf!$C$5*(U130-AD130)</f>
        <v>#DIV/0!</v>
      </c>
      <c r="M131" s="46" t="e">
        <f>M130+ATM_Conf!$C$5*(V130-AE130)</f>
        <v>#DIV/0!</v>
      </c>
      <c r="N131" s="46" t="e">
        <f>N130+ATM_Conf!$C$5*(W130-AF130)</f>
        <v>#DIV/0!</v>
      </c>
      <c r="O131" s="46" t="e">
        <f>O130+ATM_Conf!$C$5*(X130-AG130)</f>
        <v>#DIV/0!</v>
      </c>
      <c r="P131" s="46" t="e">
        <f>P130+ATM_Conf!$C$5*(Y130-AH130)</f>
        <v>#DIV/0!</v>
      </c>
      <c r="Q131" s="46" t="e">
        <f>Q130+ATM_Conf!$C$5*(Z130-AI130)</f>
        <v>#DIV/0!</v>
      </c>
      <c r="R131" s="46" t="e">
        <f>R130+ATM_Conf!$C$5*(AA130-AJ130)</f>
        <v>#DIV/0!</v>
      </c>
      <c r="S131" s="46" t="e">
        <f>S130+ATM_Conf!$C$5*(AB130-AK130)</f>
        <v>#DIV/0!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 t="e">
        <f t="shared" si="47"/>
        <v>#DIV/0!</v>
      </c>
      <c r="AD131" s="46" t="e">
        <f t="shared" si="48"/>
        <v>#DIV/0!</v>
      </c>
      <c r="AE131" s="46" t="e">
        <f t="shared" si="49"/>
        <v>#DIV/0!</v>
      </c>
      <c r="AF131" s="46" t="e">
        <f t="shared" si="50"/>
        <v>#DIV/0!</v>
      </c>
      <c r="AG131" s="46" t="e">
        <f t="shared" si="51"/>
        <v>#DIV/0!</v>
      </c>
      <c r="AH131" s="46" t="e">
        <f t="shared" si="52"/>
        <v>#DIV/0!</v>
      </c>
      <c r="AI131" s="46" t="e">
        <f t="shared" si="53"/>
        <v>#DIV/0!</v>
      </c>
      <c r="AJ131" s="46" t="e">
        <f t="shared" si="54"/>
        <v>#DIV/0!</v>
      </c>
      <c r="AK131" s="46" t="e">
        <f t="shared" si="55"/>
        <v>#DIV/0!</v>
      </c>
      <c r="AL131" s="46" t="e">
        <f>T$3+K131/ATM_Conf!$C$5</f>
        <v>#DIV/0!</v>
      </c>
      <c r="AM131" s="46" t="e">
        <f>U$3+L131/ATM_Conf!$C$5</f>
        <v>#DIV/0!</v>
      </c>
      <c r="AN131" s="46" t="e">
        <f>V$3+M131/ATM_Conf!$C$5</f>
        <v>#DIV/0!</v>
      </c>
      <c r="AO131" s="46" t="e">
        <f>W$3+N131/ATM_Conf!$C$5</f>
        <v>#DIV/0!</v>
      </c>
      <c r="AP131" s="46" t="e">
        <f>X$3+O131/ATM_Conf!$C$5</f>
        <v>#DIV/0!</v>
      </c>
      <c r="AQ131" s="46" t="e">
        <f>Y$3+P131/ATM_Conf!$C$5</f>
        <v>#DIV/0!</v>
      </c>
      <c r="AR131" s="46" t="e">
        <f>Z$3+Q131/ATM_Conf!$C$5</f>
        <v>#DIV/0!</v>
      </c>
      <c r="AS131" s="46" t="e">
        <f>AA$3+R131/ATM_Conf!$C$5</f>
        <v>#DIV/0!</v>
      </c>
      <c r="AT131" s="46" t="e">
        <f>AB$3+S131/ATM_Conf!$C$5</f>
        <v>#DIV/0!</v>
      </c>
      <c r="AU131" s="46" t="e">
        <f>BD$3*MIN(1,(ATM_Conf!$C$6-Links!F131)/(ATM_Conf!$C$6-ATM_Conf!$C$7))</f>
        <v>#DIV/0!</v>
      </c>
      <c r="AV131" s="46" t="e">
        <f>BE$3*MIN(1,(ATM_Conf!$C$6-Links!G131)/(ATM_Conf!$C$6-ATM_Conf!$C$7))</f>
        <v>#DIV/0!</v>
      </c>
      <c r="AW131" s="46" t="e">
        <f>BF$3*MIN(1,(ATM_Conf!$C$6-Links!H131)/(ATM_Conf!$C$6-ATM_Conf!$C$7))</f>
        <v>#DIV/0!</v>
      </c>
      <c r="AX131" s="46" t="e">
        <f>BG$3*MIN(1,(ATM_Conf!$C$6-Links!I131)/(ATM_Conf!$C$6-ATM_Conf!$C$7))</f>
        <v>#DIV/0!</v>
      </c>
      <c r="AY131" s="46" t="e">
        <f>BH$3*MIN(1,(ATM_Conf!$C$6-Links!J131)/(ATM_Conf!$C$6-ATM_Conf!$C$7))</f>
        <v>#DIV/0!</v>
      </c>
      <c r="AZ131" s="46" t="e">
        <f>BI$3*MIN(1,(ATM_Conf!$C$6-Links!K131)/(ATM_Conf!$C$6-ATM_Conf!$C$7))</f>
        <v>#DIV/0!</v>
      </c>
      <c r="BA131" s="46" t="e">
        <f>BJ$3*MIN(1,(ATM_Conf!$C$6-Links!L131)/(ATM_Conf!$C$6-ATM_Conf!$C$7))</f>
        <v>#DIV/0!</v>
      </c>
      <c r="BB131" s="46" t="e">
        <f>BK$3*MIN(1,(ATM_Conf!$C$6-Links!M131)/(ATM_Conf!$C$6-ATM_Conf!$C$7))</f>
        <v>#DIV/0!</v>
      </c>
      <c r="BC131" s="46" t="e">
        <f>BL$3*MIN(1,(ATM_Conf!$C$6-Links!N131)/(ATM_Conf!$C$6-ATM_Conf!$C$7))</f>
        <v>#DIV/0!</v>
      </c>
      <c r="BD131" s="46"/>
      <c r="BE131" s="46"/>
      <c r="BF131" s="46"/>
      <c r="BG131" s="46"/>
      <c r="BH131" s="46"/>
      <c r="BI131" s="46"/>
      <c r="BJ131" s="46"/>
      <c r="BK131" s="46"/>
      <c r="BL131" s="46"/>
      <c r="BM131" s="54"/>
      <c r="BN131" s="54"/>
      <c r="BO131" s="54"/>
      <c r="BP131" s="54"/>
      <c r="BQ131" s="54"/>
      <c r="BR131" s="54"/>
      <c r="BS131" s="54"/>
      <c r="BT131" s="54"/>
      <c r="BU131" s="54"/>
      <c r="BV131" s="46" t="e">
        <f t="shared" si="56"/>
        <v>#DIV/0!</v>
      </c>
      <c r="BW131" s="46" t="e">
        <f t="shared" si="57"/>
        <v>#DIV/0!</v>
      </c>
      <c r="BX131" s="46" t="e">
        <f t="shared" si="58"/>
        <v>#DIV/0!</v>
      </c>
      <c r="BY131" s="46" t="e">
        <f t="shared" si="59"/>
        <v>#DIV/0!</v>
      </c>
      <c r="BZ131" s="46" t="e">
        <f t="shared" si="60"/>
        <v>#DIV/0!</v>
      </c>
      <c r="CA131" s="46" t="e">
        <f t="shared" si="61"/>
        <v>#DIV/0!</v>
      </c>
      <c r="CB131" s="46" t="e">
        <f t="shared" si="62"/>
        <v>#DIV/0!</v>
      </c>
      <c r="CC131" s="46" t="e">
        <f t="shared" si="63"/>
        <v>#DIV/0!</v>
      </c>
      <c r="CD131" s="46" t="e">
        <f t="shared" si="64"/>
        <v>#DIV/0!</v>
      </c>
      <c r="CE131" s="56" t="e">
        <f t="shared" si="65"/>
        <v>#DIV/0!</v>
      </c>
      <c r="CF131" s="56" t="e">
        <f t="shared" si="66"/>
        <v>#DIV/0!</v>
      </c>
      <c r="CG131" s="56" t="e">
        <f t="shared" si="67"/>
        <v>#DIV/0!</v>
      </c>
      <c r="CH131" s="56" t="e">
        <f t="shared" si="68"/>
        <v>#DIV/0!</v>
      </c>
      <c r="CI131" s="56" t="e">
        <f t="shared" si="69"/>
        <v>#DIV/0!</v>
      </c>
      <c r="CJ131" s="56" t="e">
        <f t="shared" si="70"/>
        <v>#DIV/0!</v>
      </c>
      <c r="CK131" s="56" t="e">
        <f t="shared" si="71"/>
        <v>#DIV/0!</v>
      </c>
      <c r="CL131" s="56" t="e">
        <f t="shared" si="72"/>
        <v>#DIV/0!</v>
      </c>
      <c r="CM131" s="56" t="e">
        <f t="shared" si="73"/>
        <v>#DIV/0!</v>
      </c>
    </row>
    <row r="132" spans="1:91" x14ac:dyDescent="0.15">
      <c r="A132" s="43">
        <v>130</v>
      </c>
      <c r="B132" s="46">
        <f t="shared" si="88"/>
        <v>1</v>
      </c>
      <c r="C132" s="46">
        <f t="shared" si="87"/>
        <v>1</v>
      </c>
      <c r="D132" s="46">
        <f t="shared" si="87"/>
        <v>1</v>
      </c>
      <c r="E132" s="46">
        <f t="shared" si="87"/>
        <v>1</v>
      </c>
      <c r="F132" s="46">
        <f t="shared" si="87"/>
        <v>1</v>
      </c>
      <c r="G132" s="46">
        <f t="shared" si="87"/>
        <v>1</v>
      </c>
      <c r="H132" s="46">
        <f t="shared" si="87"/>
        <v>1</v>
      </c>
      <c r="I132" s="46">
        <f t="shared" si="87"/>
        <v>1</v>
      </c>
      <c r="J132" s="46">
        <f t="shared" si="87"/>
        <v>1</v>
      </c>
      <c r="K132" s="46" t="e">
        <f>K131+ATM_Conf!$C$5*(T131-AC131)</f>
        <v>#DIV/0!</v>
      </c>
      <c r="L132" s="46" t="e">
        <f>L131+ATM_Conf!$C$5*(U131-AD131)</f>
        <v>#DIV/0!</v>
      </c>
      <c r="M132" s="46" t="e">
        <f>M131+ATM_Conf!$C$5*(V131-AE131)</f>
        <v>#DIV/0!</v>
      </c>
      <c r="N132" s="46" t="e">
        <f>N131+ATM_Conf!$C$5*(W131-AF131)</f>
        <v>#DIV/0!</v>
      </c>
      <c r="O132" s="46" t="e">
        <f>O131+ATM_Conf!$C$5*(X131-AG131)</f>
        <v>#DIV/0!</v>
      </c>
      <c r="P132" s="46" t="e">
        <f>P131+ATM_Conf!$C$5*(Y131-AH131)</f>
        <v>#DIV/0!</v>
      </c>
      <c r="Q132" s="46" t="e">
        <f>Q131+ATM_Conf!$C$5*(Z131-AI131)</f>
        <v>#DIV/0!</v>
      </c>
      <c r="R132" s="46" t="e">
        <f>R131+ATM_Conf!$C$5*(AA131-AJ131)</f>
        <v>#DIV/0!</v>
      </c>
      <c r="S132" s="46" t="e">
        <f>S131+ATM_Conf!$C$5*(AB131-AK131)</f>
        <v>#DIV/0!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 t="e">
        <f t="shared" ref="AC132:AC182" si="89">B132*MIN(AL132,AU132)</f>
        <v>#DIV/0!</v>
      </c>
      <c r="AD132" s="46" t="e">
        <f t="shared" ref="AD132:AD182" si="90">C132*MIN(AM132,AV132)</f>
        <v>#DIV/0!</v>
      </c>
      <c r="AE132" s="46" t="e">
        <f t="shared" ref="AE132:AE182" si="91">D132*MIN(AN132,AW132)</f>
        <v>#DIV/0!</v>
      </c>
      <c r="AF132" s="46" t="e">
        <f t="shared" ref="AF132:AF182" si="92">E132*MIN(AO132,AX132)</f>
        <v>#DIV/0!</v>
      </c>
      <c r="AG132" s="46" t="e">
        <f t="shared" ref="AG132:AG182" si="93">F132*MIN(AP132,AY132)</f>
        <v>#DIV/0!</v>
      </c>
      <c r="AH132" s="46" t="e">
        <f t="shared" ref="AH132:AH182" si="94">G132*MIN(AQ132,AZ132)</f>
        <v>#DIV/0!</v>
      </c>
      <c r="AI132" s="46" t="e">
        <f t="shared" ref="AI132:AI182" si="95">H132*MIN(AR132,BA132)</f>
        <v>#DIV/0!</v>
      </c>
      <c r="AJ132" s="46" t="e">
        <f t="shared" ref="AJ132:AJ182" si="96">I132*MIN(AS132,BB132)</f>
        <v>#DIV/0!</v>
      </c>
      <c r="AK132" s="46" t="e">
        <f t="shared" ref="AK132:AK182" si="97">J132*MIN(AT132,BC132)</f>
        <v>#DIV/0!</v>
      </c>
      <c r="AL132" s="46" t="e">
        <f>T$3+K132/ATM_Conf!$C$5</f>
        <v>#DIV/0!</v>
      </c>
      <c r="AM132" s="46" t="e">
        <f>U$3+L132/ATM_Conf!$C$5</f>
        <v>#DIV/0!</v>
      </c>
      <c r="AN132" s="46" t="e">
        <f>V$3+M132/ATM_Conf!$C$5</f>
        <v>#DIV/0!</v>
      </c>
      <c r="AO132" s="46" t="e">
        <f>W$3+N132/ATM_Conf!$C$5</f>
        <v>#DIV/0!</v>
      </c>
      <c r="AP132" s="46" t="e">
        <f>X$3+O132/ATM_Conf!$C$5</f>
        <v>#DIV/0!</v>
      </c>
      <c r="AQ132" s="46" t="e">
        <f>Y$3+P132/ATM_Conf!$C$5</f>
        <v>#DIV/0!</v>
      </c>
      <c r="AR132" s="46" t="e">
        <f>Z$3+Q132/ATM_Conf!$C$5</f>
        <v>#DIV/0!</v>
      </c>
      <c r="AS132" s="46" t="e">
        <f>AA$3+R132/ATM_Conf!$C$5</f>
        <v>#DIV/0!</v>
      </c>
      <c r="AT132" s="46" t="e">
        <f>AB$3+S132/ATM_Conf!$C$5</f>
        <v>#DIV/0!</v>
      </c>
      <c r="AU132" s="46" t="e">
        <f>BD$3*MIN(1,(ATM_Conf!$C$6-Links!F132)/(ATM_Conf!$C$6-ATM_Conf!$C$7))</f>
        <v>#DIV/0!</v>
      </c>
      <c r="AV132" s="46" t="e">
        <f>BE$3*MIN(1,(ATM_Conf!$C$6-Links!G132)/(ATM_Conf!$C$6-ATM_Conf!$C$7))</f>
        <v>#DIV/0!</v>
      </c>
      <c r="AW132" s="46" t="e">
        <f>BF$3*MIN(1,(ATM_Conf!$C$6-Links!H132)/(ATM_Conf!$C$6-ATM_Conf!$C$7))</f>
        <v>#DIV/0!</v>
      </c>
      <c r="AX132" s="46" t="e">
        <f>BG$3*MIN(1,(ATM_Conf!$C$6-Links!I132)/(ATM_Conf!$C$6-ATM_Conf!$C$7))</f>
        <v>#DIV/0!</v>
      </c>
      <c r="AY132" s="46" t="e">
        <f>BH$3*MIN(1,(ATM_Conf!$C$6-Links!J132)/(ATM_Conf!$C$6-ATM_Conf!$C$7))</f>
        <v>#DIV/0!</v>
      </c>
      <c r="AZ132" s="46" t="e">
        <f>BI$3*MIN(1,(ATM_Conf!$C$6-Links!K132)/(ATM_Conf!$C$6-ATM_Conf!$C$7))</f>
        <v>#DIV/0!</v>
      </c>
      <c r="BA132" s="46" t="e">
        <f>BJ$3*MIN(1,(ATM_Conf!$C$6-Links!L132)/(ATM_Conf!$C$6-ATM_Conf!$C$7))</f>
        <v>#DIV/0!</v>
      </c>
      <c r="BB132" s="46" t="e">
        <f>BK$3*MIN(1,(ATM_Conf!$C$6-Links!M132)/(ATM_Conf!$C$6-ATM_Conf!$C$7))</f>
        <v>#DIV/0!</v>
      </c>
      <c r="BC132" s="46" t="e">
        <f>BL$3*MIN(1,(ATM_Conf!$C$6-Links!N132)/(ATM_Conf!$C$6-ATM_Conf!$C$7))</f>
        <v>#DIV/0!</v>
      </c>
      <c r="BD132" s="46"/>
      <c r="BE132" s="46"/>
      <c r="BF132" s="46"/>
      <c r="BG132" s="46"/>
      <c r="BH132" s="46"/>
      <c r="BI132" s="46"/>
      <c r="BJ132" s="46"/>
      <c r="BK132" s="46"/>
      <c r="BL132" s="46"/>
      <c r="BM132" s="54"/>
      <c r="BN132" s="54"/>
      <c r="BO132" s="54"/>
      <c r="BP132" s="54"/>
      <c r="BQ132" s="54"/>
      <c r="BR132" s="54"/>
      <c r="BS132" s="54"/>
      <c r="BT132" s="54"/>
      <c r="BU132" s="54"/>
      <c r="BV132" s="46" t="e">
        <f t="shared" ref="BV132:BV181" si="98">K132/B$190</f>
        <v>#DIV/0!</v>
      </c>
      <c r="BW132" s="46" t="e">
        <f t="shared" ref="BW132:BW181" si="99">L132/C$190</f>
        <v>#DIV/0!</v>
      </c>
      <c r="BX132" s="46" t="e">
        <f t="shared" ref="BX132:BX181" si="100">M132/D$190</f>
        <v>#DIV/0!</v>
      </c>
      <c r="BY132" s="46" t="e">
        <f t="shared" ref="BY132:BY181" si="101">N132/E$190</f>
        <v>#DIV/0!</v>
      </c>
      <c r="BZ132" s="46" t="e">
        <f t="shared" ref="BZ132:BZ181" si="102">O132/F$190</f>
        <v>#DIV/0!</v>
      </c>
      <c r="CA132" s="46" t="e">
        <f t="shared" ref="CA132:CA181" si="103">P132/G$190</f>
        <v>#DIV/0!</v>
      </c>
      <c r="CB132" s="46" t="e">
        <f t="shared" ref="CB132:CB181" si="104">Q132/H$190</f>
        <v>#DIV/0!</v>
      </c>
      <c r="CC132" s="46" t="e">
        <f t="shared" ref="CC132:CC181" si="105">R132/I$190</f>
        <v>#DIV/0!</v>
      </c>
      <c r="CD132" s="46" t="e">
        <f t="shared" ref="CD132:CD181" si="106">S132/J$190</f>
        <v>#DIV/0!</v>
      </c>
      <c r="CE132" s="56" t="e">
        <f t="shared" ref="CE132:CE181" si="107">AC132/BV132</f>
        <v>#DIV/0!</v>
      </c>
      <c r="CF132" s="56" t="e">
        <f t="shared" ref="CF132:CF181" si="108">AD132/BW132</f>
        <v>#DIV/0!</v>
      </c>
      <c r="CG132" s="56" t="e">
        <f t="shared" ref="CG132:CG181" si="109">AE132/BX132</f>
        <v>#DIV/0!</v>
      </c>
      <c r="CH132" s="56" t="e">
        <f t="shared" ref="CH132:CH181" si="110">AF132/BY132</f>
        <v>#DIV/0!</v>
      </c>
      <c r="CI132" s="56" t="e">
        <f t="shared" ref="CI132:CI181" si="111">AG132/BZ132</f>
        <v>#DIV/0!</v>
      </c>
      <c r="CJ132" s="56" t="e">
        <f t="shared" ref="CJ132:CJ181" si="112">AH132/CA132</f>
        <v>#DIV/0!</v>
      </c>
      <c r="CK132" s="56" t="e">
        <f t="shared" ref="CK132:CK181" si="113">AI132/CB132</f>
        <v>#DIV/0!</v>
      </c>
      <c r="CL132" s="56" t="e">
        <f t="shared" ref="CL132:CL181" si="114">AJ132/CC132</f>
        <v>#DIV/0!</v>
      </c>
      <c r="CM132" s="56" t="e">
        <f t="shared" ref="CM132:CM181" si="115">AK132/CD132</f>
        <v>#DIV/0!</v>
      </c>
    </row>
    <row r="133" spans="1:91" x14ac:dyDescent="0.15">
      <c r="A133" s="43">
        <v>131</v>
      </c>
      <c r="B133" s="46">
        <f t="shared" si="88"/>
        <v>1</v>
      </c>
      <c r="C133" s="46">
        <f t="shared" si="87"/>
        <v>1</v>
      </c>
      <c r="D133" s="46">
        <f t="shared" si="87"/>
        <v>1</v>
      </c>
      <c r="E133" s="46">
        <f t="shared" si="87"/>
        <v>1</v>
      </c>
      <c r="F133" s="46">
        <f t="shared" si="87"/>
        <v>1</v>
      </c>
      <c r="G133" s="46">
        <f t="shared" si="87"/>
        <v>1</v>
      </c>
      <c r="H133" s="46">
        <f t="shared" si="87"/>
        <v>1</v>
      </c>
      <c r="I133" s="46">
        <f t="shared" si="87"/>
        <v>1</v>
      </c>
      <c r="J133" s="46">
        <f t="shared" si="87"/>
        <v>1</v>
      </c>
      <c r="K133" s="46" t="e">
        <f>K132+ATM_Conf!$C$5*(T132-AC132)</f>
        <v>#DIV/0!</v>
      </c>
      <c r="L133" s="46" t="e">
        <f>L132+ATM_Conf!$C$5*(U132-AD132)</f>
        <v>#DIV/0!</v>
      </c>
      <c r="M133" s="46" t="e">
        <f>M132+ATM_Conf!$C$5*(V132-AE132)</f>
        <v>#DIV/0!</v>
      </c>
      <c r="N133" s="46" t="e">
        <f>N132+ATM_Conf!$C$5*(W132-AF132)</f>
        <v>#DIV/0!</v>
      </c>
      <c r="O133" s="46" t="e">
        <f>O132+ATM_Conf!$C$5*(X132-AG132)</f>
        <v>#DIV/0!</v>
      </c>
      <c r="P133" s="46" t="e">
        <f>P132+ATM_Conf!$C$5*(Y132-AH132)</f>
        <v>#DIV/0!</v>
      </c>
      <c r="Q133" s="46" t="e">
        <f>Q132+ATM_Conf!$C$5*(Z132-AI132)</f>
        <v>#DIV/0!</v>
      </c>
      <c r="R133" s="46" t="e">
        <f>R132+ATM_Conf!$C$5*(AA132-AJ132)</f>
        <v>#DIV/0!</v>
      </c>
      <c r="S133" s="46" t="e">
        <f>S132+ATM_Conf!$C$5*(AB132-AK132)</f>
        <v>#DIV/0!</v>
      </c>
      <c r="T133" s="46"/>
      <c r="U133" s="46"/>
      <c r="V133" s="46"/>
      <c r="W133" s="46"/>
      <c r="X133" s="46"/>
      <c r="Y133" s="46"/>
      <c r="Z133" s="46"/>
      <c r="AA133" s="46"/>
      <c r="AB133" s="46"/>
      <c r="AC133" s="46" t="e">
        <f t="shared" si="89"/>
        <v>#DIV/0!</v>
      </c>
      <c r="AD133" s="46" t="e">
        <f t="shared" si="90"/>
        <v>#DIV/0!</v>
      </c>
      <c r="AE133" s="46" t="e">
        <f t="shared" si="91"/>
        <v>#DIV/0!</v>
      </c>
      <c r="AF133" s="46" t="e">
        <f t="shared" si="92"/>
        <v>#DIV/0!</v>
      </c>
      <c r="AG133" s="46" t="e">
        <f t="shared" si="93"/>
        <v>#DIV/0!</v>
      </c>
      <c r="AH133" s="46" t="e">
        <f t="shared" si="94"/>
        <v>#DIV/0!</v>
      </c>
      <c r="AI133" s="46" t="e">
        <f t="shared" si="95"/>
        <v>#DIV/0!</v>
      </c>
      <c r="AJ133" s="46" t="e">
        <f t="shared" si="96"/>
        <v>#DIV/0!</v>
      </c>
      <c r="AK133" s="46" t="e">
        <f t="shared" si="97"/>
        <v>#DIV/0!</v>
      </c>
      <c r="AL133" s="46" t="e">
        <f>T$3+K133/ATM_Conf!$C$5</f>
        <v>#DIV/0!</v>
      </c>
      <c r="AM133" s="46" t="e">
        <f>U$3+L133/ATM_Conf!$C$5</f>
        <v>#DIV/0!</v>
      </c>
      <c r="AN133" s="46" t="e">
        <f>V$3+M133/ATM_Conf!$C$5</f>
        <v>#DIV/0!</v>
      </c>
      <c r="AO133" s="46" t="e">
        <f>W$3+N133/ATM_Conf!$C$5</f>
        <v>#DIV/0!</v>
      </c>
      <c r="AP133" s="46" t="e">
        <f>X$3+O133/ATM_Conf!$C$5</f>
        <v>#DIV/0!</v>
      </c>
      <c r="AQ133" s="46" t="e">
        <f>Y$3+P133/ATM_Conf!$C$5</f>
        <v>#DIV/0!</v>
      </c>
      <c r="AR133" s="46" t="e">
        <f>Z$3+Q133/ATM_Conf!$C$5</f>
        <v>#DIV/0!</v>
      </c>
      <c r="AS133" s="46" t="e">
        <f>AA$3+R133/ATM_Conf!$C$5</f>
        <v>#DIV/0!</v>
      </c>
      <c r="AT133" s="46" t="e">
        <f>AB$3+S133/ATM_Conf!$C$5</f>
        <v>#DIV/0!</v>
      </c>
      <c r="AU133" s="46" t="e">
        <f>BD$3*MIN(1,(ATM_Conf!$C$6-Links!F133)/(ATM_Conf!$C$6-ATM_Conf!$C$7))</f>
        <v>#DIV/0!</v>
      </c>
      <c r="AV133" s="46" t="e">
        <f>BE$3*MIN(1,(ATM_Conf!$C$6-Links!G133)/(ATM_Conf!$C$6-ATM_Conf!$C$7))</f>
        <v>#DIV/0!</v>
      </c>
      <c r="AW133" s="46" t="e">
        <f>BF$3*MIN(1,(ATM_Conf!$C$6-Links!H133)/(ATM_Conf!$C$6-ATM_Conf!$C$7))</f>
        <v>#DIV/0!</v>
      </c>
      <c r="AX133" s="46" t="e">
        <f>BG$3*MIN(1,(ATM_Conf!$C$6-Links!I133)/(ATM_Conf!$C$6-ATM_Conf!$C$7))</f>
        <v>#DIV/0!</v>
      </c>
      <c r="AY133" s="46" t="e">
        <f>BH$3*MIN(1,(ATM_Conf!$C$6-Links!J133)/(ATM_Conf!$C$6-ATM_Conf!$C$7))</f>
        <v>#DIV/0!</v>
      </c>
      <c r="AZ133" s="46" t="e">
        <f>BI$3*MIN(1,(ATM_Conf!$C$6-Links!K133)/(ATM_Conf!$C$6-ATM_Conf!$C$7))</f>
        <v>#DIV/0!</v>
      </c>
      <c r="BA133" s="46" t="e">
        <f>BJ$3*MIN(1,(ATM_Conf!$C$6-Links!L133)/(ATM_Conf!$C$6-ATM_Conf!$C$7))</f>
        <v>#DIV/0!</v>
      </c>
      <c r="BB133" s="46" t="e">
        <f>BK$3*MIN(1,(ATM_Conf!$C$6-Links!M133)/(ATM_Conf!$C$6-ATM_Conf!$C$7))</f>
        <v>#DIV/0!</v>
      </c>
      <c r="BC133" s="46" t="e">
        <f>BL$3*MIN(1,(ATM_Conf!$C$6-Links!N133)/(ATM_Conf!$C$6-ATM_Conf!$C$7))</f>
        <v>#DIV/0!</v>
      </c>
      <c r="BD133" s="46"/>
      <c r="BE133" s="46"/>
      <c r="BF133" s="46"/>
      <c r="BG133" s="46"/>
      <c r="BH133" s="46"/>
      <c r="BI133" s="46"/>
      <c r="BJ133" s="46"/>
      <c r="BK133" s="46"/>
      <c r="BL133" s="46"/>
      <c r="BM133" s="54"/>
      <c r="BN133" s="54"/>
      <c r="BO133" s="54"/>
      <c r="BP133" s="54"/>
      <c r="BQ133" s="54"/>
      <c r="BR133" s="54"/>
      <c r="BS133" s="54"/>
      <c r="BT133" s="54"/>
      <c r="BU133" s="54"/>
      <c r="BV133" s="46" t="e">
        <f t="shared" si="98"/>
        <v>#DIV/0!</v>
      </c>
      <c r="BW133" s="46" t="e">
        <f t="shared" si="99"/>
        <v>#DIV/0!</v>
      </c>
      <c r="BX133" s="46" t="e">
        <f t="shared" si="100"/>
        <v>#DIV/0!</v>
      </c>
      <c r="BY133" s="46" t="e">
        <f t="shared" si="101"/>
        <v>#DIV/0!</v>
      </c>
      <c r="BZ133" s="46" t="e">
        <f t="shared" si="102"/>
        <v>#DIV/0!</v>
      </c>
      <c r="CA133" s="46" t="e">
        <f t="shared" si="103"/>
        <v>#DIV/0!</v>
      </c>
      <c r="CB133" s="46" t="e">
        <f t="shared" si="104"/>
        <v>#DIV/0!</v>
      </c>
      <c r="CC133" s="46" t="e">
        <f t="shared" si="105"/>
        <v>#DIV/0!</v>
      </c>
      <c r="CD133" s="46" t="e">
        <f t="shared" si="106"/>
        <v>#DIV/0!</v>
      </c>
      <c r="CE133" s="56" t="e">
        <f t="shared" si="107"/>
        <v>#DIV/0!</v>
      </c>
      <c r="CF133" s="56" t="e">
        <f t="shared" si="108"/>
        <v>#DIV/0!</v>
      </c>
      <c r="CG133" s="56" t="e">
        <f t="shared" si="109"/>
        <v>#DIV/0!</v>
      </c>
      <c r="CH133" s="56" t="e">
        <f t="shared" si="110"/>
        <v>#DIV/0!</v>
      </c>
      <c r="CI133" s="56" t="e">
        <f t="shared" si="111"/>
        <v>#DIV/0!</v>
      </c>
      <c r="CJ133" s="56" t="e">
        <f t="shared" si="112"/>
        <v>#DIV/0!</v>
      </c>
      <c r="CK133" s="56" t="e">
        <f t="shared" si="113"/>
        <v>#DIV/0!</v>
      </c>
      <c r="CL133" s="56" t="e">
        <f t="shared" si="114"/>
        <v>#DIV/0!</v>
      </c>
      <c r="CM133" s="56" t="e">
        <f t="shared" si="115"/>
        <v>#DIV/0!</v>
      </c>
    </row>
    <row r="134" spans="1:91" x14ac:dyDescent="0.15">
      <c r="A134" s="43">
        <v>132</v>
      </c>
      <c r="B134" s="46">
        <f t="shared" si="88"/>
        <v>1</v>
      </c>
      <c r="C134" s="46">
        <f t="shared" si="87"/>
        <v>1</v>
      </c>
      <c r="D134" s="46">
        <f t="shared" si="87"/>
        <v>1</v>
      </c>
      <c r="E134" s="46">
        <f t="shared" si="87"/>
        <v>1</v>
      </c>
      <c r="F134" s="46">
        <f t="shared" si="87"/>
        <v>1</v>
      </c>
      <c r="G134" s="46">
        <f t="shared" si="87"/>
        <v>1</v>
      </c>
      <c r="H134" s="46">
        <f t="shared" si="87"/>
        <v>1</v>
      </c>
      <c r="I134" s="46">
        <f t="shared" si="87"/>
        <v>1</v>
      </c>
      <c r="J134" s="46">
        <f t="shared" si="87"/>
        <v>1</v>
      </c>
      <c r="K134" s="46" t="e">
        <f>K133+ATM_Conf!$C$5*(T133-AC133)</f>
        <v>#DIV/0!</v>
      </c>
      <c r="L134" s="46" t="e">
        <f>L133+ATM_Conf!$C$5*(U133-AD133)</f>
        <v>#DIV/0!</v>
      </c>
      <c r="M134" s="46" t="e">
        <f>M133+ATM_Conf!$C$5*(V133-AE133)</f>
        <v>#DIV/0!</v>
      </c>
      <c r="N134" s="46" t="e">
        <f>N133+ATM_Conf!$C$5*(W133-AF133)</f>
        <v>#DIV/0!</v>
      </c>
      <c r="O134" s="46" t="e">
        <f>O133+ATM_Conf!$C$5*(X133-AG133)</f>
        <v>#DIV/0!</v>
      </c>
      <c r="P134" s="46" t="e">
        <f>P133+ATM_Conf!$C$5*(Y133-AH133)</f>
        <v>#DIV/0!</v>
      </c>
      <c r="Q134" s="46" t="e">
        <f>Q133+ATM_Conf!$C$5*(Z133-AI133)</f>
        <v>#DIV/0!</v>
      </c>
      <c r="R134" s="46" t="e">
        <f>R133+ATM_Conf!$C$5*(AA133-AJ133)</f>
        <v>#DIV/0!</v>
      </c>
      <c r="S134" s="46" t="e">
        <f>S133+ATM_Conf!$C$5*(AB133-AK133)</f>
        <v>#DIV/0!</v>
      </c>
      <c r="T134" s="46"/>
      <c r="U134" s="46"/>
      <c r="V134" s="46"/>
      <c r="W134" s="46"/>
      <c r="X134" s="46"/>
      <c r="Y134" s="46"/>
      <c r="Z134" s="46"/>
      <c r="AA134" s="46"/>
      <c r="AB134" s="46"/>
      <c r="AC134" s="46" t="e">
        <f t="shared" si="89"/>
        <v>#DIV/0!</v>
      </c>
      <c r="AD134" s="46" t="e">
        <f t="shared" si="90"/>
        <v>#DIV/0!</v>
      </c>
      <c r="AE134" s="46" t="e">
        <f t="shared" si="91"/>
        <v>#DIV/0!</v>
      </c>
      <c r="AF134" s="46" t="e">
        <f t="shared" si="92"/>
        <v>#DIV/0!</v>
      </c>
      <c r="AG134" s="46" t="e">
        <f t="shared" si="93"/>
        <v>#DIV/0!</v>
      </c>
      <c r="AH134" s="46" t="e">
        <f t="shared" si="94"/>
        <v>#DIV/0!</v>
      </c>
      <c r="AI134" s="46" t="e">
        <f t="shared" si="95"/>
        <v>#DIV/0!</v>
      </c>
      <c r="AJ134" s="46" t="e">
        <f t="shared" si="96"/>
        <v>#DIV/0!</v>
      </c>
      <c r="AK134" s="46" t="e">
        <f t="shared" si="97"/>
        <v>#DIV/0!</v>
      </c>
      <c r="AL134" s="46" t="e">
        <f>T$3+K134/ATM_Conf!$C$5</f>
        <v>#DIV/0!</v>
      </c>
      <c r="AM134" s="46" t="e">
        <f>U$3+L134/ATM_Conf!$C$5</f>
        <v>#DIV/0!</v>
      </c>
      <c r="AN134" s="46" t="e">
        <f>V$3+M134/ATM_Conf!$C$5</f>
        <v>#DIV/0!</v>
      </c>
      <c r="AO134" s="46" t="e">
        <f>W$3+N134/ATM_Conf!$C$5</f>
        <v>#DIV/0!</v>
      </c>
      <c r="AP134" s="46" t="e">
        <f>X$3+O134/ATM_Conf!$C$5</f>
        <v>#DIV/0!</v>
      </c>
      <c r="AQ134" s="46" t="e">
        <f>Y$3+P134/ATM_Conf!$C$5</f>
        <v>#DIV/0!</v>
      </c>
      <c r="AR134" s="46" t="e">
        <f>Z$3+Q134/ATM_Conf!$C$5</f>
        <v>#DIV/0!</v>
      </c>
      <c r="AS134" s="46" t="e">
        <f>AA$3+R134/ATM_Conf!$C$5</f>
        <v>#DIV/0!</v>
      </c>
      <c r="AT134" s="46" t="e">
        <f>AB$3+S134/ATM_Conf!$C$5</f>
        <v>#DIV/0!</v>
      </c>
      <c r="AU134" s="46" t="e">
        <f>BD$3*MIN(1,(ATM_Conf!$C$6-Links!F134)/(ATM_Conf!$C$6-ATM_Conf!$C$7))</f>
        <v>#DIV/0!</v>
      </c>
      <c r="AV134" s="46" t="e">
        <f>BE$3*MIN(1,(ATM_Conf!$C$6-Links!G134)/(ATM_Conf!$C$6-ATM_Conf!$C$7))</f>
        <v>#DIV/0!</v>
      </c>
      <c r="AW134" s="46" t="e">
        <f>BF$3*MIN(1,(ATM_Conf!$C$6-Links!H134)/(ATM_Conf!$C$6-ATM_Conf!$C$7))</f>
        <v>#DIV/0!</v>
      </c>
      <c r="AX134" s="46" t="e">
        <f>BG$3*MIN(1,(ATM_Conf!$C$6-Links!I134)/(ATM_Conf!$C$6-ATM_Conf!$C$7))</f>
        <v>#DIV/0!</v>
      </c>
      <c r="AY134" s="46" t="e">
        <f>BH$3*MIN(1,(ATM_Conf!$C$6-Links!J134)/(ATM_Conf!$C$6-ATM_Conf!$C$7))</f>
        <v>#DIV/0!</v>
      </c>
      <c r="AZ134" s="46" t="e">
        <f>BI$3*MIN(1,(ATM_Conf!$C$6-Links!K134)/(ATM_Conf!$C$6-ATM_Conf!$C$7))</f>
        <v>#DIV/0!</v>
      </c>
      <c r="BA134" s="46" t="e">
        <f>BJ$3*MIN(1,(ATM_Conf!$C$6-Links!L134)/(ATM_Conf!$C$6-ATM_Conf!$C$7))</f>
        <v>#DIV/0!</v>
      </c>
      <c r="BB134" s="46" t="e">
        <f>BK$3*MIN(1,(ATM_Conf!$C$6-Links!M134)/(ATM_Conf!$C$6-ATM_Conf!$C$7))</f>
        <v>#DIV/0!</v>
      </c>
      <c r="BC134" s="46" t="e">
        <f>BL$3*MIN(1,(ATM_Conf!$C$6-Links!N134)/(ATM_Conf!$C$6-ATM_Conf!$C$7))</f>
        <v>#DIV/0!</v>
      </c>
      <c r="BD134" s="46"/>
      <c r="BE134" s="46"/>
      <c r="BF134" s="46"/>
      <c r="BG134" s="46"/>
      <c r="BH134" s="46"/>
      <c r="BI134" s="46"/>
      <c r="BJ134" s="46"/>
      <c r="BK134" s="46"/>
      <c r="BL134" s="46"/>
      <c r="BM134" s="54"/>
      <c r="BN134" s="54"/>
      <c r="BO134" s="54"/>
      <c r="BP134" s="54"/>
      <c r="BQ134" s="54"/>
      <c r="BR134" s="54"/>
      <c r="BS134" s="54"/>
      <c r="BT134" s="54"/>
      <c r="BU134" s="54"/>
      <c r="BV134" s="46" t="e">
        <f t="shared" si="98"/>
        <v>#DIV/0!</v>
      </c>
      <c r="BW134" s="46" t="e">
        <f t="shared" si="99"/>
        <v>#DIV/0!</v>
      </c>
      <c r="BX134" s="46" t="e">
        <f t="shared" si="100"/>
        <v>#DIV/0!</v>
      </c>
      <c r="BY134" s="46" t="e">
        <f t="shared" si="101"/>
        <v>#DIV/0!</v>
      </c>
      <c r="BZ134" s="46" t="e">
        <f t="shared" si="102"/>
        <v>#DIV/0!</v>
      </c>
      <c r="CA134" s="46" t="e">
        <f t="shared" si="103"/>
        <v>#DIV/0!</v>
      </c>
      <c r="CB134" s="46" t="e">
        <f t="shared" si="104"/>
        <v>#DIV/0!</v>
      </c>
      <c r="CC134" s="46" t="e">
        <f t="shared" si="105"/>
        <v>#DIV/0!</v>
      </c>
      <c r="CD134" s="46" t="e">
        <f t="shared" si="106"/>
        <v>#DIV/0!</v>
      </c>
      <c r="CE134" s="56" t="e">
        <f t="shared" si="107"/>
        <v>#DIV/0!</v>
      </c>
      <c r="CF134" s="56" t="e">
        <f t="shared" si="108"/>
        <v>#DIV/0!</v>
      </c>
      <c r="CG134" s="56" t="e">
        <f t="shared" si="109"/>
        <v>#DIV/0!</v>
      </c>
      <c r="CH134" s="56" t="e">
        <f t="shared" si="110"/>
        <v>#DIV/0!</v>
      </c>
      <c r="CI134" s="56" t="e">
        <f t="shared" si="111"/>
        <v>#DIV/0!</v>
      </c>
      <c r="CJ134" s="56" t="e">
        <f t="shared" si="112"/>
        <v>#DIV/0!</v>
      </c>
      <c r="CK134" s="56" t="e">
        <f t="shared" si="113"/>
        <v>#DIV/0!</v>
      </c>
      <c r="CL134" s="56" t="e">
        <f t="shared" si="114"/>
        <v>#DIV/0!</v>
      </c>
      <c r="CM134" s="56" t="e">
        <f t="shared" si="115"/>
        <v>#DIV/0!</v>
      </c>
    </row>
    <row r="135" spans="1:91" x14ac:dyDescent="0.15">
      <c r="A135" s="43">
        <v>133</v>
      </c>
      <c r="B135" s="48">
        <v>1</v>
      </c>
      <c r="C135" s="48">
        <v>1</v>
      </c>
      <c r="D135" s="48">
        <v>1</v>
      </c>
      <c r="E135" s="48">
        <v>1</v>
      </c>
      <c r="F135" s="48">
        <v>1</v>
      </c>
      <c r="G135" s="48">
        <v>1</v>
      </c>
      <c r="H135" s="48">
        <v>1</v>
      </c>
      <c r="I135" s="48">
        <v>1</v>
      </c>
      <c r="J135" s="48">
        <v>1</v>
      </c>
      <c r="K135" s="46" t="e">
        <f>K134+ATM_Conf!$C$5*(T134-AC134)</f>
        <v>#DIV/0!</v>
      </c>
      <c r="L135" s="46" t="e">
        <f>L134+ATM_Conf!$C$5*(U134-AD134)</f>
        <v>#DIV/0!</v>
      </c>
      <c r="M135" s="46" t="e">
        <f>M134+ATM_Conf!$C$5*(V134-AE134)</f>
        <v>#DIV/0!</v>
      </c>
      <c r="N135" s="46" t="e">
        <f>N134+ATM_Conf!$C$5*(W134-AF134)</f>
        <v>#DIV/0!</v>
      </c>
      <c r="O135" s="46" t="e">
        <f>O134+ATM_Conf!$C$5*(X134-AG134)</f>
        <v>#DIV/0!</v>
      </c>
      <c r="P135" s="46" t="e">
        <f>P134+ATM_Conf!$C$5*(Y134-AH134)</f>
        <v>#DIV/0!</v>
      </c>
      <c r="Q135" s="46" t="e">
        <f>Q134+ATM_Conf!$C$5*(Z134-AI134)</f>
        <v>#DIV/0!</v>
      </c>
      <c r="R135" s="46" t="e">
        <f>R134+ATM_Conf!$C$5*(AA134-AJ134)</f>
        <v>#DIV/0!</v>
      </c>
      <c r="S135" s="46" t="e">
        <f>S134+ATM_Conf!$C$5*(AB134-AK134)</f>
        <v>#DIV/0!</v>
      </c>
      <c r="T135" s="46"/>
      <c r="U135" s="46"/>
      <c r="V135" s="46"/>
      <c r="W135" s="46"/>
      <c r="X135" s="46"/>
      <c r="Y135" s="46"/>
      <c r="Z135" s="46"/>
      <c r="AA135" s="46"/>
      <c r="AB135" s="46"/>
      <c r="AC135" s="46" t="e">
        <f t="shared" si="89"/>
        <v>#DIV/0!</v>
      </c>
      <c r="AD135" s="46" t="e">
        <f t="shared" si="90"/>
        <v>#DIV/0!</v>
      </c>
      <c r="AE135" s="46" t="e">
        <f t="shared" si="91"/>
        <v>#DIV/0!</v>
      </c>
      <c r="AF135" s="46" t="e">
        <f t="shared" si="92"/>
        <v>#DIV/0!</v>
      </c>
      <c r="AG135" s="46" t="e">
        <f t="shared" si="93"/>
        <v>#DIV/0!</v>
      </c>
      <c r="AH135" s="46" t="e">
        <f t="shared" si="94"/>
        <v>#DIV/0!</v>
      </c>
      <c r="AI135" s="46" t="e">
        <f t="shared" si="95"/>
        <v>#DIV/0!</v>
      </c>
      <c r="AJ135" s="46" t="e">
        <f t="shared" si="96"/>
        <v>#DIV/0!</v>
      </c>
      <c r="AK135" s="46" t="e">
        <f t="shared" si="97"/>
        <v>#DIV/0!</v>
      </c>
      <c r="AL135" s="46" t="e">
        <f>T$3+K135/ATM_Conf!$C$5</f>
        <v>#DIV/0!</v>
      </c>
      <c r="AM135" s="46" t="e">
        <f>U$3+L135/ATM_Conf!$C$5</f>
        <v>#DIV/0!</v>
      </c>
      <c r="AN135" s="46" t="e">
        <f>V$3+M135/ATM_Conf!$C$5</f>
        <v>#DIV/0!</v>
      </c>
      <c r="AO135" s="46" t="e">
        <f>W$3+N135/ATM_Conf!$C$5</f>
        <v>#DIV/0!</v>
      </c>
      <c r="AP135" s="46" t="e">
        <f>X$3+O135/ATM_Conf!$C$5</f>
        <v>#DIV/0!</v>
      </c>
      <c r="AQ135" s="46" t="e">
        <f>Y$3+P135/ATM_Conf!$C$5</f>
        <v>#DIV/0!</v>
      </c>
      <c r="AR135" s="46" t="e">
        <f>Z$3+Q135/ATM_Conf!$C$5</f>
        <v>#DIV/0!</v>
      </c>
      <c r="AS135" s="46" t="e">
        <f>AA$3+R135/ATM_Conf!$C$5</f>
        <v>#DIV/0!</v>
      </c>
      <c r="AT135" s="46" t="e">
        <f>AB$3+S135/ATM_Conf!$C$5</f>
        <v>#DIV/0!</v>
      </c>
      <c r="AU135" s="46" t="e">
        <f>BD$3*MIN(1,(ATM_Conf!$C$6-Links!F135)/(ATM_Conf!$C$6-ATM_Conf!$C$7))</f>
        <v>#DIV/0!</v>
      </c>
      <c r="AV135" s="46" t="e">
        <f>BE$3*MIN(1,(ATM_Conf!$C$6-Links!G135)/(ATM_Conf!$C$6-ATM_Conf!$C$7))</f>
        <v>#DIV/0!</v>
      </c>
      <c r="AW135" s="46" t="e">
        <f>BF$3*MIN(1,(ATM_Conf!$C$6-Links!H135)/(ATM_Conf!$C$6-ATM_Conf!$C$7))</f>
        <v>#DIV/0!</v>
      </c>
      <c r="AX135" s="46" t="e">
        <f>BG$3*MIN(1,(ATM_Conf!$C$6-Links!I135)/(ATM_Conf!$C$6-ATM_Conf!$C$7))</f>
        <v>#DIV/0!</v>
      </c>
      <c r="AY135" s="46" t="e">
        <f>BH$3*MIN(1,(ATM_Conf!$C$6-Links!J135)/(ATM_Conf!$C$6-ATM_Conf!$C$7))</f>
        <v>#DIV/0!</v>
      </c>
      <c r="AZ135" s="46" t="e">
        <f>BI$3*MIN(1,(ATM_Conf!$C$6-Links!K135)/(ATM_Conf!$C$6-ATM_Conf!$C$7))</f>
        <v>#DIV/0!</v>
      </c>
      <c r="BA135" s="46" t="e">
        <f>BJ$3*MIN(1,(ATM_Conf!$C$6-Links!L135)/(ATM_Conf!$C$6-ATM_Conf!$C$7))</f>
        <v>#DIV/0!</v>
      </c>
      <c r="BB135" s="46" t="e">
        <f>BK$3*MIN(1,(ATM_Conf!$C$6-Links!M135)/(ATM_Conf!$C$6-ATM_Conf!$C$7))</f>
        <v>#DIV/0!</v>
      </c>
      <c r="BC135" s="46" t="e">
        <f>BL$3*MIN(1,(ATM_Conf!$C$6-Links!N135)/(ATM_Conf!$C$6-ATM_Conf!$C$7))</f>
        <v>#DIV/0!</v>
      </c>
      <c r="BD135" s="46"/>
      <c r="BE135" s="46"/>
      <c r="BF135" s="46"/>
      <c r="BG135" s="46"/>
      <c r="BH135" s="46"/>
      <c r="BI135" s="46"/>
      <c r="BJ135" s="46"/>
      <c r="BK135" s="46"/>
      <c r="BL135" s="46"/>
      <c r="BM135" s="54">
        <f>(B135-B123)^2</f>
        <v>0</v>
      </c>
      <c r="BN135" s="54">
        <f t="shared" ref="BN135:BU135" si="116">(C135-C123)^2</f>
        <v>0</v>
      </c>
      <c r="BO135" s="54">
        <f t="shared" si="116"/>
        <v>0</v>
      </c>
      <c r="BP135" s="54">
        <f t="shared" si="116"/>
        <v>0</v>
      </c>
      <c r="BQ135" s="54">
        <f t="shared" si="116"/>
        <v>0</v>
      </c>
      <c r="BR135" s="54">
        <f t="shared" si="116"/>
        <v>0</v>
      </c>
      <c r="BS135" s="54">
        <f t="shared" si="116"/>
        <v>0</v>
      </c>
      <c r="BT135" s="54">
        <f t="shared" si="116"/>
        <v>0</v>
      </c>
      <c r="BU135" s="54">
        <f t="shared" si="116"/>
        <v>0</v>
      </c>
      <c r="BV135" s="46" t="e">
        <f t="shared" si="98"/>
        <v>#DIV/0!</v>
      </c>
      <c r="BW135" s="46" t="e">
        <f t="shared" si="99"/>
        <v>#DIV/0!</v>
      </c>
      <c r="BX135" s="46" t="e">
        <f t="shared" si="100"/>
        <v>#DIV/0!</v>
      </c>
      <c r="BY135" s="46" t="e">
        <f t="shared" si="101"/>
        <v>#DIV/0!</v>
      </c>
      <c r="BZ135" s="46" t="e">
        <f t="shared" si="102"/>
        <v>#DIV/0!</v>
      </c>
      <c r="CA135" s="46" t="e">
        <f t="shared" si="103"/>
        <v>#DIV/0!</v>
      </c>
      <c r="CB135" s="46" t="e">
        <f t="shared" si="104"/>
        <v>#DIV/0!</v>
      </c>
      <c r="CC135" s="46" t="e">
        <f t="shared" si="105"/>
        <v>#DIV/0!</v>
      </c>
      <c r="CD135" s="46" t="e">
        <f t="shared" si="106"/>
        <v>#DIV/0!</v>
      </c>
      <c r="CE135" s="56" t="e">
        <f t="shared" si="107"/>
        <v>#DIV/0!</v>
      </c>
      <c r="CF135" s="56" t="e">
        <f t="shared" si="108"/>
        <v>#DIV/0!</v>
      </c>
      <c r="CG135" s="56" t="e">
        <f t="shared" si="109"/>
        <v>#DIV/0!</v>
      </c>
      <c r="CH135" s="56" t="e">
        <f t="shared" si="110"/>
        <v>#DIV/0!</v>
      </c>
      <c r="CI135" s="56" t="e">
        <f t="shared" si="111"/>
        <v>#DIV/0!</v>
      </c>
      <c r="CJ135" s="56" t="e">
        <f t="shared" si="112"/>
        <v>#DIV/0!</v>
      </c>
      <c r="CK135" s="56" t="e">
        <f t="shared" si="113"/>
        <v>#DIV/0!</v>
      </c>
      <c r="CL135" s="56" t="e">
        <f t="shared" si="114"/>
        <v>#DIV/0!</v>
      </c>
      <c r="CM135" s="56" t="e">
        <f t="shared" si="115"/>
        <v>#DIV/0!</v>
      </c>
    </row>
    <row r="136" spans="1:91" x14ac:dyDescent="0.15">
      <c r="A136" s="43">
        <v>134</v>
      </c>
      <c r="B136" s="46">
        <f>B$135</f>
        <v>1</v>
      </c>
      <c r="C136" s="46">
        <f t="shared" ref="C136:J146" si="117">C$135</f>
        <v>1</v>
      </c>
      <c r="D136" s="46">
        <f t="shared" si="117"/>
        <v>1</v>
      </c>
      <c r="E136" s="46">
        <f t="shared" si="117"/>
        <v>1</v>
      </c>
      <c r="F136" s="46">
        <f t="shared" si="117"/>
        <v>1</v>
      </c>
      <c r="G136" s="46">
        <f t="shared" si="117"/>
        <v>1</v>
      </c>
      <c r="H136" s="46">
        <f t="shared" si="117"/>
        <v>1</v>
      </c>
      <c r="I136" s="46">
        <f t="shared" si="117"/>
        <v>1</v>
      </c>
      <c r="J136" s="46">
        <f t="shared" si="117"/>
        <v>1</v>
      </c>
      <c r="K136" s="46" t="e">
        <f>K135+ATM_Conf!$C$5*(T135-AC135)</f>
        <v>#DIV/0!</v>
      </c>
      <c r="L136" s="46" t="e">
        <f>L135+ATM_Conf!$C$5*(U135-AD135)</f>
        <v>#DIV/0!</v>
      </c>
      <c r="M136" s="46" t="e">
        <f>M135+ATM_Conf!$C$5*(V135-AE135)</f>
        <v>#DIV/0!</v>
      </c>
      <c r="N136" s="46" t="e">
        <f>N135+ATM_Conf!$C$5*(W135-AF135)</f>
        <v>#DIV/0!</v>
      </c>
      <c r="O136" s="46" t="e">
        <f>O135+ATM_Conf!$C$5*(X135-AG135)</f>
        <v>#DIV/0!</v>
      </c>
      <c r="P136" s="46" t="e">
        <f>P135+ATM_Conf!$C$5*(Y135-AH135)</f>
        <v>#DIV/0!</v>
      </c>
      <c r="Q136" s="46" t="e">
        <f>Q135+ATM_Conf!$C$5*(Z135-AI135)</f>
        <v>#DIV/0!</v>
      </c>
      <c r="R136" s="46" t="e">
        <f>R135+ATM_Conf!$C$5*(AA135-AJ135)</f>
        <v>#DIV/0!</v>
      </c>
      <c r="S136" s="46" t="e">
        <f>S135+ATM_Conf!$C$5*(AB135-AK135)</f>
        <v>#DIV/0!</v>
      </c>
      <c r="T136" s="46"/>
      <c r="U136" s="46"/>
      <c r="V136" s="46"/>
      <c r="W136" s="46"/>
      <c r="X136" s="46"/>
      <c r="Y136" s="46"/>
      <c r="Z136" s="46"/>
      <c r="AA136" s="46"/>
      <c r="AB136" s="46"/>
      <c r="AC136" s="46" t="e">
        <f t="shared" si="89"/>
        <v>#DIV/0!</v>
      </c>
      <c r="AD136" s="46" t="e">
        <f t="shared" si="90"/>
        <v>#DIV/0!</v>
      </c>
      <c r="AE136" s="46" t="e">
        <f t="shared" si="91"/>
        <v>#DIV/0!</v>
      </c>
      <c r="AF136" s="46" t="e">
        <f t="shared" si="92"/>
        <v>#DIV/0!</v>
      </c>
      <c r="AG136" s="46" t="e">
        <f t="shared" si="93"/>
        <v>#DIV/0!</v>
      </c>
      <c r="AH136" s="46" t="e">
        <f t="shared" si="94"/>
        <v>#DIV/0!</v>
      </c>
      <c r="AI136" s="46" t="e">
        <f t="shared" si="95"/>
        <v>#DIV/0!</v>
      </c>
      <c r="AJ136" s="46" t="e">
        <f t="shared" si="96"/>
        <v>#DIV/0!</v>
      </c>
      <c r="AK136" s="46" t="e">
        <f t="shared" si="97"/>
        <v>#DIV/0!</v>
      </c>
      <c r="AL136" s="46" t="e">
        <f>T$3+K136/ATM_Conf!$C$5</f>
        <v>#DIV/0!</v>
      </c>
      <c r="AM136" s="46" t="e">
        <f>U$3+L136/ATM_Conf!$C$5</f>
        <v>#DIV/0!</v>
      </c>
      <c r="AN136" s="46" t="e">
        <f>V$3+M136/ATM_Conf!$C$5</f>
        <v>#DIV/0!</v>
      </c>
      <c r="AO136" s="46" t="e">
        <f>W$3+N136/ATM_Conf!$C$5</f>
        <v>#DIV/0!</v>
      </c>
      <c r="AP136" s="46" t="e">
        <f>X$3+O136/ATM_Conf!$C$5</f>
        <v>#DIV/0!</v>
      </c>
      <c r="AQ136" s="46" t="e">
        <f>Y$3+P136/ATM_Conf!$C$5</f>
        <v>#DIV/0!</v>
      </c>
      <c r="AR136" s="46" t="e">
        <f>Z$3+Q136/ATM_Conf!$C$5</f>
        <v>#DIV/0!</v>
      </c>
      <c r="AS136" s="46" t="e">
        <f>AA$3+R136/ATM_Conf!$C$5</f>
        <v>#DIV/0!</v>
      </c>
      <c r="AT136" s="46" t="e">
        <f>AB$3+S136/ATM_Conf!$C$5</f>
        <v>#DIV/0!</v>
      </c>
      <c r="AU136" s="46" t="e">
        <f>BD$3*MIN(1,(ATM_Conf!$C$6-Links!F136)/(ATM_Conf!$C$6-ATM_Conf!$C$7))</f>
        <v>#DIV/0!</v>
      </c>
      <c r="AV136" s="46" t="e">
        <f>BE$3*MIN(1,(ATM_Conf!$C$6-Links!G136)/(ATM_Conf!$C$6-ATM_Conf!$C$7))</f>
        <v>#DIV/0!</v>
      </c>
      <c r="AW136" s="46" t="e">
        <f>BF$3*MIN(1,(ATM_Conf!$C$6-Links!H136)/(ATM_Conf!$C$6-ATM_Conf!$C$7))</f>
        <v>#DIV/0!</v>
      </c>
      <c r="AX136" s="46" t="e">
        <f>BG$3*MIN(1,(ATM_Conf!$C$6-Links!I136)/(ATM_Conf!$C$6-ATM_Conf!$C$7))</f>
        <v>#DIV/0!</v>
      </c>
      <c r="AY136" s="46" t="e">
        <f>BH$3*MIN(1,(ATM_Conf!$C$6-Links!J136)/(ATM_Conf!$C$6-ATM_Conf!$C$7))</f>
        <v>#DIV/0!</v>
      </c>
      <c r="AZ136" s="46" t="e">
        <f>BI$3*MIN(1,(ATM_Conf!$C$6-Links!K136)/(ATM_Conf!$C$6-ATM_Conf!$C$7))</f>
        <v>#DIV/0!</v>
      </c>
      <c r="BA136" s="46" t="e">
        <f>BJ$3*MIN(1,(ATM_Conf!$C$6-Links!L136)/(ATM_Conf!$C$6-ATM_Conf!$C$7))</f>
        <v>#DIV/0!</v>
      </c>
      <c r="BB136" s="46" t="e">
        <f>BK$3*MIN(1,(ATM_Conf!$C$6-Links!M136)/(ATM_Conf!$C$6-ATM_Conf!$C$7))</f>
        <v>#DIV/0!</v>
      </c>
      <c r="BC136" s="46" t="e">
        <f>BL$3*MIN(1,(ATM_Conf!$C$6-Links!N136)/(ATM_Conf!$C$6-ATM_Conf!$C$7))</f>
        <v>#DIV/0!</v>
      </c>
      <c r="BD136" s="46"/>
      <c r="BE136" s="46"/>
      <c r="BF136" s="46"/>
      <c r="BG136" s="46"/>
      <c r="BH136" s="46"/>
      <c r="BI136" s="46"/>
      <c r="BJ136" s="46"/>
      <c r="BK136" s="46"/>
      <c r="BL136" s="46"/>
      <c r="BM136" s="54"/>
      <c r="BN136" s="54"/>
      <c r="BO136" s="54"/>
      <c r="BP136" s="54"/>
      <c r="BQ136" s="54"/>
      <c r="BR136" s="54"/>
      <c r="BS136" s="54"/>
      <c r="BT136" s="54"/>
      <c r="BU136" s="54"/>
      <c r="BV136" s="46" t="e">
        <f t="shared" si="98"/>
        <v>#DIV/0!</v>
      </c>
      <c r="BW136" s="46" t="e">
        <f t="shared" si="99"/>
        <v>#DIV/0!</v>
      </c>
      <c r="BX136" s="46" t="e">
        <f t="shared" si="100"/>
        <v>#DIV/0!</v>
      </c>
      <c r="BY136" s="46" t="e">
        <f t="shared" si="101"/>
        <v>#DIV/0!</v>
      </c>
      <c r="BZ136" s="46" t="e">
        <f t="shared" si="102"/>
        <v>#DIV/0!</v>
      </c>
      <c r="CA136" s="46" t="e">
        <f t="shared" si="103"/>
        <v>#DIV/0!</v>
      </c>
      <c r="CB136" s="46" t="e">
        <f t="shared" si="104"/>
        <v>#DIV/0!</v>
      </c>
      <c r="CC136" s="46" t="e">
        <f t="shared" si="105"/>
        <v>#DIV/0!</v>
      </c>
      <c r="CD136" s="46" t="e">
        <f t="shared" si="106"/>
        <v>#DIV/0!</v>
      </c>
      <c r="CE136" s="56" t="e">
        <f t="shared" si="107"/>
        <v>#DIV/0!</v>
      </c>
      <c r="CF136" s="56" t="e">
        <f t="shared" si="108"/>
        <v>#DIV/0!</v>
      </c>
      <c r="CG136" s="56" t="e">
        <f t="shared" si="109"/>
        <v>#DIV/0!</v>
      </c>
      <c r="CH136" s="56" t="e">
        <f t="shared" si="110"/>
        <v>#DIV/0!</v>
      </c>
      <c r="CI136" s="56" t="e">
        <f t="shared" si="111"/>
        <v>#DIV/0!</v>
      </c>
      <c r="CJ136" s="56" t="e">
        <f t="shared" si="112"/>
        <v>#DIV/0!</v>
      </c>
      <c r="CK136" s="56" t="e">
        <f t="shared" si="113"/>
        <v>#DIV/0!</v>
      </c>
      <c r="CL136" s="56" t="e">
        <f t="shared" si="114"/>
        <v>#DIV/0!</v>
      </c>
      <c r="CM136" s="56" t="e">
        <f t="shared" si="115"/>
        <v>#DIV/0!</v>
      </c>
    </row>
    <row r="137" spans="1:91" x14ac:dyDescent="0.15">
      <c r="A137" s="43">
        <v>135</v>
      </c>
      <c r="B137" s="46">
        <f t="shared" ref="B137:B146" si="118">B$135</f>
        <v>1</v>
      </c>
      <c r="C137" s="46">
        <f t="shared" si="117"/>
        <v>1</v>
      </c>
      <c r="D137" s="46">
        <f t="shared" si="117"/>
        <v>1</v>
      </c>
      <c r="E137" s="46">
        <f t="shared" si="117"/>
        <v>1</v>
      </c>
      <c r="F137" s="46">
        <f t="shared" si="117"/>
        <v>1</v>
      </c>
      <c r="G137" s="46">
        <f t="shared" si="117"/>
        <v>1</v>
      </c>
      <c r="H137" s="46">
        <f t="shared" si="117"/>
        <v>1</v>
      </c>
      <c r="I137" s="46">
        <f t="shared" si="117"/>
        <v>1</v>
      </c>
      <c r="J137" s="46">
        <f t="shared" si="117"/>
        <v>1</v>
      </c>
      <c r="K137" s="46" t="e">
        <f>K136+ATM_Conf!$C$5*(T136-AC136)</f>
        <v>#DIV/0!</v>
      </c>
      <c r="L137" s="46" t="e">
        <f>L136+ATM_Conf!$C$5*(U136-AD136)</f>
        <v>#DIV/0!</v>
      </c>
      <c r="M137" s="46" t="e">
        <f>M136+ATM_Conf!$C$5*(V136-AE136)</f>
        <v>#DIV/0!</v>
      </c>
      <c r="N137" s="46" t="e">
        <f>N136+ATM_Conf!$C$5*(W136-AF136)</f>
        <v>#DIV/0!</v>
      </c>
      <c r="O137" s="46" t="e">
        <f>O136+ATM_Conf!$C$5*(X136-AG136)</f>
        <v>#DIV/0!</v>
      </c>
      <c r="P137" s="46" t="e">
        <f>P136+ATM_Conf!$C$5*(Y136-AH136)</f>
        <v>#DIV/0!</v>
      </c>
      <c r="Q137" s="46" t="e">
        <f>Q136+ATM_Conf!$C$5*(Z136-AI136)</f>
        <v>#DIV/0!</v>
      </c>
      <c r="R137" s="46" t="e">
        <f>R136+ATM_Conf!$C$5*(AA136-AJ136)</f>
        <v>#DIV/0!</v>
      </c>
      <c r="S137" s="46" t="e">
        <f>S136+ATM_Conf!$C$5*(AB136-AK136)</f>
        <v>#DIV/0!</v>
      </c>
      <c r="T137" s="46"/>
      <c r="U137" s="46"/>
      <c r="V137" s="46"/>
      <c r="W137" s="46"/>
      <c r="X137" s="46"/>
      <c r="Y137" s="46"/>
      <c r="Z137" s="46"/>
      <c r="AA137" s="46"/>
      <c r="AB137" s="46"/>
      <c r="AC137" s="46" t="e">
        <f t="shared" si="89"/>
        <v>#DIV/0!</v>
      </c>
      <c r="AD137" s="46" t="e">
        <f t="shared" si="90"/>
        <v>#DIV/0!</v>
      </c>
      <c r="AE137" s="46" t="e">
        <f t="shared" si="91"/>
        <v>#DIV/0!</v>
      </c>
      <c r="AF137" s="46" t="e">
        <f t="shared" si="92"/>
        <v>#DIV/0!</v>
      </c>
      <c r="AG137" s="46" t="e">
        <f t="shared" si="93"/>
        <v>#DIV/0!</v>
      </c>
      <c r="AH137" s="46" t="e">
        <f t="shared" si="94"/>
        <v>#DIV/0!</v>
      </c>
      <c r="AI137" s="46" t="e">
        <f t="shared" si="95"/>
        <v>#DIV/0!</v>
      </c>
      <c r="AJ137" s="46" t="e">
        <f t="shared" si="96"/>
        <v>#DIV/0!</v>
      </c>
      <c r="AK137" s="46" t="e">
        <f t="shared" si="97"/>
        <v>#DIV/0!</v>
      </c>
      <c r="AL137" s="46" t="e">
        <f>T$3+K137/ATM_Conf!$C$5</f>
        <v>#DIV/0!</v>
      </c>
      <c r="AM137" s="46" t="e">
        <f>U$3+L137/ATM_Conf!$C$5</f>
        <v>#DIV/0!</v>
      </c>
      <c r="AN137" s="46" t="e">
        <f>V$3+M137/ATM_Conf!$C$5</f>
        <v>#DIV/0!</v>
      </c>
      <c r="AO137" s="46" t="e">
        <f>W$3+N137/ATM_Conf!$C$5</f>
        <v>#DIV/0!</v>
      </c>
      <c r="AP137" s="46" t="e">
        <f>X$3+O137/ATM_Conf!$C$5</f>
        <v>#DIV/0!</v>
      </c>
      <c r="AQ137" s="46" t="e">
        <f>Y$3+P137/ATM_Conf!$C$5</f>
        <v>#DIV/0!</v>
      </c>
      <c r="AR137" s="46" t="e">
        <f>Z$3+Q137/ATM_Conf!$C$5</f>
        <v>#DIV/0!</v>
      </c>
      <c r="AS137" s="46" t="e">
        <f>AA$3+R137/ATM_Conf!$C$5</f>
        <v>#DIV/0!</v>
      </c>
      <c r="AT137" s="46" t="e">
        <f>AB$3+S137/ATM_Conf!$C$5</f>
        <v>#DIV/0!</v>
      </c>
      <c r="AU137" s="46" t="e">
        <f>BD$3*MIN(1,(ATM_Conf!$C$6-Links!F137)/(ATM_Conf!$C$6-ATM_Conf!$C$7))</f>
        <v>#DIV/0!</v>
      </c>
      <c r="AV137" s="46" t="e">
        <f>BE$3*MIN(1,(ATM_Conf!$C$6-Links!G137)/(ATM_Conf!$C$6-ATM_Conf!$C$7))</f>
        <v>#DIV/0!</v>
      </c>
      <c r="AW137" s="46" t="e">
        <f>BF$3*MIN(1,(ATM_Conf!$C$6-Links!H137)/(ATM_Conf!$C$6-ATM_Conf!$C$7))</f>
        <v>#DIV/0!</v>
      </c>
      <c r="AX137" s="46" t="e">
        <f>BG$3*MIN(1,(ATM_Conf!$C$6-Links!I137)/(ATM_Conf!$C$6-ATM_Conf!$C$7))</f>
        <v>#DIV/0!</v>
      </c>
      <c r="AY137" s="46" t="e">
        <f>BH$3*MIN(1,(ATM_Conf!$C$6-Links!J137)/(ATM_Conf!$C$6-ATM_Conf!$C$7))</f>
        <v>#DIV/0!</v>
      </c>
      <c r="AZ137" s="46" t="e">
        <f>BI$3*MIN(1,(ATM_Conf!$C$6-Links!K137)/(ATM_Conf!$C$6-ATM_Conf!$C$7))</f>
        <v>#DIV/0!</v>
      </c>
      <c r="BA137" s="46" t="e">
        <f>BJ$3*MIN(1,(ATM_Conf!$C$6-Links!L137)/(ATM_Conf!$C$6-ATM_Conf!$C$7))</f>
        <v>#DIV/0!</v>
      </c>
      <c r="BB137" s="46" t="e">
        <f>BK$3*MIN(1,(ATM_Conf!$C$6-Links!M137)/(ATM_Conf!$C$6-ATM_Conf!$C$7))</f>
        <v>#DIV/0!</v>
      </c>
      <c r="BC137" s="46" t="e">
        <f>BL$3*MIN(1,(ATM_Conf!$C$6-Links!N137)/(ATM_Conf!$C$6-ATM_Conf!$C$7))</f>
        <v>#DIV/0!</v>
      </c>
      <c r="BD137" s="46"/>
      <c r="BE137" s="46"/>
      <c r="BF137" s="46"/>
      <c r="BG137" s="46"/>
      <c r="BH137" s="46"/>
      <c r="BI137" s="46"/>
      <c r="BJ137" s="46"/>
      <c r="BK137" s="46"/>
      <c r="BL137" s="46"/>
      <c r="BM137" s="54"/>
      <c r="BN137" s="54"/>
      <c r="BO137" s="54"/>
      <c r="BP137" s="54"/>
      <c r="BQ137" s="54"/>
      <c r="BR137" s="54"/>
      <c r="BS137" s="54"/>
      <c r="BT137" s="54"/>
      <c r="BU137" s="54"/>
      <c r="BV137" s="46" t="e">
        <f t="shared" si="98"/>
        <v>#DIV/0!</v>
      </c>
      <c r="BW137" s="46" t="e">
        <f t="shared" si="99"/>
        <v>#DIV/0!</v>
      </c>
      <c r="BX137" s="46" t="e">
        <f t="shared" si="100"/>
        <v>#DIV/0!</v>
      </c>
      <c r="BY137" s="46" t="e">
        <f t="shared" si="101"/>
        <v>#DIV/0!</v>
      </c>
      <c r="BZ137" s="46" t="e">
        <f t="shared" si="102"/>
        <v>#DIV/0!</v>
      </c>
      <c r="CA137" s="46" t="e">
        <f t="shared" si="103"/>
        <v>#DIV/0!</v>
      </c>
      <c r="CB137" s="46" t="e">
        <f t="shared" si="104"/>
        <v>#DIV/0!</v>
      </c>
      <c r="CC137" s="46" t="e">
        <f t="shared" si="105"/>
        <v>#DIV/0!</v>
      </c>
      <c r="CD137" s="46" t="e">
        <f t="shared" si="106"/>
        <v>#DIV/0!</v>
      </c>
      <c r="CE137" s="56" t="e">
        <f t="shared" si="107"/>
        <v>#DIV/0!</v>
      </c>
      <c r="CF137" s="56" t="e">
        <f t="shared" si="108"/>
        <v>#DIV/0!</v>
      </c>
      <c r="CG137" s="56" t="e">
        <f t="shared" si="109"/>
        <v>#DIV/0!</v>
      </c>
      <c r="CH137" s="56" t="e">
        <f t="shared" si="110"/>
        <v>#DIV/0!</v>
      </c>
      <c r="CI137" s="56" t="e">
        <f t="shared" si="111"/>
        <v>#DIV/0!</v>
      </c>
      <c r="CJ137" s="56" t="e">
        <f t="shared" si="112"/>
        <v>#DIV/0!</v>
      </c>
      <c r="CK137" s="56" t="e">
        <f t="shared" si="113"/>
        <v>#DIV/0!</v>
      </c>
      <c r="CL137" s="56" t="e">
        <f t="shared" si="114"/>
        <v>#DIV/0!</v>
      </c>
      <c r="CM137" s="56" t="e">
        <f t="shared" si="115"/>
        <v>#DIV/0!</v>
      </c>
    </row>
    <row r="138" spans="1:91" x14ac:dyDescent="0.15">
      <c r="A138" s="43">
        <v>136</v>
      </c>
      <c r="B138" s="46">
        <f t="shared" si="118"/>
        <v>1</v>
      </c>
      <c r="C138" s="46">
        <f t="shared" si="117"/>
        <v>1</v>
      </c>
      <c r="D138" s="46">
        <f t="shared" si="117"/>
        <v>1</v>
      </c>
      <c r="E138" s="46">
        <f t="shared" si="117"/>
        <v>1</v>
      </c>
      <c r="F138" s="46">
        <f t="shared" si="117"/>
        <v>1</v>
      </c>
      <c r="G138" s="46">
        <f t="shared" si="117"/>
        <v>1</v>
      </c>
      <c r="H138" s="46">
        <f t="shared" si="117"/>
        <v>1</v>
      </c>
      <c r="I138" s="46">
        <f t="shared" si="117"/>
        <v>1</v>
      </c>
      <c r="J138" s="46">
        <f t="shared" si="117"/>
        <v>1</v>
      </c>
      <c r="K138" s="46" t="e">
        <f>K137+ATM_Conf!$C$5*(T137-AC137)</f>
        <v>#DIV/0!</v>
      </c>
      <c r="L138" s="46" t="e">
        <f>L137+ATM_Conf!$C$5*(U137-AD137)</f>
        <v>#DIV/0!</v>
      </c>
      <c r="M138" s="46" t="e">
        <f>M137+ATM_Conf!$C$5*(V137-AE137)</f>
        <v>#DIV/0!</v>
      </c>
      <c r="N138" s="46" t="e">
        <f>N137+ATM_Conf!$C$5*(W137-AF137)</f>
        <v>#DIV/0!</v>
      </c>
      <c r="O138" s="46" t="e">
        <f>O137+ATM_Conf!$C$5*(X137-AG137)</f>
        <v>#DIV/0!</v>
      </c>
      <c r="P138" s="46" t="e">
        <f>P137+ATM_Conf!$C$5*(Y137-AH137)</f>
        <v>#DIV/0!</v>
      </c>
      <c r="Q138" s="46" t="e">
        <f>Q137+ATM_Conf!$C$5*(Z137-AI137)</f>
        <v>#DIV/0!</v>
      </c>
      <c r="R138" s="46" t="e">
        <f>R137+ATM_Conf!$C$5*(AA137-AJ137)</f>
        <v>#DIV/0!</v>
      </c>
      <c r="S138" s="46" t="e">
        <f>S137+ATM_Conf!$C$5*(AB137-AK137)</f>
        <v>#DIV/0!</v>
      </c>
      <c r="T138" s="46"/>
      <c r="U138" s="46"/>
      <c r="V138" s="46"/>
      <c r="W138" s="46"/>
      <c r="X138" s="46"/>
      <c r="Y138" s="46"/>
      <c r="Z138" s="46"/>
      <c r="AA138" s="46"/>
      <c r="AB138" s="46"/>
      <c r="AC138" s="46" t="e">
        <f t="shared" si="89"/>
        <v>#DIV/0!</v>
      </c>
      <c r="AD138" s="46" t="e">
        <f t="shared" si="90"/>
        <v>#DIV/0!</v>
      </c>
      <c r="AE138" s="46" t="e">
        <f t="shared" si="91"/>
        <v>#DIV/0!</v>
      </c>
      <c r="AF138" s="46" t="e">
        <f t="shared" si="92"/>
        <v>#DIV/0!</v>
      </c>
      <c r="AG138" s="46" t="e">
        <f t="shared" si="93"/>
        <v>#DIV/0!</v>
      </c>
      <c r="AH138" s="46" t="e">
        <f t="shared" si="94"/>
        <v>#DIV/0!</v>
      </c>
      <c r="AI138" s="46" t="e">
        <f t="shared" si="95"/>
        <v>#DIV/0!</v>
      </c>
      <c r="AJ138" s="46" t="e">
        <f t="shared" si="96"/>
        <v>#DIV/0!</v>
      </c>
      <c r="AK138" s="46" t="e">
        <f t="shared" si="97"/>
        <v>#DIV/0!</v>
      </c>
      <c r="AL138" s="46" t="e">
        <f>T$3+K138/ATM_Conf!$C$5</f>
        <v>#DIV/0!</v>
      </c>
      <c r="AM138" s="46" t="e">
        <f>U$3+L138/ATM_Conf!$C$5</f>
        <v>#DIV/0!</v>
      </c>
      <c r="AN138" s="46" t="e">
        <f>V$3+M138/ATM_Conf!$C$5</f>
        <v>#DIV/0!</v>
      </c>
      <c r="AO138" s="46" t="e">
        <f>W$3+N138/ATM_Conf!$C$5</f>
        <v>#DIV/0!</v>
      </c>
      <c r="AP138" s="46" t="e">
        <f>X$3+O138/ATM_Conf!$C$5</f>
        <v>#DIV/0!</v>
      </c>
      <c r="AQ138" s="46" t="e">
        <f>Y$3+P138/ATM_Conf!$C$5</f>
        <v>#DIV/0!</v>
      </c>
      <c r="AR138" s="46" t="e">
        <f>Z$3+Q138/ATM_Conf!$C$5</f>
        <v>#DIV/0!</v>
      </c>
      <c r="AS138" s="46" t="e">
        <f>AA$3+R138/ATM_Conf!$C$5</f>
        <v>#DIV/0!</v>
      </c>
      <c r="AT138" s="46" t="e">
        <f>AB$3+S138/ATM_Conf!$C$5</f>
        <v>#DIV/0!</v>
      </c>
      <c r="AU138" s="46" t="e">
        <f>BD$3*MIN(1,(ATM_Conf!$C$6-Links!F138)/(ATM_Conf!$C$6-ATM_Conf!$C$7))</f>
        <v>#DIV/0!</v>
      </c>
      <c r="AV138" s="46" t="e">
        <f>BE$3*MIN(1,(ATM_Conf!$C$6-Links!G138)/(ATM_Conf!$C$6-ATM_Conf!$C$7))</f>
        <v>#DIV/0!</v>
      </c>
      <c r="AW138" s="46" t="e">
        <f>BF$3*MIN(1,(ATM_Conf!$C$6-Links!H138)/(ATM_Conf!$C$6-ATM_Conf!$C$7))</f>
        <v>#DIV/0!</v>
      </c>
      <c r="AX138" s="46" t="e">
        <f>BG$3*MIN(1,(ATM_Conf!$C$6-Links!I138)/(ATM_Conf!$C$6-ATM_Conf!$C$7))</f>
        <v>#DIV/0!</v>
      </c>
      <c r="AY138" s="46" t="e">
        <f>BH$3*MIN(1,(ATM_Conf!$C$6-Links!J138)/(ATM_Conf!$C$6-ATM_Conf!$C$7))</f>
        <v>#DIV/0!</v>
      </c>
      <c r="AZ138" s="46" t="e">
        <f>BI$3*MIN(1,(ATM_Conf!$C$6-Links!K138)/(ATM_Conf!$C$6-ATM_Conf!$C$7))</f>
        <v>#DIV/0!</v>
      </c>
      <c r="BA138" s="46" t="e">
        <f>BJ$3*MIN(1,(ATM_Conf!$C$6-Links!L138)/(ATM_Conf!$C$6-ATM_Conf!$C$7))</f>
        <v>#DIV/0!</v>
      </c>
      <c r="BB138" s="46" t="e">
        <f>BK$3*MIN(1,(ATM_Conf!$C$6-Links!M138)/(ATM_Conf!$C$6-ATM_Conf!$C$7))</f>
        <v>#DIV/0!</v>
      </c>
      <c r="BC138" s="46" t="e">
        <f>BL$3*MIN(1,(ATM_Conf!$C$6-Links!N138)/(ATM_Conf!$C$6-ATM_Conf!$C$7))</f>
        <v>#DIV/0!</v>
      </c>
      <c r="BD138" s="46"/>
      <c r="BE138" s="46"/>
      <c r="BF138" s="46"/>
      <c r="BG138" s="46"/>
      <c r="BH138" s="46"/>
      <c r="BI138" s="46"/>
      <c r="BJ138" s="46"/>
      <c r="BK138" s="46"/>
      <c r="BL138" s="46"/>
      <c r="BM138" s="54"/>
      <c r="BN138" s="54"/>
      <c r="BO138" s="54"/>
      <c r="BP138" s="54"/>
      <c r="BQ138" s="54"/>
      <c r="BR138" s="54"/>
      <c r="BS138" s="54"/>
      <c r="BT138" s="54"/>
      <c r="BU138" s="54"/>
      <c r="BV138" s="46" t="e">
        <f t="shared" si="98"/>
        <v>#DIV/0!</v>
      </c>
      <c r="BW138" s="46" t="e">
        <f t="shared" si="99"/>
        <v>#DIV/0!</v>
      </c>
      <c r="BX138" s="46" t="e">
        <f t="shared" si="100"/>
        <v>#DIV/0!</v>
      </c>
      <c r="BY138" s="46" t="e">
        <f t="shared" si="101"/>
        <v>#DIV/0!</v>
      </c>
      <c r="BZ138" s="46" t="e">
        <f t="shared" si="102"/>
        <v>#DIV/0!</v>
      </c>
      <c r="CA138" s="46" t="e">
        <f t="shared" si="103"/>
        <v>#DIV/0!</v>
      </c>
      <c r="CB138" s="46" t="e">
        <f t="shared" si="104"/>
        <v>#DIV/0!</v>
      </c>
      <c r="CC138" s="46" t="e">
        <f t="shared" si="105"/>
        <v>#DIV/0!</v>
      </c>
      <c r="CD138" s="46" t="e">
        <f t="shared" si="106"/>
        <v>#DIV/0!</v>
      </c>
      <c r="CE138" s="56" t="e">
        <f t="shared" si="107"/>
        <v>#DIV/0!</v>
      </c>
      <c r="CF138" s="56" t="e">
        <f t="shared" si="108"/>
        <v>#DIV/0!</v>
      </c>
      <c r="CG138" s="56" t="e">
        <f t="shared" si="109"/>
        <v>#DIV/0!</v>
      </c>
      <c r="CH138" s="56" t="e">
        <f t="shared" si="110"/>
        <v>#DIV/0!</v>
      </c>
      <c r="CI138" s="56" t="e">
        <f t="shared" si="111"/>
        <v>#DIV/0!</v>
      </c>
      <c r="CJ138" s="56" t="e">
        <f t="shared" si="112"/>
        <v>#DIV/0!</v>
      </c>
      <c r="CK138" s="56" t="e">
        <f t="shared" si="113"/>
        <v>#DIV/0!</v>
      </c>
      <c r="CL138" s="56" t="e">
        <f t="shared" si="114"/>
        <v>#DIV/0!</v>
      </c>
      <c r="CM138" s="56" t="e">
        <f t="shared" si="115"/>
        <v>#DIV/0!</v>
      </c>
    </row>
    <row r="139" spans="1:91" x14ac:dyDescent="0.15">
      <c r="A139" s="43">
        <v>137</v>
      </c>
      <c r="B139" s="46">
        <f t="shared" si="118"/>
        <v>1</v>
      </c>
      <c r="C139" s="46">
        <f t="shared" si="117"/>
        <v>1</v>
      </c>
      <c r="D139" s="46">
        <f t="shared" si="117"/>
        <v>1</v>
      </c>
      <c r="E139" s="46">
        <f t="shared" si="117"/>
        <v>1</v>
      </c>
      <c r="F139" s="46">
        <f t="shared" si="117"/>
        <v>1</v>
      </c>
      <c r="G139" s="46">
        <f t="shared" si="117"/>
        <v>1</v>
      </c>
      <c r="H139" s="46">
        <f t="shared" si="117"/>
        <v>1</v>
      </c>
      <c r="I139" s="46">
        <f t="shared" si="117"/>
        <v>1</v>
      </c>
      <c r="J139" s="46">
        <f t="shared" si="117"/>
        <v>1</v>
      </c>
      <c r="K139" s="46" t="e">
        <f>K138+ATM_Conf!$C$5*(T138-AC138)</f>
        <v>#DIV/0!</v>
      </c>
      <c r="L139" s="46" t="e">
        <f>L138+ATM_Conf!$C$5*(U138-AD138)</f>
        <v>#DIV/0!</v>
      </c>
      <c r="M139" s="46" t="e">
        <f>M138+ATM_Conf!$C$5*(V138-AE138)</f>
        <v>#DIV/0!</v>
      </c>
      <c r="N139" s="46" t="e">
        <f>N138+ATM_Conf!$C$5*(W138-AF138)</f>
        <v>#DIV/0!</v>
      </c>
      <c r="O139" s="46" t="e">
        <f>O138+ATM_Conf!$C$5*(X138-AG138)</f>
        <v>#DIV/0!</v>
      </c>
      <c r="P139" s="46" t="e">
        <f>P138+ATM_Conf!$C$5*(Y138-AH138)</f>
        <v>#DIV/0!</v>
      </c>
      <c r="Q139" s="46" t="e">
        <f>Q138+ATM_Conf!$C$5*(Z138-AI138)</f>
        <v>#DIV/0!</v>
      </c>
      <c r="R139" s="46" t="e">
        <f>R138+ATM_Conf!$C$5*(AA138-AJ138)</f>
        <v>#DIV/0!</v>
      </c>
      <c r="S139" s="46" t="e">
        <f>S138+ATM_Conf!$C$5*(AB138-AK138)</f>
        <v>#DIV/0!</v>
      </c>
      <c r="T139" s="46"/>
      <c r="U139" s="46"/>
      <c r="V139" s="46"/>
      <c r="W139" s="46"/>
      <c r="X139" s="46"/>
      <c r="Y139" s="46"/>
      <c r="Z139" s="46"/>
      <c r="AA139" s="46"/>
      <c r="AB139" s="46"/>
      <c r="AC139" s="46" t="e">
        <f t="shared" si="89"/>
        <v>#DIV/0!</v>
      </c>
      <c r="AD139" s="46" t="e">
        <f t="shared" si="90"/>
        <v>#DIV/0!</v>
      </c>
      <c r="AE139" s="46" t="e">
        <f t="shared" si="91"/>
        <v>#DIV/0!</v>
      </c>
      <c r="AF139" s="46" t="e">
        <f t="shared" si="92"/>
        <v>#DIV/0!</v>
      </c>
      <c r="AG139" s="46" t="e">
        <f t="shared" si="93"/>
        <v>#DIV/0!</v>
      </c>
      <c r="AH139" s="46" t="e">
        <f t="shared" si="94"/>
        <v>#DIV/0!</v>
      </c>
      <c r="AI139" s="46" t="e">
        <f t="shared" si="95"/>
        <v>#DIV/0!</v>
      </c>
      <c r="AJ139" s="46" t="e">
        <f t="shared" si="96"/>
        <v>#DIV/0!</v>
      </c>
      <c r="AK139" s="46" t="e">
        <f t="shared" si="97"/>
        <v>#DIV/0!</v>
      </c>
      <c r="AL139" s="46" t="e">
        <f>T$3+K139/ATM_Conf!$C$5</f>
        <v>#DIV/0!</v>
      </c>
      <c r="AM139" s="46" t="e">
        <f>U$3+L139/ATM_Conf!$C$5</f>
        <v>#DIV/0!</v>
      </c>
      <c r="AN139" s="46" t="e">
        <f>V$3+M139/ATM_Conf!$C$5</f>
        <v>#DIV/0!</v>
      </c>
      <c r="AO139" s="46" t="e">
        <f>W$3+N139/ATM_Conf!$C$5</f>
        <v>#DIV/0!</v>
      </c>
      <c r="AP139" s="46" t="e">
        <f>X$3+O139/ATM_Conf!$C$5</f>
        <v>#DIV/0!</v>
      </c>
      <c r="AQ139" s="46" t="e">
        <f>Y$3+P139/ATM_Conf!$C$5</f>
        <v>#DIV/0!</v>
      </c>
      <c r="AR139" s="46" t="e">
        <f>Z$3+Q139/ATM_Conf!$C$5</f>
        <v>#DIV/0!</v>
      </c>
      <c r="AS139" s="46" t="e">
        <f>AA$3+R139/ATM_Conf!$C$5</f>
        <v>#DIV/0!</v>
      </c>
      <c r="AT139" s="46" t="e">
        <f>AB$3+S139/ATM_Conf!$C$5</f>
        <v>#DIV/0!</v>
      </c>
      <c r="AU139" s="46" t="e">
        <f>BD$3*MIN(1,(ATM_Conf!$C$6-Links!F139)/(ATM_Conf!$C$6-ATM_Conf!$C$7))</f>
        <v>#DIV/0!</v>
      </c>
      <c r="AV139" s="46" t="e">
        <f>BE$3*MIN(1,(ATM_Conf!$C$6-Links!G139)/(ATM_Conf!$C$6-ATM_Conf!$C$7))</f>
        <v>#DIV/0!</v>
      </c>
      <c r="AW139" s="46" t="e">
        <f>BF$3*MIN(1,(ATM_Conf!$C$6-Links!H139)/(ATM_Conf!$C$6-ATM_Conf!$C$7))</f>
        <v>#DIV/0!</v>
      </c>
      <c r="AX139" s="46" t="e">
        <f>BG$3*MIN(1,(ATM_Conf!$C$6-Links!I139)/(ATM_Conf!$C$6-ATM_Conf!$C$7))</f>
        <v>#DIV/0!</v>
      </c>
      <c r="AY139" s="46" t="e">
        <f>BH$3*MIN(1,(ATM_Conf!$C$6-Links!J139)/(ATM_Conf!$C$6-ATM_Conf!$C$7))</f>
        <v>#DIV/0!</v>
      </c>
      <c r="AZ139" s="46" t="e">
        <f>BI$3*MIN(1,(ATM_Conf!$C$6-Links!K139)/(ATM_Conf!$C$6-ATM_Conf!$C$7))</f>
        <v>#DIV/0!</v>
      </c>
      <c r="BA139" s="46" t="e">
        <f>BJ$3*MIN(1,(ATM_Conf!$C$6-Links!L139)/(ATM_Conf!$C$6-ATM_Conf!$C$7))</f>
        <v>#DIV/0!</v>
      </c>
      <c r="BB139" s="46" t="e">
        <f>BK$3*MIN(1,(ATM_Conf!$C$6-Links!M139)/(ATM_Conf!$C$6-ATM_Conf!$C$7))</f>
        <v>#DIV/0!</v>
      </c>
      <c r="BC139" s="46" t="e">
        <f>BL$3*MIN(1,(ATM_Conf!$C$6-Links!N139)/(ATM_Conf!$C$6-ATM_Conf!$C$7))</f>
        <v>#DIV/0!</v>
      </c>
      <c r="BD139" s="46"/>
      <c r="BE139" s="46"/>
      <c r="BF139" s="46"/>
      <c r="BG139" s="46"/>
      <c r="BH139" s="46"/>
      <c r="BI139" s="46"/>
      <c r="BJ139" s="46"/>
      <c r="BK139" s="46"/>
      <c r="BL139" s="46"/>
      <c r="BM139" s="54"/>
      <c r="BN139" s="54"/>
      <c r="BO139" s="54"/>
      <c r="BP139" s="54"/>
      <c r="BQ139" s="54"/>
      <c r="BR139" s="54"/>
      <c r="BS139" s="54"/>
      <c r="BT139" s="54"/>
      <c r="BU139" s="54"/>
      <c r="BV139" s="46" t="e">
        <f t="shared" si="98"/>
        <v>#DIV/0!</v>
      </c>
      <c r="BW139" s="46" t="e">
        <f t="shared" si="99"/>
        <v>#DIV/0!</v>
      </c>
      <c r="BX139" s="46" t="e">
        <f t="shared" si="100"/>
        <v>#DIV/0!</v>
      </c>
      <c r="BY139" s="46" t="e">
        <f t="shared" si="101"/>
        <v>#DIV/0!</v>
      </c>
      <c r="BZ139" s="46" t="e">
        <f t="shared" si="102"/>
        <v>#DIV/0!</v>
      </c>
      <c r="CA139" s="46" t="e">
        <f t="shared" si="103"/>
        <v>#DIV/0!</v>
      </c>
      <c r="CB139" s="46" t="e">
        <f t="shared" si="104"/>
        <v>#DIV/0!</v>
      </c>
      <c r="CC139" s="46" t="e">
        <f t="shared" si="105"/>
        <v>#DIV/0!</v>
      </c>
      <c r="CD139" s="46" t="e">
        <f t="shared" si="106"/>
        <v>#DIV/0!</v>
      </c>
      <c r="CE139" s="56" t="e">
        <f t="shared" si="107"/>
        <v>#DIV/0!</v>
      </c>
      <c r="CF139" s="56" t="e">
        <f t="shared" si="108"/>
        <v>#DIV/0!</v>
      </c>
      <c r="CG139" s="56" t="e">
        <f t="shared" si="109"/>
        <v>#DIV/0!</v>
      </c>
      <c r="CH139" s="56" t="e">
        <f t="shared" si="110"/>
        <v>#DIV/0!</v>
      </c>
      <c r="CI139" s="56" t="e">
        <f t="shared" si="111"/>
        <v>#DIV/0!</v>
      </c>
      <c r="CJ139" s="56" t="e">
        <f t="shared" si="112"/>
        <v>#DIV/0!</v>
      </c>
      <c r="CK139" s="56" t="e">
        <f t="shared" si="113"/>
        <v>#DIV/0!</v>
      </c>
      <c r="CL139" s="56" t="e">
        <f t="shared" si="114"/>
        <v>#DIV/0!</v>
      </c>
      <c r="CM139" s="56" t="e">
        <f t="shared" si="115"/>
        <v>#DIV/0!</v>
      </c>
    </row>
    <row r="140" spans="1:91" x14ac:dyDescent="0.15">
      <c r="A140" s="43">
        <v>138</v>
      </c>
      <c r="B140" s="46">
        <f t="shared" si="118"/>
        <v>1</v>
      </c>
      <c r="C140" s="46">
        <f t="shared" si="117"/>
        <v>1</v>
      </c>
      <c r="D140" s="46">
        <f t="shared" si="117"/>
        <v>1</v>
      </c>
      <c r="E140" s="46">
        <f t="shared" si="117"/>
        <v>1</v>
      </c>
      <c r="F140" s="46">
        <f t="shared" si="117"/>
        <v>1</v>
      </c>
      <c r="G140" s="46">
        <f t="shared" si="117"/>
        <v>1</v>
      </c>
      <c r="H140" s="46">
        <f t="shared" si="117"/>
        <v>1</v>
      </c>
      <c r="I140" s="46">
        <f t="shared" si="117"/>
        <v>1</v>
      </c>
      <c r="J140" s="46">
        <f t="shared" si="117"/>
        <v>1</v>
      </c>
      <c r="K140" s="46" t="e">
        <f>K139+ATM_Conf!$C$5*(T139-AC139)</f>
        <v>#DIV/0!</v>
      </c>
      <c r="L140" s="46" t="e">
        <f>L139+ATM_Conf!$C$5*(U139-AD139)</f>
        <v>#DIV/0!</v>
      </c>
      <c r="M140" s="46" t="e">
        <f>M139+ATM_Conf!$C$5*(V139-AE139)</f>
        <v>#DIV/0!</v>
      </c>
      <c r="N140" s="46" t="e">
        <f>N139+ATM_Conf!$C$5*(W139-AF139)</f>
        <v>#DIV/0!</v>
      </c>
      <c r="O140" s="46" t="e">
        <f>O139+ATM_Conf!$C$5*(X139-AG139)</f>
        <v>#DIV/0!</v>
      </c>
      <c r="P140" s="46" t="e">
        <f>P139+ATM_Conf!$C$5*(Y139-AH139)</f>
        <v>#DIV/0!</v>
      </c>
      <c r="Q140" s="46" t="e">
        <f>Q139+ATM_Conf!$C$5*(Z139-AI139)</f>
        <v>#DIV/0!</v>
      </c>
      <c r="R140" s="46" t="e">
        <f>R139+ATM_Conf!$C$5*(AA139-AJ139)</f>
        <v>#DIV/0!</v>
      </c>
      <c r="S140" s="46" t="e">
        <f>S139+ATM_Conf!$C$5*(AB139-AK139)</f>
        <v>#DIV/0!</v>
      </c>
      <c r="T140" s="46"/>
      <c r="U140" s="46"/>
      <c r="V140" s="46"/>
      <c r="W140" s="46"/>
      <c r="X140" s="46"/>
      <c r="Y140" s="46"/>
      <c r="Z140" s="46"/>
      <c r="AA140" s="46"/>
      <c r="AB140" s="46"/>
      <c r="AC140" s="46" t="e">
        <f t="shared" si="89"/>
        <v>#DIV/0!</v>
      </c>
      <c r="AD140" s="46" t="e">
        <f t="shared" si="90"/>
        <v>#DIV/0!</v>
      </c>
      <c r="AE140" s="46" t="e">
        <f t="shared" si="91"/>
        <v>#DIV/0!</v>
      </c>
      <c r="AF140" s="46" t="e">
        <f t="shared" si="92"/>
        <v>#DIV/0!</v>
      </c>
      <c r="AG140" s="46" t="e">
        <f t="shared" si="93"/>
        <v>#DIV/0!</v>
      </c>
      <c r="AH140" s="46" t="e">
        <f t="shared" si="94"/>
        <v>#DIV/0!</v>
      </c>
      <c r="AI140" s="46" t="e">
        <f t="shared" si="95"/>
        <v>#DIV/0!</v>
      </c>
      <c r="AJ140" s="46" t="e">
        <f t="shared" si="96"/>
        <v>#DIV/0!</v>
      </c>
      <c r="AK140" s="46" t="e">
        <f t="shared" si="97"/>
        <v>#DIV/0!</v>
      </c>
      <c r="AL140" s="46" t="e">
        <f>T$3+K140/ATM_Conf!$C$5</f>
        <v>#DIV/0!</v>
      </c>
      <c r="AM140" s="46" t="e">
        <f>U$3+L140/ATM_Conf!$C$5</f>
        <v>#DIV/0!</v>
      </c>
      <c r="AN140" s="46" t="e">
        <f>V$3+M140/ATM_Conf!$C$5</f>
        <v>#DIV/0!</v>
      </c>
      <c r="AO140" s="46" t="e">
        <f>W$3+N140/ATM_Conf!$C$5</f>
        <v>#DIV/0!</v>
      </c>
      <c r="AP140" s="46" t="e">
        <f>X$3+O140/ATM_Conf!$C$5</f>
        <v>#DIV/0!</v>
      </c>
      <c r="AQ140" s="46" t="e">
        <f>Y$3+P140/ATM_Conf!$C$5</f>
        <v>#DIV/0!</v>
      </c>
      <c r="AR140" s="46" t="e">
        <f>Z$3+Q140/ATM_Conf!$C$5</f>
        <v>#DIV/0!</v>
      </c>
      <c r="AS140" s="46" t="e">
        <f>AA$3+R140/ATM_Conf!$C$5</f>
        <v>#DIV/0!</v>
      </c>
      <c r="AT140" s="46" t="e">
        <f>AB$3+S140/ATM_Conf!$C$5</f>
        <v>#DIV/0!</v>
      </c>
      <c r="AU140" s="46" t="e">
        <f>BD$3*MIN(1,(ATM_Conf!$C$6-Links!F140)/(ATM_Conf!$C$6-ATM_Conf!$C$7))</f>
        <v>#DIV/0!</v>
      </c>
      <c r="AV140" s="46" t="e">
        <f>BE$3*MIN(1,(ATM_Conf!$C$6-Links!G140)/(ATM_Conf!$C$6-ATM_Conf!$C$7))</f>
        <v>#DIV/0!</v>
      </c>
      <c r="AW140" s="46" t="e">
        <f>BF$3*MIN(1,(ATM_Conf!$C$6-Links!H140)/(ATM_Conf!$C$6-ATM_Conf!$C$7))</f>
        <v>#DIV/0!</v>
      </c>
      <c r="AX140" s="46" t="e">
        <f>BG$3*MIN(1,(ATM_Conf!$C$6-Links!I140)/(ATM_Conf!$C$6-ATM_Conf!$C$7))</f>
        <v>#DIV/0!</v>
      </c>
      <c r="AY140" s="46" t="e">
        <f>BH$3*MIN(1,(ATM_Conf!$C$6-Links!J140)/(ATM_Conf!$C$6-ATM_Conf!$C$7))</f>
        <v>#DIV/0!</v>
      </c>
      <c r="AZ140" s="46" t="e">
        <f>BI$3*MIN(1,(ATM_Conf!$C$6-Links!K140)/(ATM_Conf!$C$6-ATM_Conf!$C$7))</f>
        <v>#DIV/0!</v>
      </c>
      <c r="BA140" s="46" t="e">
        <f>BJ$3*MIN(1,(ATM_Conf!$C$6-Links!L140)/(ATM_Conf!$C$6-ATM_Conf!$C$7))</f>
        <v>#DIV/0!</v>
      </c>
      <c r="BB140" s="46" t="e">
        <f>BK$3*MIN(1,(ATM_Conf!$C$6-Links!M140)/(ATM_Conf!$C$6-ATM_Conf!$C$7))</f>
        <v>#DIV/0!</v>
      </c>
      <c r="BC140" s="46" t="e">
        <f>BL$3*MIN(1,(ATM_Conf!$C$6-Links!N140)/(ATM_Conf!$C$6-ATM_Conf!$C$7))</f>
        <v>#DIV/0!</v>
      </c>
      <c r="BD140" s="46"/>
      <c r="BE140" s="46"/>
      <c r="BF140" s="46"/>
      <c r="BG140" s="46"/>
      <c r="BH140" s="46"/>
      <c r="BI140" s="46"/>
      <c r="BJ140" s="46"/>
      <c r="BK140" s="46"/>
      <c r="BL140" s="46"/>
      <c r="BM140" s="54"/>
      <c r="BN140" s="54"/>
      <c r="BO140" s="54"/>
      <c r="BP140" s="54"/>
      <c r="BQ140" s="54"/>
      <c r="BR140" s="54"/>
      <c r="BS140" s="54"/>
      <c r="BT140" s="54"/>
      <c r="BU140" s="54"/>
      <c r="BV140" s="46" t="e">
        <f t="shared" si="98"/>
        <v>#DIV/0!</v>
      </c>
      <c r="BW140" s="46" t="e">
        <f t="shared" si="99"/>
        <v>#DIV/0!</v>
      </c>
      <c r="BX140" s="46" t="e">
        <f t="shared" si="100"/>
        <v>#DIV/0!</v>
      </c>
      <c r="BY140" s="46" t="e">
        <f t="shared" si="101"/>
        <v>#DIV/0!</v>
      </c>
      <c r="BZ140" s="46" t="e">
        <f t="shared" si="102"/>
        <v>#DIV/0!</v>
      </c>
      <c r="CA140" s="46" t="e">
        <f t="shared" si="103"/>
        <v>#DIV/0!</v>
      </c>
      <c r="CB140" s="46" t="e">
        <f t="shared" si="104"/>
        <v>#DIV/0!</v>
      </c>
      <c r="CC140" s="46" t="e">
        <f t="shared" si="105"/>
        <v>#DIV/0!</v>
      </c>
      <c r="CD140" s="46" t="e">
        <f t="shared" si="106"/>
        <v>#DIV/0!</v>
      </c>
      <c r="CE140" s="56" t="e">
        <f t="shared" si="107"/>
        <v>#DIV/0!</v>
      </c>
      <c r="CF140" s="56" t="e">
        <f t="shared" si="108"/>
        <v>#DIV/0!</v>
      </c>
      <c r="CG140" s="56" t="e">
        <f t="shared" si="109"/>
        <v>#DIV/0!</v>
      </c>
      <c r="CH140" s="56" t="e">
        <f t="shared" si="110"/>
        <v>#DIV/0!</v>
      </c>
      <c r="CI140" s="56" t="e">
        <f t="shared" si="111"/>
        <v>#DIV/0!</v>
      </c>
      <c r="CJ140" s="56" t="e">
        <f t="shared" si="112"/>
        <v>#DIV/0!</v>
      </c>
      <c r="CK140" s="56" t="e">
        <f t="shared" si="113"/>
        <v>#DIV/0!</v>
      </c>
      <c r="CL140" s="56" t="e">
        <f t="shared" si="114"/>
        <v>#DIV/0!</v>
      </c>
      <c r="CM140" s="56" t="e">
        <f t="shared" si="115"/>
        <v>#DIV/0!</v>
      </c>
    </row>
    <row r="141" spans="1:91" x14ac:dyDescent="0.15">
      <c r="A141" s="43">
        <v>139</v>
      </c>
      <c r="B141" s="46">
        <f t="shared" si="118"/>
        <v>1</v>
      </c>
      <c r="C141" s="46">
        <f t="shared" si="117"/>
        <v>1</v>
      </c>
      <c r="D141" s="46">
        <f t="shared" si="117"/>
        <v>1</v>
      </c>
      <c r="E141" s="46">
        <f t="shared" si="117"/>
        <v>1</v>
      </c>
      <c r="F141" s="46">
        <f t="shared" si="117"/>
        <v>1</v>
      </c>
      <c r="G141" s="46">
        <f t="shared" si="117"/>
        <v>1</v>
      </c>
      <c r="H141" s="46">
        <f t="shared" si="117"/>
        <v>1</v>
      </c>
      <c r="I141" s="46">
        <f t="shared" si="117"/>
        <v>1</v>
      </c>
      <c r="J141" s="46">
        <f t="shared" si="117"/>
        <v>1</v>
      </c>
      <c r="K141" s="46" t="e">
        <f>K140+ATM_Conf!$C$5*(T140-AC140)</f>
        <v>#DIV/0!</v>
      </c>
      <c r="L141" s="46" t="e">
        <f>L140+ATM_Conf!$C$5*(U140-AD140)</f>
        <v>#DIV/0!</v>
      </c>
      <c r="M141" s="46" t="e">
        <f>M140+ATM_Conf!$C$5*(V140-AE140)</f>
        <v>#DIV/0!</v>
      </c>
      <c r="N141" s="46" t="e">
        <f>N140+ATM_Conf!$C$5*(W140-AF140)</f>
        <v>#DIV/0!</v>
      </c>
      <c r="O141" s="46" t="e">
        <f>O140+ATM_Conf!$C$5*(X140-AG140)</f>
        <v>#DIV/0!</v>
      </c>
      <c r="P141" s="46" t="e">
        <f>P140+ATM_Conf!$C$5*(Y140-AH140)</f>
        <v>#DIV/0!</v>
      </c>
      <c r="Q141" s="46" t="e">
        <f>Q140+ATM_Conf!$C$5*(Z140-AI140)</f>
        <v>#DIV/0!</v>
      </c>
      <c r="R141" s="46" t="e">
        <f>R140+ATM_Conf!$C$5*(AA140-AJ140)</f>
        <v>#DIV/0!</v>
      </c>
      <c r="S141" s="46" t="e">
        <f>S140+ATM_Conf!$C$5*(AB140-AK140)</f>
        <v>#DIV/0!</v>
      </c>
      <c r="T141" s="46"/>
      <c r="U141" s="46"/>
      <c r="V141" s="46"/>
      <c r="W141" s="46"/>
      <c r="X141" s="46"/>
      <c r="Y141" s="46"/>
      <c r="Z141" s="46"/>
      <c r="AA141" s="46"/>
      <c r="AB141" s="46"/>
      <c r="AC141" s="46" t="e">
        <f t="shared" si="89"/>
        <v>#DIV/0!</v>
      </c>
      <c r="AD141" s="46" t="e">
        <f t="shared" si="90"/>
        <v>#DIV/0!</v>
      </c>
      <c r="AE141" s="46" t="e">
        <f t="shared" si="91"/>
        <v>#DIV/0!</v>
      </c>
      <c r="AF141" s="46" t="e">
        <f t="shared" si="92"/>
        <v>#DIV/0!</v>
      </c>
      <c r="AG141" s="46" t="e">
        <f t="shared" si="93"/>
        <v>#DIV/0!</v>
      </c>
      <c r="AH141" s="46" t="e">
        <f t="shared" si="94"/>
        <v>#DIV/0!</v>
      </c>
      <c r="AI141" s="46" t="e">
        <f t="shared" si="95"/>
        <v>#DIV/0!</v>
      </c>
      <c r="AJ141" s="46" t="e">
        <f t="shared" si="96"/>
        <v>#DIV/0!</v>
      </c>
      <c r="AK141" s="46" t="e">
        <f t="shared" si="97"/>
        <v>#DIV/0!</v>
      </c>
      <c r="AL141" s="46" t="e">
        <f>T$3+K141/ATM_Conf!$C$5</f>
        <v>#DIV/0!</v>
      </c>
      <c r="AM141" s="46" t="e">
        <f>U$3+L141/ATM_Conf!$C$5</f>
        <v>#DIV/0!</v>
      </c>
      <c r="AN141" s="46" t="e">
        <f>V$3+M141/ATM_Conf!$C$5</f>
        <v>#DIV/0!</v>
      </c>
      <c r="AO141" s="46" t="e">
        <f>W$3+N141/ATM_Conf!$C$5</f>
        <v>#DIV/0!</v>
      </c>
      <c r="AP141" s="46" t="e">
        <f>X$3+O141/ATM_Conf!$C$5</f>
        <v>#DIV/0!</v>
      </c>
      <c r="AQ141" s="46" t="e">
        <f>Y$3+P141/ATM_Conf!$C$5</f>
        <v>#DIV/0!</v>
      </c>
      <c r="AR141" s="46" t="e">
        <f>Z$3+Q141/ATM_Conf!$C$5</f>
        <v>#DIV/0!</v>
      </c>
      <c r="AS141" s="46" t="e">
        <f>AA$3+R141/ATM_Conf!$C$5</f>
        <v>#DIV/0!</v>
      </c>
      <c r="AT141" s="46" t="e">
        <f>AB$3+S141/ATM_Conf!$C$5</f>
        <v>#DIV/0!</v>
      </c>
      <c r="AU141" s="46" t="e">
        <f>BD$3*MIN(1,(ATM_Conf!$C$6-Links!F141)/(ATM_Conf!$C$6-ATM_Conf!$C$7))</f>
        <v>#DIV/0!</v>
      </c>
      <c r="AV141" s="46" t="e">
        <f>BE$3*MIN(1,(ATM_Conf!$C$6-Links!G141)/(ATM_Conf!$C$6-ATM_Conf!$C$7))</f>
        <v>#DIV/0!</v>
      </c>
      <c r="AW141" s="46" t="e">
        <f>BF$3*MIN(1,(ATM_Conf!$C$6-Links!H141)/(ATM_Conf!$C$6-ATM_Conf!$C$7))</f>
        <v>#DIV/0!</v>
      </c>
      <c r="AX141" s="46" t="e">
        <f>BG$3*MIN(1,(ATM_Conf!$C$6-Links!I141)/(ATM_Conf!$C$6-ATM_Conf!$C$7))</f>
        <v>#DIV/0!</v>
      </c>
      <c r="AY141" s="46" t="e">
        <f>BH$3*MIN(1,(ATM_Conf!$C$6-Links!J141)/(ATM_Conf!$C$6-ATM_Conf!$C$7))</f>
        <v>#DIV/0!</v>
      </c>
      <c r="AZ141" s="46" t="e">
        <f>BI$3*MIN(1,(ATM_Conf!$C$6-Links!K141)/(ATM_Conf!$C$6-ATM_Conf!$C$7))</f>
        <v>#DIV/0!</v>
      </c>
      <c r="BA141" s="46" t="e">
        <f>BJ$3*MIN(1,(ATM_Conf!$C$6-Links!L141)/(ATM_Conf!$C$6-ATM_Conf!$C$7))</f>
        <v>#DIV/0!</v>
      </c>
      <c r="BB141" s="46" t="e">
        <f>BK$3*MIN(1,(ATM_Conf!$C$6-Links!M141)/(ATM_Conf!$C$6-ATM_Conf!$C$7))</f>
        <v>#DIV/0!</v>
      </c>
      <c r="BC141" s="46" t="e">
        <f>BL$3*MIN(1,(ATM_Conf!$C$6-Links!N141)/(ATM_Conf!$C$6-ATM_Conf!$C$7))</f>
        <v>#DIV/0!</v>
      </c>
      <c r="BD141" s="46"/>
      <c r="BE141" s="46"/>
      <c r="BF141" s="46"/>
      <c r="BG141" s="46"/>
      <c r="BH141" s="46"/>
      <c r="BI141" s="46"/>
      <c r="BJ141" s="46"/>
      <c r="BK141" s="46"/>
      <c r="BL141" s="46"/>
      <c r="BM141" s="54"/>
      <c r="BN141" s="54"/>
      <c r="BO141" s="54"/>
      <c r="BP141" s="54"/>
      <c r="BQ141" s="54"/>
      <c r="BR141" s="54"/>
      <c r="BS141" s="54"/>
      <c r="BT141" s="54"/>
      <c r="BU141" s="54"/>
      <c r="BV141" s="46" t="e">
        <f t="shared" si="98"/>
        <v>#DIV/0!</v>
      </c>
      <c r="BW141" s="46" t="e">
        <f t="shared" si="99"/>
        <v>#DIV/0!</v>
      </c>
      <c r="BX141" s="46" t="e">
        <f t="shared" si="100"/>
        <v>#DIV/0!</v>
      </c>
      <c r="BY141" s="46" t="e">
        <f t="shared" si="101"/>
        <v>#DIV/0!</v>
      </c>
      <c r="BZ141" s="46" t="e">
        <f t="shared" si="102"/>
        <v>#DIV/0!</v>
      </c>
      <c r="CA141" s="46" t="e">
        <f t="shared" si="103"/>
        <v>#DIV/0!</v>
      </c>
      <c r="CB141" s="46" t="e">
        <f t="shared" si="104"/>
        <v>#DIV/0!</v>
      </c>
      <c r="CC141" s="46" t="e">
        <f t="shared" si="105"/>
        <v>#DIV/0!</v>
      </c>
      <c r="CD141" s="46" t="e">
        <f t="shared" si="106"/>
        <v>#DIV/0!</v>
      </c>
      <c r="CE141" s="56" t="e">
        <f t="shared" si="107"/>
        <v>#DIV/0!</v>
      </c>
      <c r="CF141" s="56" t="e">
        <f t="shared" si="108"/>
        <v>#DIV/0!</v>
      </c>
      <c r="CG141" s="56" t="e">
        <f t="shared" si="109"/>
        <v>#DIV/0!</v>
      </c>
      <c r="CH141" s="56" t="e">
        <f t="shared" si="110"/>
        <v>#DIV/0!</v>
      </c>
      <c r="CI141" s="56" t="e">
        <f t="shared" si="111"/>
        <v>#DIV/0!</v>
      </c>
      <c r="CJ141" s="56" t="e">
        <f t="shared" si="112"/>
        <v>#DIV/0!</v>
      </c>
      <c r="CK141" s="56" t="e">
        <f t="shared" si="113"/>
        <v>#DIV/0!</v>
      </c>
      <c r="CL141" s="56" t="e">
        <f t="shared" si="114"/>
        <v>#DIV/0!</v>
      </c>
      <c r="CM141" s="56" t="e">
        <f t="shared" si="115"/>
        <v>#DIV/0!</v>
      </c>
    </row>
    <row r="142" spans="1:91" x14ac:dyDescent="0.15">
      <c r="A142" s="43">
        <v>140</v>
      </c>
      <c r="B142" s="46">
        <f t="shared" si="118"/>
        <v>1</v>
      </c>
      <c r="C142" s="46">
        <f t="shared" si="117"/>
        <v>1</v>
      </c>
      <c r="D142" s="46">
        <f t="shared" si="117"/>
        <v>1</v>
      </c>
      <c r="E142" s="46">
        <f t="shared" si="117"/>
        <v>1</v>
      </c>
      <c r="F142" s="46">
        <f t="shared" si="117"/>
        <v>1</v>
      </c>
      <c r="G142" s="46">
        <f t="shared" si="117"/>
        <v>1</v>
      </c>
      <c r="H142" s="46">
        <f t="shared" si="117"/>
        <v>1</v>
      </c>
      <c r="I142" s="46">
        <f t="shared" si="117"/>
        <v>1</v>
      </c>
      <c r="J142" s="46">
        <f t="shared" si="117"/>
        <v>1</v>
      </c>
      <c r="K142" s="46" t="e">
        <f>K141+ATM_Conf!$C$5*(T141-AC141)</f>
        <v>#DIV/0!</v>
      </c>
      <c r="L142" s="46" t="e">
        <f>L141+ATM_Conf!$C$5*(U141-AD141)</f>
        <v>#DIV/0!</v>
      </c>
      <c r="M142" s="46" t="e">
        <f>M141+ATM_Conf!$C$5*(V141-AE141)</f>
        <v>#DIV/0!</v>
      </c>
      <c r="N142" s="46" t="e">
        <f>N141+ATM_Conf!$C$5*(W141-AF141)</f>
        <v>#DIV/0!</v>
      </c>
      <c r="O142" s="46" t="e">
        <f>O141+ATM_Conf!$C$5*(X141-AG141)</f>
        <v>#DIV/0!</v>
      </c>
      <c r="P142" s="46" t="e">
        <f>P141+ATM_Conf!$C$5*(Y141-AH141)</f>
        <v>#DIV/0!</v>
      </c>
      <c r="Q142" s="46" t="e">
        <f>Q141+ATM_Conf!$C$5*(Z141-AI141)</f>
        <v>#DIV/0!</v>
      </c>
      <c r="R142" s="46" t="e">
        <f>R141+ATM_Conf!$C$5*(AA141-AJ141)</f>
        <v>#DIV/0!</v>
      </c>
      <c r="S142" s="46" t="e">
        <f>S141+ATM_Conf!$C$5*(AB141-AK141)</f>
        <v>#DIV/0!</v>
      </c>
      <c r="T142" s="46"/>
      <c r="U142" s="46"/>
      <c r="V142" s="46"/>
      <c r="W142" s="46"/>
      <c r="X142" s="46"/>
      <c r="Y142" s="46"/>
      <c r="Z142" s="46"/>
      <c r="AA142" s="46"/>
      <c r="AB142" s="46"/>
      <c r="AC142" s="46" t="e">
        <f t="shared" si="89"/>
        <v>#DIV/0!</v>
      </c>
      <c r="AD142" s="46" t="e">
        <f t="shared" si="90"/>
        <v>#DIV/0!</v>
      </c>
      <c r="AE142" s="46" t="e">
        <f t="shared" si="91"/>
        <v>#DIV/0!</v>
      </c>
      <c r="AF142" s="46" t="e">
        <f t="shared" si="92"/>
        <v>#DIV/0!</v>
      </c>
      <c r="AG142" s="46" t="e">
        <f t="shared" si="93"/>
        <v>#DIV/0!</v>
      </c>
      <c r="AH142" s="46" t="e">
        <f t="shared" si="94"/>
        <v>#DIV/0!</v>
      </c>
      <c r="AI142" s="46" t="e">
        <f t="shared" si="95"/>
        <v>#DIV/0!</v>
      </c>
      <c r="AJ142" s="46" t="e">
        <f t="shared" si="96"/>
        <v>#DIV/0!</v>
      </c>
      <c r="AK142" s="46" t="e">
        <f t="shared" si="97"/>
        <v>#DIV/0!</v>
      </c>
      <c r="AL142" s="46" t="e">
        <f>T$3+K142/ATM_Conf!$C$5</f>
        <v>#DIV/0!</v>
      </c>
      <c r="AM142" s="46" t="e">
        <f>U$3+L142/ATM_Conf!$C$5</f>
        <v>#DIV/0!</v>
      </c>
      <c r="AN142" s="46" t="e">
        <f>V$3+M142/ATM_Conf!$C$5</f>
        <v>#DIV/0!</v>
      </c>
      <c r="AO142" s="46" t="e">
        <f>W$3+N142/ATM_Conf!$C$5</f>
        <v>#DIV/0!</v>
      </c>
      <c r="AP142" s="46" t="e">
        <f>X$3+O142/ATM_Conf!$C$5</f>
        <v>#DIV/0!</v>
      </c>
      <c r="AQ142" s="46" t="e">
        <f>Y$3+P142/ATM_Conf!$C$5</f>
        <v>#DIV/0!</v>
      </c>
      <c r="AR142" s="46" t="e">
        <f>Z$3+Q142/ATM_Conf!$C$5</f>
        <v>#DIV/0!</v>
      </c>
      <c r="AS142" s="46" t="e">
        <f>AA$3+R142/ATM_Conf!$C$5</f>
        <v>#DIV/0!</v>
      </c>
      <c r="AT142" s="46" t="e">
        <f>AB$3+S142/ATM_Conf!$C$5</f>
        <v>#DIV/0!</v>
      </c>
      <c r="AU142" s="46" t="e">
        <f>BD$3*MIN(1,(ATM_Conf!$C$6-Links!F142)/(ATM_Conf!$C$6-ATM_Conf!$C$7))</f>
        <v>#DIV/0!</v>
      </c>
      <c r="AV142" s="46" t="e">
        <f>BE$3*MIN(1,(ATM_Conf!$C$6-Links!G142)/(ATM_Conf!$C$6-ATM_Conf!$C$7))</f>
        <v>#DIV/0!</v>
      </c>
      <c r="AW142" s="46" t="e">
        <f>BF$3*MIN(1,(ATM_Conf!$C$6-Links!H142)/(ATM_Conf!$C$6-ATM_Conf!$C$7))</f>
        <v>#DIV/0!</v>
      </c>
      <c r="AX142" s="46" t="e">
        <f>BG$3*MIN(1,(ATM_Conf!$C$6-Links!I142)/(ATM_Conf!$C$6-ATM_Conf!$C$7))</f>
        <v>#DIV/0!</v>
      </c>
      <c r="AY142" s="46" t="e">
        <f>BH$3*MIN(1,(ATM_Conf!$C$6-Links!J142)/(ATM_Conf!$C$6-ATM_Conf!$C$7))</f>
        <v>#DIV/0!</v>
      </c>
      <c r="AZ142" s="46" t="e">
        <f>BI$3*MIN(1,(ATM_Conf!$C$6-Links!K142)/(ATM_Conf!$C$6-ATM_Conf!$C$7))</f>
        <v>#DIV/0!</v>
      </c>
      <c r="BA142" s="46" t="e">
        <f>BJ$3*MIN(1,(ATM_Conf!$C$6-Links!L142)/(ATM_Conf!$C$6-ATM_Conf!$C$7))</f>
        <v>#DIV/0!</v>
      </c>
      <c r="BB142" s="46" t="e">
        <f>BK$3*MIN(1,(ATM_Conf!$C$6-Links!M142)/(ATM_Conf!$C$6-ATM_Conf!$C$7))</f>
        <v>#DIV/0!</v>
      </c>
      <c r="BC142" s="46" t="e">
        <f>BL$3*MIN(1,(ATM_Conf!$C$6-Links!N142)/(ATM_Conf!$C$6-ATM_Conf!$C$7))</f>
        <v>#DIV/0!</v>
      </c>
      <c r="BD142" s="46"/>
      <c r="BE142" s="46"/>
      <c r="BF142" s="46"/>
      <c r="BG142" s="46"/>
      <c r="BH142" s="46"/>
      <c r="BI142" s="46"/>
      <c r="BJ142" s="46"/>
      <c r="BK142" s="46"/>
      <c r="BL142" s="46"/>
      <c r="BM142" s="54"/>
      <c r="BN142" s="54"/>
      <c r="BO142" s="54"/>
      <c r="BP142" s="54"/>
      <c r="BQ142" s="54"/>
      <c r="BR142" s="54"/>
      <c r="BS142" s="54"/>
      <c r="BT142" s="54"/>
      <c r="BU142" s="54"/>
      <c r="BV142" s="46" t="e">
        <f t="shared" si="98"/>
        <v>#DIV/0!</v>
      </c>
      <c r="BW142" s="46" t="e">
        <f t="shared" si="99"/>
        <v>#DIV/0!</v>
      </c>
      <c r="BX142" s="46" t="e">
        <f t="shared" si="100"/>
        <v>#DIV/0!</v>
      </c>
      <c r="BY142" s="46" t="e">
        <f t="shared" si="101"/>
        <v>#DIV/0!</v>
      </c>
      <c r="BZ142" s="46" t="e">
        <f t="shared" si="102"/>
        <v>#DIV/0!</v>
      </c>
      <c r="CA142" s="46" t="e">
        <f t="shared" si="103"/>
        <v>#DIV/0!</v>
      </c>
      <c r="CB142" s="46" t="e">
        <f t="shared" si="104"/>
        <v>#DIV/0!</v>
      </c>
      <c r="CC142" s="46" t="e">
        <f t="shared" si="105"/>
        <v>#DIV/0!</v>
      </c>
      <c r="CD142" s="46" t="e">
        <f t="shared" si="106"/>
        <v>#DIV/0!</v>
      </c>
      <c r="CE142" s="56" t="e">
        <f t="shared" si="107"/>
        <v>#DIV/0!</v>
      </c>
      <c r="CF142" s="56" t="e">
        <f t="shared" si="108"/>
        <v>#DIV/0!</v>
      </c>
      <c r="CG142" s="56" t="e">
        <f t="shared" si="109"/>
        <v>#DIV/0!</v>
      </c>
      <c r="CH142" s="56" t="e">
        <f t="shared" si="110"/>
        <v>#DIV/0!</v>
      </c>
      <c r="CI142" s="56" t="e">
        <f t="shared" si="111"/>
        <v>#DIV/0!</v>
      </c>
      <c r="CJ142" s="56" t="e">
        <f t="shared" si="112"/>
        <v>#DIV/0!</v>
      </c>
      <c r="CK142" s="56" t="e">
        <f t="shared" si="113"/>
        <v>#DIV/0!</v>
      </c>
      <c r="CL142" s="56" t="e">
        <f t="shared" si="114"/>
        <v>#DIV/0!</v>
      </c>
      <c r="CM142" s="56" t="e">
        <f t="shared" si="115"/>
        <v>#DIV/0!</v>
      </c>
    </row>
    <row r="143" spans="1:91" x14ac:dyDescent="0.15">
      <c r="A143" s="43">
        <v>141</v>
      </c>
      <c r="B143" s="46">
        <f t="shared" si="118"/>
        <v>1</v>
      </c>
      <c r="C143" s="46">
        <f t="shared" si="117"/>
        <v>1</v>
      </c>
      <c r="D143" s="46">
        <f t="shared" si="117"/>
        <v>1</v>
      </c>
      <c r="E143" s="46">
        <f t="shared" si="117"/>
        <v>1</v>
      </c>
      <c r="F143" s="46">
        <f t="shared" si="117"/>
        <v>1</v>
      </c>
      <c r="G143" s="46">
        <f t="shared" si="117"/>
        <v>1</v>
      </c>
      <c r="H143" s="46">
        <f t="shared" si="117"/>
        <v>1</v>
      </c>
      <c r="I143" s="46">
        <f t="shared" si="117"/>
        <v>1</v>
      </c>
      <c r="J143" s="46">
        <f t="shared" si="117"/>
        <v>1</v>
      </c>
      <c r="K143" s="46" t="e">
        <f>K142+ATM_Conf!$C$5*(T142-AC142)</f>
        <v>#DIV/0!</v>
      </c>
      <c r="L143" s="46" t="e">
        <f>L142+ATM_Conf!$C$5*(U142-AD142)</f>
        <v>#DIV/0!</v>
      </c>
      <c r="M143" s="46" t="e">
        <f>M142+ATM_Conf!$C$5*(V142-AE142)</f>
        <v>#DIV/0!</v>
      </c>
      <c r="N143" s="46" t="e">
        <f>N142+ATM_Conf!$C$5*(W142-AF142)</f>
        <v>#DIV/0!</v>
      </c>
      <c r="O143" s="46" t="e">
        <f>O142+ATM_Conf!$C$5*(X142-AG142)</f>
        <v>#DIV/0!</v>
      </c>
      <c r="P143" s="46" t="e">
        <f>P142+ATM_Conf!$C$5*(Y142-AH142)</f>
        <v>#DIV/0!</v>
      </c>
      <c r="Q143" s="46" t="e">
        <f>Q142+ATM_Conf!$C$5*(Z142-AI142)</f>
        <v>#DIV/0!</v>
      </c>
      <c r="R143" s="46" t="e">
        <f>R142+ATM_Conf!$C$5*(AA142-AJ142)</f>
        <v>#DIV/0!</v>
      </c>
      <c r="S143" s="46" t="e">
        <f>S142+ATM_Conf!$C$5*(AB142-AK142)</f>
        <v>#DIV/0!</v>
      </c>
      <c r="T143" s="46"/>
      <c r="U143" s="46"/>
      <c r="V143" s="46"/>
      <c r="W143" s="46"/>
      <c r="X143" s="46"/>
      <c r="Y143" s="46"/>
      <c r="Z143" s="46"/>
      <c r="AA143" s="46"/>
      <c r="AB143" s="46"/>
      <c r="AC143" s="46" t="e">
        <f t="shared" si="89"/>
        <v>#DIV/0!</v>
      </c>
      <c r="AD143" s="46" t="e">
        <f t="shared" si="90"/>
        <v>#DIV/0!</v>
      </c>
      <c r="AE143" s="46" t="e">
        <f t="shared" si="91"/>
        <v>#DIV/0!</v>
      </c>
      <c r="AF143" s="46" t="e">
        <f t="shared" si="92"/>
        <v>#DIV/0!</v>
      </c>
      <c r="AG143" s="46" t="e">
        <f t="shared" si="93"/>
        <v>#DIV/0!</v>
      </c>
      <c r="AH143" s="46" t="e">
        <f t="shared" si="94"/>
        <v>#DIV/0!</v>
      </c>
      <c r="AI143" s="46" t="e">
        <f t="shared" si="95"/>
        <v>#DIV/0!</v>
      </c>
      <c r="AJ143" s="46" t="e">
        <f t="shared" si="96"/>
        <v>#DIV/0!</v>
      </c>
      <c r="AK143" s="46" t="e">
        <f t="shared" si="97"/>
        <v>#DIV/0!</v>
      </c>
      <c r="AL143" s="46" t="e">
        <f>T$3+K143/ATM_Conf!$C$5</f>
        <v>#DIV/0!</v>
      </c>
      <c r="AM143" s="46" t="e">
        <f>U$3+L143/ATM_Conf!$C$5</f>
        <v>#DIV/0!</v>
      </c>
      <c r="AN143" s="46" t="e">
        <f>V$3+M143/ATM_Conf!$C$5</f>
        <v>#DIV/0!</v>
      </c>
      <c r="AO143" s="46" t="e">
        <f>W$3+N143/ATM_Conf!$C$5</f>
        <v>#DIV/0!</v>
      </c>
      <c r="AP143" s="46" t="e">
        <f>X$3+O143/ATM_Conf!$C$5</f>
        <v>#DIV/0!</v>
      </c>
      <c r="AQ143" s="46" t="e">
        <f>Y$3+P143/ATM_Conf!$C$5</f>
        <v>#DIV/0!</v>
      </c>
      <c r="AR143" s="46" t="e">
        <f>Z$3+Q143/ATM_Conf!$C$5</f>
        <v>#DIV/0!</v>
      </c>
      <c r="AS143" s="46" t="e">
        <f>AA$3+R143/ATM_Conf!$C$5</f>
        <v>#DIV/0!</v>
      </c>
      <c r="AT143" s="46" t="e">
        <f>AB$3+S143/ATM_Conf!$C$5</f>
        <v>#DIV/0!</v>
      </c>
      <c r="AU143" s="46" t="e">
        <f>BD$3*MIN(1,(ATM_Conf!$C$6-Links!F143)/(ATM_Conf!$C$6-ATM_Conf!$C$7))</f>
        <v>#DIV/0!</v>
      </c>
      <c r="AV143" s="46" t="e">
        <f>BE$3*MIN(1,(ATM_Conf!$C$6-Links!G143)/(ATM_Conf!$C$6-ATM_Conf!$C$7))</f>
        <v>#DIV/0!</v>
      </c>
      <c r="AW143" s="46" t="e">
        <f>BF$3*MIN(1,(ATM_Conf!$C$6-Links!H143)/(ATM_Conf!$C$6-ATM_Conf!$C$7))</f>
        <v>#DIV/0!</v>
      </c>
      <c r="AX143" s="46" t="e">
        <f>BG$3*MIN(1,(ATM_Conf!$C$6-Links!I143)/(ATM_Conf!$C$6-ATM_Conf!$C$7))</f>
        <v>#DIV/0!</v>
      </c>
      <c r="AY143" s="46" t="e">
        <f>BH$3*MIN(1,(ATM_Conf!$C$6-Links!J143)/(ATM_Conf!$C$6-ATM_Conf!$C$7))</f>
        <v>#DIV/0!</v>
      </c>
      <c r="AZ143" s="46" t="e">
        <f>BI$3*MIN(1,(ATM_Conf!$C$6-Links!K143)/(ATM_Conf!$C$6-ATM_Conf!$C$7))</f>
        <v>#DIV/0!</v>
      </c>
      <c r="BA143" s="46" t="e">
        <f>BJ$3*MIN(1,(ATM_Conf!$C$6-Links!L143)/(ATM_Conf!$C$6-ATM_Conf!$C$7))</f>
        <v>#DIV/0!</v>
      </c>
      <c r="BB143" s="46" t="e">
        <f>BK$3*MIN(1,(ATM_Conf!$C$6-Links!M143)/(ATM_Conf!$C$6-ATM_Conf!$C$7))</f>
        <v>#DIV/0!</v>
      </c>
      <c r="BC143" s="46" t="e">
        <f>BL$3*MIN(1,(ATM_Conf!$C$6-Links!N143)/(ATM_Conf!$C$6-ATM_Conf!$C$7))</f>
        <v>#DIV/0!</v>
      </c>
      <c r="BD143" s="46"/>
      <c r="BE143" s="46"/>
      <c r="BF143" s="46"/>
      <c r="BG143" s="46"/>
      <c r="BH143" s="46"/>
      <c r="BI143" s="46"/>
      <c r="BJ143" s="46"/>
      <c r="BK143" s="46"/>
      <c r="BL143" s="46"/>
      <c r="BM143" s="54"/>
      <c r="BN143" s="54"/>
      <c r="BO143" s="54"/>
      <c r="BP143" s="54"/>
      <c r="BQ143" s="54"/>
      <c r="BR143" s="54"/>
      <c r="BS143" s="54"/>
      <c r="BT143" s="54"/>
      <c r="BU143" s="54"/>
      <c r="BV143" s="46" t="e">
        <f t="shared" si="98"/>
        <v>#DIV/0!</v>
      </c>
      <c r="BW143" s="46" t="e">
        <f t="shared" si="99"/>
        <v>#DIV/0!</v>
      </c>
      <c r="BX143" s="46" t="e">
        <f t="shared" si="100"/>
        <v>#DIV/0!</v>
      </c>
      <c r="BY143" s="46" t="e">
        <f t="shared" si="101"/>
        <v>#DIV/0!</v>
      </c>
      <c r="BZ143" s="46" t="e">
        <f t="shared" si="102"/>
        <v>#DIV/0!</v>
      </c>
      <c r="CA143" s="46" t="e">
        <f t="shared" si="103"/>
        <v>#DIV/0!</v>
      </c>
      <c r="CB143" s="46" t="e">
        <f t="shared" si="104"/>
        <v>#DIV/0!</v>
      </c>
      <c r="CC143" s="46" t="e">
        <f t="shared" si="105"/>
        <v>#DIV/0!</v>
      </c>
      <c r="CD143" s="46" t="e">
        <f t="shared" si="106"/>
        <v>#DIV/0!</v>
      </c>
      <c r="CE143" s="56" t="e">
        <f t="shared" si="107"/>
        <v>#DIV/0!</v>
      </c>
      <c r="CF143" s="56" t="e">
        <f t="shared" si="108"/>
        <v>#DIV/0!</v>
      </c>
      <c r="CG143" s="56" t="e">
        <f t="shared" si="109"/>
        <v>#DIV/0!</v>
      </c>
      <c r="CH143" s="56" t="e">
        <f t="shared" si="110"/>
        <v>#DIV/0!</v>
      </c>
      <c r="CI143" s="56" t="e">
        <f t="shared" si="111"/>
        <v>#DIV/0!</v>
      </c>
      <c r="CJ143" s="56" t="e">
        <f t="shared" si="112"/>
        <v>#DIV/0!</v>
      </c>
      <c r="CK143" s="56" t="e">
        <f t="shared" si="113"/>
        <v>#DIV/0!</v>
      </c>
      <c r="CL143" s="56" t="e">
        <f t="shared" si="114"/>
        <v>#DIV/0!</v>
      </c>
      <c r="CM143" s="56" t="e">
        <f t="shared" si="115"/>
        <v>#DIV/0!</v>
      </c>
    </row>
    <row r="144" spans="1:91" x14ac:dyDescent="0.15">
      <c r="A144" s="43">
        <v>142</v>
      </c>
      <c r="B144" s="46">
        <f t="shared" si="118"/>
        <v>1</v>
      </c>
      <c r="C144" s="46">
        <f t="shared" si="117"/>
        <v>1</v>
      </c>
      <c r="D144" s="46">
        <f t="shared" si="117"/>
        <v>1</v>
      </c>
      <c r="E144" s="46">
        <f t="shared" si="117"/>
        <v>1</v>
      </c>
      <c r="F144" s="46">
        <f t="shared" si="117"/>
        <v>1</v>
      </c>
      <c r="G144" s="46">
        <f t="shared" si="117"/>
        <v>1</v>
      </c>
      <c r="H144" s="46">
        <f t="shared" si="117"/>
        <v>1</v>
      </c>
      <c r="I144" s="46">
        <f t="shared" si="117"/>
        <v>1</v>
      </c>
      <c r="J144" s="46">
        <f t="shared" si="117"/>
        <v>1</v>
      </c>
      <c r="K144" s="46" t="e">
        <f>K143+ATM_Conf!$C$5*(T143-AC143)</f>
        <v>#DIV/0!</v>
      </c>
      <c r="L144" s="46" t="e">
        <f>L143+ATM_Conf!$C$5*(U143-AD143)</f>
        <v>#DIV/0!</v>
      </c>
      <c r="M144" s="46" t="e">
        <f>M143+ATM_Conf!$C$5*(V143-AE143)</f>
        <v>#DIV/0!</v>
      </c>
      <c r="N144" s="46" t="e">
        <f>N143+ATM_Conf!$C$5*(W143-AF143)</f>
        <v>#DIV/0!</v>
      </c>
      <c r="O144" s="46" t="e">
        <f>O143+ATM_Conf!$C$5*(X143-AG143)</f>
        <v>#DIV/0!</v>
      </c>
      <c r="P144" s="46" t="e">
        <f>P143+ATM_Conf!$C$5*(Y143-AH143)</f>
        <v>#DIV/0!</v>
      </c>
      <c r="Q144" s="46" t="e">
        <f>Q143+ATM_Conf!$C$5*(Z143-AI143)</f>
        <v>#DIV/0!</v>
      </c>
      <c r="R144" s="46" t="e">
        <f>R143+ATM_Conf!$C$5*(AA143-AJ143)</f>
        <v>#DIV/0!</v>
      </c>
      <c r="S144" s="46" t="e">
        <f>S143+ATM_Conf!$C$5*(AB143-AK143)</f>
        <v>#DIV/0!</v>
      </c>
      <c r="T144" s="46"/>
      <c r="U144" s="46"/>
      <c r="V144" s="46"/>
      <c r="W144" s="46"/>
      <c r="X144" s="46"/>
      <c r="Y144" s="46"/>
      <c r="Z144" s="46"/>
      <c r="AA144" s="46"/>
      <c r="AB144" s="46"/>
      <c r="AC144" s="46" t="e">
        <f t="shared" si="89"/>
        <v>#DIV/0!</v>
      </c>
      <c r="AD144" s="46" t="e">
        <f t="shared" si="90"/>
        <v>#DIV/0!</v>
      </c>
      <c r="AE144" s="46" t="e">
        <f t="shared" si="91"/>
        <v>#DIV/0!</v>
      </c>
      <c r="AF144" s="46" t="e">
        <f t="shared" si="92"/>
        <v>#DIV/0!</v>
      </c>
      <c r="AG144" s="46" t="e">
        <f t="shared" si="93"/>
        <v>#DIV/0!</v>
      </c>
      <c r="AH144" s="46" t="e">
        <f t="shared" si="94"/>
        <v>#DIV/0!</v>
      </c>
      <c r="AI144" s="46" t="e">
        <f t="shared" si="95"/>
        <v>#DIV/0!</v>
      </c>
      <c r="AJ144" s="46" t="e">
        <f t="shared" si="96"/>
        <v>#DIV/0!</v>
      </c>
      <c r="AK144" s="46" t="e">
        <f t="shared" si="97"/>
        <v>#DIV/0!</v>
      </c>
      <c r="AL144" s="46" t="e">
        <f>T$3+K144/ATM_Conf!$C$5</f>
        <v>#DIV/0!</v>
      </c>
      <c r="AM144" s="46" t="e">
        <f>U$3+L144/ATM_Conf!$C$5</f>
        <v>#DIV/0!</v>
      </c>
      <c r="AN144" s="46" t="e">
        <f>V$3+M144/ATM_Conf!$C$5</f>
        <v>#DIV/0!</v>
      </c>
      <c r="AO144" s="46" t="e">
        <f>W$3+N144/ATM_Conf!$C$5</f>
        <v>#DIV/0!</v>
      </c>
      <c r="AP144" s="46" t="e">
        <f>X$3+O144/ATM_Conf!$C$5</f>
        <v>#DIV/0!</v>
      </c>
      <c r="AQ144" s="46" t="e">
        <f>Y$3+P144/ATM_Conf!$C$5</f>
        <v>#DIV/0!</v>
      </c>
      <c r="AR144" s="46" t="e">
        <f>Z$3+Q144/ATM_Conf!$C$5</f>
        <v>#DIV/0!</v>
      </c>
      <c r="AS144" s="46" t="e">
        <f>AA$3+R144/ATM_Conf!$C$5</f>
        <v>#DIV/0!</v>
      </c>
      <c r="AT144" s="46" t="e">
        <f>AB$3+S144/ATM_Conf!$C$5</f>
        <v>#DIV/0!</v>
      </c>
      <c r="AU144" s="46" t="e">
        <f>BD$3*MIN(1,(ATM_Conf!$C$6-Links!F144)/(ATM_Conf!$C$6-ATM_Conf!$C$7))</f>
        <v>#DIV/0!</v>
      </c>
      <c r="AV144" s="46" t="e">
        <f>BE$3*MIN(1,(ATM_Conf!$C$6-Links!G144)/(ATM_Conf!$C$6-ATM_Conf!$C$7))</f>
        <v>#DIV/0!</v>
      </c>
      <c r="AW144" s="46" t="e">
        <f>BF$3*MIN(1,(ATM_Conf!$C$6-Links!H144)/(ATM_Conf!$C$6-ATM_Conf!$C$7))</f>
        <v>#DIV/0!</v>
      </c>
      <c r="AX144" s="46" t="e">
        <f>BG$3*MIN(1,(ATM_Conf!$C$6-Links!I144)/(ATM_Conf!$C$6-ATM_Conf!$C$7))</f>
        <v>#DIV/0!</v>
      </c>
      <c r="AY144" s="46" t="e">
        <f>BH$3*MIN(1,(ATM_Conf!$C$6-Links!J144)/(ATM_Conf!$C$6-ATM_Conf!$C$7))</f>
        <v>#DIV/0!</v>
      </c>
      <c r="AZ144" s="46" t="e">
        <f>BI$3*MIN(1,(ATM_Conf!$C$6-Links!K144)/(ATM_Conf!$C$6-ATM_Conf!$C$7))</f>
        <v>#DIV/0!</v>
      </c>
      <c r="BA144" s="46" t="e">
        <f>BJ$3*MIN(1,(ATM_Conf!$C$6-Links!L144)/(ATM_Conf!$C$6-ATM_Conf!$C$7))</f>
        <v>#DIV/0!</v>
      </c>
      <c r="BB144" s="46" t="e">
        <f>BK$3*MIN(1,(ATM_Conf!$C$6-Links!M144)/(ATM_Conf!$C$6-ATM_Conf!$C$7))</f>
        <v>#DIV/0!</v>
      </c>
      <c r="BC144" s="46" t="e">
        <f>BL$3*MIN(1,(ATM_Conf!$C$6-Links!N144)/(ATM_Conf!$C$6-ATM_Conf!$C$7))</f>
        <v>#DIV/0!</v>
      </c>
      <c r="BD144" s="46"/>
      <c r="BE144" s="46"/>
      <c r="BF144" s="46"/>
      <c r="BG144" s="46"/>
      <c r="BH144" s="46"/>
      <c r="BI144" s="46"/>
      <c r="BJ144" s="46"/>
      <c r="BK144" s="46"/>
      <c r="BL144" s="46"/>
      <c r="BM144" s="54"/>
      <c r="BN144" s="54"/>
      <c r="BO144" s="54"/>
      <c r="BP144" s="54"/>
      <c r="BQ144" s="54"/>
      <c r="BR144" s="54"/>
      <c r="BS144" s="54"/>
      <c r="BT144" s="54"/>
      <c r="BU144" s="54"/>
      <c r="BV144" s="46" t="e">
        <f t="shared" si="98"/>
        <v>#DIV/0!</v>
      </c>
      <c r="BW144" s="46" t="e">
        <f t="shared" si="99"/>
        <v>#DIV/0!</v>
      </c>
      <c r="BX144" s="46" t="e">
        <f t="shared" si="100"/>
        <v>#DIV/0!</v>
      </c>
      <c r="BY144" s="46" t="e">
        <f t="shared" si="101"/>
        <v>#DIV/0!</v>
      </c>
      <c r="BZ144" s="46" t="e">
        <f t="shared" si="102"/>
        <v>#DIV/0!</v>
      </c>
      <c r="CA144" s="46" t="e">
        <f t="shared" si="103"/>
        <v>#DIV/0!</v>
      </c>
      <c r="CB144" s="46" t="e">
        <f t="shared" si="104"/>
        <v>#DIV/0!</v>
      </c>
      <c r="CC144" s="46" t="e">
        <f t="shared" si="105"/>
        <v>#DIV/0!</v>
      </c>
      <c r="CD144" s="46" t="e">
        <f t="shared" si="106"/>
        <v>#DIV/0!</v>
      </c>
      <c r="CE144" s="56" t="e">
        <f t="shared" si="107"/>
        <v>#DIV/0!</v>
      </c>
      <c r="CF144" s="56" t="e">
        <f t="shared" si="108"/>
        <v>#DIV/0!</v>
      </c>
      <c r="CG144" s="56" t="e">
        <f t="shared" si="109"/>
        <v>#DIV/0!</v>
      </c>
      <c r="CH144" s="56" t="e">
        <f t="shared" si="110"/>
        <v>#DIV/0!</v>
      </c>
      <c r="CI144" s="56" t="e">
        <f t="shared" si="111"/>
        <v>#DIV/0!</v>
      </c>
      <c r="CJ144" s="56" t="e">
        <f t="shared" si="112"/>
        <v>#DIV/0!</v>
      </c>
      <c r="CK144" s="56" t="e">
        <f t="shared" si="113"/>
        <v>#DIV/0!</v>
      </c>
      <c r="CL144" s="56" t="e">
        <f t="shared" si="114"/>
        <v>#DIV/0!</v>
      </c>
      <c r="CM144" s="56" t="e">
        <f t="shared" si="115"/>
        <v>#DIV/0!</v>
      </c>
    </row>
    <row r="145" spans="1:91" x14ac:dyDescent="0.15">
      <c r="A145" s="43">
        <v>143</v>
      </c>
      <c r="B145" s="46">
        <f t="shared" si="118"/>
        <v>1</v>
      </c>
      <c r="C145" s="46">
        <f t="shared" si="117"/>
        <v>1</v>
      </c>
      <c r="D145" s="46">
        <f t="shared" si="117"/>
        <v>1</v>
      </c>
      <c r="E145" s="46">
        <f t="shared" si="117"/>
        <v>1</v>
      </c>
      <c r="F145" s="46">
        <f t="shared" si="117"/>
        <v>1</v>
      </c>
      <c r="G145" s="46">
        <f t="shared" si="117"/>
        <v>1</v>
      </c>
      <c r="H145" s="46">
        <f t="shared" si="117"/>
        <v>1</v>
      </c>
      <c r="I145" s="46">
        <f t="shared" si="117"/>
        <v>1</v>
      </c>
      <c r="J145" s="46">
        <f t="shared" si="117"/>
        <v>1</v>
      </c>
      <c r="K145" s="46" t="e">
        <f>K144+ATM_Conf!$C$5*(T144-AC144)</f>
        <v>#DIV/0!</v>
      </c>
      <c r="L145" s="46" t="e">
        <f>L144+ATM_Conf!$C$5*(U144-AD144)</f>
        <v>#DIV/0!</v>
      </c>
      <c r="M145" s="46" t="e">
        <f>M144+ATM_Conf!$C$5*(V144-AE144)</f>
        <v>#DIV/0!</v>
      </c>
      <c r="N145" s="46" t="e">
        <f>N144+ATM_Conf!$C$5*(W144-AF144)</f>
        <v>#DIV/0!</v>
      </c>
      <c r="O145" s="46" t="e">
        <f>O144+ATM_Conf!$C$5*(X144-AG144)</f>
        <v>#DIV/0!</v>
      </c>
      <c r="P145" s="46" t="e">
        <f>P144+ATM_Conf!$C$5*(Y144-AH144)</f>
        <v>#DIV/0!</v>
      </c>
      <c r="Q145" s="46" t="e">
        <f>Q144+ATM_Conf!$C$5*(Z144-AI144)</f>
        <v>#DIV/0!</v>
      </c>
      <c r="R145" s="46" t="e">
        <f>R144+ATM_Conf!$C$5*(AA144-AJ144)</f>
        <v>#DIV/0!</v>
      </c>
      <c r="S145" s="46" t="e">
        <f>S144+ATM_Conf!$C$5*(AB144-AK144)</f>
        <v>#DIV/0!</v>
      </c>
      <c r="T145" s="46"/>
      <c r="U145" s="46"/>
      <c r="V145" s="46"/>
      <c r="W145" s="46"/>
      <c r="X145" s="46"/>
      <c r="Y145" s="46"/>
      <c r="Z145" s="46"/>
      <c r="AA145" s="46"/>
      <c r="AB145" s="46"/>
      <c r="AC145" s="46" t="e">
        <f t="shared" si="89"/>
        <v>#DIV/0!</v>
      </c>
      <c r="AD145" s="46" t="e">
        <f t="shared" si="90"/>
        <v>#DIV/0!</v>
      </c>
      <c r="AE145" s="46" t="e">
        <f t="shared" si="91"/>
        <v>#DIV/0!</v>
      </c>
      <c r="AF145" s="46" t="e">
        <f t="shared" si="92"/>
        <v>#DIV/0!</v>
      </c>
      <c r="AG145" s="46" t="e">
        <f t="shared" si="93"/>
        <v>#DIV/0!</v>
      </c>
      <c r="AH145" s="46" t="e">
        <f t="shared" si="94"/>
        <v>#DIV/0!</v>
      </c>
      <c r="AI145" s="46" t="e">
        <f t="shared" si="95"/>
        <v>#DIV/0!</v>
      </c>
      <c r="AJ145" s="46" t="e">
        <f t="shared" si="96"/>
        <v>#DIV/0!</v>
      </c>
      <c r="AK145" s="46" t="e">
        <f t="shared" si="97"/>
        <v>#DIV/0!</v>
      </c>
      <c r="AL145" s="46" t="e">
        <f>T$3+K145/ATM_Conf!$C$5</f>
        <v>#DIV/0!</v>
      </c>
      <c r="AM145" s="46" t="e">
        <f>U$3+L145/ATM_Conf!$C$5</f>
        <v>#DIV/0!</v>
      </c>
      <c r="AN145" s="46" t="e">
        <f>V$3+M145/ATM_Conf!$C$5</f>
        <v>#DIV/0!</v>
      </c>
      <c r="AO145" s="46" t="e">
        <f>W$3+N145/ATM_Conf!$C$5</f>
        <v>#DIV/0!</v>
      </c>
      <c r="AP145" s="46" t="e">
        <f>X$3+O145/ATM_Conf!$C$5</f>
        <v>#DIV/0!</v>
      </c>
      <c r="AQ145" s="46" t="e">
        <f>Y$3+P145/ATM_Conf!$C$5</f>
        <v>#DIV/0!</v>
      </c>
      <c r="AR145" s="46" t="e">
        <f>Z$3+Q145/ATM_Conf!$C$5</f>
        <v>#DIV/0!</v>
      </c>
      <c r="AS145" s="46" t="e">
        <f>AA$3+R145/ATM_Conf!$C$5</f>
        <v>#DIV/0!</v>
      </c>
      <c r="AT145" s="46" t="e">
        <f>AB$3+S145/ATM_Conf!$C$5</f>
        <v>#DIV/0!</v>
      </c>
      <c r="AU145" s="46" t="e">
        <f>BD$3*MIN(1,(ATM_Conf!$C$6-Links!F145)/(ATM_Conf!$C$6-ATM_Conf!$C$7))</f>
        <v>#DIV/0!</v>
      </c>
      <c r="AV145" s="46" t="e">
        <f>BE$3*MIN(1,(ATM_Conf!$C$6-Links!G145)/(ATM_Conf!$C$6-ATM_Conf!$C$7))</f>
        <v>#DIV/0!</v>
      </c>
      <c r="AW145" s="46" t="e">
        <f>BF$3*MIN(1,(ATM_Conf!$C$6-Links!H145)/(ATM_Conf!$C$6-ATM_Conf!$C$7))</f>
        <v>#DIV/0!</v>
      </c>
      <c r="AX145" s="46" t="e">
        <f>BG$3*MIN(1,(ATM_Conf!$C$6-Links!I145)/(ATM_Conf!$C$6-ATM_Conf!$C$7))</f>
        <v>#DIV/0!</v>
      </c>
      <c r="AY145" s="46" t="e">
        <f>BH$3*MIN(1,(ATM_Conf!$C$6-Links!J145)/(ATM_Conf!$C$6-ATM_Conf!$C$7))</f>
        <v>#DIV/0!</v>
      </c>
      <c r="AZ145" s="46" t="e">
        <f>BI$3*MIN(1,(ATM_Conf!$C$6-Links!K145)/(ATM_Conf!$C$6-ATM_Conf!$C$7))</f>
        <v>#DIV/0!</v>
      </c>
      <c r="BA145" s="46" t="e">
        <f>BJ$3*MIN(1,(ATM_Conf!$C$6-Links!L145)/(ATM_Conf!$C$6-ATM_Conf!$C$7))</f>
        <v>#DIV/0!</v>
      </c>
      <c r="BB145" s="46" t="e">
        <f>BK$3*MIN(1,(ATM_Conf!$C$6-Links!M145)/(ATM_Conf!$C$6-ATM_Conf!$C$7))</f>
        <v>#DIV/0!</v>
      </c>
      <c r="BC145" s="46" t="e">
        <f>BL$3*MIN(1,(ATM_Conf!$C$6-Links!N145)/(ATM_Conf!$C$6-ATM_Conf!$C$7))</f>
        <v>#DIV/0!</v>
      </c>
      <c r="BD145" s="46"/>
      <c r="BE145" s="46"/>
      <c r="BF145" s="46"/>
      <c r="BG145" s="46"/>
      <c r="BH145" s="46"/>
      <c r="BI145" s="46"/>
      <c r="BJ145" s="46"/>
      <c r="BK145" s="46"/>
      <c r="BL145" s="46"/>
      <c r="BM145" s="54"/>
      <c r="BN145" s="54"/>
      <c r="BO145" s="54"/>
      <c r="BP145" s="54"/>
      <c r="BQ145" s="54"/>
      <c r="BR145" s="54"/>
      <c r="BS145" s="54"/>
      <c r="BT145" s="54"/>
      <c r="BU145" s="54"/>
      <c r="BV145" s="46" t="e">
        <f t="shared" si="98"/>
        <v>#DIV/0!</v>
      </c>
      <c r="BW145" s="46" t="e">
        <f t="shared" si="99"/>
        <v>#DIV/0!</v>
      </c>
      <c r="BX145" s="46" t="e">
        <f t="shared" si="100"/>
        <v>#DIV/0!</v>
      </c>
      <c r="BY145" s="46" t="e">
        <f t="shared" si="101"/>
        <v>#DIV/0!</v>
      </c>
      <c r="BZ145" s="46" t="e">
        <f t="shared" si="102"/>
        <v>#DIV/0!</v>
      </c>
      <c r="CA145" s="46" t="e">
        <f t="shared" si="103"/>
        <v>#DIV/0!</v>
      </c>
      <c r="CB145" s="46" t="e">
        <f t="shared" si="104"/>
        <v>#DIV/0!</v>
      </c>
      <c r="CC145" s="46" t="e">
        <f t="shared" si="105"/>
        <v>#DIV/0!</v>
      </c>
      <c r="CD145" s="46" t="e">
        <f t="shared" si="106"/>
        <v>#DIV/0!</v>
      </c>
      <c r="CE145" s="56" t="e">
        <f t="shared" si="107"/>
        <v>#DIV/0!</v>
      </c>
      <c r="CF145" s="56" t="e">
        <f t="shared" si="108"/>
        <v>#DIV/0!</v>
      </c>
      <c r="CG145" s="56" t="e">
        <f t="shared" si="109"/>
        <v>#DIV/0!</v>
      </c>
      <c r="CH145" s="56" t="e">
        <f t="shared" si="110"/>
        <v>#DIV/0!</v>
      </c>
      <c r="CI145" s="56" t="e">
        <f t="shared" si="111"/>
        <v>#DIV/0!</v>
      </c>
      <c r="CJ145" s="56" t="e">
        <f t="shared" si="112"/>
        <v>#DIV/0!</v>
      </c>
      <c r="CK145" s="56" t="e">
        <f t="shared" si="113"/>
        <v>#DIV/0!</v>
      </c>
      <c r="CL145" s="56" t="e">
        <f t="shared" si="114"/>
        <v>#DIV/0!</v>
      </c>
      <c r="CM145" s="56" t="e">
        <f t="shared" si="115"/>
        <v>#DIV/0!</v>
      </c>
    </row>
    <row r="146" spans="1:91" x14ac:dyDescent="0.15">
      <c r="A146" s="43">
        <v>144</v>
      </c>
      <c r="B146" s="46">
        <f t="shared" si="118"/>
        <v>1</v>
      </c>
      <c r="C146" s="46">
        <f t="shared" si="117"/>
        <v>1</v>
      </c>
      <c r="D146" s="46">
        <f t="shared" si="117"/>
        <v>1</v>
      </c>
      <c r="E146" s="46">
        <f t="shared" si="117"/>
        <v>1</v>
      </c>
      <c r="F146" s="46">
        <f t="shared" si="117"/>
        <v>1</v>
      </c>
      <c r="G146" s="46">
        <f t="shared" si="117"/>
        <v>1</v>
      </c>
      <c r="H146" s="46">
        <f t="shared" si="117"/>
        <v>1</v>
      </c>
      <c r="I146" s="46">
        <f t="shared" si="117"/>
        <v>1</v>
      </c>
      <c r="J146" s="46">
        <f t="shared" si="117"/>
        <v>1</v>
      </c>
      <c r="K146" s="46" t="e">
        <f>K145+ATM_Conf!$C$5*(T145-AC145)</f>
        <v>#DIV/0!</v>
      </c>
      <c r="L146" s="46" t="e">
        <f>L145+ATM_Conf!$C$5*(U145-AD145)</f>
        <v>#DIV/0!</v>
      </c>
      <c r="M146" s="46" t="e">
        <f>M145+ATM_Conf!$C$5*(V145-AE145)</f>
        <v>#DIV/0!</v>
      </c>
      <c r="N146" s="46" t="e">
        <f>N145+ATM_Conf!$C$5*(W145-AF145)</f>
        <v>#DIV/0!</v>
      </c>
      <c r="O146" s="46" t="e">
        <f>O145+ATM_Conf!$C$5*(X145-AG145)</f>
        <v>#DIV/0!</v>
      </c>
      <c r="P146" s="46" t="e">
        <f>P145+ATM_Conf!$C$5*(Y145-AH145)</f>
        <v>#DIV/0!</v>
      </c>
      <c r="Q146" s="46" t="e">
        <f>Q145+ATM_Conf!$C$5*(Z145-AI145)</f>
        <v>#DIV/0!</v>
      </c>
      <c r="R146" s="46" t="e">
        <f>R145+ATM_Conf!$C$5*(AA145-AJ145)</f>
        <v>#DIV/0!</v>
      </c>
      <c r="S146" s="46" t="e">
        <f>S145+ATM_Conf!$C$5*(AB145-AK145)</f>
        <v>#DIV/0!</v>
      </c>
      <c r="T146" s="46"/>
      <c r="U146" s="46"/>
      <c r="V146" s="46"/>
      <c r="W146" s="46"/>
      <c r="X146" s="46"/>
      <c r="Y146" s="46"/>
      <c r="Z146" s="46"/>
      <c r="AA146" s="46"/>
      <c r="AB146" s="46"/>
      <c r="AC146" s="46" t="e">
        <f t="shared" si="89"/>
        <v>#DIV/0!</v>
      </c>
      <c r="AD146" s="46" t="e">
        <f t="shared" si="90"/>
        <v>#DIV/0!</v>
      </c>
      <c r="AE146" s="46" t="e">
        <f t="shared" si="91"/>
        <v>#DIV/0!</v>
      </c>
      <c r="AF146" s="46" t="e">
        <f t="shared" si="92"/>
        <v>#DIV/0!</v>
      </c>
      <c r="AG146" s="46" t="e">
        <f t="shared" si="93"/>
        <v>#DIV/0!</v>
      </c>
      <c r="AH146" s="46" t="e">
        <f t="shared" si="94"/>
        <v>#DIV/0!</v>
      </c>
      <c r="AI146" s="46" t="e">
        <f t="shared" si="95"/>
        <v>#DIV/0!</v>
      </c>
      <c r="AJ146" s="46" t="e">
        <f t="shared" si="96"/>
        <v>#DIV/0!</v>
      </c>
      <c r="AK146" s="46" t="e">
        <f t="shared" si="97"/>
        <v>#DIV/0!</v>
      </c>
      <c r="AL146" s="46" t="e">
        <f>T$3+K146/ATM_Conf!$C$5</f>
        <v>#DIV/0!</v>
      </c>
      <c r="AM146" s="46" t="e">
        <f>U$3+L146/ATM_Conf!$C$5</f>
        <v>#DIV/0!</v>
      </c>
      <c r="AN146" s="46" t="e">
        <f>V$3+M146/ATM_Conf!$C$5</f>
        <v>#DIV/0!</v>
      </c>
      <c r="AO146" s="46" t="e">
        <f>W$3+N146/ATM_Conf!$C$5</f>
        <v>#DIV/0!</v>
      </c>
      <c r="AP146" s="46" t="e">
        <f>X$3+O146/ATM_Conf!$C$5</f>
        <v>#DIV/0!</v>
      </c>
      <c r="AQ146" s="46" t="e">
        <f>Y$3+P146/ATM_Conf!$C$5</f>
        <v>#DIV/0!</v>
      </c>
      <c r="AR146" s="46" t="e">
        <f>Z$3+Q146/ATM_Conf!$C$5</f>
        <v>#DIV/0!</v>
      </c>
      <c r="AS146" s="46" t="e">
        <f>AA$3+R146/ATM_Conf!$C$5</f>
        <v>#DIV/0!</v>
      </c>
      <c r="AT146" s="46" t="e">
        <f>AB$3+S146/ATM_Conf!$C$5</f>
        <v>#DIV/0!</v>
      </c>
      <c r="AU146" s="46" t="e">
        <f>BD$3*MIN(1,(ATM_Conf!$C$6-Links!F146)/(ATM_Conf!$C$6-ATM_Conf!$C$7))</f>
        <v>#DIV/0!</v>
      </c>
      <c r="AV146" s="46" t="e">
        <f>BE$3*MIN(1,(ATM_Conf!$C$6-Links!G146)/(ATM_Conf!$C$6-ATM_Conf!$C$7))</f>
        <v>#DIV/0!</v>
      </c>
      <c r="AW146" s="46" t="e">
        <f>BF$3*MIN(1,(ATM_Conf!$C$6-Links!H146)/(ATM_Conf!$C$6-ATM_Conf!$C$7))</f>
        <v>#DIV/0!</v>
      </c>
      <c r="AX146" s="46" t="e">
        <f>BG$3*MIN(1,(ATM_Conf!$C$6-Links!I146)/(ATM_Conf!$C$6-ATM_Conf!$C$7))</f>
        <v>#DIV/0!</v>
      </c>
      <c r="AY146" s="46" t="e">
        <f>BH$3*MIN(1,(ATM_Conf!$C$6-Links!J146)/(ATM_Conf!$C$6-ATM_Conf!$C$7))</f>
        <v>#DIV/0!</v>
      </c>
      <c r="AZ146" s="46" t="e">
        <f>BI$3*MIN(1,(ATM_Conf!$C$6-Links!K146)/(ATM_Conf!$C$6-ATM_Conf!$C$7))</f>
        <v>#DIV/0!</v>
      </c>
      <c r="BA146" s="46" t="e">
        <f>BJ$3*MIN(1,(ATM_Conf!$C$6-Links!L146)/(ATM_Conf!$C$6-ATM_Conf!$C$7))</f>
        <v>#DIV/0!</v>
      </c>
      <c r="BB146" s="46" t="e">
        <f>BK$3*MIN(1,(ATM_Conf!$C$6-Links!M146)/(ATM_Conf!$C$6-ATM_Conf!$C$7))</f>
        <v>#DIV/0!</v>
      </c>
      <c r="BC146" s="46" t="e">
        <f>BL$3*MIN(1,(ATM_Conf!$C$6-Links!N146)/(ATM_Conf!$C$6-ATM_Conf!$C$7))</f>
        <v>#DIV/0!</v>
      </c>
      <c r="BD146" s="46"/>
      <c r="BE146" s="46"/>
      <c r="BF146" s="46"/>
      <c r="BG146" s="46"/>
      <c r="BH146" s="46"/>
      <c r="BI146" s="46"/>
      <c r="BJ146" s="46"/>
      <c r="BK146" s="46"/>
      <c r="BL146" s="46"/>
      <c r="BM146" s="54"/>
      <c r="BN146" s="54"/>
      <c r="BO146" s="54"/>
      <c r="BP146" s="54"/>
      <c r="BQ146" s="54"/>
      <c r="BR146" s="54"/>
      <c r="BS146" s="54"/>
      <c r="BT146" s="54"/>
      <c r="BU146" s="54"/>
      <c r="BV146" s="46" t="e">
        <f t="shared" si="98"/>
        <v>#DIV/0!</v>
      </c>
      <c r="BW146" s="46" t="e">
        <f t="shared" si="99"/>
        <v>#DIV/0!</v>
      </c>
      <c r="BX146" s="46" t="e">
        <f t="shared" si="100"/>
        <v>#DIV/0!</v>
      </c>
      <c r="BY146" s="46" t="e">
        <f t="shared" si="101"/>
        <v>#DIV/0!</v>
      </c>
      <c r="BZ146" s="46" t="e">
        <f t="shared" si="102"/>
        <v>#DIV/0!</v>
      </c>
      <c r="CA146" s="46" t="e">
        <f t="shared" si="103"/>
        <v>#DIV/0!</v>
      </c>
      <c r="CB146" s="46" t="e">
        <f t="shared" si="104"/>
        <v>#DIV/0!</v>
      </c>
      <c r="CC146" s="46" t="e">
        <f t="shared" si="105"/>
        <v>#DIV/0!</v>
      </c>
      <c r="CD146" s="46" t="e">
        <f t="shared" si="106"/>
        <v>#DIV/0!</v>
      </c>
      <c r="CE146" s="56" t="e">
        <f t="shared" si="107"/>
        <v>#DIV/0!</v>
      </c>
      <c r="CF146" s="56" t="e">
        <f t="shared" si="108"/>
        <v>#DIV/0!</v>
      </c>
      <c r="CG146" s="56" t="e">
        <f t="shared" si="109"/>
        <v>#DIV/0!</v>
      </c>
      <c r="CH146" s="56" t="e">
        <f t="shared" si="110"/>
        <v>#DIV/0!</v>
      </c>
      <c r="CI146" s="56" t="e">
        <f t="shared" si="111"/>
        <v>#DIV/0!</v>
      </c>
      <c r="CJ146" s="56" t="e">
        <f t="shared" si="112"/>
        <v>#DIV/0!</v>
      </c>
      <c r="CK146" s="56" t="e">
        <f t="shared" si="113"/>
        <v>#DIV/0!</v>
      </c>
      <c r="CL146" s="56" t="e">
        <f t="shared" si="114"/>
        <v>#DIV/0!</v>
      </c>
      <c r="CM146" s="56" t="e">
        <f t="shared" si="115"/>
        <v>#DIV/0!</v>
      </c>
    </row>
    <row r="147" spans="1:91" x14ac:dyDescent="0.15">
      <c r="A147" s="43">
        <v>145</v>
      </c>
      <c r="B147" s="48">
        <v>1</v>
      </c>
      <c r="C147" s="48">
        <v>1</v>
      </c>
      <c r="D147" s="48">
        <v>1</v>
      </c>
      <c r="E147" s="48">
        <v>1</v>
      </c>
      <c r="F147" s="48">
        <v>1</v>
      </c>
      <c r="G147" s="48">
        <v>1</v>
      </c>
      <c r="H147" s="48">
        <v>1</v>
      </c>
      <c r="I147" s="48">
        <v>1</v>
      </c>
      <c r="J147" s="48">
        <v>1</v>
      </c>
      <c r="K147" s="46" t="e">
        <f>K146+ATM_Conf!$C$5*(T146-AC146)</f>
        <v>#DIV/0!</v>
      </c>
      <c r="L147" s="46" t="e">
        <f>L146+ATM_Conf!$C$5*(U146-AD146)</f>
        <v>#DIV/0!</v>
      </c>
      <c r="M147" s="46" t="e">
        <f>M146+ATM_Conf!$C$5*(V146-AE146)</f>
        <v>#DIV/0!</v>
      </c>
      <c r="N147" s="46" t="e">
        <f>N146+ATM_Conf!$C$5*(W146-AF146)</f>
        <v>#DIV/0!</v>
      </c>
      <c r="O147" s="46" t="e">
        <f>O146+ATM_Conf!$C$5*(X146-AG146)</f>
        <v>#DIV/0!</v>
      </c>
      <c r="P147" s="46" t="e">
        <f>P146+ATM_Conf!$C$5*(Y146-AH146)</f>
        <v>#DIV/0!</v>
      </c>
      <c r="Q147" s="46" t="e">
        <f>Q146+ATM_Conf!$C$5*(Z146-AI146)</f>
        <v>#DIV/0!</v>
      </c>
      <c r="R147" s="46" t="e">
        <f>R146+ATM_Conf!$C$5*(AA146-AJ146)</f>
        <v>#DIV/0!</v>
      </c>
      <c r="S147" s="46" t="e">
        <f>S146+ATM_Conf!$C$5*(AB146-AK146)</f>
        <v>#DIV/0!</v>
      </c>
      <c r="T147" s="46"/>
      <c r="U147" s="46"/>
      <c r="V147" s="46"/>
      <c r="W147" s="46"/>
      <c r="X147" s="46"/>
      <c r="Y147" s="46"/>
      <c r="Z147" s="46"/>
      <c r="AA147" s="46"/>
      <c r="AB147" s="46"/>
      <c r="AC147" s="46" t="e">
        <f t="shared" si="89"/>
        <v>#DIV/0!</v>
      </c>
      <c r="AD147" s="46" t="e">
        <f t="shared" si="90"/>
        <v>#DIV/0!</v>
      </c>
      <c r="AE147" s="46" t="e">
        <f t="shared" si="91"/>
        <v>#DIV/0!</v>
      </c>
      <c r="AF147" s="46" t="e">
        <f t="shared" si="92"/>
        <v>#DIV/0!</v>
      </c>
      <c r="AG147" s="46" t="e">
        <f t="shared" si="93"/>
        <v>#DIV/0!</v>
      </c>
      <c r="AH147" s="46" t="e">
        <f t="shared" si="94"/>
        <v>#DIV/0!</v>
      </c>
      <c r="AI147" s="46" t="e">
        <f t="shared" si="95"/>
        <v>#DIV/0!</v>
      </c>
      <c r="AJ147" s="46" t="e">
        <f t="shared" si="96"/>
        <v>#DIV/0!</v>
      </c>
      <c r="AK147" s="46" t="e">
        <f t="shared" si="97"/>
        <v>#DIV/0!</v>
      </c>
      <c r="AL147" s="46" t="e">
        <f>T$3+K147/ATM_Conf!$C$5</f>
        <v>#DIV/0!</v>
      </c>
      <c r="AM147" s="46" t="e">
        <f>U$3+L147/ATM_Conf!$C$5</f>
        <v>#DIV/0!</v>
      </c>
      <c r="AN147" s="46" t="e">
        <f>V$3+M147/ATM_Conf!$C$5</f>
        <v>#DIV/0!</v>
      </c>
      <c r="AO147" s="46" t="e">
        <f>W$3+N147/ATM_Conf!$C$5</f>
        <v>#DIV/0!</v>
      </c>
      <c r="AP147" s="46" t="e">
        <f>X$3+O147/ATM_Conf!$C$5</f>
        <v>#DIV/0!</v>
      </c>
      <c r="AQ147" s="46" t="e">
        <f>Y$3+P147/ATM_Conf!$C$5</f>
        <v>#DIV/0!</v>
      </c>
      <c r="AR147" s="46" t="e">
        <f>Z$3+Q147/ATM_Conf!$C$5</f>
        <v>#DIV/0!</v>
      </c>
      <c r="AS147" s="46" t="e">
        <f>AA$3+R147/ATM_Conf!$C$5</f>
        <v>#DIV/0!</v>
      </c>
      <c r="AT147" s="46" t="e">
        <f>AB$3+S147/ATM_Conf!$C$5</f>
        <v>#DIV/0!</v>
      </c>
      <c r="AU147" s="46" t="e">
        <f>BD$3*MIN(1,(ATM_Conf!$C$6-Links!F147)/(ATM_Conf!$C$6-ATM_Conf!$C$7))</f>
        <v>#DIV/0!</v>
      </c>
      <c r="AV147" s="46" t="e">
        <f>BE$3*MIN(1,(ATM_Conf!$C$6-Links!G147)/(ATM_Conf!$C$6-ATM_Conf!$C$7))</f>
        <v>#DIV/0!</v>
      </c>
      <c r="AW147" s="46" t="e">
        <f>BF$3*MIN(1,(ATM_Conf!$C$6-Links!H147)/(ATM_Conf!$C$6-ATM_Conf!$C$7))</f>
        <v>#DIV/0!</v>
      </c>
      <c r="AX147" s="46" t="e">
        <f>BG$3*MIN(1,(ATM_Conf!$C$6-Links!I147)/(ATM_Conf!$C$6-ATM_Conf!$C$7))</f>
        <v>#DIV/0!</v>
      </c>
      <c r="AY147" s="46" t="e">
        <f>BH$3*MIN(1,(ATM_Conf!$C$6-Links!J147)/(ATM_Conf!$C$6-ATM_Conf!$C$7))</f>
        <v>#DIV/0!</v>
      </c>
      <c r="AZ147" s="46" t="e">
        <f>BI$3*MIN(1,(ATM_Conf!$C$6-Links!K147)/(ATM_Conf!$C$6-ATM_Conf!$C$7))</f>
        <v>#DIV/0!</v>
      </c>
      <c r="BA147" s="46" t="e">
        <f>BJ$3*MIN(1,(ATM_Conf!$C$6-Links!L147)/(ATM_Conf!$C$6-ATM_Conf!$C$7))</f>
        <v>#DIV/0!</v>
      </c>
      <c r="BB147" s="46" t="e">
        <f>BK$3*MIN(1,(ATM_Conf!$C$6-Links!M147)/(ATM_Conf!$C$6-ATM_Conf!$C$7))</f>
        <v>#DIV/0!</v>
      </c>
      <c r="BC147" s="46" t="e">
        <f>BL$3*MIN(1,(ATM_Conf!$C$6-Links!N147)/(ATM_Conf!$C$6-ATM_Conf!$C$7))</f>
        <v>#DIV/0!</v>
      </c>
      <c r="BD147" s="46"/>
      <c r="BE147" s="46"/>
      <c r="BF147" s="46"/>
      <c r="BG147" s="46"/>
      <c r="BH147" s="46"/>
      <c r="BI147" s="46"/>
      <c r="BJ147" s="46"/>
      <c r="BK147" s="46"/>
      <c r="BL147" s="46"/>
      <c r="BM147" s="54">
        <f>(B147-B135)^2</f>
        <v>0</v>
      </c>
      <c r="BN147" s="54">
        <f t="shared" ref="BN147:BU147" si="119">(C147-C135)^2</f>
        <v>0</v>
      </c>
      <c r="BO147" s="54">
        <f t="shared" si="119"/>
        <v>0</v>
      </c>
      <c r="BP147" s="54">
        <f t="shared" si="119"/>
        <v>0</v>
      </c>
      <c r="BQ147" s="54">
        <f t="shared" si="119"/>
        <v>0</v>
      </c>
      <c r="BR147" s="54">
        <f t="shared" si="119"/>
        <v>0</v>
      </c>
      <c r="BS147" s="54">
        <f t="shared" si="119"/>
        <v>0</v>
      </c>
      <c r="BT147" s="54">
        <f t="shared" si="119"/>
        <v>0</v>
      </c>
      <c r="BU147" s="54">
        <f t="shared" si="119"/>
        <v>0</v>
      </c>
      <c r="BV147" s="46" t="e">
        <f t="shared" si="98"/>
        <v>#DIV/0!</v>
      </c>
      <c r="BW147" s="46" t="e">
        <f t="shared" si="99"/>
        <v>#DIV/0!</v>
      </c>
      <c r="BX147" s="46" t="e">
        <f t="shared" si="100"/>
        <v>#DIV/0!</v>
      </c>
      <c r="BY147" s="46" t="e">
        <f t="shared" si="101"/>
        <v>#DIV/0!</v>
      </c>
      <c r="BZ147" s="46" t="e">
        <f t="shared" si="102"/>
        <v>#DIV/0!</v>
      </c>
      <c r="CA147" s="46" t="e">
        <f t="shared" si="103"/>
        <v>#DIV/0!</v>
      </c>
      <c r="CB147" s="46" t="e">
        <f t="shared" si="104"/>
        <v>#DIV/0!</v>
      </c>
      <c r="CC147" s="46" t="e">
        <f t="shared" si="105"/>
        <v>#DIV/0!</v>
      </c>
      <c r="CD147" s="46" t="e">
        <f t="shared" si="106"/>
        <v>#DIV/0!</v>
      </c>
      <c r="CE147" s="56" t="e">
        <f t="shared" si="107"/>
        <v>#DIV/0!</v>
      </c>
      <c r="CF147" s="56" t="e">
        <f t="shared" si="108"/>
        <v>#DIV/0!</v>
      </c>
      <c r="CG147" s="56" t="e">
        <f t="shared" si="109"/>
        <v>#DIV/0!</v>
      </c>
      <c r="CH147" s="56" t="e">
        <f t="shared" si="110"/>
        <v>#DIV/0!</v>
      </c>
      <c r="CI147" s="56" t="e">
        <f t="shared" si="111"/>
        <v>#DIV/0!</v>
      </c>
      <c r="CJ147" s="56" t="e">
        <f t="shared" si="112"/>
        <v>#DIV/0!</v>
      </c>
      <c r="CK147" s="56" t="e">
        <f t="shared" si="113"/>
        <v>#DIV/0!</v>
      </c>
      <c r="CL147" s="56" t="e">
        <f t="shared" si="114"/>
        <v>#DIV/0!</v>
      </c>
      <c r="CM147" s="56" t="e">
        <f t="shared" si="115"/>
        <v>#DIV/0!</v>
      </c>
    </row>
    <row r="148" spans="1:91" x14ac:dyDescent="0.15">
      <c r="A148" s="43">
        <v>146</v>
      </c>
      <c r="B148" s="46">
        <f>B$147</f>
        <v>1</v>
      </c>
      <c r="C148" s="46">
        <f t="shared" ref="C148:J158" si="120">C$147</f>
        <v>1</v>
      </c>
      <c r="D148" s="46">
        <f t="shared" si="120"/>
        <v>1</v>
      </c>
      <c r="E148" s="46">
        <f t="shared" si="120"/>
        <v>1</v>
      </c>
      <c r="F148" s="46">
        <f t="shared" si="120"/>
        <v>1</v>
      </c>
      <c r="G148" s="46">
        <f t="shared" si="120"/>
        <v>1</v>
      </c>
      <c r="H148" s="46">
        <f t="shared" si="120"/>
        <v>1</v>
      </c>
      <c r="I148" s="46">
        <f t="shared" si="120"/>
        <v>1</v>
      </c>
      <c r="J148" s="46">
        <f t="shared" si="120"/>
        <v>1</v>
      </c>
      <c r="K148" s="46" t="e">
        <f>K147+ATM_Conf!$C$5*(T147-AC147)</f>
        <v>#DIV/0!</v>
      </c>
      <c r="L148" s="46" t="e">
        <f>L147+ATM_Conf!$C$5*(U147-AD147)</f>
        <v>#DIV/0!</v>
      </c>
      <c r="M148" s="46" t="e">
        <f>M147+ATM_Conf!$C$5*(V147-AE147)</f>
        <v>#DIV/0!</v>
      </c>
      <c r="N148" s="46" t="e">
        <f>N147+ATM_Conf!$C$5*(W147-AF147)</f>
        <v>#DIV/0!</v>
      </c>
      <c r="O148" s="46" t="e">
        <f>O147+ATM_Conf!$C$5*(X147-AG147)</f>
        <v>#DIV/0!</v>
      </c>
      <c r="P148" s="46" t="e">
        <f>P147+ATM_Conf!$C$5*(Y147-AH147)</f>
        <v>#DIV/0!</v>
      </c>
      <c r="Q148" s="46" t="e">
        <f>Q147+ATM_Conf!$C$5*(Z147-AI147)</f>
        <v>#DIV/0!</v>
      </c>
      <c r="R148" s="46" t="e">
        <f>R147+ATM_Conf!$C$5*(AA147-AJ147)</f>
        <v>#DIV/0!</v>
      </c>
      <c r="S148" s="46" t="e">
        <f>S147+ATM_Conf!$C$5*(AB147-AK147)</f>
        <v>#DIV/0!</v>
      </c>
      <c r="T148" s="46"/>
      <c r="U148" s="46"/>
      <c r="V148" s="46"/>
      <c r="W148" s="46"/>
      <c r="X148" s="46"/>
      <c r="Y148" s="46"/>
      <c r="Z148" s="46"/>
      <c r="AA148" s="46"/>
      <c r="AB148" s="46"/>
      <c r="AC148" s="46" t="e">
        <f t="shared" si="89"/>
        <v>#DIV/0!</v>
      </c>
      <c r="AD148" s="46" t="e">
        <f t="shared" si="90"/>
        <v>#DIV/0!</v>
      </c>
      <c r="AE148" s="46" t="e">
        <f t="shared" si="91"/>
        <v>#DIV/0!</v>
      </c>
      <c r="AF148" s="46" t="e">
        <f t="shared" si="92"/>
        <v>#DIV/0!</v>
      </c>
      <c r="AG148" s="46" t="e">
        <f t="shared" si="93"/>
        <v>#DIV/0!</v>
      </c>
      <c r="AH148" s="46" t="e">
        <f t="shared" si="94"/>
        <v>#DIV/0!</v>
      </c>
      <c r="AI148" s="46" t="e">
        <f t="shared" si="95"/>
        <v>#DIV/0!</v>
      </c>
      <c r="AJ148" s="46" t="e">
        <f t="shared" si="96"/>
        <v>#DIV/0!</v>
      </c>
      <c r="AK148" s="46" t="e">
        <f t="shared" si="97"/>
        <v>#DIV/0!</v>
      </c>
      <c r="AL148" s="46" t="e">
        <f>T$3+K148/ATM_Conf!$C$5</f>
        <v>#DIV/0!</v>
      </c>
      <c r="AM148" s="46" t="e">
        <f>U$3+L148/ATM_Conf!$C$5</f>
        <v>#DIV/0!</v>
      </c>
      <c r="AN148" s="46" t="e">
        <f>V$3+M148/ATM_Conf!$C$5</f>
        <v>#DIV/0!</v>
      </c>
      <c r="AO148" s="46" t="e">
        <f>W$3+N148/ATM_Conf!$C$5</f>
        <v>#DIV/0!</v>
      </c>
      <c r="AP148" s="46" t="e">
        <f>X$3+O148/ATM_Conf!$C$5</f>
        <v>#DIV/0!</v>
      </c>
      <c r="AQ148" s="46" t="e">
        <f>Y$3+P148/ATM_Conf!$C$5</f>
        <v>#DIV/0!</v>
      </c>
      <c r="AR148" s="46" t="e">
        <f>Z$3+Q148/ATM_Conf!$C$5</f>
        <v>#DIV/0!</v>
      </c>
      <c r="AS148" s="46" t="e">
        <f>AA$3+R148/ATM_Conf!$C$5</f>
        <v>#DIV/0!</v>
      </c>
      <c r="AT148" s="46" t="e">
        <f>AB$3+S148/ATM_Conf!$C$5</f>
        <v>#DIV/0!</v>
      </c>
      <c r="AU148" s="46" t="e">
        <f>BD$3*MIN(1,(ATM_Conf!$C$6-Links!F148)/(ATM_Conf!$C$6-ATM_Conf!$C$7))</f>
        <v>#DIV/0!</v>
      </c>
      <c r="AV148" s="46" t="e">
        <f>BE$3*MIN(1,(ATM_Conf!$C$6-Links!G148)/(ATM_Conf!$C$6-ATM_Conf!$C$7))</f>
        <v>#DIV/0!</v>
      </c>
      <c r="AW148" s="46" t="e">
        <f>BF$3*MIN(1,(ATM_Conf!$C$6-Links!H148)/(ATM_Conf!$C$6-ATM_Conf!$C$7))</f>
        <v>#DIV/0!</v>
      </c>
      <c r="AX148" s="46" t="e">
        <f>BG$3*MIN(1,(ATM_Conf!$C$6-Links!I148)/(ATM_Conf!$C$6-ATM_Conf!$C$7))</f>
        <v>#DIV/0!</v>
      </c>
      <c r="AY148" s="46" t="e">
        <f>BH$3*MIN(1,(ATM_Conf!$C$6-Links!J148)/(ATM_Conf!$C$6-ATM_Conf!$C$7))</f>
        <v>#DIV/0!</v>
      </c>
      <c r="AZ148" s="46" t="e">
        <f>BI$3*MIN(1,(ATM_Conf!$C$6-Links!K148)/(ATM_Conf!$C$6-ATM_Conf!$C$7))</f>
        <v>#DIV/0!</v>
      </c>
      <c r="BA148" s="46" t="e">
        <f>BJ$3*MIN(1,(ATM_Conf!$C$6-Links!L148)/(ATM_Conf!$C$6-ATM_Conf!$C$7))</f>
        <v>#DIV/0!</v>
      </c>
      <c r="BB148" s="46" t="e">
        <f>BK$3*MIN(1,(ATM_Conf!$C$6-Links!M148)/(ATM_Conf!$C$6-ATM_Conf!$C$7))</f>
        <v>#DIV/0!</v>
      </c>
      <c r="BC148" s="46" t="e">
        <f>BL$3*MIN(1,(ATM_Conf!$C$6-Links!N148)/(ATM_Conf!$C$6-ATM_Conf!$C$7))</f>
        <v>#DIV/0!</v>
      </c>
      <c r="BD148" s="46"/>
      <c r="BE148" s="46"/>
      <c r="BF148" s="46"/>
      <c r="BG148" s="46"/>
      <c r="BH148" s="46"/>
      <c r="BI148" s="46"/>
      <c r="BJ148" s="46"/>
      <c r="BK148" s="46"/>
      <c r="BL148" s="46"/>
      <c r="BM148" s="54"/>
      <c r="BN148" s="54"/>
      <c r="BO148" s="54"/>
      <c r="BP148" s="54"/>
      <c r="BQ148" s="54"/>
      <c r="BR148" s="54"/>
      <c r="BS148" s="54"/>
      <c r="BT148" s="54"/>
      <c r="BU148" s="54"/>
      <c r="BV148" s="46" t="e">
        <f t="shared" si="98"/>
        <v>#DIV/0!</v>
      </c>
      <c r="BW148" s="46" t="e">
        <f t="shared" si="99"/>
        <v>#DIV/0!</v>
      </c>
      <c r="BX148" s="46" t="e">
        <f t="shared" si="100"/>
        <v>#DIV/0!</v>
      </c>
      <c r="BY148" s="46" t="e">
        <f t="shared" si="101"/>
        <v>#DIV/0!</v>
      </c>
      <c r="BZ148" s="46" t="e">
        <f t="shared" si="102"/>
        <v>#DIV/0!</v>
      </c>
      <c r="CA148" s="46" t="e">
        <f t="shared" si="103"/>
        <v>#DIV/0!</v>
      </c>
      <c r="CB148" s="46" t="e">
        <f t="shared" si="104"/>
        <v>#DIV/0!</v>
      </c>
      <c r="CC148" s="46" t="e">
        <f t="shared" si="105"/>
        <v>#DIV/0!</v>
      </c>
      <c r="CD148" s="46" t="e">
        <f t="shared" si="106"/>
        <v>#DIV/0!</v>
      </c>
      <c r="CE148" s="56" t="e">
        <f t="shared" si="107"/>
        <v>#DIV/0!</v>
      </c>
      <c r="CF148" s="56" t="e">
        <f t="shared" si="108"/>
        <v>#DIV/0!</v>
      </c>
      <c r="CG148" s="56" t="e">
        <f t="shared" si="109"/>
        <v>#DIV/0!</v>
      </c>
      <c r="CH148" s="56" t="e">
        <f t="shared" si="110"/>
        <v>#DIV/0!</v>
      </c>
      <c r="CI148" s="56" t="e">
        <f t="shared" si="111"/>
        <v>#DIV/0!</v>
      </c>
      <c r="CJ148" s="56" t="e">
        <f t="shared" si="112"/>
        <v>#DIV/0!</v>
      </c>
      <c r="CK148" s="56" t="e">
        <f t="shared" si="113"/>
        <v>#DIV/0!</v>
      </c>
      <c r="CL148" s="56" t="e">
        <f t="shared" si="114"/>
        <v>#DIV/0!</v>
      </c>
      <c r="CM148" s="56" t="e">
        <f t="shared" si="115"/>
        <v>#DIV/0!</v>
      </c>
    </row>
    <row r="149" spans="1:91" x14ac:dyDescent="0.15">
      <c r="A149" s="43">
        <v>147</v>
      </c>
      <c r="B149" s="46">
        <f t="shared" ref="B149:B158" si="121">B$147</f>
        <v>1</v>
      </c>
      <c r="C149" s="46">
        <f t="shared" si="120"/>
        <v>1</v>
      </c>
      <c r="D149" s="46">
        <f t="shared" si="120"/>
        <v>1</v>
      </c>
      <c r="E149" s="46">
        <f t="shared" si="120"/>
        <v>1</v>
      </c>
      <c r="F149" s="46">
        <f t="shared" si="120"/>
        <v>1</v>
      </c>
      <c r="G149" s="46">
        <f t="shared" si="120"/>
        <v>1</v>
      </c>
      <c r="H149" s="46">
        <f t="shared" si="120"/>
        <v>1</v>
      </c>
      <c r="I149" s="46">
        <f t="shared" si="120"/>
        <v>1</v>
      </c>
      <c r="J149" s="46">
        <f t="shared" si="120"/>
        <v>1</v>
      </c>
      <c r="K149" s="46" t="e">
        <f>K148+ATM_Conf!$C$5*(T148-AC148)</f>
        <v>#DIV/0!</v>
      </c>
      <c r="L149" s="46" t="e">
        <f>L148+ATM_Conf!$C$5*(U148-AD148)</f>
        <v>#DIV/0!</v>
      </c>
      <c r="M149" s="46" t="e">
        <f>M148+ATM_Conf!$C$5*(V148-AE148)</f>
        <v>#DIV/0!</v>
      </c>
      <c r="N149" s="46" t="e">
        <f>N148+ATM_Conf!$C$5*(W148-AF148)</f>
        <v>#DIV/0!</v>
      </c>
      <c r="O149" s="46" t="e">
        <f>O148+ATM_Conf!$C$5*(X148-AG148)</f>
        <v>#DIV/0!</v>
      </c>
      <c r="P149" s="46" t="e">
        <f>P148+ATM_Conf!$C$5*(Y148-AH148)</f>
        <v>#DIV/0!</v>
      </c>
      <c r="Q149" s="46" t="e">
        <f>Q148+ATM_Conf!$C$5*(Z148-AI148)</f>
        <v>#DIV/0!</v>
      </c>
      <c r="R149" s="46" t="e">
        <f>R148+ATM_Conf!$C$5*(AA148-AJ148)</f>
        <v>#DIV/0!</v>
      </c>
      <c r="S149" s="46" t="e">
        <f>S148+ATM_Conf!$C$5*(AB148-AK148)</f>
        <v>#DIV/0!</v>
      </c>
      <c r="T149" s="46"/>
      <c r="U149" s="46"/>
      <c r="V149" s="46"/>
      <c r="W149" s="46"/>
      <c r="X149" s="46"/>
      <c r="Y149" s="46"/>
      <c r="Z149" s="46"/>
      <c r="AA149" s="46"/>
      <c r="AB149" s="46"/>
      <c r="AC149" s="46" t="e">
        <f t="shared" si="89"/>
        <v>#DIV/0!</v>
      </c>
      <c r="AD149" s="46" t="e">
        <f t="shared" si="90"/>
        <v>#DIV/0!</v>
      </c>
      <c r="AE149" s="46" t="e">
        <f t="shared" si="91"/>
        <v>#DIV/0!</v>
      </c>
      <c r="AF149" s="46" t="e">
        <f t="shared" si="92"/>
        <v>#DIV/0!</v>
      </c>
      <c r="AG149" s="46" t="e">
        <f t="shared" si="93"/>
        <v>#DIV/0!</v>
      </c>
      <c r="AH149" s="46" t="e">
        <f t="shared" si="94"/>
        <v>#DIV/0!</v>
      </c>
      <c r="AI149" s="46" t="e">
        <f t="shared" si="95"/>
        <v>#DIV/0!</v>
      </c>
      <c r="AJ149" s="46" t="e">
        <f t="shared" si="96"/>
        <v>#DIV/0!</v>
      </c>
      <c r="AK149" s="46" t="e">
        <f t="shared" si="97"/>
        <v>#DIV/0!</v>
      </c>
      <c r="AL149" s="46" t="e">
        <f>T$3+K149/ATM_Conf!$C$5</f>
        <v>#DIV/0!</v>
      </c>
      <c r="AM149" s="46" t="e">
        <f>U$3+L149/ATM_Conf!$C$5</f>
        <v>#DIV/0!</v>
      </c>
      <c r="AN149" s="46" t="e">
        <f>V$3+M149/ATM_Conf!$C$5</f>
        <v>#DIV/0!</v>
      </c>
      <c r="AO149" s="46" t="e">
        <f>W$3+N149/ATM_Conf!$C$5</f>
        <v>#DIV/0!</v>
      </c>
      <c r="AP149" s="46" t="e">
        <f>X$3+O149/ATM_Conf!$C$5</f>
        <v>#DIV/0!</v>
      </c>
      <c r="AQ149" s="46" t="e">
        <f>Y$3+P149/ATM_Conf!$C$5</f>
        <v>#DIV/0!</v>
      </c>
      <c r="AR149" s="46" t="e">
        <f>Z$3+Q149/ATM_Conf!$C$5</f>
        <v>#DIV/0!</v>
      </c>
      <c r="AS149" s="46" t="e">
        <f>AA$3+R149/ATM_Conf!$C$5</f>
        <v>#DIV/0!</v>
      </c>
      <c r="AT149" s="46" t="e">
        <f>AB$3+S149/ATM_Conf!$C$5</f>
        <v>#DIV/0!</v>
      </c>
      <c r="AU149" s="46" t="e">
        <f>BD$3*MIN(1,(ATM_Conf!$C$6-Links!F149)/(ATM_Conf!$C$6-ATM_Conf!$C$7))</f>
        <v>#DIV/0!</v>
      </c>
      <c r="AV149" s="46" t="e">
        <f>BE$3*MIN(1,(ATM_Conf!$C$6-Links!G149)/(ATM_Conf!$C$6-ATM_Conf!$C$7))</f>
        <v>#DIV/0!</v>
      </c>
      <c r="AW149" s="46" t="e">
        <f>BF$3*MIN(1,(ATM_Conf!$C$6-Links!H149)/(ATM_Conf!$C$6-ATM_Conf!$C$7))</f>
        <v>#DIV/0!</v>
      </c>
      <c r="AX149" s="46" t="e">
        <f>BG$3*MIN(1,(ATM_Conf!$C$6-Links!I149)/(ATM_Conf!$C$6-ATM_Conf!$C$7))</f>
        <v>#DIV/0!</v>
      </c>
      <c r="AY149" s="46" t="e">
        <f>BH$3*MIN(1,(ATM_Conf!$C$6-Links!J149)/(ATM_Conf!$C$6-ATM_Conf!$C$7))</f>
        <v>#DIV/0!</v>
      </c>
      <c r="AZ149" s="46" t="e">
        <f>BI$3*MIN(1,(ATM_Conf!$C$6-Links!K149)/(ATM_Conf!$C$6-ATM_Conf!$C$7))</f>
        <v>#DIV/0!</v>
      </c>
      <c r="BA149" s="46" t="e">
        <f>BJ$3*MIN(1,(ATM_Conf!$C$6-Links!L149)/(ATM_Conf!$C$6-ATM_Conf!$C$7))</f>
        <v>#DIV/0!</v>
      </c>
      <c r="BB149" s="46" t="e">
        <f>BK$3*MIN(1,(ATM_Conf!$C$6-Links!M149)/(ATM_Conf!$C$6-ATM_Conf!$C$7))</f>
        <v>#DIV/0!</v>
      </c>
      <c r="BC149" s="46" t="e">
        <f>BL$3*MIN(1,(ATM_Conf!$C$6-Links!N149)/(ATM_Conf!$C$6-ATM_Conf!$C$7))</f>
        <v>#DIV/0!</v>
      </c>
      <c r="BD149" s="46"/>
      <c r="BE149" s="46"/>
      <c r="BF149" s="46"/>
      <c r="BG149" s="46"/>
      <c r="BH149" s="46"/>
      <c r="BI149" s="46"/>
      <c r="BJ149" s="46"/>
      <c r="BK149" s="46"/>
      <c r="BL149" s="46"/>
      <c r="BM149" s="54"/>
      <c r="BN149" s="54"/>
      <c r="BO149" s="54"/>
      <c r="BP149" s="54"/>
      <c r="BQ149" s="54"/>
      <c r="BR149" s="54"/>
      <c r="BS149" s="54"/>
      <c r="BT149" s="54"/>
      <c r="BU149" s="54"/>
      <c r="BV149" s="46" t="e">
        <f t="shared" si="98"/>
        <v>#DIV/0!</v>
      </c>
      <c r="BW149" s="46" t="e">
        <f t="shared" si="99"/>
        <v>#DIV/0!</v>
      </c>
      <c r="BX149" s="46" t="e">
        <f t="shared" si="100"/>
        <v>#DIV/0!</v>
      </c>
      <c r="BY149" s="46" t="e">
        <f t="shared" si="101"/>
        <v>#DIV/0!</v>
      </c>
      <c r="BZ149" s="46" t="e">
        <f t="shared" si="102"/>
        <v>#DIV/0!</v>
      </c>
      <c r="CA149" s="46" t="e">
        <f t="shared" si="103"/>
        <v>#DIV/0!</v>
      </c>
      <c r="CB149" s="46" t="e">
        <f t="shared" si="104"/>
        <v>#DIV/0!</v>
      </c>
      <c r="CC149" s="46" t="e">
        <f t="shared" si="105"/>
        <v>#DIV/0!</v>
      </c>
      <c r="CD149" s="46" t="e">
        <f t="shared" si="106"/>
        <v>#DIV/0!</v>
      </c>
      <c r="CE149" s="56" t="e">
        <f t="shared" si="107"/>
        <v>#DIV/0!</v>
      </c>
      <c r="CF149" s="56" t="e">
        <f t="shared" si="108"/>
        <v>#DIV/0!</v>
      </c>
      <c r="CG149" s="56" t="e">
        <f t="shared" si="109"/>
        <v>#DIV/0!</v>
      </c>
      <c r="CH149" s="56" t="e">
        <f t="shared" si="110"/>
        <v>#DIV/0!</v>
      </c>
      <c r="CI149" s="56" t="e">
        <f t="shared" si="111"/>
        <v>#DIV/0!</v>
      </c>
      <c r="CJ149" s="56" t="e">
        <f t="shared" si="112"/>
        <v>#DIV/0!</v>
      </c>
      <c r="CK149" s="56" t="e">
        <f t="shared" si="113"/>
        <v>#DIV/0!</v>
      </c>
      <c r="CL149" s="56" t="e">
        <f t="shared" si="114"/>
        <v>#DIV/0!</v>
      </c>
      <c r="CM149" s="56" t="e">
        <f t="shared" si="115"/>
        <v>#DIV/0!</v>
      </c>
    </row>
    <row r="150" spans="1:91" x14ac:dyDescent="0.15">
      <c r="A150" s="43">
        <v>148</v>
      </c>
      <c r="B150" s="46">
        <f t="shared" si="121"/>
        <v>1</v>
      </c>
      <c r="C150" s="46">
        <f t="shared" si="120"/>
        <v>1</v>
      </c>
      <c r="D150" s="46">
        <f t="shared" si="120"/>
        <v>1</v>
      </c>
      <c r="E150" s="46">
        <f t="shared" si="120"/>
        <v>1</v>
      </c>
      <c r="F150" s="46">
        <f t="shared" si="120"/>
        <v>1</v>
      </c>
      <c r="G150" s="46">
        <f t="shared" si="120"/>
        <v>1</v>
      </c>
      <c r="H150" s="46">
        <f t="shared" si="120"/>
        <v>1</v>
      </c>
      <c r="I150" s="46">
        <f t="shared" si="120"/>
        <v>1</v>
      </c>
      <c r="J150" s="46">
        <f t="shared" si="120"/>
        <v>1</v>
      </c>
      <c r="K150" s="46" t="e">
        <f>K149+ATM_Conf!$C$5*(T149-AC149)</f>
        <v>#DIV/0!</v>
      </c>
      <c r="L150" s="46" t="e">
        <f>L149+ATM_Conf!$C$5*(U149-AD149)</f>
        <v>#DIV/0!</v>
      </c>
      <c r="M150" s="46" t="e">
        <f>M149+ATM_Conf!$C$5*(V149-AE149)</f>
        <v>#DIV/0!</v>
      </c>
      <c r="N150" s="46" t="e">
        <f>N149+ATM_Conf!$C$5*(W149-AF149)</f>
        <v>#DIV/0!</v>
      </c>
      <c r="O150" s="46" t="e">
        <f>O149+ATM_Conf!$C$5*(X149-AG149)</f>
        <v>#DIV/0!</v>
      </c>
      <c r="P150" s="46" t="e">
        <f>P149+ATM_Conf!$C$5*(Y149-AH149)</f>
        <v>#DIV/0!</v>
      </c>
      <c r="Q150" s="46" t="e">
        <f>Q149+ATM_Conf!$C$5*(Z149-AI149)</f>
        <v>#DIV/0!</v>
      </c>
      <c r="R150" s="46" t="e">
        <f>R149+ATM_Conf!$C$5*(AA149-AJ149)</f>
        <v>#DIV/0!</v>
      </c>
      <c r="S150" s="46" t="e">
        <f>S149+ATM_Conf!$C$5*(AB149-AK149)</f>
        <v>#DIV/0!</v>
      </c>
      <c r="T150" s="46"/>
      <c r="U150" s="46"/>
      <c r="V150" s="46"/>
      <c r="W150" s="46"/>
      <c r="X150" s="46"/>
      <c r="Y150" s="46"/>
      <c r="Z150" s="46"/>
      <c r="AA150" s="46"/>
      <c r="AB150" s="46"/>
      <c r="AC150" s="46" t="e">
        <f t="shared" si="89"/>
        <v>#DIV/0!</v>
      </c>
      <c r="AD150" s="46" t="e">
        <f t="shared" si="90"/>
        <v>#DIV/0!</v>
      </c>
      <c r="AE150" s="46" t="e">
        <f t="shared" si="91"/>
        <v>#DIV/0!</v>
      </c>
      <c r="AF150" s="46" t="e">
        <f t="shared" si="92"/>
        <v>#DIV/0!</v>
      </c>
      <c r="AG150" s="46" t="e">
        <f t="shared" si="93"/>
        <v>#DIV/0!</v>
      </c>
      <c r="AH150" s="46" t="e">
        <f t="shared" si="94"/>
        <v>#DIV/0!</v>
      </c>
      <c r="AI150" s="46" t="e">
        <f t="shared" si="95"/>
        <v>#DIV/0!</v>
      </c>
      <c r="AJ150" s="46" t="e">
        <f t="shared" si="96"/>
        <v>#DIV/0!</v>
      </c>
      <c r="AK150" s="46" t="e">
        <f t="shared" si="97"/>
        <v>#DIV/0!</v>
      </c>
      <c r="AL150" s="46" t="e">
        <f>T$3+K150/ATM_Conf!$C$5</f>
        <v>#DIV/0!</v>
      </c>
      <c r="AM150" s="46" t="e">
        <f>U$3+L150/ATM_Conf!$C$5</f>
        <v>#DIV/0!</v>
      </c>
      <c r="AN150" s="46" t="e">
        <f>V$3+M150/ATM_Conf!$C$5</f>
        <v>#DIV/0!</v>
      </c>
      <c r="AO150" s="46" t="e">
        <f>W$3+N150/ATM_Conf!$C$5</f>
        <v>#DIV/0!</v>
      </c>
      <c r="AP150" s="46" t="e">
        <f>X$3+O150/ATM_Conf!$C$5</f>
        <v>#DIV/0!</v>
      </c>
      <c r="AQ150" s="46" t="e">
        <f>Y$3+P150/ATM_Conf!$C$5</f>
        <v>#DIV/0!</v>
      </c>
      <c r="AR150" s="46" t="e">
        <f>Z$3+Q150/ATM_Conf!$C$5</f>
        <v>#DIV/0!</v>
      </c>
      <c r="AS150" s="46" t="e">
        <f>AA$3+R150/ATM_Conf!$C$5</f>
        <v>#DIV/0!</v>
      </c>
      <c r="AT150" s="46" t="e">
        <f>AB$3+S150/ATM_Conf!$C$5</f>
        <v>#DIV/0!</v>
      </c>
      <c r="AU150" s="46" t="e">
        <f>BD$3*MIN(1,(ATM_Conf!$C$6-Links!F150)/(ATM_Conf!$C$6-ATM_Conf!$C$7))</f>
        <v>#DIV/0!</v>
      </c>
      <c r="AV150" s="46" t="e">
        <f>BE$3*MIN(1,(ATM_Conf!$C$6-Links!G150)/(ATM_Conf!$C$6-ATM_Conf!$C$7))</f>
        <v>#DIV/0!</v>
      </c>
      <c r="AW150" s="46" t="e">
        <f>BF$3*MIN(1,(ATM_Conf!$C$6-Links!H150)/(ATM_Conf!$C$6-ATM_Conf!$C$7))</f>
        <v>#DIV/0!</v>
      </c>
      <c r="AX150" s="46" t="e">
        <f>BG$3*MIN(1,(ATM_Conf!$C$6-Links!I150)/(ATM_Conf!$C$6-ATM_Conf!$C$7))</f>
        <v>#DIV/0!</v>
      </c>
      <c r="AY150" s="46" t="e">
        <f>BH$3*MIN(1,(ATM_Conf!$C$6-Links!J150)/(ATM_Conf!$C$6-ATM_Conf!$C$7))</f>
        <v>#DIV/0!</v>
      </c>
      <c r="AZ150" s="46" t="e">
        <f>BI$3*MIN(1,(ATM_Conf!$C$6-Links!K150)/(ATM_Conf!$C$6-ATM_Conf!$C$7))</f>
        <v>#DIV/0!</v>
      </c>
      <c r="BA150" s="46" t="e">
        <f>BJ$3*MIN(1,(ATM_Conf!$C$6-Links!L150)/(ATM_Conf!$C$6-ATM_Conf!$C$7))</f>
        <v>#DIV/0!</v>
      </c>
      <c r="BB150" s="46" t="e">
        <f>BK$3*MIN(1,(ATM_Conf!$C$6-Links!M150)/(ATM_Conf!$C$6-ATM_Conf!$C$7))</f>
        <v>#DIV/0!</v>
      </c>
      <c r="BC150" s="46" t="e">
        <f>BL$3*MIN(1,(ATM_Conf!$C$6-Links!N150)/(ATM_Conf!$C$6-ATM_Conf!$C$7))</f>
        <v>#DIV/0!</v>
      </c>
      <c r="BD150" s="46"/>
      <c r="BE150" s="46"/>
      <c r="BF150" s="46"/>
      <c r="BG150" s="46"/>
      <c r="BH150" s="46"/>
      <c r="BI150" s="46"/>
      <c r="BJ150" s="46"/>
      <c r="BK150" s="46"/>
      <c r="BL150" s="46"/>
      <c r="BM150" s="54"/>
      <c r="BN150" s="54"/>
      <c r="BO150" s="54"/>
      <c r="BP150" s="54"/>
      <c r="BQ150" s="54"/>
      <c r="BR150" s="54"/>
      <c r="BS150" s="54"/>
      <c r="BT150" s="54"/>
      <c r="BU150" s="54"/>
      <c r="BV150" s="46" t="e">
        <f t="shared" si="98"/>
        <v>#DIV/0!</v>
      </c>
      <c r="BW150" s="46" t="e">
        <f t="shared" si="99"/>
        <v>#DIV/0!</v>
      </c>
      <c r="BX150" s="46" t="e">
        <f t="shared" si="100"/>
        <v>#DIV/0!</v>
      </c>
      <c r="BY150" s="46" t="e">
        <f t="shared" si="101"/>
        <v>#DIV/0!</v>
      </c>
      <c r="BZ150" s="46" t="e">
        <f t="shared" si="102"/>
        <v>#DIV/0!</v>
      </c>
      <c r="CA150" s="46" t="e">
        <f t="shared" si="103"/>
        <v>#DIV/0!</v>
      </c>
      <c r="CB150" s="46" t="e">
        <f t="shared" si="104"/>
        <v>#DIV/0!</v>
      </c>
      <c r="CC150" s="46" t="e">
        <f t="shared" si="105"/>
        <v>#DIV/0!</v>
      </c>
      <c r="CD150" s="46" t="e">
        <f t="shared" si="106"/>
        <v>#DIV/0!</v>
      </c>
      <c r="CE150" s="56" t="e">
        <f t="shared" si="107"/>
        <v>#DIV/0!</v>
      </c>
      <c r="CF150" s="56" t="e">
        <f t="shared" si="108"/>
        <v>#DIV/0!</v>
      </c>
      <c r="CG150" s="56" t="e">
        <f t="shared" si="109"/>
        <v>#DIV/0!</v>
      </c>
      <c r="CH150" s="56" t="e">
        <f t="shared" si="110"/>
        <v>#DIV/0!</v>
      </c>
      <c r="CI150" s="56" t="e">
        <f t="shared" si="111"/>
        <v>#DIV/0!</v>
      </c>
      <c r="CJ150" s="56" t="e">
        <f t="shared" si="112"/>
        <v>#DIV/0!</v>
      </c>
      <c r="CK150" s="56" t="e">
        <f t="shared" si="113"/>
        <v>#DIV/0!</v>
      </c>
      <c r="CL150" s="56" t="e">
        <f t="shared" si="114"/>
        <v>#DIV/0!</v>
      </c>
      <c r="CM150" s="56" t="e">
        <f t="shared" si="115"/>
        <v>#DIV/0!</v>
      </c>
    </row>
    <row r="151" spans="1:91" x14ac:dyDescent="0.15">
      <c r="A151" s="43">
        <v>149</v>
      </c>
      <c r="B151" s="46">
        <f t="shared" si="121"/>
        <v>1</v>
      </c>
      <c r="C151" s="46">
        <f t="shared" si="120"/>
        <v>1</v>
      </c>
      <c r="D151" s="46">
        <f t="shared" si="120"/>
        <v>1</v>
      </c>
      <c r="E151" s="46">
        <f t="shared" si="120"/>
        <v>1</v>
      </c>
      <c r="F151" s="46">
        <f t="shared" si="120"/>
        <v>1</v>
      </c>
      <c r="G151" s="46">
        <f t="shared" si="120"/>
        <v>1</v>
      </c>
      <c r="H151" s="46">
        <f t="shared" si="120"/>
        <v>1</v>
      </c>
      <c r="I151" s="46">
        <f t="shared" si="120"/>
        <v>1</v>
      </c>
      <c r="J151" s="46">
        <f t="shared" si="120"/>
        <v>1</v>
      </c>
      <c r="K151" s="46" t="e">
        <f>K150+ATM_Conf!$C$5*(T150-AC150)</f>
        <v>#DIV/0!</v>
      </c>
      <c r="L151" s="46" t="e">
        <f>L150+ATM_Conf!$C$5*(U150-AD150)</f>
        <v>#DIV/0!</v>
      </c>
      <c r="M151" s="46" t="e">
        <f>M150+ATM_Conf!$C$5*(V150-AE150)</f>
        <v>#DIV/0!</v>
      </c>
      <c r="N151" s="46" t="e">
        <f>N150+ATM_Conf!$C$5*(W150-AF150)</f>
        <v>#DIV/0!</v>
      </c>
      <c r="O151" s="46" t="e">
        <f>O150+ATM_Conf!$C$5*(X150-AG150)</f>
        <v>#DIV/0!</v>
      </c>
      <c r="P151" s="46" t="e">
        <f>P150+ATM_Conf!$C$5*(Y150-AH150)</f>
        <v>#DIV/0!</v>
      </c>
      <c r="Q151" s="46" t="e">
        <f>Q150+ATM_Conf!$C$5*(Z150-AI150)</f>
        <v>#DIV/0!</v>
      </c>
      <c r="R151" s="46" t="e">
        <f>R150+ATM_Conf!$C$5*(AA150-AJ150)</f>
        <v>#DIV/0!</v>
      </c>
      <c r="S151" s="46" t="e">
        <f>S150+ATM_Conf!$C$5*(AB150-AK150)</f>
        <v>#DIV/0!</v>
      </c>
      <c r="T151" s="46"/>
      <c r="U151" s="46"/>
      <c r="V151" s="46"/>
      <c r="W151" s="46"/>
      <c r="X151" s="46"/>
      <c r="Y151" s="46"/>
      <c r="Z151" s="46"/>
      <c r="AA151" s="46"/>
      <c r="AB151" s="46"/>
      <c r="AC151" s="46" t="e">
        <f t="shared" si="89"/>
        <v>#DIV/0!</v>
      </c>
      <c r="AD151" s="46" t="e">
        <f t="shared" si="90"/>
        <v>#DIV/0!</v>
      </c>
      <c r="AE151" s="46" t="e">
        <f t="shared" si="91"/>
        <v>#DIV/0!</v>
      </c>
      <c r="AF151" s="46" t="e">
        <f t="shared" si="92"/>
        <v>#DIV/0!</v>
      </c>
      <c r="AG151" s="46" t="e">
        <f t="shared" si="93"/>
        <v>#DIV/0!</v>
      </c>
      <c r="AH151" s="46" t="e">
        <f t="shared" si="94"/>
        <v>#DIV/0!</v>
      </c>
      <c r="AI151" s="46" t="e">
        <f t="shared" si="95"/>
        <v>#DIV/0!</v>
      </c>
      <c r="AJ151" s="46" t="e">
        <f t="shared" si="96"/>
        <v>#DIV/0!</v>
      </c>
      <c r="AK151" s="46" t="e">
        <f t="shared" si="97"/>
        <v>#DIV/0!</v>
      </c>
      <c r="AL151" s="46" t="e">
        <f>T$3+K151/ATM_Conf!$C$5</f>
        <v>#DIV/0!</v>
      </c>
      <c r="AM151" s="46" t="e">
        <f>U$3+L151/ATM_Conf!$C$5</f>
        <v>#DIV/0!</v>
      </c>
      <c r="AN151" s="46" t="e">
        <f>V$3+M151/ATM_Conf!$C$5</f>
        <v>#DIV/0!</v>
      </c>
      <c r="AO151" s="46" t="e">
        <f>W$3+N151/ATM_Conf!$C$5</f>
        <v>#DIV/0!</v>
      </c>
      <c r="AP151" s="46" t="e">
        <f>X$3+O151/ATM_Conf!$C$5</f>
        <v>#DIV/0!</v>
      </c>
      <c r="AQ151" s="46" t="e">
        <f>Y$3+P151/ATM_Conf!$C$5</f>
        <v>#DIV/0!</v>
      </c>
      <c r="AR151" s="46" t="e">
        <f>Z$3+Q151/ATM_Conf!$C$5</f>
        <v>#DIV/0!</v>
      </c>
      <c r="AS151" s="46" t="e">
        <f>AA$3+R151/ATM_Conf!$C$5</f>
        <v>#DIV/0!</v>
      </c>
      <c r="AT151" s="46" t="e">
        <f>AB$3+S151/ATM_Conf!$C$5</f>
        <v>#DIV/0!</v>
      </c>
      <c r="AU151" s="46" t="e">
        <f>BD$3*MIN(1,(ATM_Conf!$C$6-Links!F151)/(ATM_Conf!$C$6-ATM_Conf!$C$7))</f>
        <v>#DIV/0!</v>
      </c>
      <c r="AV151" s="46" t="e">
        <f>BE$3*MIN(1,(ATM_Conf!$C$6-Links!G151)/(ATM_Conf!$C$6-ATM_Conf!$C$7))</f>
        <v>#DIV/0!</v>
      </c>
      <c r="AW151" s="46" t="e">
        <f>BF$3*MIN(1,(ATM_Conf!$C$6-Links!H151)/(ATM_Conf!$C$6-ATM_Conf!$C$7))</f>
        <v>#DIV/0!</v>
      </c>
      <c r="AX151" s="46" t="e">
        <f>BG$3*MIN(1,(ATM_Conf!$C$6-Links!I151)/(ATM_Conf!$C$6-ATM_Conf!$C$7))</f>
        <v>#DIV/0!</v>
      </c>
      <c r="AY151" s="46" t="e">
        <f>BH$3*MIN(1,(ATM_Conf!$C$6-Links!J151)/(ATM_Conf!$C$6-ATM_Conf!$C$7))</f>
        <v>#DIV/0!</v>
      </c>
      <c r="AZ151" s="46" t="e">
        <f>BI$3*MIN(1,(ATM_Conf!$C$6-Links!K151)/(ATM_Conf!$C$6-ATM_Conf!$C$7))</f>
        <v>#DIV/0!</v>
      </c>
      <c r="BA151" s="46" t="e">
        <f>BJ$3*MIN(1,(ATM_Conf!$C$6-Links!L151)/(ATM_Conf!$C$6-ATM_Conf!$C$7))</f>
        <v>#DIV/0!</v>
      </c>
      <c r="BB151" s="46" t="e">
        <f>BK$3*MIN(1,(ATM_Conf!$C$6-Links!M151)/(ATM_Conf!$C$6-ATM_Conf!$C$7))</f>
        <v>#DIV/0!</v>
      </c>
      <c r="BC151" s="46" t="e">
        <f>BL$3*MIN(1,(ATM_Conf!$C$6-Links!N151)/(ATM_Conf!$C$6-ATM_Conf!$C$7))</f>
        <v>#DIV/0!</v>
      </c>
      <c r="BD151" s="46"/>
      <c r="BE151" s="46"/>
      <c r="BF151" s="46"/>
      <c r="BG151" s="46"/>
      <c r="BH151" s="46"/>
      <c r="BI151" s="46"/>
      <c r="BJ151" s="46"/>
      <c r="BK151" s="46"/>
      <c r="BL151" s="46"/>
      <c r="BM151" s="54"/>
      <c r="BN151" s="54"/>
      <c r="BO151" s="54"/>
      <c r="BP151" s="54"/>
      <c r="BQ151" s="54"/>
      <c r="BR151" s="54"/>
      <c r="BS151" s="54"/>
      <c r="BT151" s="54"/>
      <c r="BU151" s="54"/>
      <c r="BV151" s="46" t="e">
        <f t="shared" si="98"/>
        <v>#DIV/0!</v>
      </c>
      <c r="BW151" s="46" t="e">
        <f t="shared" si="99"/>
        <v>#DIV/0!</v>
      </c>
      <c r="BX151" s="46" t="e">
        <f t="shared" si="100"/>
        <v>#DIV/0!</v>
      </c>
      <c r="BY151" s="46" t="e">
        <f t="shared" si="101"/>
        <v>#DIV/0!</v>
      </c>
      <c r="BZ151" s="46" t="e">
        <f t="shared" si="102"/>
        <v>#DIV/0!</v>
      </c>
      <c r="CA151" s="46" t="e">
        <f t="shared" si="103"/>
        <v>#DIV/0!</v>
      </c>
      <c r="CB151" s="46" t="e">
        <f t="shared" si="104"/>
        <v>#DIV/0!</v>
      </c>
      <c r="CC151" s="46" t="e">
        <f t="shared" si="105"/>
        <v>#DIV/0!</v>
      </c>
      <c r="CD151" s="46" t="e">
        <f t="shared" si="106"/>
        <v>#DIV/0!</v>
      </c>
      <c r="CE151" s="56" t="e">
        <f t="shared" si="107"/>
        <v>#DIV/0!</v>
      </c>
      <c r="CF151" s="56" t="e">
        <f t="shared" si="108"/>
        <v>#DIV/0!</v>
      </c>
      <c r="CG151" s="56" t="e">
        <f t="shared" si="109"/>
        <v>#DIV/0!</v>
      </c>
      <c r="CH151" s="56" t="e">
        <f t="shared" si="110"/>
        <v>#DIV/0!</v>
      </c>
      <c r="CI151" s="56" t="e">
        <f t="shared" si="111"/>
        <v>#DIV/0!</v>
      </c>
      <c r="CJ151" s="56" t="e">
        <f t="shared" si="112"/>
        <v>#DIV/0!</v>
      </c>
      <c r="CK151" s="56" t="e">
        <f t="shared" si="113"/>
        <v>#DIV/0!</v>
      </c>
      <c r="CL151" s="56" t="e">
        <f t="shared" si="114"/>
        <v>#DIV/0!</v>
      </c>
      <c r="CM151" s="56" t="e">
        <f t="shared" si="115"/>
        <v>#DIV/0!</v>
      </c>
    </row>
    <row r="152" spans="1:91" x14ac:dyDescent="0.15">
      <c r="A152" s="43">
        <v>150</v>
      </c>
      <c r="B152" s="46">
        <f t="shared" si="121"/>
        <v>1</v>
      </c>
      <c r="C152" s="46">
        <f t="shared" si="120"/>
        <v>1</v>
      </c>
      <c r="D152" s="46">
        <f t="shared" si="120"/>
        <v>1</v>
      </c>
      <c r="E152" s="46">
        <f t="shared" si="120"/>
        <v>1</v>
      </c>
      <c r="F152" s="46">
        <f t="shared" si="120"/>
        <v>1</v>
      </c>
      <c r="G152" s="46">
        <f t="shared" si="120"/>
        <v>1</v>
      </c>
      <c r="H152" s="46">
        <f t="shared" si="120"/>
        <v>1</v>
      </c>
      <c r="I152" s="46">
        <f t="shared" si="120"/>
        <v>1</v>
      </c>
      <c r="J152" s="46">
        <f t="shared" si="120"/>
        <v>1</v>
      </c>
      <c r="K152" s="46" t="e">
        <f>K151+ATM_Conf!$C$5*(T151-AC151)</f>
        <v>#DIV/0!</v>
      </c>
      <c r="L152" s="46" t="e">
        <f>L151+ATM_Conf!$C$5*(U151-AD151)</f>
        <v>#DIV/0!</v>
      </c>
      <c r="M152" s="46" t="e">
        <f>M151+ATM_Conf!$C$5*(V151-AE151)</f>
        <v>#DIV/0!</v>
      </c>
      <c r="N152" s="46" t="e">
        <f>N151+ATM_Conf!$C$5*(W151-AF151)</f>
        <v>#DIV/0!</v>
      </c>
      <c r="O152" s="46" t="e">
        <f>O151+ATM_Conf!$C$5*(X151-AG151)</f>
        <v>#DIV/0!</v>
      </c>
      <c r="P152" s="46" t="e">
        <f>P151+ATM_Conf!$C$5*(Y151-AH151)</f>
        <v>#DIV/0!</v>
      </c>
      <c r="Q152" s="46" t="e">
        <f>Q151+ATM_Conf!$C$5*(Z151-AI151)</f>
        <v>#DIV/0!</v>
      </c>
      <c r="R152" s="46" t="e">
        <f>R151+ATM_Conf!$C$5*(AA151-AJ151)</f>
        <v>#DIV/0!</v>
      </c>
      <c r="S152" s="46" t="e">
        <f>S151+ATM_Conf!$C$5*(AB151-AK151)</f>
        <v>#DIV/0!</v>
      </c>
      <c r="T152" s="46"/>
      <c r="U152" s="46"/>
      <c r="V152" s="46"/>
      <c r="W152" s="46"/>
      <c r="X152" s="46"/>
      <c r="Y152" s="46"/>
      <c r="Z152" s="46"/>
      <c r="AA152" s="46"/>
      <c r="AB152" s="46"/>
      <c r="AC152" s="46" t="e">
        <f t="shared" si="89"/>
        <v>#DIV/0!</v>
      </c>
      <c r="AD152" s="46" t="e">
        <f t="shared" si="90"/>
        <v>#DIV/0!</v>
      </c>
      <c r="AE152" s="46" t="e">
        <f t="shared" si="91"/>
        <v>#DIV/0!</v>
      </c>
      <c r="AF152" s="46" t="e">
        <f t="shared" si="92"/>
        <v>#DIV/0!</v>
      </c>
      <c r="AG152" s="46" t="e">
        <f t="shared" si="93"/>
        <v>#DIV/0!</v>
      </c>
      <c r="AH152" s="46" t="e">
        <f t="shared" si="94"/>
        <v>#DIV/0!</v>
      </c>
      <c r="AI152" s="46" t="e">
        <f t="shared" si="95"/>
        <v>#DIV/0!</v>
      </c>
      <c r="AJ152" s="46" t="e">
        <f t="shared" si="96"/>
        <v>#DIV/0!</v>
      </c>
      <c r="AK152" s="46" t="e">
        <f t="shared" si="97"/>
        <v>#DIV/0!</v>
      </c>
      <c r="AL152" s="46" t="e">
        <f>T$3+K152/ATM_Conf!$C$5</f>
        <v>#DIV/0!</v>
      </c>
      <c r="AM152" s="46" t="e">
        <f>U$3+L152/ATM_Conf!$C$5</f>
        <v>#DIV/0!</v>
      </c>
      <c r="AN152" s="46" t="e">
        <f>V$3+M152/ATM_Conf!$C$5</f>
        <v>#DIV/0!</v>
      </c>
      <c r="AO152" s="46" t="e">
        <f>W$3+N152/ATM_Conf!$C$5</f>
        <v>#DIV/0!</v>
      </c>
      <c r="AP152" s="46" t="e">
        <f>X$3+O152/ATM_Conf!$C$5</f>
        <v>#DIV/0!</v>
      </c>
      <c r="AQ152" s="46" t="e">
        <f>Y$3+P152/ATM_Conf!$C$5</f>
        <v>#DIV/0!</v>
      </c>
      <c r="AR152" s="46" t="e">
        <f>Z$3+Q152/ATM_Conf!$C$5</f>
        <v>#DIV/0!</v>
      </c>
      <c r="AS152" s="46" t="e">
        <f>AA$3+R152/ATM_Conf!$C$5</f>
        <v>#DIV/0!</v>
      </c>
      <c r="AT152" s="46" t="e">
        <f>AB$3+S152/ATM_Conf!$C$5</f>
        <v>#DIV/0!</v>
      </c>
      <c r="AU152" s="46" t="e">
        <f>BD$3*MIN(1,(ATM_Conf!$C$6-Links!F152)/(ATM_Conf!$C$6-ATM_Conf!$C$7))</f>
        <v>#DIV/0!</v>
      </c>
      <c r="AV152" s="46" t="e">
        <f>BE$3*MIN(1,(ATM_Conf!$C$6-Links!G152)/(ATM_Conf!$C$6-ATM_Conf!$C$7))</f>
        <v>#DIV/0!</v>
      </c>
      <c r="AW152" s="46" t="e">
        <f>BF$3*MIN(1,(ATM_Conf!$C$6-Links!H152)/(ATM_Conf!$C$6-ATM_Conf!$C$7))</f>
        <v>#DIV/0!</v>
      </c>
      <c r="AX152" s="46" t="e">
        <f>BG$3*MIN(1,(ATM_Conf!$C$6-Links!I152)/(ATM_Conf!$C$6-ATM_Conf!$C$7))</f>
        <v>#DIV/0!</v>
      </c>
      <c r="AY152" s="46" t="e">
        <f>BH$3*MIN(1,(ATM_Conf!$C$6-Links!J152)/(ATM_Conf!$C$6-ATM_Conf!$C$7))</f>
        <v>#DIV/0!</v>
      </c>
      <c r="AZ152" s="46" t="e">
        <f>BI$3*MIN(1,(ATM_Conf!$C$6-Links!K152)/(ATM_Conf!$C$6-ATM_Conf!$C$7))</f>
        <v>#DIV/0!</v>
      </c>
      <c r="BA152" s="46" t="e">
        <f>BJ$3*MIN(1,(ATM_Conf!$C$6-Links!L152)/(ATM_Conf!$C$6-ATM_Conf!$C$7))</f>
        <v>#DIV/0!</v>
      </c>
      <c r="BB152" s="46" t="e">
        <f>BK$3*MIN(1,(ATM_Conf!$C$6-Links!M152)/(ATM_Conf!$C$6-ATM_Conf!$C$7))</f>
        <v>#DIV/0!</v>
      </c>
      <c r="BC152" s="46" t="e">
        <f>BL$3*MIN(1,(ATM_Conf!$C$6-Links!N152)/(ATM_Conf!$C$6-ATM_Conf!$C$7))</f>
        <v>#DIV/0!</v>
      </c>
      <c r="BD152" s="46"/>
      <c r="BE152" s="46"/>
      <c r="BF152" s="46"/>
      <c r="BG152" s="46"/>
      <c r="BH152" s="46"/>
      <c r="BI152" s="46"/>
      <c r="BJ152" s="46"/>
      <c r="BK152" s="46"/>
      <c r="BL152" s="46"/>
      <c r="BM152" s="54"/>
      <c r="BN152" s="54"/>
      <c r="BO152" s="54"/>
      <c r="BP152" s="54"/>
      <c r="BQ152" s="54"/>
      <c r="BR152" s="54"/>
      <c r="BS152" s="54"/>
      <c r="BT152" s="54"/>
      <c r="BU152" s="54"/>
      <c r="BV152" s="46" t="e">
        <f t="shared" si="98"/>
        <v>#DIV/0!</v>
      </c>
      <c r="BW152" s="46" t="e">
        <f t="shared" si="99"/>
        <v>#DIV/0!</v>
      </c>
      <c r="BX152" s="46" t="e">
        <f t="shared" si="100"/>
        <v>#DIV/0!</v>
      </c>
      <c r="BY152" s="46" t="e">
        <f t="shared" si="101"/>
        <v>#DIV/0!</v>
      </c>
      <c r="BZ152" s="46" t="e">
        <f t="shared" si="102"/>
        <v>#DIV/0!</v>
      </c>
      <c r="CA152" s="46" t="e">
        <f t="shared" si="103"/>
        <v>#DIV/0!</v>
      </c>
      <c r="CB152" s="46" t="e">
        <f t="shared" si="104"/>
        <v>#DIV/0!</v>
      </c>
      <c r="CC152" s="46" t="e">
        <f t="shared" si="105"/>
        <v>#DIV/0!</v>
      </c>
      <c r="CD152" s="46" t="e">
        <f t="shared" si="106"/>
        <v>#DIV/0!</v>
      </c>
      <c r="CE152" s="56" t="e">
        <f t="shared" si="107"/>
        <v>#DIV/0!</v>
      </c>
      <c r="CF152" s="56" t="e">
        <f t="shared" si="108"/>
        <v>#DIV/0!</v>
      </c>
      <c r="CG152" s="56" t="e">
        <f t="shared" si="109"/>
        <v>#DIV/0!</v>
      </c>
      <c r="CH152" s="56" t="e">
        <f t="shared" si="110"/>
        <v>#DIV/0!</v>
      </c>
      <c r="CI152" s="56" t="e">
        <f t="shared" si="111"/>
        <v>#DIV/0!</v>
      </c>
      <c r="CJ152" s="56" t="e">
        <f t="shared" si="112"/>
        <v>#DIV/0!</v>
      </c>
      <c r="CK152" s="56" t="e">
        <f t="shared" si="113"/>
        <v>#DIV/0!</v>
      </c>
      <c r="CL152" s="56" t="e">
        <f t="shared" si="114"/>
        <v>#DIV/0!</v>
      </c>
      <c r="CM152" s="56" t="e">
        <f t="shared" si="115"/>
        <v>#DIV/0!</v>
      </c>
    </row>
    <row r="153" spans="1:91" x14ac:dyDescent="0.15">
      <c r="A153" s="43">
        <v>151</v>
      </c>
      <c r="B153" s="46">
        <f t="shared" si="121"/>
        <v>1</v>
      </c>
      <c r="C153" s="46">
        <f t="shared" si="120"/>
        <v>1</v>
      </c>
      <c r="D153" s="46">
        <f t="shared" si="120"/>
        <v>1</v>
      </c>
      <c r="E153" s="46">
        <f t="shared" si="120"/>
        <v>1</v>
      </c>
      <c r="F153" s="46">
        <f t="shared" si="120"/>
        <v>1</v>
      </c>
      <c r="G153" s="46">
        <f t="shared" si="120"/>
        <v>1</v>
      </c>
      <c r="H153" s="46">
        <f t="shared" si="120"/>
        <v>1</v>
      </c>
      <c r="I153" s="46">
        <f t="shared" si="120"/>
        <v>1</v>
      </c>
      <c r="J153" s="46">
        <f t="shared" si="120"/>
        <v>1</v>
      </c>
      <c r="K153" s="46" t="e">
        <f>K152+ATM_Conf!$C$5*(T152-AC152)</f>
        <v>#DIV/0!</v>
      </c>
      <c r="L153" s="46" t="e">
        <f>L152+ATM_Conf!$C$5*(U152-AD152)</f>
        <v>#DIV/0!</v>
      </c>
      <c r="M153" s="46" t="e">
        <f>M152+ATM_Conf!$C$5*(V152-AE152)</f>
        <v>#DIV/0!</v>
      </c>
      <c r="N153" s="46" t="e">
        <f>N152+ATM_Conf!$C$5*(W152-AF152)</f>
        <v>#DIV/0!</v>
      </c>
      <c r="O153" s="46" t="e">
        <f>O152+ATM_Conf!$C$5*(X152-AG152)</f>
        <v>#DIV/0!</v>
      </c>
      <c r="P153" s="46" t="e">
        <f>P152+ATM_Conf!$C$5*(Y152-AH152)</f>
        <v>#DIV/0!</v>
      </c>
      <c r="Q153" s="46" t="e">
        <f>Q152+ATM_Conf!$C$5*(Z152-AI152)</f>
        <v>#DIV/0!</v>
      </c>
      <c r="R153" s="46" t="e">
        <f>R152+ATM_Conf!$C$5*(AA152-AJ152)</f>
        <v>#DIV/0!</v>
      </c>
      <c r="S153" s="46" t="e">
        <f>S152+ATM_Conf!$C$5*(AB152-AK152)</f>
        <v>#DIV/0!</v>
      </c>
      <c r="T153" s="46"/>
      <c r="U153" s="46"/>
      <c r="V153" s="46"/>
      <c r="W153" s="46"/>
      <c r="X153" s="46"/>
      <c r="Y153" s="46"/>
      <c r="Z153" s="46"/>
      <c r="AA153" s="46"/>
      <c r="AB153" s="46"/>
      <c r="AC153" s="46" t="e">
        <f t="shared" si="89"/>
        <v>#DIV/0!</v>
      </c>
      <c r="AD153" s="46" t="e">
        <f t="shared" si="90"/>
        <v>#DIV/0!</v>
      </c>
      <c r="AE153" s="46" t="e">
        <f t="shared" si="91"/>
        <v>#DIV/0!</v>
      </c>
      <c r="AF153" s="46" t="e">
        <f t="shared" si="92"/>
        <v>#DIV/0!</v>
      </c>
      <c r="AG153" s="46" t="e">
        <f t="shared" si="93"/>
        <v>#DIV/0!</v>
      </c>
      <c r="AH153" s="46" t="e">
        <f t="shared" si="94"/>
        <v>#DIV/0!</v>
      </c>
      <c r="AI153" s="46" t="e">
        <f t="shared" si="95"/>
        <v>#DIV/0!</v>
      </c>
      <c r="AJ153" s="46" t="e">
        <f t="shared" si="96"/>
        <v>#DIV/0!</v>
      </c>
      <c r="AK153" s="46" t="e">
        <f t="shared" si="97"/>
        <v>#DIV/0!</v>
      </c>
      <c r="AL153" s="46" t="e">
        <f>T$3+K153/ATM_Conf!$C$5</f>
        <v>#DIV/0!</v>
      </c>
      <c r="AM153" s="46" t="e">
        <f>U$3+L153/ATM_Conf!$C$5</f>
        <v>#DIV/0!</v>
      </c>
      <c r="AN153" s="46" t="e">
        <f>V$3+M153/ATM_Conf!$C$5</f>
        <v>#DIV/0!</v>
      </c>
      <c r="AO153" s="46" t="e">
        <f>W$3+N153/ATM_Conf!$C$5</f>
        <v>#DIV/0!</v>
      </c>
      <c r="AP153" s="46" t="e">
        <f>X$3+O153/ATM_Conf!$C$5</f>
        <v>#DIV/0!</v>
      </c>
      <c r="AQ153" s="46" t="e">
        <f>Y$3+P153/ATM_Conf!$C$5</f>
        <v>#DIV/0!</v>
      </c>
      <c r="AR153" s="46" t="e">
        <f>Z$3+Q153/ATM_Conf!$C$5</f>
        <v>#DIV/0!</v>
      </c>
      <c r="AS153" s="46" t="e">
        <f>AA$3+R153/ATM_Conf!$C$5</f>
        <v>#DIV/0!</v>
      </c>
      <c r="AT153" s="46" t="e">
        <f>AB$3+S153/ATM_Conf!$C$5</f>
        <v>#DIV/0!</v>
      </c>
      <c r="AU153" s="46" t="e">
        <f>BD$3*MIN(1,(ATM_Conf!$C$6-Links!F153)/(ATM_Conf!$C$6-ATM_Conf!$C$7))</f>
        <v>#DIV/0!</v>
      </c>
      <c r="AV153" s="46" t="e">
        <f>BE$3*MIN(1,(ATM_Conf!$C$6-Links!G153)/(ATM_Conf!$C$6-ATM_Conf!$C$7))</f>
        <v>#DIV/0!</v>
      </c>
      <c r="AW153" s="46" t="e">
        <f>BF$3*MIN(1,(ATM_Conf!$C$6-Links!H153)/(ATM_Conf!$C$6-ATM_Conf!$C$7))</f>
        <v>#DIV/0!</v>
      </c>
      <c r="AX153" s="46" t="e">
        <f>BG$3*MIN(1,(ATM_Conf!$C$6-Links!I153)/(ATM_Conf!$C$6-ATM_Conf!$C$7))</f>
        <v>#DIV/0!</v>
      </c>
      <c r="AY153" s="46" t="e">
        <f>BH$3*MIN(1,(ATM_Conf!$C$6-Links!J153)/(ATM_Conf!$C$6-ATM_Conf!$C$7))</f>
        <v>#DIV/0!</v>
      </c>
      <c r="AZ153" s="46" t="e">
        <f>BI$3*MIN(1,(ATM_Conf!$C$6-Links!K153)/(ATM_Conf!$C$6-ATM_Conf!$C$7))</f>
        <v>#DIV/0!</v>
      </c>
      <c r="BA153" s="46" t="e">
        <f>BJ$3*MIN(1,(ATM_Conf!$C$6-Links!L153)/(ATM_Conf!$C$6-ATM_Conf!$C$7))</f>
        <v>#DIV/0!</v>
      </c>
      <c r="BB153" s="46" t="e">
        <f>BK$3*MIN(1,(ATM_Conf!$C$6-Links!M153)/(ATM_Conf!$C$6-ATM_Conf!$C$7))</f>
        <v>#DIV/0!</v>
      </c>
      <c r="BC153" s="46" t="e">
        <f>BL$3*MIN(1,(ATM_Conf!$C$6-Links!N153)/(ATM_Conf!$C$6-ATM_Conf!$C$7))</f>
        <v>#DIV/0!</v>
      </c>
      <c r="BD153" s="46"/>
      <c r="BE153" s="46"/>
      <c r="BF153" s="46"/>
      <c r="BG153" s="46"/>
      <c r="BH153" s="46"/>
      <c r="BI153" s="46"/>
      <c r="BJ153" s="46"/>
      <c r="BK153" s="46"/>
      <c r="BL153" s="46"/>
      <c r="BM153" s="54"/>
      <c r="BN153" s="54"/>
      <c r="BO153" s="54"/>
      <c r="BP153" s="54"/>
      <c r="BQ153" s="54"/>
      <c r="BR153" s="54"/>
      <c r="BS153" s="54"/>
      <c r="BT153" s="54"/>
      <c r="BU153" s="54"/>
      <c r="BV153" s="46" t="e">
        <f t="shared" si="98"/>
        <v>#DIV/0!</v>
      </c>
      <c r="BW153" s="46" t="e">
        <f t="shared" si="99"/>
        <v>#DIV/0!</v>
      </c>
      <c r="BX153" s="46" t="e">
        <f t="shared" si="100"/>
        <v>#DIV/0!</v>
      </c>
      <c r="BY153" s="46" t="e">
        <f t="shared" si="101"/>
        <v>#DIV/0!</v>
      </c>
      <c r="BZ153" s="46" t="e">
        <f t="shared" si="102"/>
        <v>#DIV/0!</v>
      </c>
      <c r="CA153" s="46" t="e">
        <f t="shared" si="103"/>
        <v>#DIV/0!</v>
      </c>
      <c r="CB153" s="46" t="e">
        <f t="shared" si="104"/>
        <v>#DIV/0!</v>
      </c>
      <c r="CC153" s="46" t="e">
        <f t="shared" si="105"/>
        <v>#DIV/0!</v>
      </c>
      <c r="CD153" s="46" t="e">
        <f t="shared" si="106"/>
        <v>#DIV/0!</v>
      </c>
      <c r="CE153" s="56" t="e">
        <f t="shared" si="107"/>
        <v>#DIV/0!</v>
      </c>
      <c r="CF153" s="56" t="e">
        <f t="shared" si="108"/>
        <v>#DIV/0!</v>
      </c>
      <c r="CG153" s="56" t="e">
        <f t="shared" si="109"/>
        <v>#DIV/0!</v>
      </c>
      <c r="CH153" s="56" t="e">
        <f t="shared" si="110"/>
        <v>#DIV/0!</v>
      </c>
      <c r="CI153" s="56" t="e">
        <f t="shared" si="111"/>
        <v>#DIV/0!</v>
      </c>
      <c r="CJ153" s="56" t="e">
        <f t="shared" si="112"/>
        <v>#DIV/0!</v>
      </c>
      <c r="CK153" s="56" t="e">
        <f t="shared" si="113"/>
        <v>#DIV/0!</v>
      </c>
      <c r="CL153" s="56" t="e">
        <f t="shared" si="114"/>
        <v>#DIV/0!</v>
      </c>
      <c r="CM153" s="56" t="e">
        <f t="shared" si="115"/>
        <v>#DIV/0!</v>
      </c>
    </row>
    <row r="154" spans="1:91" x14ac:dyDescent="0.15">
      <c r="A154" s="43">
        <v>152</v>
      </c>
      <c r="B154" s="46">
        <f t="shared" si="121"/>
        <v>1</v>
      </c>
      <c r="C154" s="46">
        <f t="shared" si="120"/>
        <v>1</v>
      </c>
      <c r="D154" s="46">
        <f t="shared" si="120"/>
        <v>1</v>
      </c>
      <c r="E154" s="46">
        <f t="shared" si="120"/>
        <v>1</v>
      </c>
      <c r="F154" s="46">
        <f t="shared" si="120"/>
        <v>1</v>
      </c>
      <c r="G154" s="46">
        <f t="shared" si="120"/>
        <v>1</v>
      </c>
      <c r="H154" s="46">
        <f t="shared" si="120"/>
        <v>1</v>
      </c>
      <c r="I154" s="46">
        <f t="shared" si="120"/>
        <v>1</v>
      </c>
      <c r="J154" s="46">
        <f t="shared" si="120"/>
        <v>1</v>
      </c>
      <c r="K154" s="46" t="e">
        <f>K153+ATM_Conf!$C$5*(T153-AC153)</f>
        <v>#DIV/0!</v>
      </c>
      <c r="L154" s="46" t="e">
        <f>L153+ATM_Conf!$C$5*(U153-AD153)</f>
        <v>#DIV/0!</v>
      </c>
      <c r="M154" s="46" t="e">
        <f>M153+ATM_Conf!$C$5*(V153-AE153)</f>
        <v>#DIV/0!</v>
      </c>
      <c r="N154" s="46" t="e">
        <f>N153+ATM_Conf!$C$5*(W153-AF153)</f>
        <v>#DIV/0!</v>
      </c>
      <c r="O154" s="46" t="e">
        <f>O153+ATM_Conf!$C$5*(X153-AG153)</f>
        <v>#DIV/0!</v>
      </c>
      <c r="P154" s="46" t="e">
        <f>P153+ATM_Conf!$C$5*(Y153-AH153)</f>
        <v>#DIV/0!</v>
      </c>
      <c r="Q154" s="46" t="e">
        <f>Q153+ATM_Conf!$C$5*(Z153-AI153)</f>
        <v>#DIV/0!</v>
      </c>
      <c r="R154" s="46" t="e">
        <f>R153+ATM_Conf!$C$5*(AA153-AJ153)</f>
        <v>#DIV/0!</v>
      </c>
      <c r="S154" s="46" t="e">
        <f>S153+ATM_Conf!$C$5*(AB153-AK153)</f>
        <v>#DIV/0!</v>
      </c>
      <c r="T154" s="46"/>
      <c r="U154" s="46"/>
      <c r="V154" s="46"/>
      <c r="W154" s="46"/>
      <c r="X154" s="46"/>
      <c r="Y154" s="46"/>
      <c r="Z154" s="46"/>
      <c r="AA154" s="46"/>
      <c r="AB154" s="46"/>
      <c r="AC154" s="46" t="e">
        <f t="shared" si="89"/>
        <v>#DIV/0!</v>
      </c>
      <c r="AD154" s="46" t="e">
        <f t="shared" si="90"/>
        <v>#DIV/0!</v>
      </c>
      <c r="AE154" s="46" t="e">
        <f t="shared" si="91"/>
        <v>#DIV/0!</v>
      </c>
      <c r="AF154" s="46" t="e">
        <f t="shared" si="92"/>
        <v>#DIV/0!</v>
      </c>
      <c r="AG154" s="46" t="e">
        <f t="shared" si="93"/>
        <v>#DIV/0!</v>
      </c>
      <c r="AH154" s="46" t="e">
        <f t="shared" si="94"/>
        <v>#DIV/0!</v>
      </c>
      <c r="AI154" s="46" t="e">
        <f t="shared" si="95"/>
        <v>#DIV/0!</v>
      </c>
      <c r="AJ154" s="46" t="e">
        <f t="shared" si="96"/>
        <v>#DIV/0!</v>
      </c>
      <c r="AK154" s="46" t="e">
        <f t="shared" si="97"/>
        <v>#DIV/0!</v>
      </c>
      <c r="AL154" s="46" t="e">
        <f>T$3+K154/ATM_Conf!$C$5</f>
        <v>#DIV/0!</v>
      </c>
      <c r="AM154" s="46" t="e">
        <f>U$3+L154/ATM_Conf!$C$5</f>
        <v>#DIV/0!</v>
      </c>
      <c r="AN154" s="46" t="e">
        <f>V$3+M154/ATM_Conf!$C$5</f>
        <v>#DIV/0!</v>
      </c>
      <c r="AO154" s="46" t="e">
        <f>W$3+N154/ATM_Conf!$C$5</f>
        <v>#DIV/0!</v>
      </c>
      <c r="AP154" s="46" t="e">
        <f>X$3+O154/ATM_Conf!$C$5</f>
        <v>#DIV/0!</v>
      </c>
      <c r="AQ154" s="46" t="e">
        <f>Y$3+P154/ATM_Conf!$C$5</f>
        <v>#DIV/0!</v>
      </c>
      <c r="AR154" s="46" t="e">
        <f>Z$3+Q154/ATM_Conf!$C$5</f>
        <v>#DIV/0!</v>
      </c>
      <c r="AS154" s="46" t="e">
        <f>AA$3+R154/ATM_Conf!$C$5</f>
        <v>#DIV/0!</v>
      </c>
      <c r="AT154" s="46" t="e">
        <f>AB$3+S154/ATM_Conf!$C$5</f>
        <v>#DIV/0!</v>
      </c>
      <c r="AU154" s="46" t="e">
        <f>BD$3*MIN(1,(ATM_Conf!$C$6-Links!F154)/(ATM_Conf!$C$6-ATM_Conf!$C$7))</f>
        <v>#DIV/0!</v>
      </c>
      <c r="AV154" s="46" t="e">
        <f>BE$3*MIN(1,(ATM_Conf!$C$6-Links!G154)/(ATM_Conf!$C$6-ATM_Conf!$C$7))</f>
        <v>#DIV/0!</v>
      </c>
      <c r="AW154" s="46" t="e">
        <f>BF$3*MIN(1,(ATM_Conf!$C$6-Links!H154)/(ATM_Conf!$C$6-ATM_Conf!$C$7))</f>
        <v>#DIV/0!</v>
      </c>
      <c r="AX154" s="46" t="e">
        <f>BG$3*MIN(1,(ATM_Conf!$C$6-Links!I154)/(ATM_Conf!$C$6-ATM_Conf!$C$7))</f>
        <v>#DIV/0!</v>
      </c>
      <c r="AY154" s="46" t="e">
        <f>BH$3*MIN(1,(ATM_Conf!$C$6-Links!J154)/(ATM_Conf!$C$6-ATM_Conf!$C$7))</f>
        <v>#DIV/0!</v>
      </c>
      <c r="AZ154" s="46" t="e">
        <f>BI$3*MIN(1,(ATM_Conf!$C$6-Links!K154)/(ATM_Conf!$C$6-ATM_Conf!$C$7))</f>
        <v>#DIV/0!</v>
      </c>
      <c r="BA154" s="46" t="e">
        <f>BJ$3*MIN(1,(ATM_Conf!$C$6-Links!L154)/(ATM_Conf!$C$6-ATM_Conf!$C$7))</f>
        <v>#DIV/0!</v>
      </c>
      <c r="BB154" s="46" t="e">
        <f>BK$3*MIN(1,(ATM_Conf!$C$6-Links!M154)/(ATM_Conf!$C$6-ATM_Conf!$C$7))</f>
        <v>#DIV/0!</v>
      </c>
      <c r="BC154" s="46" t="e">
        <f>BL$3*MIN(1,(ATM_Conf!$C$6-Links!N154)/(ATM_Conf!$C$6-ATM_Conf!$C$7))</f>
        <v>#DIV/0!</v>
      </c>
      <c r="BD154" s="46"/>
      <c r="BE154" s="46"/>
      <c r="BF154" s="46"/>
      <c r="BG154" s="46"/>
      <c r="BH154" s="46"/>
      <c r="BI154" s="46"/>
      <c r="BJ154" s="46"/>
      <c r="BK154" s="46"/>
      <c r="BL154" s="46"/>
      <c r="BM154" s="54"/>
      <c r="BN154" s="54"/>
      <c r="BO154" s="54"/>
      <c r="BP154" s="54"/>
      <c r="BQ154" s="54"/>
      <c r="BR154" s="54"/>
      <c r="BS154" s="54"/>
      <c r="BT154" s="54"/>
      <c r="BU154" s="54"/>
      <c r="BV154" s="46" t="e">
        <f t="shared" si="98"/>
        <v>#DIV/0!</v>
      </c>
      <c r="BW154" s="46" t="e">
        <f t="shared" si="99"/>
        <v>#DIV/0!</v>
      </c>
      <c r="BX154" s="46" t="e">
        <f t="shared" si="100"/>
        <v>#DIV/0!</v>
      </c>
      <c r="BY154" s="46" t="e">
        <f t="shared" si="101"/>
        <v>#DIV/0!</v>
      </c>
      <c r="BZ154" s="46" t="e">
        <f t="shared" si="102"/>
        <v>#DIV/0!</v>
      </c>
      <c r="CA154" s="46" t="e">
        <f t="shared" si="103"/>
        <v>#DIV/0!</v>
      </c>
      <c r="CB154" s="46" t="e">
        <f t="shared" si="104"/>
        <v>#DIV/0!</v>
      </c>
      <c r="CC154" s="46" t="e">
        <f t="shared" si="105"/>
        <v>#DIV/0!</v>
      </c>
      <c r="CD154" s="46" t="e">
        <f t="shared" si="106"/>
        <v>#DIV/0!</v>
      </c>
      <c r="CE154" s="56" t="e">
        <f t="shared" si="107"/>
        <v>#DIV/0!</v>
      </c>
      <c r="CF154" s="56" t="e">
        <f t="shared" si="108"/>
        <v>#DIV/0!</v>
      </c>
      <c r="CG154" s="56" t="e">
        <f t="shared" si="109"/>
        <v>#DIV/0!</v>
      </c>
      <c r="CH154" s="56" t="e">
        <f t="shared" si="110"/>
        <v>#DIV/0!</v>
      </c>
      <c r="CI154" s="56" t="e">
        <f t="shared" si="111"/>
        <v>#DIV/0!</v>
      </c>
      <c r="CJ154" s="56" t="e">
        <f t="shared" si="112"/>
        <v>#DIV/0!</v>
      </c>
      <c r="CK154" s="56" t="e">
        <f t="shared" si="113"/>
        <v>#DIV/0!</v>
      </c>
      <c r="CL154" s="56" t="e">
        <f t="shared" si="114"/>
        <v>#DIV/0!</v>
      </c>
      <c r="CM154" s="56" t="e">
        <f t="shared" si="115"/>
        <v>#DIV/0!</v>
      </c>
    </row>
    <row r="155" spans="1:91" x14ac:dyDescent="0.15">
      <c r="A155" s="43">
        <v>153</v>
      </c>
      <c r="B155" s="46">
        <f t="shared" si="121"/>
        <v>1</v>
      </c>
      <c r="C155" s="46">
        <f t="shared" si="120"/>
        <v>1</v>
      </c>
      <c r="D155" s="46">
        <f t="shared" si="120"/>
        <v>1</v>
      </c>
      <c r="E155" s="46">
        <f t="shared" si="120"/>
        <v>1</v>
      </c>
      <c r="F155" s="46">
        <f t="shared" si="120"/>
        <v>1</v>
      </c>
      <c r="G155" s="46">
        <f t="shared" si="120"/>
        <v>1</v>
      </c>
      <c r="H155" s="46">
        <f t="shared" si="120"/>
        <v>1</v>
      </c>
      <c r="I155" s="46">
        <f t="shared" si="120"/>
        <v>1</v>
      </c>
      <c r="J155" s="46">
        <f t="shared" si="120"/>
        <v>1</v>
      </c>
      <c r="K155" s="46" t="e">
        <f>K154+ATM_Conf!$C$5*(T154-AC154)</f>
        <v>#DIV/0!</v>
      </c>
      <c r="L155" s="46" t="e">
        <f>L154+ATM_Conf!$C$5*(U154-AD154)</f>
        <v>#DIV/0!</v>
      </c>
      <c r="M155" s="46" t="e">
        <f>M154+ATM_Conf!$C$5*(V154-AE154)</f>
        <v>#DIV/0!</v>
      </c>
      <c r="N155" s="46" t="e">
        <f>N154+ATM_Conf!$C$5*(W154-AF154)</f>
        <v>#DIV/0!</v>
      </c>
      <c r="O155" s="46" t="e">
        <f>O154+ATM_Conf!$C$5*(X154-AG154)</f>
        <v>#DIV/0!</v>
      </c>
      <c r="P155" s="46" t="e">
        <f>P154+ATM_Conf!$C$5*(Y154-AH154)</f>
        <v>#DIV/0!</v>
      </c>
      <c r="Q155" s="46" t="e">
        <f>Q154+ATM_Conf!$C$5*(Z154-AI154)</f>
        <v>#DIV/0!</v>
      </c>
      <c r="R155" s="46" t="e">
        <f>R154+ATM_Conf!$C$5*(AA154-AJ154)</f>
        <v>#DIV/0!</v>
      </c>
      <c r="S155" s="46" t="e">
        <f>S154+ATM_Conf!$C$5*(AB154-AK154)</f>
        <v>#DIV/0!</v>
      </c>
      <c r="T155" s="46"/>
      <c r="U155" s="46"/>
      <c r="V155" s="46"/>
      <c r="W155" s="46"/>
      <c r="X155" s="46"/>
      <c r="Y155" s="46"/>
      <c r="Z155" s="46"/>
      <c r="AA155" s="46"/>
      <c r="AB155" s="46"/>
      <c r="AC155" s="46" t="e">
        <f t="shared" si="89"/>
        <v>#DIV/0!</v>
      </c>
      <c r="AD155" s="46" t="e">
        <f t="shared" si="90"/>
        <v>#DIV/0!</v>
      </c>
      <c r="AE155" s="46" t="e">
        <f t="shared" si="91"/>
        <v>#DIV/0!</v>
      </c>
      <c r="AF155" s="46" t="e">
        <f t="shared" si="92"/>
        <v>#DIV/0!</v>
      </c>
      <c r="AG155" s="46" t="e">
        <f t="shared" si="93"/>
        <v>#DIV/0!</v>
      </c>
      <c r="AH155" s="46" t="e">
        <f t="shared" si="94"/>
        <v>#DIV/0!</v>
      </c>
      <c r="AI155" s="46" t="e">
        <f t="shared" si="95"/>
        <v>#DIV/0!</v>
      </c>
      <c r="AJ155" s="46" t="e">
        <f t="shared" si="96"/>
        <v>#DIV/0!</v>
      </c>
      <c r="AK155" s="46" t="e">
        <f t="shared" si="97"/>
        <v>#DIV/0!</v>
      </c>
      <c r="AL155" s="46" t="e">
        <f>T$3+K155/ATM_Conf!$C$5</f>
        <v>#DIV/0!</v>
      </c>
      <c r="AM155" s="46" t="e">
        <f>U$3+L155/ATM_Conf!$C$5</f>
        <v>#DIV/0!</v>
      </c>
      <c r="AN155" s="46" t="e">
        <f>V$3+M155/ATM_Conf!$C$5</f>
        <v>#DIV/0!</v>
      </c>
      <c r="AO155" s="46" t="e">
        <f>W$3+N155/ATM_Conf!$C$5</f>
        <v>#DIV/0!</v>
      </c>
      <c r="AP155" s="46" t="e">
        <f>X$3+O155/ATM_Conf!$C$5</f>
        <v>#DIV/0!</v>
      </c>
      <c r="AQ155" s="46" t="e">
        <f>Y$3+P155/ATM_Conf!$C$5</f>
        <v>#DIV/0!</v>
      </c>
      <c r="AR155" s="46" t="e">
        <f>Z$3+Q155/ATM_Conf!$C$5</f>
        <v>#DIV/0!</v>
      </c>
      <c r="AS155" s="46" t="e">
        <f>AA$3+R155/ATM_Conf!$C$5</f>
        <v>#DIV/0!</v>
      </c>
      <c r="AT155" s="46" t="e">
        <f>AB$3+S155/ATM_Conf!$C$5</f>
        <v>#DIV/0!</v>
      </c>
      <c r="AU155" s="46" t="e">
        <f>BD$3*MIN(1,(ATM_Conf!$C$6-Links!F155)/(ATM_Conf!$C$6-ATM_Conf!$C$7))</f>
        <v>#DIV/0!</v>
      </c>
      <c r="AV155" s="46" t="e">
        <f>BE$3*MIN(1,(ATM_Conf!$C$6-Links!G155)/(ATM_Conf!$C$6-ATM_Conf!$C$7))</f>
        <v>#DIV/0!</v>
      </c>
      <c r="AW155" s="46" t="e">
        <f>BF$3*MIN(1,(ATM_Conf!$C$6-Links!H155)/(ATM_Conf!$C$6-ATM_Conf!$C$7))</f>
        <v>#DIV/0!</v>
      </c>
      <c r="AX155" s="46" t="e">
        <f>BG$3*MIN(1,(ATM_Conf!$C$6-Links!I155)/(ATM_Conf!$C$6-ATM_Conf!$C$7))</f>
        <v>#DIV/0!</v>
      </c>
      <c r="AY155" s="46" t="e">
        <f>BH$3*MIN(1,(ATM_Conf!$C$6-Links!J155)/(ATM_Conf!$C$6-ATM_Conf!$C$7))</f>
        <v>#DIV/0!</v>
      </c>
      <c r="AZ155" s="46" t="e">
        <f>BI$3*MIN(1,(ATM_Conf!$C$6-Links!K155)/(ATM_Conf!$C$6-ATM_Conf!$C$7))</f>
        <v>#DIV/0!</v>
      </c>
      <c r="BA155" s="46" t="e">
        <f>BJ$3*MIN(1,(ATM_Conf!$C$6-Links!L155)/(ATM_Conf!$C$6-ATM_Conf!$C$7))</f>
        <v>#DIV/0!</v>
      </c>
      <c r="BB155" s="46" t="e">
        <f>BK$3*MIN(1,(ATM_Conf!$C$6-Links!M155)/(ATM_Conf!$C$6-ATM_Conf!$C$7))</f>
        <v>#DIV/0!</v>
      </c>
      <c r="BC155" s="46" t="e">
        <f>BL$3*MIN(1,(ATM_Conf!$C$6-Links!N155)/(ATM_Conf!$C$6-ATM_Conf!$C$7))</f>
        <v>#DIV/0!</v>
      </c>
      <c r="BD155" s="46"/>
      <c r="BE155" s="46"/>
      <c r="BF155" s="46"/>
      <c r="BG155" s="46"/>
      <c r="BH155" s="46"/>
      <c r="BI155" s="46"/>
      <c r="BJ155" s="46"/>
      <c r="BK155" s="46"/>
      <c r="BL155" s="46"/>
      <c r="BM155" s="54"/>
      <c r="BN155" s="54"/>
      <c r="BO155" s="54"/>
      <c r="BP155" s="54"/>
      <c r="BQ155" s="54"/>
      <c r="BR155" s="54"/>
      <c r="BS155" s="54"/>
      <c r="BT155" s="54"/>
      <c r="BU155" s="54"/>
      <c r="BV155" s="46" t="e">
        <f t="shared" si="98"/>
        <v>#DIV/0!</v>
      </c>
      <c r="BW155" s="46" t="e">
        <f t="shared" si="99"/>
        <v>#DIV/0!</v>
      </c>
      <c r="BX155" s="46" t="e">
        <f t="shared" si="100"/>
        <v>#DIV/0!</v>
      </c>
      <c r="BY155" s="46" t="e">
        <f t="shared" si="101"/>
        <v>#DIV/0!</v>
      </c>
      <c r="BZ155" s="46" t="e">
        <f t="shared" si="102"/>
        <v>#DIV/0!</v>
      </c>
      <c r="CA155" s="46" t="e">
        <f t="shared" si="103"/>
        <v>#DIV/0!</v>
      </c>
      <c r="CB155" s="46" t="e">
        <f t="shared" si="104"/>
        <v>#DIV/0!</v>
      </c>
      <c r="CC155" s="46" t="e">
        <f t="shared" si="105"/>
        <v>#DIV/0!</v>
      </c>
      <c r="CD155" s="46" t="e">
        <f t="shared" si="106"/>
        <v>#DIV/0!</v>
      </c>
      <c r="CE155" s="56" t="e">
        <f t="shared" si="107"/>
        <v>#DIV/0!</v>
      </c>
      <c r="CF155" s="56" t="e">
        <f t="shared" si="108"/>
        <v>#DIV/0!</v>
      </c>
      <c r="CG155" s="56" t="e">
        <f t="shared" si="109"/>
        <v>#DIV/0!</v>
      </c>
      <c r="CH155" s="56" t="e">
        <f t="shared" si="110"/>
        <v>#DIV/0!</v>
      </c>
      <c r="CI155" s="56" t="e">
        <f t="shared" si="111"/>
        <v>#DIV/0!</v>
      </c>
      <c r="CJ155" s="56" t="e">
        <f t="shared" si="112"/>
        <v>#DIV/0!</v>
      </c>
      <c r="CK155" s="56" t="e">
        <f t="shared" si="113"/>
        <v>#DIV/0!</v>
      </c>
      <c r="CL155" s="56" t="e">
        <f t="shared" si="114"/>
        <v>#DIV/0!</v>
      </c>
      <c r="CM155" s="56" t="e">
        <f t="shared" si="115"/>
        <v>#DIV/0!</v>
      </c>
    </row>
    <row r="156" spans="1:91" x14ac:dyDescent="0.15">
      <c r="A156" s="43">
        <v>154</v>
      </c>
      <c r="B156" s="46">
        <f t="shared" si="121"/>
        <v>1</v>
      </c>
      <c r="C156" s="46">
        <f t="shared" si="120"/>
        <v>1</v>
      </c>
      <c r="D156" s="46">
        <f t="shared" si="120"/>
        <v>1</v>
      </c>
      <c r="E156" s="46">
        <f t="shared" si="120"/>
        <v>1</v>
      </c>
      <c r="F156" s="46">
        <f t="shared" si="120"/>
        <v>1</v>
      </c>
      <c r="G156" s="46">
        <f t="shared" si="120"/>
        <v>1</v>
      </c>
      <c r="H156" s="46">
        <f t="shared" si="120"/>
        <v>1</v>
      </c>
      <c r="I156" s="46">
        <f t="shared" si="120"/>
        <v>1</v>
      </c>
      <c r="J156" s="46">
        <f t="shared" si="120"/>
        <v>1</v>
      </c>
      <c r="K156" s="46" t="e">
        <f>K155+ATM_Conf!$C$5*(T155-AC155)</f>
        <v>#DIV/0!</v>
      </c>
      <c r="L156" s="46" t="e">
        <f>L155+ATM_Conf!$C$5*(U155-AD155)</f>
        <v>#DIV/0!</v>
      </c>
      <c r="M156" s="46" t="e">
        <f>M155+ATM_Conf!$C$5*(V155-AE155)</f>
        <v>#DIV/0!</v>
      </c>
      <c r="N156" s="46" t="e">
        <f>N155+ATM_Conf!$C$5*(W155-AF155)</f>
        <v>#DIV/0!</v>
      </c>
      <c r="O156" s="46" t="e">
        <f>O155+ATM_Conf!$C$5*(X155-AG155)</f>
        <v>#DIV/0!</v>
      </c>
      <c r="P156" s="46" t="e">
        <f>P155+ATM_Conf!$C$5*(Y155-AH155)</f>
        <v>#DIV/0!</v>
      </c>
      <c r="Q156" s="46" t="e">
        <f>Q155+ATM_Conf!$C$5*(Z155-AI155)</f>
        <v>#DIV/0!</v>
      </c>
      <c r="R156" s="46" t="e">
        <f>R155+ATM_Conf!$C$5*(AA155-AJ155)</f>
        <v>#DIV/0!</v>
      </c>
      <c r="S156" s="46" t="e">
        <f>S155+ATM_Conf!$C$5*(AB155-AK155)</f>
        <v>#DIV/0!</v>
      </c>
      <c r="T156" s="46"/>
      <c r="U156" s="46"/>
      <c r="V156" s="46"/>
      <c r="W156" s="46"/>
      <c r="X156" s="46"/>
      <c r="Y156" s="46"/>
      <c r="Z156" s="46"/>
      <c r="AA156" s="46"/>
      <c r="AB156" s="46"/>
      <c r="AC156" s="46" t="e">
        <f t="shared" si="89"/>
        <v>#DIV/0!</v>
      </c>
      <c r="AD156" s="46" t="e">
        <f t="shared" si="90"/>
        <v>#DIV/0!</v>
      </c>
      <c r="AE156" s="46" t="e">
        <f t="shared" si="91"/>
        <v>#DIV/0!</v>
      </c>
      <c r="AF156" s="46" t="e">
        <f t="shared" si="92"/>
        <v>#DIV/0!</v>
      </c>
      <c r="AG156" s="46" t="e">
        <f t="shared" si="93"/>
        <v>#DIV/0!</v>
      </c>
      <c r="AH156" s="46" t="e">
        <f t="shared" si="94"/>
        <v>#DIV/0!</v>
      </c>
      <c r="AI156" s="46" t="e">
        <f t="shared" si="95"/>
        <v>#DIV/0!</v>
      </c>
      <c r="AJ156" s="46" t="e">
        <f t="shared" si="96"/>
        <v>#DIV/0!</v>
      </c>
      <c r="AK156" s="46" t="e">
        <f t="shared" si="97"/>
        <v>#DIV/0!</v>
      </c>
      <c r="AL156" s="46" t="e">
        <f>T$3+K156/ATM_Conf!$C$5</f>
        <v>#DIV/0!</v>
      </c>
      <c r="AM156" s="46" t="e">
        <f>U$3+L156/ATM_Conf!$C$5</f>
        <v>#DIV/0!</v>
      </c>
      <c r="AN156" s="46" t="e">
        <f>V$3+M156/ATM_Conf!$C$5</f>
        <v>#DIV/0!</v>
      </c>
      <c r="AO156" s="46" t="e">
        <f>W$3+N156/ATM_Conf!$C$5</f>
        <v>#DIV/0!</v>
      </c>
      <c r="AP156" s="46" t="e">
        <f>X$3+O156/ATM_Conf!$C$5</f>
        <v>#DIV/0!</v>
      </c>
      <c r="AQ156" s="46" t="e">
        <f>Y$3+P156/ATM_Conf!$C$5</f>
        <v>#DIV/0!</v>
      </c>
      <c r="AR156" s="46" t="e">
        <f>Z$3+Q156/ATM_Conf!$C$5</f>
        <v>#DIV/0!</v>
      </c>
      <c r="AS156" s="46" t="e">
        <f>AA$3+R156/ATM_Conf!$C$5</f>
        <v>#DIV/0!</v>
      </c>
      <c r="AT156" s="46" t="e">
        <f>AB$3+S156/ATM_Conf!$C$5</f>
        <v>#DIV/0!</v>
      </c>
      <c r="AU156" s="46" t="e">
        <f>BD$3*MIN(1,(ATM_Conf!$C$6-Links!F156)/(ATM_Conf!$C$6-ATM_Conf!$C$7))</f>
        <v>#DIV/0!</v>
      </c>
      <c r="AV156" s="46" t="e">
        <f>BE$3*MIN(1,(ATM_Conf!$C$6-Links!G156)/(ATM_Conf!$C$6-ATM_Conf!$C$7))</f>
        <v>#DIV/0!</v>
      </c>
      <c r="AW156" s="46" t="e">
        <f>BF$3*MIN(1,(ATM_Conf!$C$6-Links!H156)/(ATM_Conf!$C$6-ATM_Conf!$C$7))</f>
        <v>#DIV/0!</v>
      </c>
      <c r="AX156" s="46" t="e">
        <f>BG$3*MIN(1,(ATM_Conf!$C$6-Links!I156)/(ATM_Conf!$C$6-ATM_Conf!$C$7))</f>
        <v>#DIV/0!</v>
      </c>
      <c r="AY156" s="46" t="e">
        <f>BH$3*MIN(1,(ATM_Conf!$C$6-Links!J156)/(ATM_Conf!$C$6-ATM_Conf!$C$7))</f>
        <v>#DIV/0!</v>
      </c>
      <c r="AZ156" s="46" t="e">
        <f>BI$3*MIN(1,(ATM_Conf!$C$6-Links!K156)/(ATM_Conf!$C$6-ATM_Conf!$C$7))</f>
        <v>#DIV/0!</v>
      </c>
      <c r="BA156" s="46" t="e">
        <f>BJ$3*MIN(1,(ATM_Conf!$C$6-Links!L156)/(ATM_Conf!$C$6-ATM_Conf!$C$7))</f>
        <v>#DIV/0!</v>
      </c>
      <c r="BB156" s="46" t="e">
        <f>BK$3*MIN(1,(ATM_Conf!$C$6-Links!M156)/(ATM_Conf!$C$6-ATM_Conf!$C$7))</f>
        <v>#DIV/0!</v>
      </c>
      <c r="BC156" s="46" t="e">
        <f>BL$3*MIN(1,(ATM_Conf!$C$6-Links!N156)/(ATM_Conf!$C$6-ATM_Conf!$C$7))</f>
        <v>#DIV/0!</v>
      </c>
      <c r="BD156" s="46"/>
      <c r="BE156" s="46"/>
      <c r="BF156" s="46"/>
      <c r="BG156" s="46"/>
      <c r="BH156" s="46"/>
      <c r="BI156" s="46"/>
      <c r="BJ156" s="46"/>
      <c r="BK156" s="46"/>
      <c r="BL156" s="46"/>
      <c r="BM156" s="54"/>
      <c r="BN156" s="54"/>
      <c r="BO156" s="54"/>
      <c r="BP156" s="54"/>
      <c r="BQ156" s="54"/>
      <c r="BR156" s="54"/>
      <c r="BS156" s="54"/>
      <c r="BT156" s="54"/>
      <c r="BU156" s="54"/>
      <c r="BV156" s="46" t="e">
        <f t="shared" si="98"/>
        <v>#DIV/0!</v>
      </c>
      <c r="BW156" s="46" t="e">
        <f t="shared" si="99"/>
        <v>#DIV/0!</v>
      </c>
      <c r="BX156" s="46" t="e">
        <f t="shared" si="100"/>
        <v>#DIV/0!</v>
      </c>
      <c r="BY156" s="46" t="e">
        <f t="shared" si="101"/>
        <v>#DIV/0!</v>
      </c>
      <c r="BZ156" s="46" t="e">
        <f t="shared" si="102"/>
        <v>#DIV/0!</v>
      </c>
      <c r="CA156" s="46" t="e">
        <f t="shared" si="103"/>
        <v>#DIV/0!</v>
      </c>
      <c r="CB156" s="46" t="e">
        <f t="shared" si="104"/>
        <v>#DIV/0!</v>
      </c>
      <c r="CC156" s="46" t="e">
        <f t="shared" si="105"/>
        <v>#DIV/0!</v>
      </c>
      <c r="CD156" s="46" t="e">
        <f t="shared" si="106"/>
        <v>#DIV/0!</v>
      </c>
      <c r="CE156" s="56" t="e">
        <f t="shared" si="107"/>
        <v>#DIV/0!</v>
      </c>
      <c r="CF156" s="56" t="e">
        <f t="shared" si="108"/>
        <v>#DIV/0!</v>
      </c>
      <c r="CG156" s="56" t="e">
        <f t="shared" si="109"/>
        <v>#DIV/0!</v>
      </c>
      <c r="CH156" s="56" t="e">
        <f t="shared" si="110"/>
        <v>#DIV/0!</v>
      </c>
      <c r="CI156" s="56" t="e">
        <f t="shared" si="111"/>
        <v>#DIV/0!</v>
      </c>
      <c r="CJ156" s="56" t="e">
        <f t="shared" si="112"/>
        <v>#DIV/0!</v>
      </c>
      <c r="CK156" s="56" t="e">
        <f t="shared" si="113"/>
        <v>#DIV/0!</v>
      </c>
      <c r="CL156" s="56" t="e">
        <f t="shared" si="114"/>
        <v>#DIV/0!</v>
      </c>
      <c r="CM156" s="56" t="e">
        <f t="shared" si="115"/>
        <v>#DIV/0!</v>
      </c>
    </row>
    <row r="157" spans="1:91" x14ac:dyDescent="0.15">
      <c r="A157" s="43">
        <v>155</v>
      </c>
      <c r="B157" s="46">
        <f t="shared" si="121"/>
        <v>1</v>
      </c>
      <c r="C157" s="46">
        <f t="shared" si="120"/>
        <v>1</v>
      </c>
      <c r="D157" s="46">
        <f t="shared" si="120"/>
        <v>1</v>
      </c>
      <c r="E157" s="46">
        <f t="shared" si="120"/>
        <v>1</v>
      </c>
      <c r="F157" s="46">
        <f t="shared" si="120"/>
        <v>1</v>
      </c>
      <c r="G157" s="46">
        <f t="shared" si="120"/>
        <v>1</v>
      </c>
      <c r="H157" s="46">
        <f t="shared" si="120"/>
        <v>1</v>
      </c>
      <c r="I157" s="46">
        <f t="shared" si="120"/>
        <v>1</v>
      </c>
      <c r="J157" s="46">
        <f t="shared" si="120"/>
        <v>1</v>
      </c>
      <c r="K157" s="46" t="e">
        <f>K156+ATM_Conf!$C$5*(T156-AC156)</f>
        <v>#DIV/0!</v>
      </c>
      <c r="L157" s="46" t="e">
        <f>L156+ATM_Conf!$C$5*(U156-AD156)</f>
        <v>#DIV/0!</v>
      </c>
      <c r="M157" s="46" t="e">
        <f>M156+ATM_Conf!$C$5*(V156-AE156)</f>
        <v>#DIV/0!</v>
      </c>
      <c r="N157" s="46" t="e">
        <f>N156+ATM_Conf!$C$5*(W156-AF156)</f>
        <v>#DIV/0!</v>
      </c>
      <c r="O157" s="46" t="e">
        <f>O156+ATM_Conf!$C$5*(X156-AG156)</f>
        <v>#DIV/0!</v>
      </c>
      <c r="P157" s="46" t="e">
        <f>P156+ATM_Conf!$C$5*(Y156-AH156)</f>
        <v>#DIV/0!</v>
      </c>
      <c r="Q157" s="46" t="e">
        <f>Q156+ATM_Conf!$C$5*(Z156-AI156)</f>
        <v>#DIV/0!</v>
      </c>
      <c r="R157" s="46" t="e">
        <f>R156+ATM_Conf!$C$5*(AA156-AJ156)</f>
        <v>#DIV/0!</v>
      </c>
      <c r="S157" s="46" t="e">
        <f>S156+ATM_Conf!$C$5*(AB156-AK156)</f>
        <v>#DIV/0!</v>
      </c>
      <c r="T157" s="46"/>
      <c r="U157" s="46"/>
      <c r="V157" s="46"/>
      <c r="W157" s="46"/>
      <c r="X157" s="46"/>
      <c r="Y157" s="46"/>
      <c r="Z157" s="46"/>
      <c r="AA157" s="46"/>
      <c r="AB157" s="46"/>
      <c r="AC157" s="46" t="e">
        <f t="shared" si="89"/>
        <v>#DIV/0!</v>
      </c>
      <c r="AD157" s="46" t="e">
        <f t="shared" si="90"/>
        <v>#DIV/0!</v>
      </c>
      <c r="AE157" s="46" t="e">
        <f t="shared" si="91"/>
        <v>#DIV/0!</v>
      </c>
      <c r="AF157" s="46" t="e">
        <f t="shared" si="92"/>
        <v>#DIV/0!</v>
      </c>
      <c r="AG157" s="46" t="e">
        <f t="shared" si="93"/>
        <v>#DIV/0!</v>
      </c>
      <c r="AH157" s="46" t="e">
        <f t="shared" si="94"/>
        <v>#DIV/0!</v>
      </c>
      <c r="AI157" s="46" t="e">
        <f t="shared" si="95"/>
        <v>#DIV/0!</v>
      </c>
      <c r="AJ157" s="46" t="e">
        <f t="shared" si="96"/>
        <v>#DIV/0!</v>
      </c>
      <c r="AK157" s="46" t="e">
        <f t="shared" si="97"/>
        <v>#DIV/0!</v>
      </c>
      <c r="AL157" s="46" t="e">
        <f>T$3+K157/ATM_Conf!$C$5</f>
        <v>#DIV/0!</v>
      </c>
      <c r="AM157" s="46" t="e">
        <f>U$3+L157/ATM_Conf!$C$5</f>
        <v>#DIV/0!</v>
      </c>
      <c r="AN157" s="46" t="e">
        <f>V$3+M157/ATM_Conf!$C$5</f>
        <v>#DIV/0!</v>
      </c>
      <c r="AO157" s="46" t="e">
        <f>W$3+N157/ATM_Conf!$C$5</f>
        <v>#DIV/0!</v>
      </c>
      <c r="AP157" s="46" t="e">
        <f>X$3+O157/ATM_Conf!$C$5</f>
        <v>#DIV/0!</v>
      </c>
      <c r="AQ157" s="46" t="e">
        <f>Y$3+P157/ATM_Conf!$C$5</f>
        <v>#DIV/0!</v>
      </c>
      <c r="AR157" s="46" t="e">
        <f>Z$3+Q157/ATM_Conf!$C$5</f>
        <v>#DIV/0!</v>
      </c>
      <c r="AS157" s="46" t="e">
        <f>AA$3+R157/ATM_Conf!$C$5</f>
        <v>#DIV/0!</v>
      </c>
      <c r="AT157" s="46" t="e">
        <f>AB$3+S157/ATM_Conf!$C$5</f>
        <v>#DIV/0!</v>
      </c>
      <c r="AU157" s="46" t="e">
        <f>BD$3*MIN(1,(ATM_Conf!$C$6-Links!F157)/(ATM_Conf!$C$6-ATM_Conf!$C$7))</f>
        <v>#DIV/0!</v>
      </c>
      <c r="AV157" s="46" t="e">
        <f>BE$3*MIN(1,(ATM_Conf!$C$6-Links!G157)/(ATM_Conf!$C$6-ATM_Conf!$C$7))</f>
        <v>#DIV/0!</v>
      </c>
      <c r="AW157" s="46" t="e">
        <f>BF$3*MIN(1,(ATM_Conf!$C$6-Links!H157)/(ATM_Conf!$C$6-ATM_Conf!$C$7))</f>
        <v>#DIV/0!</v>
      </c>
      <c r="AX157" s="46" t="e">
        <f>BG$3*MIN(1,(ATM_Conf!$C$6-Links!I157)/(ATM_Conf!$C$6-ATM_Conf!$C$7))</f>
        <v>#DIV/0!</v>
      </c>
      <c r="AY157" s="46" t="e">
        <f>BH$3*MIN(1,(ATM_Conf!$C$6-Links!J157)/(ATM_Conf!$C$6-ATM_Conf!$C$7))</f>
        <v>#DIV/0!</v>
      </c>
      <c r="AZ157" s="46" t="e">
        <f>BI$3*MIN(1,(ATM_Conf!$C$6-Links!K157)/(ATM_Conf!$C$6-ATM_Conf!$C$7))</f>
        <v>#DIV/0!</v>
      </c>
      <c r="BA157" s="46" t="e">
        <f>BJ$3*MIN(1,(ATM_Conf!$C$6-Links!L157)/(ATM_Conf!$C$6-ATM_Conf!$C$7))</f>
        <v>#DIV/0!</v>
      </c>
      <c r="BB157" s="46" t="e">
        <f>BK$3*MIN(1,(ATM_Conf!$C$6-Links!M157)/(ATM_Conf!$C$6-ATM_Conf!$C$7))</f>
        <v>#DIV/0!</v>
      </c>
      <c r="BC157" s="46" t="e">
        <f>BL$3*MIN(1,(ATM_Conf!$C$6-Links!N157)/(ATM_Conf!$C$6-ATM_Conf!$C$7))</f>
        <v>#DIV/0!</v>
      </c>
      <c r="BD157" s="46"/>
      <c r="BE157" s="46"/>
      <c r="BF157" s="46"/>
      <c r="BG157" s="46"/>
      <c r="BH157" s="46"/>
      <c r="BI157" s="46"/>
      <c r="BJ157" s="46"/>
      <c r="BK157" s="46"/>
      <c r="BL157" s="46"/>
      <c r="BM157" s="54"/>
      <c r="BN157" s="54"/>
      <c r="BO157" s="54"/>
      <c r="BP157" s="54"/>
      <c r="BQ157" s="54"/>
      <c r="BR157" s="54"/>
      <c r="BS157" s="54"/>
      <c r="BT157" s="54"/>
      <c r="BU157" s="54"/>
      <c r="BV157" s="46" t="e">
        <f t="shared" si="98"/>
        <v>#DIV/0!</v>
      </c>
      <c r="BW157" s="46" t="e">
        <f t="shared" si="99"/>
        <v>#DIV/0!</v>
      </c>
      <c r="BX157" s="46" t="e">
        <f t="shared" si="100"/>
        <v>#DIV/0!</v>
      </c>
      <c r="BY157" s="46" t="e">
        <f t="shared" si="101"/>
        <v>#DIV/0!</v>
      </c>
      <c r="BZ157" s="46" t="e">
        <f t="shared" si="102"/>
        <v>#DIV/0!</v>
      </c>
      <c r="CA157" s="46" t="e">
        <f t="shared" si="103"/>
        <v>#DIV/0!</v>
      </c>
      <c r="CB157" s="46" t="e">
        <f t="shared" si="104"/>
        <v>#DIV/0!</v>
      </c>
      <c r="CC157" s="46" t="e">
        <f t="shared" si="105"/>
        <v>#DIV/0!</v>
      </c>
      <c r="CD157" s="46" t="e">
        <f t="shared" si="106"/>
        <v>#DIV/0!</v>
      </c>
      <c r="CE157" s="56" t="e">
        <f t="shared" si="107"/>
        <v>#DIV/0!</v>
      </c>
      <c r="CF157" s="56" t="e">
        <f t="shared" si="108"/>
        <v>#DIV/0!</v>
      </c>
      <c r="CG157" s="56" t="e">
        <f t="shared" si="109"/>
        <v>#DIV/0!</v>
      </c>
      <c r="CH157" s="56" t="e">
        <f t="shared" si="110"/>
        <v>#DIV/0!</v>
      </c>
      <c r="CI157" s="56" t="e">
        <f t="shared" si="111"/>
        <v>#DIV/0!</v>
      </c>
      <c r="CJ157" s="56" t="e">
        <f t="shared" si="112"/>
        <v>#DIV/0!</v>
      </c>
      <c r="CK157" s="56" t="e">
        <f t="shared" si="113"/>
        <v>#DIV/0!</v>
      </c>
      <c r="CL157" s="56" t="e">
        <f t="shared" si="114"/>
        <v>#DIV/0!</v>
      </c>
      <c r="CM157" s="56" t="e">
        <f t="shared" si="115"/>
        <v>#DIV/0!</v>
      </c>
    </row>
    <row r="158" spans="1:91" x14ac:dyDescent="0.15">
      <c r="A158" s="43">
        <v>156</v>
      </c>
      <c r="B158" s="46">
        <f t="shared" si="121"/>
        <v>1</v>
      </c>
      <c r="C158" s="46">
        <f t="shared" si="120"/>
        <v>1</v>
      </c>
      <c r="D158" s="46">
        <f t="shared" si="120"/>
        <v>1</v>
      </c>
      <c r="E158" s="46">
        <f t="shared" si="120"/>
        <v>1</v>
      </c>
      <c r="F158" s="46">
        <f t="shared" si="120"/>
        <v>1</v>
      </c>
      <c r="G158" s="46">
        <f t="shared" si="120"/>
        <v>1</v>
      </c>
      <c r="H158" s="46">
        <f t="shared" si="120"/>
        <v>1</v>
      </c>
      <c r="I158" s="46">
        <f t="shared" si="120"/>
        <v>1</v>
      </c>
      <c r="J158" s="46">
        <f t="shared" si="120"/>
        <v>1</v>
      </c>
      <c r="K158" s="46" t="e">
        <f>K157+ATM_Conf!$C$5*(T157-AC157)</f>
        <v>#DIV/0!</v>
      </c>
      <c r="L158" s="46" t="e">
        <f>L157+ATM_Conf!$C$5*(U157-AD157)</f>
        <v>#DIV/0!</v>
      </c>
      <c r="M158" s="46" t="e">
        <f>M157+ATM_Conf!$C$5*(V157-AE157)</f>
        <v>#DIV/0!</v>
      </c>
      <c r="N158" s="46" t="e">
        <f>N157+ATM_Conf!$C$5*(W157-AF157)</f>
        <v>#DIV/0!</v>
      </c>
      <c r="O158" s="46" t="e">
        <f>O157+ATM_Conf!$C$5*(X157-AG157)</f>
        <v>#DIV/0!</v>
      </c>
      <c r="P158" s="46" t="e">
        <f>P157+ATM_Conf!$C$5*(Y157-AH157)</f>
        <v>#DIV/0!</v>
      </c>
      <c r="Q158" s="46" t="e">
        <f>Q157+ATM_Conf!$C$5*(Z157-AI157)</f>
        <v>#DIV/0!</v>
      </c>
      <c r="R158" s="46" t="e">
        <f>R157+ATM_Conf!$C$5*(AA157-AJ157)</f>
        <v>#DIV/0!</v>
      </c>
      <c r="S158" s="46" t="e">
        <f>S157+ATM_Conf!$C$5*(AB157-AK157)</f>
        <v>#DIV/0!</v>
      </c>
      <c r="T158" s="46"/>
      <c r="U158" s="46"/>
      <c r="V158" s="46"/>
      <c r="W158" s="46"/>
      <c r="X158" s="46"/>
      <c r="Y158" s="46"/>
      <c r="Z158" s="46"/>
      <c r="AA158" s="46"/>
      <c r="AB158" s="46"/>
      <c r="AC158" s="46" t="e">
        <f t="shared" si="89"/>
        <v>#DIV/0!</v>
      </c>
      <c r="AD158" s="46" t="e">
        <f t="shared" si="90"/>
        <v>#DIV/0!</v>
      </c>
      <c r="AE158" s="46" t="e">
        <f t="shared" si="91"/>
        <v>#DIV/0!</v>
      </c>
      <c r="AF158" s="46" t="e">
        <f t="shared" si="92"/>
        <v>#DIV/0!</v>
      </c>
      <c r="AG158" s="46" t="e">
        <f t="shared" si="93"/>
        <v>#DIV/0!</v>
      </c>
      <c r="AH158" s="46" t="e">
        <f t="shared" si="94"/>
        <v>#DIV/0!</v>
      </c>
      <c r="AI158" s="46" t="e">
        <f t="shared" si="95"/>
        <v>#DIV/0!</v>
      </c>
      <c r="AJ158" s="46" t="e">
        <f t="shared" si="96"/>
        <v>#DIV/0!</v>
      </c>
      <c r="AK158" s="46" t="e">
        <f t="shared" si="97"/>
        <v>#DIV/0!</v>
      </c>
      <c r="AL158" s="46" t="e">
        <f>T$3+K158/ATM_Conf!$C$5</f>
        <v>#DIV/0!</v>
      </c>
      <c r="AM158" s="46" t="e">
        <f>U$3+L158/ATM_Conf!$C$5</f>
        <v>#DIV/0!</v>
      </c>
      <c r="AN158" s="46" t="e">
        <f>V$3+M158/ATM_Conf!$C$5</f>
        <v>#DIV/0!</v>
      </c>
      <c r="AO158" s="46" t="e">
        <f>W$3+N158/ATM_Conf!$C$5</f>
        <v>#DIV/0!</v>
      </c>
      <c r="AP158" s="46" t="e">
        <f>X$3+O158/ATM_Conf!$C$5</f>
        <v>#DIV/0!</v>
      </c>
      <c r="AQ158" s="46" t="e">
        <f>Y$3+P158/ATM_Conf!$C$5</f>
        <v>#DIV/0!</v>
      </c>
      <c r="AR158" s="46" t="e">
        <f>Z$3+Q158/ATM_Conf!$C$5</f>
        <v>#DIV/0!</v>
      </c>
      <c r="AS158" s="46" t="e">
        <f>AA$3+R158/ATM_Conf!$C$5</f>
        <v>#DIV/0!</v>
      </c>
      <c r="AT158" s="46" t="e">
        <f>AB$3+S158/ATM_Conf!$C$5</f>
        <v>#DIV/0!</v>
      </c>
      <c r="AU158" s="46" t="e">
        <f>BD$3*MIN(1,(ATM_Conf!$C$6-Links!F158)/(ATM_Conf!$C$6-ATM_Conf!$C$7))</f>
        <v>#DIV/0!</v>
      </c>
      <c r="AV158" s="46" t="e">
        <f>BE$3*MIN(1,(ATM_Conf!$C$6-Links!G158)/(ATM_Conf!$C$6-ATM_Conf!$C$7))</f>
        <v>#DIV/0!</v>
      </c>
      <c r="AW158" s="46" t="e">
        <f>BF$3*MIN(1,(ATM_Conf!$C$6-Links!H158)/(ATM_Conf!$C$6-ATM_Conf!$C$7))</f>
        <v>#DIV/0!</v>
      </c>
      <c r="AX158" s="46" t="e">
        <f>BG$3*MIN(1,(ATM_Conf!$C$6-Links!I158)/(ATM_Conf!$C$6-ATM_Conf!$C$7))</f>
        <v>#DIV/0!</v>
      </c>
      <c r="AY158" s="46" t="e">
        <f>BH$3*MIN(1,(ATM_Conf!$C$6-Links!J158)/(ATM_Conf!$C$6-ATM_Conf!$C$7))</f>
        <v>#DIV/0!</v>
      </c>
      <c r="AZ158" s="46" t="e">
        <f>BI$3*MIN(1,(ATM_Conf!$C$6-Links!K158)/(ATM_Conf!$C$6-ATM_Conf!$C$7))</f>
        <v>#DIV/0!</v>
      </c>
      <c r="BA158" s="46" t="e">
        <f>BJ$3*MIN(1,(ATM_Conf!$C$6-Links!L158)/(ATM_Conf!$C$6-ATM_Conf!$C$7))</f>
        <v>#DIV/0!</v>
      </c>
      <c r="BB158" s="46" t="e">
        <f>BK$3*MIN(1,(ATM_Conf!$C$6-Links!M158)/(ATM_Conf!$C$6-ATM_Conf!$C$7))</f>
        <v>#DIV/0!</v>
      </c>
      <c r="BC158" s="46" t="e">
        <f>BL$3*MIN(1,(ATM_Conf!$C$6-Links!N158)/(ATM_Conf!$C$6-ATM_Conf!$C$7))</f>
        <v>#DIV/0!</v>
      </c>
      <c r="BD158" s="46"/>
      <c r="BE158" s="46"/>
      <c r="BF158" s="46"/>
      <c r="BG158" s="46"/>
      <c r="BH158" s="46"/>
      <c r="BI158" s="46"/>
      <c r="BJ158" s="46"/>
      <c r="BK158" s="46"/>
      <c r="BL158" s="46"/>
      <c r="BM158" s="54"/>
      <c r="BN158" s="54"/>
      <c r="BO158" s="54"/>
      <c r="BP158" s="54"/>
      <c r="BQ158" s="54"/>
      <c r="BR158" s="54"/>
      <c r="BS158" s="54"/>
      <c r="BT158" s="54"/>
      <c r="BU158" s="54"/>
      <c r="BV158" s="46" t="e">
        <f t="shared" si="98"/>
        <v>#DIV/0!</v>
      </c>
      <c r="BW158" s="46" t="e">
        <f t="shared" si="99"/>
        <v>#DIV/0!</v>
      </c>
      <c r="BX158" s="46" t="e">
        <f t="shared" si="100"/>
        <v>#DIV/0!</v>
      </c>
      <c r="BY158" s="46" t="e">
        <f t="shared" si="101"/>
        <v>#DIV/0!</v>
      </c>
      <c r="BZ158" s="46" t="e">
        <f t="shared" si="102"/>
        <v>#DIV/0!</v>
      </c>
      <c r="CA158" s="46" t="e">
        <f t="shared" si="103"/>
        <v>#DIV/0!</v>
      </c>
      <c r="CB158" s="46" t="e">
        <f t="shared" si="104"/>
        <v>#DIV/0!</v>
      </c>
      <c r="CC158" s="46" t="e">
        <f t="shared" si="105"/>
        <v>#DIV/0!</v>
      </c>
      <c r="CD158" s="46" t="e">
        <f t="shared" si="106"/>
        <v>#DIV/0!</v>
      </c>
      <c r="CE158" s="56" t="e">
        <f t="shared" si="107"/>
        <v>#DIV/0!</v>
      </c>
      <c r="CF158" s="56" t="e">
        <f t="shared" si="108"/>
        <v>#DIV/0!</v>
      </c>
      <c r="CG158" s="56" t="e">
        <f t="shared" si="109"/>
        <v>#DIV/0!</v>
      </c>
      <c r="CH158" s="56" t="e">
        <f t="shared" si="110"/>
        <v>#DIV/0!</v>
      </c>
      <c r="CI158" s="56" t="e">
        <f t="shared" si="111"/>
        <v>#DIV/0!</v>
      </c>
      <c r="CJ158" s="56" t="e">
        <f t="shared" si="112"/>
        <v>#DIV/0!</v>
      </c>
      <c r="CK158" s="56" t="e">
        <f t="shared" si="113"/>
        <v>#DIV/0!</v>
      </c>
      <c r="CL158" s="56" t="e">
        <f t="shared" si="114"/>
        <v>#DIV/0!</v>
      </c>
      <c r="CM158" s="56" t="e">
        <f t="shared" si="115"/>
        <v>#DIV/0!</v>
      </c>
    </row>
    <row r="159" spans="1:91" x14ac:dyDescent="0.15">
      <c r="A159" s="43">
        <v>157</v>
      </c>
      <c r="B159" s="48">
        <v>1</v>
      </c>
      <c r="C159" s="48">
        <v>1</v>
      </c>
      <c r="D159" s="48">
        <v>1</v>
      </c>
      <c r="E159" s="48">
        <v>1</v>
      </c>
      <c r="F159" s="48">
        <v>1</v>
      </c>
      <c r="G159" s="48">
        <v>1</v>
      </c>
      <c r="H159" s="48">
        <v>1</v>
      </c>
      <c r="I159" s="48">
        <v>1</v>
      </c>
      <c r="J159" s="48">
        <v>1</v>
      </c>
      <c r="K159" s="46" t="e">
        <f>K158+ATM_Conf!$C$5*(T158-AC158)</f>
        <v>#DIV/0!</v>
      </c>
      <c r="L159" s="46" t="e">
        <f>L158+ATM_Conf!$C$5*(U158-AD158)</f>
        <v>#DIV/0!</v>
      </c>
      <c r="M159" s="46" t="e">
        <f>M158+ATM_Conf!$C$5*(V158-AE158)</f>
        <v>#DIV/0!</v>
      </c>
      <c r="N159" s="46" t="e">
        <f>N158+ATM_Conf!$C$5*(W158-AF158)</f>
        <v>#DIV/0!</v>
      </c>
      <c r="O159" s="46" t="e">
        <f>O158+ATM_Conf!$C$5*(X158-AG158)</f>
        <v>#DIV/0!</v>
      </c>
      <c r="P159" s="46" t="e">
        <f>P158+ATM_Conf!$C$5*(Y158-AH158)</f>
        <v>#DIV/0!</v>
      </c>
      <c r="Q159" s="46" t="e">
        <f>Q158+ATM_Conf!$C$5*(Z158-AI158)</f>
        <v>#DIV/0!</v>
      </c>
      <c r="R159" s="46" t="e">
        <f>R158+ATM_Conf!$C$5*(AA158-AJ158)</f>
        <v>#DIV/0!</v>
      </c>
      <c r="S159" s="46" t="e">
        <f>S158+ATM_Conf!$C$5*(AB158-AK158)</f>
        <v>#DIV/0!</v>
      </c>
      <c r="T159" s="46"/>
      <c r="U159" s="46"/>
      <c r="V159" s="46"/>
      <c r="W159" s="46"/>
      <c r="X159" s="46"/>
      <c r="Y159" s="46"/>
      <c r="Z159" s="46"/>
      <c r="AA159" s="46"/>
      <c r="AB159" s="46"/>
      <c r="AC159" s="46" t="e">
        <f t="shared" si="89"/>
        <v>#DIV/0!</v>
      </c>
      <c r="AD159" s="46" t="e">
        <f t="shared" si="90"/>
        <v>#DIV/0!</v>
      </c>
      <c r="AE159" s="46" t="e">
        <f t="shared" si="91"/>
        <v>#DIV/0!</v>
      </c>
      <c r="AF159" s="46" t="e">
        <f t="shared" si="92"/>
        <v>#DIV/0!</v>
      </c>
      <c r="AG159" s="46" t="e">
        <f t="shared" si="93"/>
        <v>#DIV/0!</v>
      </c>
      <c r="AH159" s="46" t="e">
        <f t="shared" si="94"/>
        <v>#DIV/0!</v>
      </c>
      <c r="AI159" s="46" t="e">
        <f t="shared" si="95"/>
        <v>#DIV/0!</v>
      </c>
      <c r="AJ159" s="46" t="e">
        <f t="shared" si="96"/>
        <v>#DIV/0!</v>
      </c>
      <c r="AK159" s="46" t="e">
        <f t="shared" si="97"/>
        <v>#DIV/0!</v>
      </c>
      <c r="AL159" s="46" t="e">
        <f>T$3+K159/ATM_Conf!$C$5</f>
        <v>#DIV/0!</v>
      </c>
      <c r="AM159" s="46" t="e">
        <f>U$3+L159/ATM_Conf!$C$5</f>
        <v>#DIV/0!</v>
      </c>
      <c r="AN159" s="46" t="e">
        <f>V$3+M159/ATM_Conf!$C$5</f>
        <v>#DIV/0!</v>
      </c>
      <c r="AO159" s="46" t="e">
        <f>W$3+N159/ATM_Conf!$C$5</f>
        <v>#DIV/0!</v>
      </c>
      <c r="AP159" s="46" t="e">
        <f>X$3+O159/ATM_Conf!$C$5</f>
        <v>#DIV/0!</v>
      </c>
      <c r="AQ159" s="46" t="e">
        <f>Y$3+P159/ATM_Conf!$C$5</f>
        <v>#DIV/0!</v>
      </c>
      <c r="AR159" s="46" t="e">
        <f>Z$3+Q159/ATM_Conf!$C$5</f>
        <v>#DIV/0!</v>
      </c>
      <c r="AS159" s="46" t="e">
        <f>AA$3+R159/ATM_Conf!$C$5</f>
        <v>#DIV/0!</v>
      </c>
      <c r="AT159" s="46" t="e">
        <f>AB$3+S159/ATM_Conf!$C$5</f>
        <v>#DIV/0!</v>
      </c>
      <c r="AU159" s="46" t="e">
        <f>BD$3*MIN(1,(ATM_Conf!$C$6-Links!F159)/(ATM_Conf!$C$6-ATM_Conf!$C$7))</f>
        <v>#DIV/0!</v>
      </c>
      <c r="AV159" s="46" t="e">
        <f>BE$3*MIN(1,(ATM_Conf!$C$6-Links!G159)/(ATM_Conf!$C$6-ATM_Conf!$C$7))</f>
        <v>#DIV/0!</v>
      </c>
      <c r="AW159" s="46" t="e">
        <f>BF$3*MIN(1,(ATM_Conf!$C$6-Links!H159)/(ATM_Conf!$C$6-ATM_Conf!$C$7))</f>
        <v>#DIV/0!</v>
      </c>
      <c r="AX159" s="46" t="e">
        <f>BG$3*MIN(1,(ATM_Conf!$C$6-Links!I159)/(ATM_Conf!$C$6-ATM_Conf!$C$7))</f>
        <v>#DIV/0!</v>
      </c>
      <c r="AY159" s="46" t="e">
        <f>BH$3*MIN(1,(ATM_Conf!$C$6-Links!J159)/(ATM_Conf!$C$6-ATM_Conf!$C$7))</f>
        <v>#DIV/0!</v>
      </c>
      <c r="AZ159" s="46" t="e">
        <f>BI$3*MIN(1,(ATM_Conf!$C$6-Links!K159)/(ATM_Conf!$C$6-ATM_Conf!$C$7))</f>
        <v>#DIV/0!</v>
      </c>
      <c r="BA159" s="46" t="e">
        <f>BJ$3*MIN(1,(ATM_Conf!$C$6-Links!L159)/(ATM_Conf!$C$6-ATM_Conf!$C$7))</f>
        <v>#DIV/0!</v>
      </c>
      <c r="BB159" s="46" t="e">
        <f>BK$3*MIN(1,(ATM_Conf!$C$6-Links!M159)/(ATM_Conf!$C$6-ATM_Conf!$C$7))</f>
        <v>#DIV/0!</v>
      </c>
      <c r="BC159" s="46" t="e">
        <f>BL$3*MIN(1,(ATM_Conf!$C$6-Links!N159)/(ATM_Conf!$C$6-ATM_Conf!$C$7))</f>
        <v>#DIV/0!</v>
      </c>
      <c r="BD159" s="46"/>
      <c r="BE159" s="46"/>
      <c r="BF159" s="46"/>
      <c r="BG159" s="46"/>
      <c r="BH159" s="46"/>
      <c r="BI159" s="46"/>
      <c r="BJ159" s="46"/>
      <c r="BK159" s="46"/>
      <c r="BL159" s="46"/>
      <c r="BM159" s="54">
        <f>(B159-B147)^2</f>
        <v>0</v>
      </c>
      <c r="BN159" s="54">
        <f t="shared" ref="BN159:BU159" si="122">(C159-C147)^2</f>
        <v>0</v>
      </c>
      <c r="BO159" s="54">
        <f t="shared" si="122"/>
        <v>0</v>
      </c>
      <c r="BP159" s="54">
        <f t="shared" si="122"/>
        <v>0</v>
      </c>
      <c r="BQ159" s="54">
        <f t="shared" si="122"/>
        <v>0</v>
      </c>
      <c r="BR159" s="54">
        <f t="shared" si="122"/>
        <v>0</v>
      </c>
      <c r="BS159" s="54">
        <f t="shared" si="122"/>
        <v>0</v>
      </c>
      <c r="BT159" s="54">
        <f t="shared" si="122"/>
        <v>0</v>
      </c>
      <c r="BU159" s="54">
        <f t="shared" si="122"/>
        <v>0</v>
      </c>
      <c r="BV159" s="46" t="e">
        <f t="shared" si="98"/>
        <v>#DIV/0!</v>
      </c>
      <c r="BW159" s="46" t="e">
        <f t="shared" si="99"/>
        <v>#DIV/0!</v>
      </c>
      <c r="BX159" s="46" t="e">
        <f t="shared" si="100"/>
        <v>#DIV/0!</v>
      </c>
      <c r="BY159" s="46" t="e">
        <f t="shared" si="101"/>
        <v>#DIV/0!</v>
      </c>
      <c r="BZ159" s="46" t="e">
        <f t="shared" si="102"/>
        <v>#DIV/0!</v>
      </c>
      <c r="CA159" s="46" t="e">
        <f t="shared" si="103"/>
        <v>#DIV/0!</v>
      </c>
      <c r="CB159" s="46" t="e">
        <f t="shared" si="104"/>
        <v>#DIV/0!</v>
      </c>
      <c r="CC159" s="46" t="e">
        <f t="shared" si="105"/>
        <v>#DIV/0!</v>
      </c>
      <c r="CD159" s="46" t="e">
        <f t="shared" si="106"/>
        <v>#DIV/0!</v>
      </c>
      <c r="CE159" s="56" t="e">
        <f t="shared" si="107"/>
        <v>#DIV/0!</v>
      </c>
      <c r="CF159" s="56" t="e">
        <f t="shared" si="108"/>
        <v>#DIV/0!</v>
      </c>
      <c r="CG159" s="56" t="e">
        <f t="shared" si="109"/>
        <v>#DIV/0!</v>
      </c>
      <c r="CH159" s="56" t="e">
        <f t="shared" si="110"/>
        <v>#DIV/0!</v>
      </c>
      <c r="CI159" s="56" t="e">
        <f t="shared" si="111"/>
        <v>#DIV/0!</v>
      </c>
      <c r="CJ159" s="56" t="e">
        <f t="shared" si="112"/>
        <v>#DIV/0!</v>
      </c>
      <c r="CK159" s="56" t="e">
        <f t="shared" si="113"/>
        <v>#DIV/0!</v>
      </c>
      <c r="CL159" s="56" t="e">
        <f t="shared" si="114"/>
        <v>#DIV/0!</v>
      </c>
      <c r="CM159" s="56" t="e">
        <f t="shared" si="115"/>
        <v>#DIV/0!</v>
      </c>
    </row>
    <row r="160" spans="1:91" x14ac:dyDescent="0.15">
      <c r="A160" s="43">
        <v>158</v>
      </c>
      <c r="B160" s="46">
        <f>B$159</f>
        <v>1</v>
      </c>
      <c r="C160" s="46">
        <f t="shared" ref="C160:J170" si="123">C$159</f>
        <v>1</v>
      </c>
      <c r="D160" s="46">
        <f t="shared" si="123"/>
        <v>1</v>
      </c>
      <c r="E160" s="46">
        <f t="shared" si="123"/>
        <v>1</v>
      </c>
      <c r="F160" s="46">
        <f t="shared" si="123"/>
        <v>1</v>
      </c>
      <c r="G160" s="46">
        <f t="shared" si="123"/>
        <v>1</v>
      </c>
      <c r="H160" s="46">
        <f t="shared" si="123"/>
        <v>1</v>
      </c>
      <c r="I160" s="46">
        <f t="shared" si="123"/>
        <v>1</v>
      </c>
      <c r="J160" s="46">
        <f t="shared" si="123"/>
        <v>1</v>
      </c>
      <c r="K160" s="46" t="e">
        <f>K159+ATM_Conf!$C$5*(T159-AC159)</f>
        <v>#DIV/0!</v>
      </c>
      <c r="L160" s="46" t="e">
        <f>L159+ATM_Conf!$C$5*(U159-AD159)</f>
        <v>#DIV/0!</v>
      </c>
      <c r="M160" s="46" t="e">
        <f>M159+ATM_Conf!$C$5*(V159-AE159)</f>
        <v>#DIV/0!</v>
      </c>
      <c r="N160" s="46" t="e">
        <f>N159+ATM_Conf!$C$5*(W159-AF159)</f>
        <v>#DIV/0!</v>
      </c>
      <c r="O160" s="46" t="e">
        <f>O159+ATM_Conf!$C$5*(X159-AG159)</f>
        <v>#DIV/0!</v>
      </c>
      <c r="P160" s="46" t="e">
        <f>P159+ATM_Conf!$C$5*(Y159-AH159)</f>
        <v>#DIV/0!</v>
      </c>
      <c r="Q160" s="46" t="e">
        <f>Q159+ATM_Conf!$C$5*(Z159-AI159)</f>
        <v>#DIV/0!</v>
      </c>
      <c r="R160" s="46" t="e">
        <f>R159+ATM_Conf!$C$5*(AA159-AJ159)</f>
        <v>#DIV/0!</v>
      </c>
      <c r="S160" s="46" t="e">
        <f>S159+ATM_Conf!$C$5*(AB159-AK159)</f>
        <v>#DIV/0!</v>
      </c>
      <c r="T160" s="46"/>
      <c r="U160" s="46"/>
      <c r="V160" s="46"/>
      <c r="W160" s="46"/>
      <c r="X160" s="46"/>
      <c r="Y160" s="46"/>
      <c r="Z160" s="46"/>
      <c r="AA160" s="46"/>
      <c r="AB160" s="46"/>
      <c r="AC160" s="46" t="e">
        <f t="shared" si="89"/>
        <v>#DIV/0!</v>
      </c>
      <c r="AD160" s="46" t="e">
        <f t="shared" si="90"/>
        <v>#DIV/0!</v>
      </c>
      <c r="AE160" s="46" t="e">
        <f t="shared" si="91"/>
        <v>#DIV/0!</v>
      </c>
      <c r="AF160" s="46" t="e">
        <f t="shared" si="92"/>
        <v>#DIV/0!</v>
      </c>
      <c r="AG160" s="46" t="e">
        <f t="shared" si="93"/>
        <v>#DIV/0!</v>
      </c>
      <c r="AH160" s="46" t="e">
        <f t="shared" si="94"/>
        <v>#DIV/0!</v>
      </c>
      <c r="AI160" s="46" t="e">
        <f t="shared" si="95"/>
        <v>#DIV/0!</v>
      </c>
      <c r="AJ160" s="46" t="e">
        <f t="shared" si="96"/>
        <v>#DIV/0!</v>
      </c>
      <c r="AK160" s="46" t="e">
        <f t="shared" si="97"/>
        <v>#DIV/0!</v>
      </c>
      <c r="AL160" s="46" t="e">
        <f>T$3+K160/ATM_Conf!$C$5</f>
        <v>#DIV/0!</v>
      </c>
      <c r="AM160" s="46" t="e">
        <f>U$3+L160/ATM_Conf!$C$5</f>
        <v>#DIV/0!</v>
      </c>
      <c r="AN160" s="46" t="e">
        <f>V$3+M160/ATM_Conf!$C$5</f>
        <v>#DIV/0!</v>
      </c>
      <c r="AO160" s="46" t="e">
        <f>W$3+N160/ATM_Conf!$C$5</f>
        <v>#DIV/0!</v>
      </c>
      <c r="AP160" s="46" t="e">
        <f>X$3+O160/ATM_Conf!$C$5</f>
        <v>#DIV/0!</v>
      </c>
      <c r="AQ160" s="46" t="e">
        <f>Y$3+P160/ATM_Conf!$C$5</f>
        <v>#DIV/0!</v>
      </c>
      <c r="AR160" s="46" t="e">
        <f>Z$3+Q160/ATM_Conf!$C$5</f>
        <v>#DIV/0!</v>
      </c>
      <c r="AS160" s="46" t="e">
        <f>AA$3+R160/ATM_Conf!$C$5</f>
        <v>#DIV/0!</v>
      </c>
      <c r="AT160" s="46" t="e">
        <f>AB$3+S160/ATM_Conf!$C$5</f>
        <v>#DIV/0!</v>
      </c>
      <c r="AU160" s="46" t="e">
        <f>BD$3*MIN(1,(ATM_Conf!$C$6-Links!F160)/(ATM_Conf!$C$6-ATM_Conf!$C$7))</f>
        <v>#DIV/0!</v>
      </c>
      <c r="AV160" s="46" t="e">
        <f>BE$3*MIN(1,(ATM_Conf!$C$6-Links!G160)/(ATM_Conf!$C$6-ATM_Conf!$C$7))</f>
        <v>#DIV/0!</v>
      </c>
      <c r="AW160" s="46" t="e">
        <f>BF$3*MIN(1,(ATM_Conf!$C$6-Links!H160)/(ATM_Conf!$C$6-ATM_Conf!$C$7))</f>
        <v>#DIV/0!</v>
      </c>
      <c r="AX160" s="46" t="e">
        <f>BG$3*MIN(1,(ATM_Conf!$C$6-Links!I160)/(ATM_Conf!$C$6-ATM_Conf!$C$7))</f>
        <v>#DIV/0!</v>
      </c>
      <c r="AY160" s="46" t="e">
        <f>BH$3*MIN(1,(ATM_Conf!$C$6-Links!J160)/(ATM_Conf!$C$6-ATM_Conf!$C$7))</f>
        <v>#DIV/0!</v>
      </c>
      <c r="AZ160" s="46" t="e">
        <f>BI$3*MIN(1,(ATM_Conf!$C$6-Links!K160)/(ATM_Conf!$C$6-ATM_Conf!$C$7))</f>
        <v>#DIV/0!</v>
      </c>
      <c r="BA160" s="46" t="e">
        <f>BJ$3*MIN(1,(ATM_Conf!$C$6-Links!L160)/(ATM_Conf!$C$6-ATM_Conf!$C$7))</f>
        <v>#DIV/0!</v>
      </c>
      <c r="BB160" s="46" t="e">
        <f>BK$3*MIN(1,(ATM_Conf!$C$6-Links!M160)/(ATM_Conf!$C$6-ATM_Conf!$C$7))</f>
        <v>#DIV/0!</v>
      </c>
      <c r="BC160" s="46" t="e">
        <f>BL$3*MIN(1,(ATM_Conf!$C$6-Links!N160)/(ATM_Conf!$C$6-ATM_Conf!$C$7))</f>
        <v>#DIV/0!</v>
      </c>
      <c r="BD160" s="46"/>
      <c r="BE160" s="46"/>
      <c r="BF160" s="46"/>
      <c r="BG160" s="46"/>
      <c r="BH160" s="46"/>
      <c r="BI160" s="46"/>
      <c r="BJ160" s="46"/>
      <c r="BK160" s="46"/>
      <c r="BL160" s="46"/>
      <c r="BM160" s="54"/>
      <c r="BN160" s="54"/>
      <c r="BO160" s="54"/>
      <c r="BP160" s="54"/>
      <c r="BQ160" s="54"/>
      <c r="BR160" s="54"/>
      <c r="BS160" s="54"/>
      <c r="BT160" s="54"/>
      <c r="BU160" s="54"/>
      <c r="BV160" s="46" t="e">
        <f t="shared" si="98"/>
        <v>#DIV/0!</v>
      </c>
      <c r="BW160" s="46" t="e">
        <f t="shared" si="99"/>
        <v>#DIV/0!</v>
      </c>
      <c r="BX160" s="46" t="e">
        <f t="shared" si="100"/>
        <v>#DIV/0!</v>
      </c>
      <c r="BY160" s="46" t="e">
        <f t="shared" si="101"/>
        <v>#DIV/0!</v>
      </c>
      <c r="BZ160" s="46" t="e">
        <f t="shared" si="102"/>
        <v>#DIV/0!</v>
      </c>
      <c r="CA160" s="46" t="e">
        <f t="shared" si="103"/>
        <v>#DIV/0!</v>
      </c>
      <c r="CB160" s="46" t="e">
        <f t="shared" si="104"/>
        <v>#DIV/0!</v>
      </c>
      <c r="CC160" s="46" t="e">
        <f t="shared" si="105"/>
        <v>#DIV/0!</v>
      </c>
      <c r="CD160" s="46" t="e">
        <f t="shared" si="106"/>
        <v>#DIV/0!</v>
      </c>
      <c r="CE160" s="56" t="e">
        <f t="shared" si="107"/>
        <v>#DIV/0!</v>
      </c>
      <c r="CF160" s="56" t="e">
        <f t="shared" si="108"/>
        <v>#DIV/0!</v>
      </c>
      <c r="CG160" s="56" t="e">
        <f t="shared" si="109"/>
        <v>#DIV/0!</v>
      </c>
      <c r="CH160" s="56" t="e">
        <f t="shared" si="110"/>
        <v>#DIV/0!</v>
      </c>
      <c r="CI160" s="56" t="e">
        <f t="shared" si="111"/>
        <v>#DIV/0!</v>
      </c>
      <c r="CJ160" s="56" t="e">
        <f t="shared" si="112"/>
        <v>#DIV/0!</v>
      </c>
      <c r="CK160" s="56" t="e">
        <f t="shared" si="113"/>
        <v>#DIV/0!</v>
      </c>
      <c r="CL160" s="56" t="e">
        <f t="shared" si="114"/>
        <v>#DIV/0!</v>
      </c>
      <c r="CM160" s="56" t="e">
        <f t="shared" si="115"/>
        <v>#DIV/0!</v>
      </c>
    </row>
    <row r="161" spans="1:91" x14ac:dyDescent="0.15">
      <c r="A161" s="43">
        <v>159</v>
      </c>
      <c r="B161" s="46">
        <f t="shared" ref="B161:B170" si="124">B$159</f>
        <v>1</v>
      </c>
      <c r="C161" s="46">
        <f t="shared" si="123"/>
        <v>1</v>
      </c>
      <c r="D161" s="46">
        <f t="shared" si="123"/>
        <v>1</v>
      </c>
      <c r="E161" s="46">
        <f t="shared" si="123"/>
        <v>1</v>
      </c>
      <c r="F161" s="46">
        <f t="shared" si="123"/>
        <v>1</v>
      </c>
      <c r="G161" s="46">
        <f t="shared" si="123"/>
        <v>1</v>
      </c>
      <c r="H161" s="46">
        <f t="shared" si="123"/>
        <v>1</v>
      </c>
      <c r="I161" s="46">
        <f t="shared" si="123"/>
        <v>1</v>
      </c>
      <c r="J161" s="46">
        <f t="shared" si="123"/>
        <v>1</v>
      </c>
      <c r="K161" s="46" t="e">
        <f>K160+ATM_Conf!$C$5*(T160-AC160)</f>
        <v>#DIV/0!</v>
      </c>
      <c r="L161" s="46" t="e">
        <f>L160+ATM_Conf!$C$5*(U160-AD160)</f>
        <v>#DIV/0!</v>
      </c>
      <c r="M161" s="46" t="e">
        <f>M160+ATM_Conf!$C$5*(V160-AE160)</f>
        <v>#DIV/0!</v>
      </c>
      <c r="N161" s="46" t="e">
        <f>N160+ATM_Conf!$C$5*(W160-AF160)</f>
        <v>#DIV/0!</v>
      </c>
      <c r="O161" s="46" t="e">
        <f>O160+ATM_Conf!$C$5*(X160-AG160)</f>
        <v>#DIV/0!</v>
      </c>
      <c r="P161" s="46" t="e">
        <f>P160+ATM_Conf!$C$5*(Y160-AH160)</f>
        <v>#DIV/0!</v>
      </c>
      <c r="Q161" s="46" t="e">
        <f>Q160+ATM_Conf!$C$5*(Z160-AI160)</f>
        <v>#DIV/0!</v>
      </c>
      <c r="R161" s="46" t="e">
        <f>R160+ATM_Conf!$C$5*(AA160-AJ160)</f>
        <v>#DIV/0!</v>
      </c>
      <c r="S161" s="46" t="e">
        <f>S160+ATM_Conf!$C$5*(AB160-AK160)</f>
        <v>#DIV/0!</v>
      </c>
      <c r="T161" s="46"/>
      <c r="U161" s="46"/>
      <c r="V161" s="46"/>
      <c r="W161" s="46"/>
      <c r="X161" s="46"/>
      <c r="Y161" s="46"/>
      <c r="Z161" s="46"/>
      <c r="AA161" s="46"/>
      <c r="AB161" s="46"/>
      <c r="AC161" s="46" t="e">
        <f t="shared" si="89"/>
        <v>#DIV/0!</v>
      </c>
      <c r="AD161" s="46" t="e">
        <f t="shared" si="90"/>
        <v>#DIV/0!</v>
      </c>
      <c r="AE161" s="46" t="e">
        <f t="shared" si="91"/>
        <v>#DIV/0!</v>
      </c>
      <c r="AF161" s="46" t="e">
        <f t="shared" si="92"/>
        <v>#DIV/0!</v>
      </c>
      <c r="AG161" s="46" t="e">
        <f t="shared" si="93"/>
        <v>#DIV/0!</v>
      </c>
      <c r="AH161" s="46" t="e">
        <f t="shared" si="94"/>
        <v>#DIV/0!</v>
      </c>
      <c r="AI161" s="46" t="e">
        <f t="shared" si="95"/>
        <v>#DIV/0!</v>
      </c>
      <c r="AJ161" s="46" t="e">
        <f t="shared" si="96"/>
        <v>#DIV/0!</v>
      </c>
      <c r="AK161" s="46" t="e">
        <f t="shared" si="97"/>
        <v>#DIV/0!</v>
      </c>
      <c r="AL161" s="46" t="e">
        <f>T$3+K161/ATM_Conf!$C$5</f>
        <v>#DIV/0!</v>
      </c>
      <c r="AM161" s="46" t="e">
        <f>U$3+L161/ATM_Conf!$C$5</f>
        <v>#DIV/0!</v>
      </c>
      <c r="AN161" s="46" t="e">
        <f>V$3+M161/ATM_Conf!$C$5</f>
        <v>#DIV/0!</v>
      </c>
      <c r="AO161" s="46" t="e">
        <f>W$3+N161/ATM_Conf!$C$5</f>
        <v>#DIV/0!</v>
      </c>
      <c r="AP161" s="46" t="e">
        <f>X$3+O161/ATM_Conf!$C$5</f>
        <v>#DIV/0!</v>
      </c>
      <c r="AQ161" s="46" t="e">
        <f>Y$3+P161/ATM_Conf!$C$5</f>
        <v>#DIV/0!</v>
      </c>
      <c r="AR161" s="46" t="e">
        <f>Z$3+Q161/ATM_Conf!$C$5</f>
        <v>#DIV/0!</v>
      </c>
      <c r="AS161" s="46" t="e">
        <f>AA$3+R161/ATM_Conf!$C$5</f>
        <v>#DIV/0!</v>
      </c>
      <c r="AT161" s="46" t="e">
        <f>AB$3+S161/ATM_Conf!$C$5</f>
        <v>#DIV/0!</v>
      </c>
      <c r="AU161" s="46" t="e">
        <f>BD$3*MIN(1,(ATM_Conf!$C$6-Links!F161)/(ATM_Conf!$C$6-ATM_Conf!$C$7))</f>
        <v>#DIV/0!</v>
      </c>
      <c r="AV161" s="46" t="e">
        <f>BE$3*MIN(1,(ATM_Conf!$C$6-Links!G161)/(ATM_Conf!$C$6-ATM_Conf!$C$7))</f>
        <v>#DIV/0!</v>
      </c>
      <c r="AW161" s="46" t="e">
        <f>BF$3*MIN(1,(ATM_Conf!$C$6-Links!H161)/(ATM_Conf!$C$6-ATM_Conf!$C$7))</f>
        <v>#DIV/0!</v>
      </c>
      <c r="AX161" s="46" t="e">
        <f>BG$3*MIN(1,(ATM_Conf!$C$6-Links!I161)/(ATM_Conf!$C$6-ATM_Conf!$C$7))</f>
        <v>#DIV/0!</v>
      </c>
      <c r="AY161" s="46" t="e">
        <f>BH$3*MIN(1,(ATM_Conf!$C$6-Links!J161)/(ATM_Conf!$C$6-ATM_Conf!$C$7))</f>
        <v>#DIV/0!</v>
      </c>
      <c r="AZ161" s="46" t="e">
        <f>BI$3*MIN(1,(ATM_Conf!$C$6-Links!K161)/(ATM_Conf!$C$6-ATM_Conf!$C$7))</f>
        <v>#DIV/0!</v>
      </c>
      <c r="BA161" s="46" t="e">
        <f>BJ$3*MIN(1,(ATM_Conf!$C$6-Links!L161)/(ATM_Conf!$C$6-ATM_Conf!$C$7))</f>
        <v>#DIV/0!</v>
      </c>
      <c r="BB161" s="46" t="e">
        <f>BK$3*MIN(1,(ATM_Conf!$C$6-Links!M161)/(ATM_Conf!$C$6-ATM_Conf!$C$7))</f>
        <v>#DIV/0!</v>
      </c>
      <c r="BC161" s="46" t="e">
        <f>BL$3*MIN(1,(ATM_Conf!$C$6-Links!N161)/(ATM_Conf!$C$6-ATM_Conf!$C$7))</f>
        <v>#DIV/0!</v>
      </c>
      <c r="BD161" s="46"/>
      <c r="BE161" s="46"/>
      <c r="BF161" s="46"/>
      <c r="BG161" s="46"/>
      <c r="BH161" s="46"/>
      <c r="BI161" s="46"/>
      <c r="BJ161" s="46"/>
      <c r="BK161" s="46"/>
      <c r="BL161" s="46"/>
      <c r="BM161" s="54"/>
      <c r="BN161" s="54"/>
      <c r="BO161" s="54"/>
      <c r="BP161" s="54"/>
      <c r="BQ161" s="54"/>
      <c r="BR161" s="54"/>
      <c r="BS161" s="54"/>
      <c r="BT161" s="54"/>
      <c r="BU161" s="54"/>
      <c r="BV161" s="46" t="e">
        <f t="shared" si="98"/>
        <v>#DIV/0!</v>
      </c>
      <c r="BW161" s="46" t="e">
        <f t="shared" si="99"/>
        <v>#DIV/0!</v>
      </c>
      <c r="BX161" s="46" t="e">
        <f t="shared" si="100"/>
        <v>#DIV/0!</v>
      </c>
      <c r="BY161" s="46" t="e">
        <f t="shared" si="101"/>
        <v>#DIV/0!</v>
      </c>
      <c r="BZ161" s="46" t="e">
        <f t="shared" si="102"/>
        <v>#DIV/0!</v>
      </c>
      <c r="CA161" s="46" t="e">
        <f t="shared" si="103"/>
        <v>#DIV/0!</v>
      </c>
      <c r="CB161" s="46" t="e">
        <f t="shared" si="104"/>
        <v>#DIV/0!</v>
      </c>
      <c r="CC161" s="46" t="e">
        <f t="shared" si="105"/>
        <v>#DIV/0!</v>
      </c>
      <c r="CD161" s="46" t="e">
        <f t="shared" si="106"/>
        <v>#DIV/0!</v>
      </c>
      <c r="CE161" s="56" t="e">
        <f t="shared" si="107"/>
        <v>#DIV/0!</v>
      </c>
      <c r="CF161" s="56" t="e">
        <f t="shared" si="108"/>
        <v>#DIV/0!</v>
      </c>
      <c r="CG161" s="56" t="e">
        <f t="shared" si="109"/>
        <v>#DIV/0!</v>
      </c>
      <c r="CH161" s="56" t="e">
        <f t="shared" si="110"/>
        <v>#DIV/0!</v>
      </c>
      <c r="CI161" s="56" t="e">
        <f t="shared" si="111"/>
        <v>#DIV/0!</v>
      </c>
      <c r="CJ161" s="56" t="e">
        <f t="shared" si="112"/>
        <v>#DIV/0!</v>
      </c>
      <c r="CK161" s="56" t="e">
        <f t="shared" si="113"/>
        <v>#DIV/0!</v>
      </c>
      <c r="CL161" s="56" t="e">
        <f t="shared" si="114"/>
        <v>#DIV/0!</v>
      </c>
      <c r="CM161" s="56" t="e">
        <f t="shared" si="115"/>
        <v>#DIV/0!</v>
      </c>
    </row>
    <row r="162" spans="1:91" x14ac:dyDescent="0.15">
      <c r="A162" s="43">
        <v>160</v>
      </c>
      <c r="B162" s="46">
        <f t="shared" si="124"/>
        <v>1</v>
      </c>
      <c r="C162" s="46">
        <f t="shared" si="123"/>
        <v>1</v>
      </c>
      <c r="D162" s="46">
        <f t="shared" si="123"/>
        <v>1</v>
      </c>
      <c r="E162" s="46">
        <f t="shared" si="123"/>
        <v>1</v>
      </c>
      <c r="F162" s="46">
        <f t="shared" si="123"/>
        <v>1</v>
      </c>
      <c r="G162" s="46">
        <f t="shared" si="123"/>
        <v>1</v>
      </c>
      <c r="H162" s="46">
        <f t="shared" si="123"/>
        <v>1</v>
      </c>
      <c r="I162" s="46">
        <f t="shared" si="123"/>
        <v>1</v>
      </c>
      <c r="J162" s="46">
        <f t="shared" si="123"/>
        <v>1</v>
      </c>
      <c r="K162" s="46" t="e">
        <f>K161+ATM_Conf!$C$5*(T161-AC161)</f>
        <v>#DIV/0!</v>
      </c>
      <c r="L162" s="46" t="e">
        <f>L161+ATM_Conf!$C$5*(U161-AD161)</f>
        <v>#DIV/0!</v>
      </c>
      <c r="M162" s="46" t="e">
        <f>M161+ATM_Conf!$C$5*(V161-AE161)</f>
        <v>#DIV/0!</v>
      </c>
      <c r="N162" s="46" t="e">
        <f>N161+ATM_Conf!$C$5*(W161-AF161)</f>
        <v>#DIV/0!</v>
      </c>
      <c r="O162" s="46" t="e">
        <f>O161+ATM_Conf!$C$5*(X161-AG161)</f>
        <v>#DIV/0!</v>
      </c>
      <c r="P162" s="46" t="e">
        <f>P161+ATM_Conf!$C$5*(Y161-AH161)</f>
        <v>#DIV/0!</v>
      </c>
      <c r="Q162" s="46" t="e">
        <f>Q161+ATM_Conf!$C$5*(Z161-AI161)</f>
        <v>#DIV/0!</v>
      </c>
      <c r="R162" s="46" t="e">
        <f>R161+ATM_Conf!$C$5*(AA161-AJ161)</f>
        <v>#DIV/0!</v>
      </c>
      <c r="S162" s="46" t="e">
        <f>S161+ATM_Conf!$C$5*(AB161-AK161)</f>
        <v>#DIV/0!</v>
      </c>
      <c r="T162" s="46"/>
      <c r="U162" s="46"/>
      <c r="V162" s="46"/>
      <c r="W162" s="46"/>
      <c r="X162" s="46"/>
      <c r="Y162" s="46"/>
      <c r="Z162" s="46"/>
      <c r="AA162" s="46"/>
      <c r="AB162" s="46"/>
      <c r="AC162" s="46" t="e">
        <f t="shared" si="89"/>
        <v>#DIV/0!</v>
      </c>
      <c r="AD162" s="46" t="e">
        <f t="shared" si="90"/>
        <v>#DIV/0!</v>
      </c>
      <c r="AE162" s="46" t="e">
        <f t="shared" si="91"/>
        <v>#DIV/0!</v>
      </c>
      <c r="AF162" s="46" t="e">
        <f t="shared" si="92"/>
        <v>#DIV/0!</v>
      </c>
      <c r="AG162" s="46" t="e">
        <f t="shared" si="93"/>
        <v>#DIV/0!</v>
      </c>
      <c r="AH162" s="46" t="e">
        <f t="shared" si="94"/>
        <v>#DIV/0!</v>
      </c>
      <c r="AI162" s="46" t="e">
        <f t="shared" si="95"/>
        <v>#DIV/0!</v>
      </c>
      <c r="AJ162" s="46" t="e">
        <f t="shared" si="96"/>
        <v>#DIV/0!</v>
      </c>
      <c r="AK162" s="46" t="e">
        <f t="shared" si="97"/>
        <v>#DIV/0!</v>
      </c>
      <c r="AL162" s="46" t="e">
        <f>T$3+K162/ATM_Conf!$C$5</f>
        <v>#DIV/0!</v>
      </c>
      <c r="AM162" s="46" t="e">
        <f>U$3+L162/ATM_Conf!$C$5</f>
        <v>#DIV/0!</v>
      </c>
      <c r="AN162" s="46" t="e">
        <f>V$3+M162/ATM_Conf!$C$5</f>
        <v>#DIV/0!</v>
      </c>
      <c r="AO162" s="46" t="e">
        <f>W$3+N162/ATM_Conf!$C$5</f>
        <v>#DIV/0!</v>
      </c>
      <c r="AP162" s="46" t="e">
        <f>X$3+O162/ATM_Conf!$C$5</f>
        <v>#DIV/0!</v>
      </c>
      <c r="AQ162" s="46" t="e">
        <f>Y$3+P162/ATM_Conf!$C$5</f>
        <v>#DIV/0!</v>
      </c>
      <c r="AR162" s="46" t="e">
        <f>Z$3+Q162/ATM_Conf!$C$5</f>
        <v>#DIV/0!</v>
      </c>
      <c r="AS162" s="46" t="e">
        <f>AA$3+R162/ATM_Conf!$C$5</f>
        <v>#DIV/0!</v>
      </c>
      <c r="AT162" s="46" t="e">
        <f>AB$3+S162/ATM_Conf!$C$5</f>
        <v>#DIV/0!</v>
      </c>
      <c r="AU162" s="46" t="e">
        <f>BD$3*MIN(1,(ATM_Conf!$C$6-Links!F162)/(ATM_Conf!$C$6-ATM_Conf!$C$7))</f>
        <v>#DIV/0!</v>
      </c>
      <c r="AV162" s="46" t="e">
        <f>BE$3*MIN(1,(ATM_Conf!$C$6-Links!G162)/(ATM_Conf!$C$6-ATM_Conf!$C$7))</f>
        <v>#DIV/0!</v>
      </c>
      <c r="AW162" s="46" t="e">
        <f>BF$3*MIN(1,(ATM_Conf!$C$6-Links!H162)/(ATM_Conf!$C$6-ATM_Conf!$C$7))</f>
        <v>#DIV/0!</v>
      </c>
      <c r="AX162" s="46" t="e">
        <f>BG$3*MIN(1,(ATM_Conf!$C$6-Links!I162)/(ATM_Conf!$C$6-ATM_Conf!$C$7))</f>
        <v>#DIV/0!</v>
      </c>
      <c r="AY162" s="46" t="e">
        <f>BH$3*MIN(1,(ATM_Conf!$C$6-Links!J162)/(ATM_Conf!$C$6-ATM_Conf!$C$7))</f>
        <v>#DIV/0!</v>
      </c>
      <c r="AZ162" s="46" t="e">
        <f>BI$3*MIN(1,(ATM_Conf!$C$6-Links!K162)/(ATM_Conf!$C$6-ATM_Conf!$C$7))</f>
        <v>#DIV/0!</v>
      </c>
      <c r="BA162" s="46" t="e">
        <f>BJ$3*MIN(1,(ATM_Conf!$C$6-Links!L162)/(ATM_Conf!$C$6-ATM_Conf!$C$7))</f>
        <v>#DIV/0!</v>
      </c>
      <c r="BB162" s="46" t="e">
        <f>BK$3*MIN(1,(ATM_Conf!$C$6-Links!M162)/(ATM_Conf!$C$6-ATM_Conf!$C$7))</f>
        <v>#DIV/0!</v>
      </c>
      <c r="BC162" s="46" t="e">
        <f>BL$3*MIN(1,(ATM_Conf!$C$6-Links!N162)/(ATM_Conf!$C$6-ATM_Conf!$C$7))</f>
        <v>#DIV/0!</v>
      </c>
      <c r="BD162" s="46"/>
      <c r="BE162" s="46"/>
      <c r="BF162" s="46"/>
      <c r="BG162" s="46"/>
      <c r="BH162" s="46"/>
      <c r="BI162" s="46"/>
      <c r="BJ162" s="46"/>
      <c r="BK162" s="46"/>
      <c r="BL162" s="46"/>
      <c r="BM162" s="54"/>
      <c r="BN162" s="54"/>
      <c r="BO162" s="54"/>
      <c r="BP162" s="54"/>
      <c r="BQ162" s="54"/>
      <c r="BR162" s="54"/>
      <c r="BS162" s="54"/>
      <c r="BT162" s="54"/>
      <c r="BU162" s="54"/>
      <c r="BV162" s="46" t="e">
        <f t="shared" si="98"/>
        <v>#DIV/0!</v>
      </c>
      <c r="BW162" s="46" t="e">
        <f t="shared" si="99"/>
        <v>#DIV/0!</v>
      </c>
      <c r="BX162" s="46" t="e">
        <f t="shared" si="100"/>
        <v>#DIV/0!</v>
      </c>
      <c r="BY162" s="46" t="e">
        <f t="shared" si="101"/>
        <v>#DIV/0!</v>
      </c>
      <c r="BZ162" s="46" t="e">
        <f t="shared" si="102"/>
        <v>#DIV/0!</v>
      </c>
      <c r="CA162" s="46" t="e">
        <f t="shared" si="103"/>
        <v>#DIV/0!</v>
      </c>
      <c r="CB162" s="46" t="e">
        <f t="shared" si="104"/>
        <v>#DIV/0!</v>
      </c>
      <c r="CC162" s="46" t="e">
        <f t="shared" si="105"/>
        <v>#DIV/0!</v>
      </c>
      <c r="CD162" s="46" t="e">
        <f t="shared" si="106"/>
        <v>#DIV/0!</v>
      </c>
      <c r="CE162" s="56" t="e">
        <f t="shared" si="107"/>
        <v>#DIV/0!</v>
      </c>
      <c r="CF162" s="56" t="e">
        <f t="shared" si="108"/>
        <v>#DIV/0!</v>
      </c>
      <c r="CG162" s="56" t="e">
        <f t="shared" si="109"/>
        <v>#DIV/0!</v>
      </c>
      <c r="CH162" s="56" t="e">
        <f t="shared" si="110"/>
        <v>#DIV/0!</v>
      </c>
      <c r="CI162" s="56" t="e">
        <f t="shared" si="111"/>
        <v>#DIV/0!</v>
      </c>
      <c r="CJ162" s="56" t="e">
        <f t="shared" si="112"/>
        <v>#DIV/0!</v>
      </c>
      <c r="CK162" s="56" t="e">
        <f t="shared" si="113"/>
        <v>#DIV/0!</v>
      </c>
      <c r="CL162" s="56" t="e">
        <f t="shared" si="114"/>
        <v>#DIV/0!</v>
      </c>
      <c r="CM162" s="56" t="e">
        <f t="shared" si="115"/>
        <v>#DIV/0!</v>
      </c>
    </row>
    <row r="163" spans="1:91" x14ac:dyDescent="0.15">
      <c r="A163" s="43">
        <v>161</v>
      </c>
      <c r="B163" s="46">
        <f t="shared" si="124"/>
        <v>1</v>
      </c>
      <c r="C163" s="46">
        <f t="shared" si="123"/>
        <v>1</v>
      </c>
      <c r="D163" s="46">
        <f t="shared" si="123"/>
        <v>1</v>
      </c>
      <c r="E163" s="46">
        <f t="shared" si="123"/>
        <v>1</v>
      </c>
      <c r="F163" s="46">
        <f t="shared" si="123"/>
        <v>1</v>
      </c>
      <c r="G163" s="46">
        <f t="shared" si="123"/>
        <v>1</v>
      </c>
      <c r="H163" s="46">
        <f t="shared" si="123"/>
        <v>1</v>
      </c>
      <c r="I163" s="46">
        <f t="shared" si="123"/>
        <v>1</v>
      </c>
      <c r="J163" s="46">
        <f t="shared" si="123"/>
        <v>1</v>
      </c>
      <c r="K163" s="46" t="e">
        <f>K162+ATM_Conf!$C$5*(T162-AC162)</f>
        <v>#DIV/0!</v>
      </c>
      <c r="L163" s="46" t="e">
        <f>L162+ATM_Conf!$C$5*(U162-AD162)</f>
        <v>#DIV/0!</v>
      </c>
      <c r="M163" s="46" t="e">
        <f>M162+ATM_Conf!$C$5*(V162-AE162)</f>
        <v>#DIV/0!</v>
      </c>
      <c r="N163" s="46" t="e">
        <f>N162+ATM_Conf!$C$5*(W162-AF162)</f>
        <v>#DIV/0!</v>
      </c>
      <c r="O163" s="46" t="e">
        <f>O162+ATM_Conf!$C$5*(X162-AG162)</f>
        <v>#DIV/0!</v>
      </c>
      <c r="P163" s="46" t="e">
        <f>P162+ATM_Conf!$C$5*(Y162-AH162)</f>
        <v>#DIV/0!</v>
      </c>
      <c r="Q163" s="46" t="e">
        <f>Q162+ATM_Conf!$C$5*(Z162-AI162)</f>
        <v>#DIV/0!</v>
      </c>
      <c r="R163" s="46" t="e">
        <f>R162+ATM_Conf!$C$5*(AA162-AJ162)</f>
        <v>#DIV/0!</v>
      </c>
      <c r="S163" s="46" t="e">
        <f>S162+ATM_Conf!$C$5*(AB162-AK162)</f>
        <v>#DIV/0!</v>
      </c>
      <c r="T163" s="46"/>
      <c r="U163" s="46"/>
      <c r="V163" s="46"/>
      <c r="W163" s="46"/>
      <c r="X163" s="46"/>
      <c r="Y163" s="46"/>
      <c r="Z163" s="46"/>
      <c r="AA163" s="46"/>
      <c r="AB163" s="46"/>
      <c r="AC163" s="46" t="e">
        <f t="shared" si="89"/>
        <v>#DIV/0!</v>
      </c>
      <c r="AD163" s="46" t="e">
        <f t="shared" si="90"/>
        <v>#DIV/0!</v>
      </c>
      <c r="AE163" s="46" t="e">
        <f t="shared" si="91"/>
        <v>#DIV/0!</v>
      </c>
      <c r="AF163" s="46" t="e">
        <f t="shared" si="92"/>
        <v>#DIV/0!</v>
      </c>
      <c r="AG163" s="46" t="e">
        <f t="shared" si="93"/>
        <v>#DIV/0!</v>
      </c>
      <c r="AH163" s="46" t="e">
        <f t="shared" si="94"/>
        <v>#DIV/0!</v>
      </c>
      <c r="AI163" s="46" t="e">
        <f t="shared" si="95"/>
        <v>#DIV/0!</v>
      </c>
      <c r="AJ163" s="46" t="e">
        <f t="shared" si="96"/>
        <v>#DIV/0!</v>
      </c>
      <c r="AK163" s="46" t="e">
        <f t="shared" si="97"/>
        <v>#DIV/0!</v>
      </c>
      <c r="AL163" s="46" t="e">
        <f>T$3+K163/ATM_Conf!$C$5</f>
        <v>#DIV/0!</v>
      </c>
      <c r="AM163" s="46" t="e">
        <f>U$3+L163/ATM_Conf!$C$5</f>
        <v>#DIV/0!</v>
      </c>
      <c r="AN163" s="46" t="e">
        <f>V$3+M163/ATM_Conf!$C$5</f>
        <v>#DIV/0!</v>
      </c>
      <c r="AO163" s="46" t="e">
        <f>W$3+N163/ATM_Conf!$C$5</f>
        <v>#DIV/0!</v>
      </c>
      <c r="AP163" s="46" t="e">
        <f>X$3+O163/ATM_Conf!$C$5</f>
        <v>#DIV/0!</v>
      </c>
      <c r="AQ163" s="46" t="e">
        <f>Y$3+P163/ATM_Conf!$C$5</f>
        <v>#DIV/0!</v>
      </c>
      <c r="AR163" s="46" t="e">
        <f>Z$3+Q163/ATM_Conf!$C$5</f>
        <v>#DIV/0!</v>
      </c>
      <c r="AS163" s="46" t="e">
        <f>AA$3+R163/ATM_Conf!$C$5</f>
        <v>#DIV/0!</v>
      </c>
      <c r="AT163" s="46" t="e">
        <f>AB$3+S163/ATM_Conf!$C$5</f>
        <v>#DIV/0!</v>
      </c>
      <c r="AU163" s="46" t="e">
        <f>BD$3*MIN(1,(ATM_Conf!$C$6-Links!F163)/(ATM_Conf!$C$6-ATM_Conf!$C$7))</f>
        <v>#DIV/0!</v>
      </c>
      <c r="AV163" s="46" t="e">
        <f>BE$3*MIN(1,(ATM_Conf!$C$6-Links!G163)/(ATM_Conf!$C$6-ATM_Conf!$C$7))</f>
        <v>#DIV/0!</v>
      </c>
      <c r="AW163" s="46" t="e">
        <f>BF$3*MIN(1,(ATM_Conf!$C$6-Links!H163)/(ATM_Conf!$C$6-ATM_Conf!$C$7))</f>
        <v>#DIV/0!</v>
      </c>
      <c r="AX163" s="46" t="e">
        <f>BG$3*MIN(1,(ATM_Conf!$C$6-Links!I163)/(ATM_Conf!$C$6-ATM_Conf!$C$7))</f>
        <v>#DIV/0!</v>
      </c>
      <c r="AY163" s="46" t="e">
        <f>BH$3*MIN(1,(ATM_Conf!$C$6-Links!J163)/(ATM_Conf!$C$6-ATM_Conf!$C$7))</f>
        <v>#DIV/0!</v>
      </c>
      <c r="AZ163" s="46" t="e">
        <f>BI$3*MIN(1,(ATM_Conf!$C$6-Links!K163)/(ATM_Conf!$C$6-ATM_Conf!$C$7))</f>
        <v>#DIV/0!</v>
      </c>
      <c r="BA163" s="46" t="e">
        <f>BJ$3*MIN(1,(ATM_Conf!$C$6-Links!L163)/(ATM_Conf!$C$6-ATM_Conf!$C$7))</f>
        <v>#DIV/0!</v>
      </c>
      <c r="BB163" s="46" t="e">
        <f>BK$3*MIN(1,(ATM_Conf!$C$6-Links!M163)/(ATM_Conf!$C$6-ATM_Conf!$C$7))</f>
        <v>#DIV/0!</v>
      </c>
      <c r="BC163" s="46" t="e">
        <f>BL$3*MIN(1,(ATM_Conf!$C$6-Links!N163)/(ATM_Conf!$C$6-ATM_Conf!$C$7))</f>
        <v>#DIV/0!</v>
      </c>
      <c r="BD163" s="46"/>
      <c r="BE163" s="46"/>
      <c r="BF163" s="46"/>
      <c r="BG163" s="46"/>
      <c r="BH163" s="46"/>
      <c r="BI163" s="46"/>
      <c r="BJ163" s="46"/>
      <c r="BK163" s="46"/>
      <c r="BL163" s="46"/>
      <c r="BM163" s="54"/>
      <c r="BN163" s="54"/>
      <c r="BO163" s="54"/>
      <c r="BP163" s="54"/>
      <c r="BQ163" s="54"/>
      <c r="BR163" s="54"/>
      <c r="BS163" s="54"/>
      <c r="BT163" s="54"/>
      <c r="BU163" s="54"/>
      <c r="BV163" s="46" t="e">
        <f t="shared" si="98"/>
        <v>#DIV/0!</v>
      </c>
      <c r="BW163" s="46" t="e">
        <f t="shared" si="99"/>
        <v>#DIV/0!</v>
      </c>
      <c r="BX163" s="46" t="e">
        <f t="shared" si="100"/>
        <v>#DIV/0!</v>
      </c>
      <c r="BY163" s="46" t="e">
        <f t="shared" si="101"/>
        <v>#DIV/0!</v>
      </c>
      <c r="BZ163" s="46" t="e">
        <f t="shared" si="102"/>
        <v>#DIV/0!</v>
      </c>
      <c r="CA163" s="46" t="e">
        <f t="shared" si="103"/>
        <v>#DIV/0!</v>
      </c>
      <c r="CB163" s="46" t="e">
        <f t="shared" si="104"/>
        <v>#DIV/0!</v>
      </c>
      <c r="CC163" s="46" t="e">
        <f t="shared" si="105"/>
        <v>#DIV/0!</v>
      </c>
      <c r="CD163" s="46" t="e">
        <f t="shared" si="106"/>
        <v>#DIV/0!</v>
      </c>
      <c r="CE163" s="56" t="e">
        <f t="shared" si="107"/>
        <v>#DIV/0!</v>
      </c>
      <c r="CF163" s="56" t="e">
        <f t="shared" si="108"/>
        <v>#DIV/0!</v>
      </c>
      <c r="CG163" s="56" t="e">
        <f t="shared" si="109"/>
        <v>#DIV/0!</v>
      </c>
      <c r="CH163" s="56" t="e">
        <f t="shared" si="110"/>
        <v>#DIV/0!</v>
      </c>
      <c r="CI163" s="56" t="e">
        <f t="shared" si="111"/>
        <v>#DIV/0!</v>
      </c>
      <c r="CJ163" s="56" t="e">
        <f t="shared" si="112"/>
        <v>#DIV/0!</v>
      </c>
      <c r="CK163" s="56" t="e">
        <f t="shared" si="113"/>
        <v>#DIV/0!</v>
      </c>
      <c r="CL163" s="56" t="e">
        <f t="shared" si="114"/>
        <v>#DIV/0!</v>
      </c>
      <c r="CM163" s="56" t="e">
        <f t="shared" si="115"/>
        <v>#DIV/0!</v>
      </c>
    </row>
    <row r="164" spans="1:91" x14ac:dyDescent="0.15">
      <c r="A164" s="43">
        <v>162</v>
      </c>
      <c r="B164" s="46">
        <f t="shared" si="124"/>
        <v>1</v>
      </c>
      <c r="C164" s="46">
        <f t="shared" si="123"/>
        <v>1</v>
      </c>
      <c r="D164" s="46">
        <f t="shared" si="123"/>
        <v>1</v>
      </c>
      <c r="E164" s="46">
        <f t="shared" si="123"/>
        <v>1</v>
      </c>
      <c r="F164" s="46">
        <f t="shared" si="123"/>
        <v>1</v>
      </c>
      <c r="G164" s="46">
        <f t="shared" si="123"/>
        <v>1</v>
      </c>
      <c r="H164" s="46">
        <f t="shared" si="123"/>
        <v>1</v>
      </c>
      <c r="I164" s="46">
        <f t="shared" si="123"/>
        <v>1</v>
      </c>
      <c r="J164" s="46">
        <f t="shared" si="123"/>
        <v>1</v>
      </c>
      <c r="K164" s="46" t="e">
        <f>K163+ATM_Conf!$C$5*(T163-AC163)</f>
        <v>#DIV/0!</v>
      </c>
      <c r="L164" s="46" t="e">
        <f>L163+ATM_Conf!$C$5*(U163-AD163)</f>
        <v>#DIV/0!</v>
      </c>
      <c r="M164" s="46" t="e">
        <f>M163+ATM_Conf!$C$5*(V163-AE163)</f>
        <v>#DIV/0!</v>
      </c>
      <c r="N164" s="46" t="e">
        <f>N163+ATM_Conf!$C$5*(W163-AF163)</f>
        <v>#DIV/0!</v>
      </c>
      <c r="O164" s="46" t="e">
        <f>O163+ATM_Conf!$C$5*(X163-AG163)</f>
        <v>#DIV/0!</v>
      </c>
      <c r="P164" s="46" t="e">
        <f>P163+ATM_Conf!$C$5*(Y163-AH163)</f>
        <v>#DIV/0!</v>
      </c>
      <c r="Q164" s="46" t="e">
        <f>Q163+ATM_Conf!$C$5*(Z163-AI163)</f>
        <v>#DIV/0!</v>
      </c>
      <c r="R164" s="46" t="e">
        <f>R163+ATM_Conf!$C$5*(AA163-AJ163)</f>
        <v>#DIV/0!</v>
      </c>
      <c r="S164" s="46" t="e">
        <f>S163+ATM_Conf!$C$5*(AB163-AK163)</f>
        <v>#DIV/0!</v>
      </c>
      <c r="T164" s="46"/>
      <c r="U164" s="46"/>
      <c r="V164" s="46"/>
      <c r="W164" s="46"/>
      <c r="X164" s="46"/>
      <c r="Y164" s="46"/>
      <c r="Z164" s="46"/>
      <c r="AA164" s="46"/>
      <c r="AB164" s="46"/>
      <c r="AC164" s="46" t="e">
        <f t="shared" si="89"/>
        <v>#DIV/0!</v>
      </c>
      <c r="AD164" s="46" t="e">
        <f t="shared" si="90"/>
        <v>#DIV/0!</v>
      </c>
      <c r="AE164" s="46" t="e">
        <f t="shared" si="91"/>
        <v>#DIV/0!</v>
      </c>
      <c r="AF164" s="46" t="e">
        <f t="shared" si="92"/>
        <v>#DIV/0!</v>
      </c>
      <c r="AG164" s="46" t="e">
        <f t="shared" si="93"/>
        <v>#DIV/0!</v>
      </c>
      <c r="AH164" s="46" t="e">
        <f t="shared" si="94"/>
        <v>#DIV/0!</v>
      </c>
      <c r="AI164" s="46" t="e">
        <f t="shared" si="95"/>
        <v>#DIV/0!</v>
      </c>
      <c r="AJ164" s="46" t="e">
        <f t="shared" si="96"/>
        <v>#DIV/0!</v>
      </c>
      <c r="AK164" s="46" t="e">
        <f t="shared" si="97"/>
        <v>#DIV/0!</v>
      </c>
      <c r="AL164" s="46" t="e">
        <f>T$3+K164/ATM_Conf!$C$5</f>
        <v>#DIV/0!</v>
      </c>
      <c r="AM164" s="46" t="e">
        <f>U$3+L164/ATM_Conf!$C$5</f>
        <v>#DIV/0!</v>
      </c>
      <c r="AN164" s="46" t="e">
        <f>V$3+M164/ATM_Conf!$C$5</f>
        <v>#DIV/0!</v>
      </c>
      <c r="AO164" s="46" t="e">
        <f>W$3+N164/ATM_Conf!$C$5</f>
        <v>#DIV/0!</v>
      </c>
      <c r="AP164" s="46" t="e">
        <f>X$3+O164/ATM_Conf!$C$5</f>
        <v>#DIV/0!</v>
      </c>
      <c r="AQ164" s="46" t="e">
        <f>Y$3+P164/ATM_Conf!$C$5</f>
        <v>#DIV/0!</v>
      </c>
      <c r="AR164" s="46" t="e">
        <f>Z$3+Q164/ATM_Conf!$C$5</f>
        <v>#DIV/0!</v>
      </c>
      <c r="AS164" s="46" t="e">
        <f>AA$3+R164/ATM_Conf!$C$5</f>
        <v>#DIV/0!</v>
      </c>
      <c r="AT164" s="46" t="e">
        <f>AB$3+S164/ATM_Conf!$C$5</f>
        <v>#DIV/0!</v>
      </c>
      <c r="AU164" s="46" t="e">
        <f>BD$3*MIN(1,(ATM_Conf!$C$6-Links!F164)/(ATM_Conf!$C$6-ATM_Conf!$C$7))</f>
        <v>#DIV/0!</v>
      </c>
      <c r="AV164" s="46" t="e">
        <f>BE$3*MIN(1,(ATM_Conf!$C$6-Links!G164)/(ATM_Conf!$C$6-ATM_Conf!$C$7))</f>
        <v>#DIV/0!</v>
      </c>
      <c r="AW164" s="46" t="e">
        <f>BF$3*MIN(1,(ATM_Conf!$C$6-Links!H164)/(ATM_Conf!$C$6-ATM_Conf!$C$7))</f>
        <v>#DIV/0!</v>
      </c>
      <c r="AX164" s="46" t="e">
        <f>BG$3*MIN(1,(ATM_Conf!$C$6-Links!I164)/(ATM_Conf!$C$6-ATM_Conf!$C$7))</f>
        <v>#DIV/0!</v>
      </c>
      <c r="AY164" s="46" t="e">
        <f>BH$3*MIN(1,(ATM_Conf!$C$6-Links!J164)/(ATM_Conf!$C$6-ATM_Conf!$C$7))</f>
        <v>#DIV/0!</v>
      </c>
      <c r="AZ164" s="46" t="e">
        <f>BI$3*MIN(1,(ATM_Conf!$C$6-Links!K164)/(ATM_Conf!$C$6-ATM_Conf!$C$7))</f>
        <v>#DIV/0!</v>
      </c>
      <c r="BA164" s="46" t="e">
        <f>BJ$3*MIN(1,(ATM_Conf!$C$6-Links!L164)/(ATM_Conf!$C$6-ATM_Conf!$C$7))</f>
        <v>#DIV/0!</v>
      </c>
      <c r="BB164" s="46" t="e">
        <f>BK$3*MIN(1,(ATM_Conf!$C$6-Links!M164)/(ATM_Conf!$C$6-ATM_Conf!$C$7))</f>
        <v>#DIV/0!</v>
      </c>
      <c r="BC164" s="46" t="e">
        <f>BL$3*MIN(1,(ATM_Conf!$C$6-Links!N164)/(ATM_Conf!$C$6-ATM_Conf!$C$7))</f>
        <v>#DIV/0!</v>
      </c>
      <c r="BD164" s="46"/>
      <c r="BE164" s="46"/>
      <c r="BF164" s="46"/>
      <c r="BG164" s="46"/>
      <c r="BH164" s="46"/>
      <c r="BI164" s="46"/>
      <c r="BJ164" s="46"/>
      <c r="BK164" s="46"/>
      <c r="BL164" s="46"/>
      <c r="BM164" s="54"/>
      <c r="BN164" s="54"/>
      <c r="BO164" s="54"/>
      <c r="BP164" s="54"/>
      <c r="BQ164" s="54"/>
      <c r="BR164" s="54"/>
      <c r="BS164" s="54"/>
      <c r="BT164" s="54"/>
      <c r="BU164" s="54"/>
      <c r="BV164" s="46" t="e">
        <f t="shared" si="98"/>
        <v>#DIV/0!</v>
      </c>
      <c r="BW164" s="46" t="e">
        <f t="shared" si="99"/>
        <v>#DIV/0!</v>
      </c>
      <c r="BX164" s="46" t="e">
        <f t="shared" si="100"/>
        <v>#DIV/0!</v>
      </c>
      <c r="BY164" s="46" t="e">
        <f t="shared" si="101"/>
        <v>#DIV/0!</v>
      </c>
      <c r="BZ164" s="46" t="e">
        <f t="shared" si="102"/>
        <v>#DIV/0!</v>
      </c>
      <c r="CA164" s="46" t="e">
        <f t="shared" si="103"/>
        <v>#DIV/0!</v>
      </c>
      <c r="CB164" s="46" t="e">
        <f t="shared" si="104"/>
        <v>#DIV/0!</v>
      </c>
      <c r="CC164" s="46" t="e">
        <f t="shared" si="105"/>
        <v>#DIV/0!</v>
      </c>
      <c r="CD164" s="46" t="e">
        <f t="shared" si="106"/>
        <v>#DIV/0!</v>
      </c>
      <c r="CE164" s="56" t="e">
        <f t="shared" si="107"/>
        <v>#DIV/0!</v>
      </c>
      <c r="CF164" s="56" t="e">
        <f t="shared" si="108"/>
        <v>#DIV/0!</v>
      </c>
      <c r="CG164" s="56" t="e">
        <f t="shared" si="109"/>
        <v>#DIV/0!</v>
      </c>
      <c r="CH164" s="56" t="e">
        <f t="shared" si="110"/>
        <v>#DIV/0!</v>
      </c>
      <c r="CI164" s="56" t="e">
        <f t="shared" si="111"/>
        <v>#DIV/0!</v>
      </c>
      <c r="CJ164" s="56" t="e">
        <f t="shared" si="112"/>
        <v>#DIV/0!</v>
      </c>
      <c r="CK164" s="56" t="e">
        <f t="shared" si="113"/>
        <v>#DIV/0!</v>
      </c>
      <c r="CL164" s="56" t="e">
        <f t="shared" si="114"/>
        <v>#DIV/0!</v>
      </c>
      <c r="CM164" s="56" t="e">
        <f t="shared" si="115"/>
        <v>#DIV/0!</v>
      </c>
    </row>
    <row r="165" spans="1:91" x14ac:dyDescent="0.15">
      <c r="A165" s="43">
        <v>163</v>
      </c>
      <c r="B165" s="46">
        <f t="shared" si="124"/>
        <v>1</v>
      </c>
      <c r="C165" s="46">
        <f t="shared" si="123"/>
        <v>1</v>
      </c>
      <c r="D165" s="46">
        <f t="shared" si="123"/>
        <v>1</v>
      </c>
      <c r="E165" s="46">
        <f t="shared" si="123"/>
        <v>1</v>
      </c>
      <c r="F165" s="46">
        <f t="shared" si="123"/>
        <v>1</v>
      </c>
      <c r="G165" s="46">
        <f t="shared" si="123"/>
        <v>1</v>
      </c>
      <c r="H165" s="46">
        <f t="shared" si="123"/>
        <v>1</v>
      </c>
      <c r="I165" s="46">
        <f t="shared" si="123"/>
        <v>1</v>
      </c>
      <c r="J165" s="46">
        <f t="shared" si="123"/>
        <v>1</v>
      </c>
      <c r="K165" s="46" t="e">
        <f>K164+ATM_Conf!$C$5*(T164-AC164)</f>
        <v>#DIV/0!</v>
      </c>
      <c r="L165" s="46" t="e">
        <f>L164+ATM_Conf!$C$5*(U164-AD164)</f>
        <v>#DIV/0!</v>
      </c>
      <c r="M165" s="46" t="e">
        <f>M164+ATM_Conf!$C$5*(V164-AE164)</f>
        <v>#DIV/0!</v>
      </c>
      <c r="N165" s="46" t="e">
        <f>N164+ATM_Conf!$C$5*(W164-AF164)</f>
        <v>#DIV/0!</v>
      </c>
      <c r="O165" s="46" t="e">
        <f>O164+ATM_Conf!$C$5*(X164-AG164)</f>
        <v>#DIV/0!</v>
      </c>
      <c r="P165" s="46" t="e">
        <f>P164+ATM_Conf!$C$5*(Y164-AH164)</f>
        <v>#DIV/0!</v>
      </c>
      <c r="Q165" s="46" t="e">
        <f>Q164+ATM_Conf!$C$5*(Z164-AI164)</f>
        <v>#DIV/0!</v>
      </c>
      <c r="R165" s="46" t="e">
        <f>R164+ATM_Conf!$C$5*(AA164-AJ164)</f>
        <v>#DIV/0!</v>
      </c>
      <c r="S165" s="46" t="e">
        <f>S164+ATM_Conf!$C$5*(AB164-AK164)</f>
        <v>#DIV/0!</v>
      </c>
      <c r="T165" s="46"/>
      <c r="U165" s="46"/>
      <c r="V165" s="46"/>
      <c r="W165" s="46"/>
      <c r="X165" s="46"/>
      <c r="Y165" s="46"/>
      <c r="Z165" s="46"/>
      <c r="AA165" s="46"/>
      <c r="AB165" s="46"/>
      <c r="AC165" s="46" t="e">
        <f t="shared" si="89"/>
        <v>#DIV/0!</v>
      </c>
      <c r="AD165" s="46" t="e">
        <f t="shared" si="90"/>
        <v>#DIV/0!</v>
      </c>
      <c r="AE165" s="46" t="e">
        <f t="shared" si="91"/>
        <v>#DIV/0!</v>
      </c>
      <c r="AF165" s="46" t="e">
        <f t="shared" si="92"/>
        <v>#DIV/0!</v>
      </c>
      <c r="AG165" s="46" t="e">
        <f t="shared" si="93"/>
        <v>#DIV/0!</v>
      </c>
      <c r="AH165" s="46" t="e">
        <f t="shared" si="94"/>
        <v>#DIV/0!</v>
      </c>
      <c r="AI165" s="46" t="e">
        <f t="shared" si="95"/>
        <v>#DIV/0!</v>
      </c>
      <c r="AJ165" s="46" t="e">
        <f t="shared" si="96"/>
        <v>#DIV/0!</v>
      </c>
      <c r="AK165" s="46" t="e">
        <f t="shared" si="97"/>
        <v>#DIV/0!</v>
      </c>
      <c r="AL165" s="46" t="e">
        <f>T$3+K165/ATM_Conf!$C$5</f>
        <v>#DIV/0!</v>
      </c>
      <c r="AM165" s="46" t="e">
        <f>U$3+L165/ATM_Conf!$C$5</f>
        <v>#DIV/0!</v>
      </c>
      <c r="AN165" s="46" t="e">
        <f>V$3+M165/ATM_Conf!$C$5</f>
        <v>#DIV/0!</v>
      </c>
      <c r="AO165" s="46" t="e">
        <f>W$3+N165/ATM_Conf!$C$5</f>
        <v>#DIV/0!</v>
      </c>
      <c r="AP165" s="46" t="e">
        <f>X$3+O165/ATM_Conf!$C$5</f>
        <v>#DIV/0!</v>
      </c>
      <c r="AQ165" s="46" t="e">
        <f>Y$3+P165/ATM_Conf!$C$5</f>
        <v>#DIV/0!</v>
      </c>
      <c r="AR165" s="46" t="e">
        <f>Z$3+Q165/ATM_Conf!$C$5</f>
        <v>#DIV/0!</v>
      </c>
      <c r="AS165" s="46" t="e">
        <f>AA$3+R165/ATM_Conf!$C$5</f>
        <v>#DIV/0!</v>
      </c>
      <c r="AT165" s="46" t="e">
        <f>AB$3+S165/ATM_Conf!$C$5</f>
        <v>#DIV/0!</v>
      </c>
      <c r="AU165" s="46" t="e">
        <f>BD$3*MIN(1,(ATM_Conf!$C$6-Links!F165)/(ATM_Conf!$C$6-ATM_Conf!$C$7))</f>
        <v>#DIV/0!</v>
      </c>
      <c r="AV165" s="46" t="e">
        <f>BE$3*MIN(1,(ATM_Conf!$C$6-Links!G165)/(ATM_Conf!$C$6-ATM_Conf!$C$7))</f>
        <v>#DIV/0!</v>
      </c>
      <c r="AW165" s="46" t="e">
        <f>BF$3*MIN(1,(ATM_Conf!$C$6-Links!H165)/(ATM_Conf!$C$6-ATM_Conf!$C$7))</f>
        <v>#DIV/0!</v>
      </c>
      <c r="AX165" s="46" t="e">
        <f>BG$3*MIN(1,(ATM_Conf!$C$6-Links!I165)/(ATM_Conf!$C$6-ATM_Conf!$C$7))</f>
        <v>#DIV/0!</v>
      </c>
      <c r="AY165" s="46" t="e">
        <f>BH$3*MIN(1,(ATM_Conf!$C$6-Links!J165)/(ATM_Conf!$C$6-ATM_Conf!$C$7))</f>
        <v>#DIV/0!</v>
      </c>
      <c r="AZ165" s="46" t="e">
        <f>BI$3*MIN(1,(ATM_Conf!$C$6-Links!K165)/(ATM_Conf!$C$6-ATM_Conf!$C$7))</f>
        <v>#DIV/0!</v>
      </c>
      <c r="BA165" s="46" t="e">
        <f>BJ$3*MIN(1,(ATM_Conf!$C$6-Links!L165)/(ATM_Conf!$C$6-ATM_Conf!$C$7))</f>
        <v>#DIV/0!</v>
      </c>
      <c r="BB165" s="46" t="e">
        <f>BK$3*MIN(1,(ATM_Conf!$C$6-Links!M165)/(ATM_Conf!$C$6-ATM_Conf!$C$7))</f>
        <v>#DIV/0!</v>
      </c>
      <c r="BC165" s="46" t="e">
        <f>BL$3*MIN(1,(ATM_Conf!$C$6-Links!N165)/(ATM_Conf!$C$6-ATM_Conf!$C$7))</f>
        <v>#DIV/0!</v>
      </c>
      <c r="BD165" s="46"/>
      <c r="BE165" s="46"/>
      <c r="BF165" s="46"/>
      <c r="BG165" s="46"/>
      <c r="BH165" s="46"/>
      <c r="BI165" s="46"/>
      <c r="BJ165" s="46"/>
      <c r="BK165" s="46"/>
      <c r="BL165" s="46"/>
      <c r="BM165" s="54"/>
      <c r="BN165" s="54"/>
      <c r="BO165" s="54"/>
      <c r="BP165" s="54"/>
      <c r="BQ165" s="54"/>
      <c r="BR165" s="54"/>
      <c r="BS165" s="54"/>
      <c r="BT165" s="54"/>
      <c r="BU165" s="54"/>
      <c r="BV165" s="46" t="e">
        <f t="shared" si="98"/>
        <v>#DIV/0!</v>
      </c>
      <c r="BW165" s="46" t="e">
        <f t="shared" si="99"/>
        <v>#DIV/0!</v>
      </c>
      <c r="BX165" s="46" t="e">
        <f t="shared" si="100"/>
        <v>#DIV/0!</v>
      </c>
      <c r="BY165" s="46" t="e">
        <f t="shared" si="101"/>
        <v>#DIV/0!</v>
      </c>
      <c r="BZ165" s="46" t="e">
        <f t="shared" si="102"/>
        <v>#DIV/0!</v>
      </c>
      <c r="CA165" s="46" t="e">
        <f t="shared" si="103"/>
        <v>#DIV/0!</v>
      </c>
      <c r="CB165" s="46" t="e">
        <f t="shared" si="104"/>
        <v>#DIV/0!</v>
      </c>
      <c r="CC165" s="46" t="e">
        <f t="shared" si="105"/>
        <v>#DIV/0!</v>
      </c>
      <c r="CD165" s="46" t="e">
        <f t="shared" si="106"/>
        <v>#DIV/0!</v>
      </c>
      <c r="CE165" s="56" t="e">
        <f t="shared" si="107"/>
        <v>#DIV/0!</v>
      </c>
      <c r="CF165" s="56" t="e">
        <f t="shared" si="108"/>
        <v>#DIV/0!</v>
      </c>
      <c r="CG165" s="56" t="e">
        <f t="shared" si="109"/>
        <v>#DIV/0!</v>
      </c>
      <c r="CH165" s="56" t="e">
        <f t="shared" si="110"/>
        <v>#DIV/0!</v>
      </c>
      <c r="CI165" s="56" t="e">
        <f t="shared" si="111"/>
        <v>#DIV/0!</v>
      </c>
      <c r="CJ165" s="56" t="e">
        <f t="shared" si="112"/>
        <v>#DIV/0!</v>
      </c>
      <c r="CK165" s="56" t="e">
        <f t="shared" si="113"/>
        <v>#DIV/0!</v>
      </c>
      <c r="CL165" s="56" t="e">
        <f t="shared" si="114"/>
        <v>#DIV/0!</v>
      </c>
      <c r="CM165" s="56" t="e">
        <f t="shared" si="115"/>
        <v>#DIV/0!</v>
      </c>
    </row>
    <row r="166" spans="1:91" x14ac:dyDescent="0.15">
      <c r="A166" s="43">
        <v>164</v>
      </c>
      <c r="B166" s="46">
        <f t="shared" si="124"/>
        <v>1</v>
      </c>
      <c r="C166" s="46">
        <f t="shared" si="123"/>
        <v>1</v>
      </c>
      <c r="D166" s="46">
        <f t="shared" si="123"/>
        <v>1</v>
      </c>
      <c r="E166" s="46">
        <f t="shared" si="123"/>
        <v>1</v>
      </c>
      <c r="F166" s="46">
        <f t="shared" si="123"/>
        <v>1</v>
      </c>
      <c r="G166" s="46">
        <f t="shared" si="123"/>
        <v>1</v>
      </c>
      <c r="H166" s="46">
        <f t="shared" si="123"/>
        <v>1</v>
      </c>
      <c r="I166" s="46">
        <f t="shared" si="123"/>
        <v>1</v>
      </c>
      <c r="J166" s="46">
        <f t="shared" si="123"/>
        <v>1</v>
      </c>
      <c r="K166" s="46" t="e">
        <f>K165+ATM_Conf!$C$5*(T165-AC165)</f>
        <v>#DIV/0!</v>
      </c>
      <c r="L166" s="46" t="e">
        <f>L165+ATM_Conf!$C$5*(U165-AD165)</f>
        <v>#DIV/0!</v>
      </c>
      <c r="M166" s="46" t="e">
        <f>M165+ATM_Conf!$C$5*(V165-AE165)</f>
        <v>#DIV/0!</v>
      </c>
      <c r="N166" s="46" t="e">
        <f>N165+ATM_Conf!$C$5*(W165-AF165)</f>
        <v>#DIV/0!</v>
      </c>
      <c r="O166" s="46" t="e">
        <f>O165+ATM_Conf!$C$5*(X165-AG165)</f>
        <v>#DIV/0!</v>
      </c>
      <c r="P166" s="46" t="e">
        <f>P165+ATM_Conf!$C$5*(Y165-AH165)</f>
        <v>#DIV/0!</v>
      </c>
      <c r="Q166" s="46" t="e">
        <f>Q165+ATM_Conf!$C$5*(Z165-AI165)</f>
        <v>#DIV/0!</v>
      </c>
      <c r="R166" s="46" t="e">
        <f>R165+ATM_Conf!$C$5*(AA165-AJ165)</f>
        <v>#DIV/0!</v>
      </c>
      <c r="S166" s="46" t="e">
        <f>S165+ATM_Conf!$C$5*(AB165-AK165)</f>
        <v>#DIV/0!</v>
      </c>
      <c r="T166" s="46"/>
      <c r="U166" s="46"/>
      <c r="V166" s="46"/>
      <c r="W166" s="46"/>
      <c r="X166" s="46"/>
      <c r="Y166" s="46"/>
      <c r="Z166" s="46"/>
      <c r="AA166" s="46"/>
      <c r="AB166" s="46"/>
      <c r="AC166" s="46" t="e">
        <f t="shared" si="89"/>
        <v>#DIV/0!</v>
      </c>
      <c r="AD166" s="46" t="e">
        <f t="shared" si="90"/>
        <v>#DIV/0!</v>
      </c>
      <c r="AE166" s="46" t="e">
        <f t="shared" si="91"/>
        <v>#DIV/0!</v>
      </c>
      <c r="AF166" s="46" t="e">
        <f t="shared" si="92"/>
        <v>#DIV/0!</v>
      </c>
      <c r="AG166" s="46" t="e">
        <f t="shared" si="93"/>
        <v>#DIV/0!</v>
      </c>
      <c r="AH166" s="46" t="e">
        <f t="shared" si="94"/>
        <v>#DIV/0!</v>
      </c>
      <c r="AI166" s="46" t="e">
        <f t="shared" si="95"/>
        <v>#DIV/0!</v>
      </c>
      <c r="AJ166" s="46" t="e">
        <f t="shared" si="96"/>
        <v>#DIV/0!</v>
      </c>
      <c r="AK166" s="46" t="e">
        <f t="shared" si="97"/>
        <v>#DIV/0!</v>
      </c>
      <c r="AL166" s="46" t="e">
        <f>T$3+K166/ATM_Conf!$C$5</f>
        <v>#DIV/0!</v>
      </c>
      <c r="AM166" s="46" t="e">
        <f>U$3+L166/ATM_Conf!$C$5</f>
        <v>#DIV/0!</v>
      </c>
      <c r="AN166" s="46" t="e">
        <f>V$3+M166/ATM_Conf!$C$5</f>
        <v>#DIV/0!</v>
      </c>
      <c r="AO166" s="46" t="e">
        <f>W$3+N166/ATM_Conf!$C$5</f>
        <v>#DIV/0!</v>
      </c>
      <c r="AP166" s="46" t="e">
        <f>X$3+O166/ATM_Conf!$C$5</f>
        <v>#DIV/0!</v>
      </c>
      <c r="AQ166" s="46" t="e">
        <f>Y$3+P166/ATM_Conf!$C$5</f>
        <v>#DIV/0!</v>
      </c>
      <c r="AR166" s="46" t="e">
        <f>Z$3+Q166/ATM_Conf!$C$5</f>
        <v>#DIV/0!</v>
      </c>
      <c r="AS166" s="46" t="e">
        <f>AA$3+R166/ATM_Conf!$C$5</f>
        <v>#DIV/0!</v>
      </c>
      <c r="AT166" s="46" t="e">
        <f>AB$3+S166/ATM_Conf!$C$5</f>
        <v>#DIV/0!</v>
      </c>
      <c r="AU166" s="46" t="e">
        <f>BD$3*MIN(1,(ATM_Conf!$C$6-Links!F166)/(ATM_Conf!$C$6-ATM_Conf!$C$7))</f>
        <v>#DIV/0!</v>
      </c>
      <c r="AV166" s="46" t="e">
        <f>BE$3*MIN(1,(ATM_Conf!$C$6-Links!G166)/(ATM_Conf!$C$6-ATM_Conf!$C$7))</f>
        <v>#DIV/0!</v>
      </c>
      <c r="AW166" s="46" t="e">
        <f>BF$3*MIN(1,(ATM_Conf!$C$6-Links!H166)/(ATM_Conf!$C$6-ATM_Conf!$C$7))</f>
        <v>#DIV/0!</v>
      </c>
      <c r="AX166" s="46" t="e">
        <f>BG$3*MIN(1,(ATM_Conf!$C$6-Links!I166)/(ATM_Conf!$C$6-ATM_Conf!$C$7))</f>
        <v>#DIV/0!</v>
      </c>
      <c r="AY166" s="46" t="e">
        <f>BH$3*MIN(1,(ATM_Conf!$C$6-Links!J166)/(ATM_Conf!$C$6-ATM_Conf!$C$7))</f>
        <v>#DIV/0!</v>
      </c>
      <c r="AZ166" s="46" t="e">
        <f>BI$3*MIN(1,(ATM_Conf!$C$6-Links!K166)/(ATM_Conf!$C$6-ATM_Conf!$C$7))</f>
        <v>#DIV/0!</v>
      </c>
      <c r="BA166" s="46" t="e">
        <f>BJ$3*MIN(1,(ATM_Conf!$C$6-Links!L166)/(ATM_Conf!$C$6-ATM_Conf!$C$7))</f>
        <v>#DIV/0!</v>
      </c>
      <c r="BB166" s="46" t="e">
        <f>BK$3*MIN(1,(ATM_Conf!$C$6-Links!M166)/(ATM_Conf!$C$6-ATM_Conf!$C$7))</f>
        <v>#DIV/0!</v>
      </c>
      <c r="BC166" s="46" t="e">
        <f>BL$3*MIN(1,(ATM_Conf!$C$6-Links!N166)/(ATM_Conf!$C$6-ATM_Conf!$C$7))</f>
        <v>#DIV/0!</v>
      </c>
      <c r="BD166" s="46"/>
      <c r="BE166" s="46"/>
      <c r="BF166" s="46"/>
      <c r="BG166" s="46"/>
      <c r="BH166" s="46"/>
      <c r="BI166" s="46"/>
      <c r="BJ166" s="46"/>
      <c r="BK166" s="46"/>
      <c r="BL166" s="46"/>
      <c r="BM166" s="54"/>
      <c r="BN166" s="54"/>
      <c r="BO166" s="54"/>
      <c r="BP166" s="54"/>
      <c r="BQ166" s="54"/>
      <c r="BR166" s="54"/>
      <c r="BS166" s="54"/>
      <c r="BT166" s="54"/>
      <c r="BU166" s="54"/>
      <c r="BV166" s="46" t="e">
        <f t="shared" si="98"/>
        <v>#DIV/0!</v>
      </c>
      <c r="BW166" s="46" t="e">
        <f t="shared" si="99"/>
        <v>#DIV/0!</v>
      </c>
      <c r="BX166" s="46" t="e">
        <f t="shared" si="100"/>
        <v>#DIV/0!</v>
      </c>
      <c r="BY166" s="46" t="e">
        <f t="shared" si="101"/>
        <v>#DIV/0!</v>
      </c>
      <c r="BZ166" s="46" t="e">
        <f t="shared" si="102"/>
        <v>#DIV/0!</v>
      </c>
      <c r="CA166" s="46" t="e">
        <f t="shared" si="103"/>
        <v>#DIV/0!</v>
      </c>
      <c r="CB166" s="46" t="e">
        <f t="shared" si="104"/>
        <v>#DIV/0!</v>
      </c>
      <c r="CC166" s="46" t="e">
        <f t="shared" si="105"/>
        <v>#DIV/0!</v>
      </c>
      <c r="CD166" s="46" t="e">
        <f t="shared" si="106"/>
        <v>#DIV/0!</v>
      </c>
      <c r="CE166" s="56" t="e">
        <f t="shared" si="107"/>
        <v>#DIV/0!</v>
      </c>
      <c r="CF166" s="56" t="e">
        <f t="shared" si="108"/>
        <v>#DIV/0!</v>
      </c>
      <c r="CG166" s="56" t="e">
        <f t="shared" si="109"/>
        <v>#DIV/0!</v>
      </c>
      <c r="CH166" s="56" t="e">
        <f t="shared" si="110"/>
        <v>#DIV/0!</v>
      </c>
      <c r="CI166" s="56" t="e">
        <f t="shared" si="111"/>
        <v>#DIV/0!</v>
      </c>
      <c r="CJ166" s="56" t="e">
        <f t="shared" si="112"/>
        <v>#DIV/0!</v>
      </c>
      <c r="CK166" s="56" t="e">
        <f t="shared" si="113"/>
        <v>#DIV/0!</v>
      </c>
      <c r="CL166" s="56" t="e">
        <f t="shared" si="114"/>
        <v>#DIV/0!</v>
      </c>
      <c r="CM166" s="56" t="e">
        <f t="shared" si="115"/>
        <v>#DIV/0!</v>
      </c>
    </row>
    <row r="167" spans="1:91" x14ac:dyDescent="0.15">
      <c r="A167" s="43">
        <v>165</v>
      </c>
      <c r="B167" s="46">
        <f t="shared" si="124"/>
        <v>1</v>
      </c>
      <c r="C167" s="46">
        <f t="shared" si="123"/>
        <v>1</v>
      </c>
      <c r="D167" s="46">
        <f t="shared" si="123"/>
        <v>1</v>
      </c>
      <c r="E167" s="46">
        <f t="shared" si="123"/>
        <v>1</v>
      </c>
      <c r="F167" s="46">
        <f t="shared" si="123"/>
        <v>1</v>
      </c>
      <c r="G167" s="46">
        <f t="shared" si="123"/>
        <v>1</v>
      </c>
      <c r="H167" s="46">
        <f t="shared" si="123"/>
        <v>1</v>
      </c>
      <c r="I167" s="46">
        <f t="shared" si="123"/>
        <v>1</v>
      </c>
      <c r="J167" s="46">
        <f t="shared" si="123"/>
        <v>1</v>
      </c>
      <c r="K167" s="46" t="e">
        <f>K166+ATM_Conf!$C$5*(T166-AC166)</f>
        <v>#DIV/0!</v>
      </c>
      <c r="L167" s="46" t="e">
        <f>L166+ATM_Conf!$C$5*(U166-AD166)</f>
        <v>#DIV/0!</v>
      </c>
      <c r="M167" s="46" t="e">
        <f>M166+ATM_Conf!$C$5*(V166-AE166)</f>
        <v>#DIV/0!</v>
      </c>
      <c r="N167" s="46" t="e">
        <f>N166+ATM_Conf!$C$5*(W166-AF166)</f>
        <v>#DIV/0!</v>
      </c>
      <c r="O167" s="46" t="e">
        <f>O166+ATM_Conf!$C$5*(X166-AG166)</f>
        <v>#DIV/0!</v>
      </c>
      <c r="P167" s="46" t="e">
        <f>P166+ATM_Conf!$C$5*(Y166-AH166)</f>
        <v>#DIV/0!</v>
      </c>
      <c r="Q167" s="46" t="e">
        <f>Q166+ATM_Conf!$C$5*(Z166-AI166)</f>
        <v>#DIV/0!</v>
      </c>
      <c r="R167" s="46" t="e">
        <f>R166+ATM_Conf!$C$5*(AA166-AJ166)</f>
        <v>#DIV/0!</v>
      </c>
      <c r="S167" s="46" t="e">
        <f>S166+ATM_Conf!$C$5*(AB166-AK166)</f>
        <v>#DIV/0!</v>
      </c>
      <c r="T167" s="46"/>
      <c r="U167" s="46"/>
      <c r="V167" s="46"/>
      <c r="W167" s="46"/>
      <c r="X167" s="46"/>
      <c r="Y167" s="46"/>
      <c r="Z167" s="46"/>
      <c r="AA167" s="46"/>
      <c r="AB167" s="46"/>
      <c r="AC167" s="46" t="e">
        <f t="shared" si="89"/>
        <v>#DIV/0!</v>
      </c>
      <c r="AD167" s="46" t="e">
        <f t="shared" si="90"/>
        <v>#DIV/0!</v>
      </c>
      <c r="AE167" s="46" t="e">
        <f t="shared" si="91"/>
        <v>#DIV/0!</v>
      </c>
      <c r="AF167" s="46" t="e">
        <f t="shared" si="92"/>
        <v>#DIV/0!</v>
      </c>
      <c r="AG167" s="46" t="e">
        <f t="shared" si="93"/>
        <v>#DIV/0!</v>
      </c>
      <c r="AH167" s="46" t="e">
        <f t="shared" si="94"/>
        <v>#DIV/0!</v>
      </c>
      <c r="AI167" s="46" t="e">
        <f t="shared" si="95"/>
        <v>#DIV/0!</v>
      </c>
      <c r="AJ167" s="46" t="e">
        <f t="shared" si="96"/>
        <v>#DIV/0!</v>
      </c>
      <c r="AK167" s="46" t="e">
        <f t="shared" si="97"/>
        <v>#DIV/0!</v>
      </c>
      <c r="AL167" s="46" t="e">
        <f>T$3+K167/ATM_Conf!$C$5</f>
        <v>#DIV/0!</v>
      </c>
      <c r="AM167" s="46" t="e">
        <f>U$3+L167/ATM_Conf!$C$5</f>
        <v>#DIV/0!</v>
      </c>
      <c r="AN167" s="46" t="e">
        <f>V$3+M167/ATM_Conf!$C$5</f>
        <v>#DIV/0!</v>
      </c>
      <c r="AO167" s="46" t="e">
        <f>W$3+N167/ATM_Conf!$C$5</f>
        <v>#DIV/0!</v>
      </c>
      <c r="AP167" s="46" t="e">
        <f>X$3+O167/ATM_Conf!$C$5</f>
        <v>#DIV/0!</v>
      </c>
      <c r="AQ167" s="46" t="e">
        <f>Y$3+P167/ATM_Conf!$C$5</f>
        <v>#DIV/0!</v>
      </c>
      <c r="AR167" s="46" t="e">
        <f>Z$3+Q167/ATM_Conf!$C$5</f>
        <v>#DIV/0!</v>
      </c>
      <c r="AS167" s="46" t="e">
        <f>AA$3+R167/ATM_Conf!$C$5</f>
        <v>#DIV/0!</v>
      </c>
      <c r="AT167" s="46" t="e">
        <f>AB$3+S167/ATM_Conf!$C$5</f>
        <v>#DIV/0!</v>
      </c>
      <c r="AU167" s="46" t="e">
        <f>BD$3*MIN(1,(ATM_Conf!$C$6-Links!F167)/(ATM_Conf!$C$6-ATM_Conf!$C$7))</f>
        <v>#DIV/0!</v>
      </c>
      <c r="AV167" s="46" t="e">
        <f>BE$3*MIN(1,(ATM_Conf!$C$6-Links!G167)/(ATM_Conf!$C$6-ATM_Conf!$C$7))</f>
        <v>#DIV/0!</v>
      </c>
      <c r="AW167" s="46" t="e">
        <f>BF$3*MIN(1,(ATM_Conf!$C$6-Links!H167)/(ATM_Conf!$C$6-ATM_Conf!$C$7))</f>
        <v>#DIV/0!</v>
      </c>
      <c r="AX167" s="46" t="e">
        <f>BG$3*MIN(1,(ATM_Conf!$C$6-Links!I167)/(ATM_Conf!$C$6-ATM_Conf!$C$7))</f>
        <v>#DIV/0!</v>
      </c>
      <c r="AY167" s="46" t="e">
        <f>BH$3*MIN(1,(ATM_Conf!$C$6-Links!J167)/(ATM_Conf!$C$6-ATM_Conf!$C$7))</f>
        <v>#DIV/0!</v>
      </c>
      <c r="AZ167" s="46" t="e">
        <f>BI$3*MIN(1,(ATM_Conf!$C$6-Links!K167)/(ATM_Conf!$C$6-ATM_Conf!$C$7))</f>
        <v>#DIV/0!</v>
      </c>
      <c r="BA167" s="46" t="e">
        <f>BJ$3*MIN(1,(ATM_Conf!$C$6-Links!L167)/(ATM_Conf!$C$6-ATM_Conf!$C$7))</f>
        <v>#DIV/0!</v>
      </c>
      <c r="BB167" s="46" t="e">
        <f>BK$3*MIN(1,(ATM_Conf!$C$6-Links!M167)/(ATM_Conf!$C$6-ATM_Conf!$C$7))</f>
        <v>#DIV/0!</v>
      </c>
      <c r="BC167" s="46" t="e">
        <f>BL$3*MIN(1,(ATM_Conf!$C$6-Links!N167)/(ATM_Conf!$C$6-ATM_Conf!$C$7))</f>
        <v>#DIV/0!</v>
      </c>
      <c r="BD167" s="46"/>
      <c r="BE167" s="46"/>
      <c r="BF167" s="46"/>
      <c r="BG167" s="46"/>
      <c r="BH167" s="46"/>
      <c r="BI167" s="46"/>
      <c r="BJ167" s="46"/>
      <c r="BK167" s="46"/>
      <c r="BL167" s="46"/>
      <c r="BM167" s="54"/>
      <c r="BN167" s="54"/>
      <c r="BO167" s="54"/>
      <c r="BP167" s="54"/>
      <c r="BQ167" s="54"/>
      <c r="BR167" s="54"/>
      <c r="BS167" s="54"/>
      <c r="BT167" s="54"/>
      <c r="BU167" s="54"/>
      <c r="BV167" s="46" t="e">
        <f t="shared" si="98"/>
        <v>#DIV/0!</v>
      </c>
      <c r="BW167" s="46" t="e">
        <f t="shared" si="99"/>
        <v>#DIV/0!</v>
      </c>
      <c r="BX167" s="46" t="e">
        <f t="shared" si="100"/>
        <v>#DIV/0!</v>
      </c>
      <c r="BY167" s="46" t="e">
        <f t="shared" si="101"/>
        <v>#DIV/0!</v>
      </c>
      <c r="BZ167" s="46" t="e">
        <f t="shared" si="102"/>
        <v>#DIV/0!</v>
      </c>
      <c r="CA167" s="46" t="e">
        <f t="shared" si="103"/>
        <v>#DIV/0!</v>
      </c>
      <c r="CB167" s="46" t="e">
        <f t="shared" si="104"/>
        <v>#DIV/0!</v>
      </c>
      <c r="CC167" s="46" t="e">
        <f t="shared" si="105"/>
        <v>#DIV/0!</v>
      </c>
      <c r="CD167" s="46" t="e">
        <f t="shared" si="106"/>
        <v>#DIV/0!</v>
      </c>
      <c r="CE167" s="56" t="e">
        <f t="shared" si="107"/>
        <v>#DIV/0!</v>
      </c>
      <c r="CF167" s="56" t="e">
        <f t="shared" si="108"/>
        <v>#DIV/0!</v>
      </c>
      <c r="CG167" s="56" t="e">
        <f t="shared" si="109"/>
        <v>#DIV/0!</v>
      </c>
      <c r="CH167" s="56" t="e">
        <f t="shared" si="110"/>
        <v>#DIV/0!</v>
      </c>
      <c r="CI167" s="56" t="e">
        <f t="shared" si="111"/>
        <v>#DIV/0!</v>
      </c>
      <c r="CJ167" s="56" t="e">
        <f t="shared" si="112"/>
        <v>#DIV/0!</v>
      </c>
      <c r="CK167" s="56" t="e">
        <f t="shared" si="113"/>
        <v>#DIV/0!</v>
      </c>
      <c r="CL167" s="56" t="e">
        <f t="shared" si="114"/>
        <v>#DIV/0!</v>
      </c>
      <c r="CM167" s="56" t="e">
        <f t="shared" si="115"/>
        <v>#DIV/0!</v>
      </c>
    </row>
    <row r="168" spans="1:91" x14ac:dyDescent="0.15">
      <c r="A168" s="43">
        <v>166</v>
      </c>
      <c r="B168" s="46">
        <f t="shared" si="124"/>
        <v>1</v>
      </c>
      <c r="C168" s="46">
        <f t="shared" si="123"/>
        <v>1</v>
      </c>
      <c r="D168" s="46">
        <f t="shared" si="123"/>
        <v>1</v>
      </c>
      <c r="E168" s="46">
        <f t="shared" si="123"/>
        <v>1</v>
      </c>
      <c r="F168" s="46">
        <f t="shared" si="123"/>
        <v>1</v>
      </c>
      <c r="G168" s="46">
        <f t="shared" si="123"/>
        <v>1</v>
      </c>
      <c r="H168" s="46">
        <f t="shared" si="123"/>
        <v>1</v>
      </c>
      <c r="I168" s="46">
        <f t="shared" si="123"/>
        <v>1</v>
      </c>
      <c r="J168" s="46">
        <f t="shared" si="123"/>
        <v>1</v>
      </c>
      <c r="K168" s="46" t="e">
        <f>K167+ATM_Conf!$C$5*(T167-AC167)</f>
        <v>#DIV/0!</v>
      </c>
      <c r="L168" s="46" t="e">
        <f>L167+ATM_Conf!$C$5*(U167-AD167)</f>
        <v>#DIV/0!</v>
      </c>
      <c r="M168" s="46" t="e">
        <f>M167+ATM_Conf!$C$5*(V167-AE167)</f>
        <v>#DIV/0!</v>
      </c>
      <c r="N168" s="46" t="e">
        <f>N167+ATM_Conf!$C$5*(W167-AF167)</f>
        <v>#DIV/0!</v>
      </c>
      <c r="O168" s="46" t="e">
        <f>O167+ATM_Conf!$C$5*(X167-AG167)</f>
        <v>#DIV/0!</v>
      </c>
      <c r="P168" s="46" t="e">
        <f>P167+ATM_Conf!$C$5*(Y167-AH167)</f>
        <v>#DIV/0!</v>
      </c>
      <c r="Q168" s="46" t="e">
        <f>Q167+ATM_Conf!$C$5*(Z167-AI167)</f>
        <v>#DIV/0!</v>
      </c>
      <c r="R168" s="46" t="e">
        <f>R167+ATM_Conf!$C$5*(AA167-AJ167)</f>
        <v>#DIV/0!</v>
      </c>
      <c r="S168" s="46" t="e">
        <f>S167+ATM_Conf!$C$5*(AB167-AK167)</f>
        <v>#DIV/0!</v>
      </c>
      <c r="T168" s="46"/>
      <c r="U168" s="46"/>
      <c r="V168" s="46"/>
      <c r="W168" s="46"/>
      <c r="X168" s="46"/>
      <c r="Y168" s="46"/>
      <c r="Z168" s="46"/>
      <c r="AA168" s="46"/>
      <c r="AB168" s="46"/>
      <c r="AC168" s="46" t="e">
        <f t="shared" si="89"/>
        <v>#DIV/0!</v>
      </c>
      <c r="AD168" s="46" t="e">
        <f t="shared" si="90"/>
        <v>#DIV/0!</v>
      </c>
      <c r="AE168" s="46" t="e">
        <f t="shared" si="91"/>
        <v>#DIV/0!</v>
      </c>
      <c r="AF168" s="46" t="e">
        <f t="shared" si="92"/>
        <v>#DIV/0!</v>
      </c>
      <c r="AG168" s="46" t="e">
        <f t="shared" si="93"/>
        <v>#DIV/0!</v>
      </c>
      <c r="AH168" s="46" t="e">
        <f t="shared" si="94"/>
        <v>#DIV/0!</v>
      </c>
      <c r="AI168" s="46" t="e">
        <f t="shared" si="95"/>
        <v>#DIV/0!</v>
      </c>
      <c r="AJ168" s="46" t="e">
        <f t="shared" si="96"/>
        <v>#DIV/0!</v>
      </c>
      <c r="AK168" s="46" t="e">
        <f t="shared" si="97"/>
        <v>#DIV/0!</v>
      </c>
      <c r="AL168" s="46" t="e">
        <f>T$3+K168/ATM_Conf!$C$5</f>
        <v>#DIV/0!</v>
      </c>
      <c r="AM168" s="46" t="e">
        <f>U$3+L168/ATM_Conf!$C$5</f>
        <v>#DIV/0!</v>
      </c>
      <c r="AN168" s="46" t="e">
        <f>V$3+M168/ATM_Conf!$C$5</f>
        <v>#DIV/0!</v>
      </c>
      <c r="AO168" s="46" t="e">
        <f>W$3+N168/ATM_Conf!$C$5</f>
        <v>#DIV/0!</v>
      </c>
      <c r="AP168" s="46" t="e">
        <f>X$3+O168/ATM_Conf!$C$5</f>
        <v>#DIV/0!</v>
      </c>
      <c r="AQ168" s="46" t="e">
        <f>Y$3+P168/ATM_Conf!$C$5</f>
        <v>#DIV/0!</v>
      </c>
      <c r="AR168" s="46" t="e">
        <f>Z$3+Q168/ATM_Conf!$C$5</f>
        <v>#DIV/0!</v>
      </c>
      <c r="AS168" s="46" t="e">
        <f>AA$3+R168/ATM_Conf!$C$5</f>
        <v>#DIV/0!</v>
      </c>
      <c r="AT168" s="46" t="e">
        <f>AB$3+S168/ATM_Conf!$C$5</f>
        <v>#DIV/0!</v>
      </c>
      <c r="AU168" s="46" t="e">
        <f>BD$3*MIN(1,(ATM_Conf!$C$6-Links!F168)/(ATM_Conf!$C$6-ATM_Conf!$C$7))</f>
        <v>#DIV/0!</v>
      </c>
      <c r="AV168" s="46" t="e">
        <f>BE$3*MIN(1,(ATM_Conf!$C$6-Links!G168)/(ATM_Conf!$C$6-ATM_Conf!$C$7))</f>
        <v>#DIV/0!</v>
      </c>
      <c r="AW168" s="46" t="e">
        <f>BF$3*MIN(1,(ATM_Conf!$C$6-Links!H168)/(ATM_Conf!$C$6-ATM_Conf!$C$7))</f>
        <v>#DIV/0!</v>
      </c>
      <c r="AX168" s="46" t="e">
        <f>BG$3*MIN(1,(ATM_Conf!$C$6-Links!I168)/(ATM_Conf!$C$6-ATM_Conf!$C$7))</f>
        <v>#DIV/0!</v>
      </c>
      <c r="AY168" s="46" t="e">
        <f>BH$3*MIN(1,(ATM_Conf!$C$6-Links!J168)/(ATM_Conf!$C$6-ATM_Conf!$C$7))</f>
        <v>#DIV/0!</v>
      </c>
      <c r="AZ168" s="46" t="e">
        <f>BI$3*MIN(1,(ATM_Conf!$C$6-Links!K168)/(ATM_Conf!$C$6-ATM_Conf!$C$7))</f>
        <v>#DIV/0!</v>
      </c>
      <c r="BA168" s="46" t="e">
        <f>BJ$3*MIN(1,(ATM_Conf!$C$6-Links!L168)/(ATM_Conf!$C$6-ATM_Conf!$C$7))</f>
        <v>#DIV/0!</v>
      </c>
      <c r="BB168" s="46" t="e">
        <f>BK$3*MIN(1,(ATM_Conf!$C$6-Links!M168)/(ATM_Conf!$C$6-ATM_Conf!$C$7))</f>
        <v>#DIV/0!</v>
      </c>
      <c r="BC168" s="46" t="e">
        <f>BL$3*MIN(1,(ATM_Conf!$C$6-Links!N168)/(ATM_Conf!$C$6-ATM_Conf!$C$7))</f>
        <v>#DIV/0!</v>
      </c>
      <c r="BD168" s="46"/>
      <c r="BE168" s="46"/>
      <c r="BF168" s="46"/>
      <c r="BG168" s="46"/>
      <c r="BH168" s="46"/>
      <c r="BI168" s="46"/>
      <c r="BJ168" s="46"/>
      <c r="BK168" s="46"/>
      <c r="BL168" s="46"/>
      <c r="BM168" s="54"/>
      <c r="BN168" s="54"/>
      <c r="BO168" s="54"/>
      <c r="BP168" s="54"/>
      <c r="BQ168" s="54"/>
      <c r="BR168" s="54"/>
      <c r="BS168" s="54"/>
      <c r="BT168" s="54"/>
      <c r="BU168" s="54"/>
      <c r="BV168" s="46" t="e">
        <f t="shared" si="98"/>
        <v>#DIV/0!</v>
      </c>
      <c r="BW168" s="46" t="e">
        <f t="shared" si="99"/>
        <v>#DIV/0!</v>
      </c>
      <c r="BX168" s="46" t="e">
        <f t="shared" si="100"/>
        <v>#DIV/0!</v>
      </c>
      <c r="BY168" s="46" t="e">
        <f t="shared" si="101"/>
        <v>#DIV/0!</v>
      </c>
      <c r="BZ168" s="46" t="e">
        <f t="shared" si="102"/>
        <v>#DIV/0!</v>
      </c>
      <c r="CA168" s="46" t="e">
        <f t="shared" si="103"/>
        <v>#DIV/0!</v>
      </c>
      <c r="CB168" s="46" t="e">
        <f t="shared" si="104"/>
        <v>#DIV/0!</v>
      </c>
      <c r="CC168" s="46" t="e">
        <f t="shared" si="105"/>
        <v>#DIV/0!</v>
      </c>
      <c r="CD168" s="46" t="e">
        <f t="shared" si="106"/>
        <v>#DIV/0!</v>
      </c>
      <c r="CE168" s="56" t="e">
        <f t="shared" si="107"/>
        <v>#DIV/0!</v>
      </c>
      <c r="CF168" s="56" t="e">
        <f t="shared" si="108"/>
        <v>#DIV/0!</v>
      </c>
      <c r="CG168" s="56" t="e">
        <f t="shared" si="109"/>
        <v>#DIV/0!</v>
      </c>
      <c r="CH168" s="56" t="e">
        <f t="shared" si="110"/>
        <v>#DIV/0!</v>
      </c>
      <c r="CI168" s="56" t="e">
        <f t="shared" si="111"/>
        <v>#DIV/0!</v>
      </c>
      <c r="CJ168" s="56" t="e">
        <f t="shared" si="112"/>
        <v>#DIV/0!</v>
      </c>
      <c r="CK168" s="56" t="e">
        <f t="shared" si="113"/>
        <v>#DIV/0!</v>
      </c>
      <c r="CL168" s="56" t="e">
        <f t="shared" si="114"/>
        <v>#DIV/0!</v>
      </c>
      <c r="CM168" s="56" t="e">
        <f t="shared" si="115"/>
        <v>#DIV/0!</v>
      </c>
    </row>
    <row r="169" spans="1:91" x14ac:dyDescent="0.15">
      <c r="A169" s="43">
        <v>167</v>
      </c>
      <c r="B169" s="46">
        <f t="shared" si="124"/>
        <v>1</v>
      </c>
      <c r="C169" s="46">
        <f t="shared" si="123"/>
        <v>1</v>
      </c>
      <c r="D169" s="46">
        <f t="shared" si="123"/>
        <v>1</v>
      </c>
      <c r="E169" s="46">
        <f t="shared" si="123"/>
        <v>1</v>
      </c>
      <c r="F169" s="46">
        <f t="shared" si="123"/>
        <v>1</v>
      </c>
      <c r="G169" s="46">
        <f t="shared" si="123"/>
        <v>1</v>
      </c>
      <c r="H169" s="46">
        <f t="shared" si="123"/>
        <v>1</v>
      </c>
      <c r="I169" s="46">
        <f t="shared" si="123"/>
        <v>1</v>
      </c>
      <c r="J169" s="46">
        <f t="shared" si="123"/>
        <v>1</v>
      </c>
      <c r="K169" s="46" t="e">
        <f>K168+ATM_Conf!$C$5*(T168-AC168)</f>
        <v>#DIV/0!</v>
      </c>
      <c r="L169" s="46" t="e">
        <f>L168+ATM_Conf!$C$5*(U168-AD168)</f>
        <v>#DIV/0!</v>
      </c>
      <c r="M169" s="46" t="e">
        <f>M168+ATM_Conf!$C$5*(V168-AE168)</f>
        <v>#DIV/0!</v>
      </c>
      <c r="N169" s="46" t="e">
        <f>N168+ATM_Conf!$C$5*(W168-AF168)</f>
        <v>#DIV/0!</v>
      </c>
      <c r="O169" s="46" t="e">
        <f>O168+ATM_Conf!$C$5*(X168-AG168)</f>
        <v>#DIV/0!</v>
      </c>
      <c r="P169" s="46" t="e">
        <f>P168+ATM_Conf!$C$5*(Y168-AH168)</f>
        <v>#DIV/0!</v>
      </c>
      <c r="Q169" s="46" t="e">
        <f>Q168+ATM_Conf!$C$5*(Z168-AI168)</f>
        <v>#DIV/0!</v>
      </c>
      <c r="R169" s="46" t="e">
        <f>R168+ATM_Conf!$C$5*(AA168-AJ168)</f>
        <v>#DIV/0!</v>
      </c>
      <c r="S169" s="46" t="e">
        <f>S168+ATM_Conf!$C$5*(AB168-AK168)</f>
        <v>#DIV/0!</v>
      </c>
      <c r="T169" s="46"/>
      <c r="U169" s="46"/>
      <c r="V169" s="46"/>
      <c r="W169" s="46"/>
      <c r="X169" s="46"/>
      <c r="Y169" s="46"/>
      <c r="Z169" s="46"/>
      <c r="AA169" s="46"/>
      <c r="AB169" s="46"/>
      <c r="AC169" s="46" t="e">
        <f t="shared" si="89"/>
        <v>#DIV/0!</v>
      </c>
      <c r="AD169" s="46" t="e">
        <f t="shared" si="90"/>
        <v>#DIV/0!</v>
      </c>
      <c r="AE169" s="46" t="e">
        <f t="shared" si="91"/>
        <v>#DIV/0!</v>
      </c>
      <c r="AF169" s="46" t="e">
        <f t="shared" si="92"/>
        <v>#DIV/0!</v>
      </c>
      <c r="AG169" s="46" t="e">
        <f t="shared" si="93"/>
        <v>#DIV/0!</v>
      </c>
      <c r="AH169" s="46" t="e">
        <f t="shared" si="94"/>
        <v>#DIV/0!</v>
      </c>
      <c r="AI169" s="46" t="e">
        <f t="shared" si="95"/>
        <v>#DIV/0!</v>
      </c>
      <c r="AJ169" s="46" t="e">
        <f t="shared" si="96"/>
        <v>#DIV/0!</v>
      </c>
      <c r="AK169" s="46" t="e">
        <f t="shared" si="97"/>
        <v>#DIV/0!</v>
      </c>
      <c r="AL169" s="46" t="e">
        <f>T$3+K169/ATM_Conf!$C$5</f>
        <v>#DIV/0!</v>
      </c>
      <c r="AM169" s="46" t="e">
        <f>U$3+L169/ATM_Conf!$C$5</f>
        <v>#DIV/0!</v>
      </c>
      <c r="AN169" s="46" t="e">
        <f>V$3+M169/ATM_Conf!$C$5</f>
        <v>#DIV/0!</v>
      </c>
      <c r="AO169" s="46" t="e">
        <f>W$3+N169/ATM_Conf!$C$5</f>
        <v>#DIV/0!</v>
      </c>
      <c r="AP169" s="46" t="e">
        <f>X$3+O169/ATM_Conf!$C$5</f>
        <v>#DIV/0!</v>
      </c>
      <c r="AQ169" s="46" t="e">
        <f>Y$3+P169/ATM_Conf!$C$5</f>
        <v>#DIV/0!</v>
      </c>
      <c r="AR169" s="46" t="e">
        <f>Z$3+Q169/ATM_Conf!$C$5</f>
        <v>#DIV/0!</v>
      </c>
      <c r="AS169" s="46" t="e">
        <f>AA$3+R169/ATM_Conf!$C$5</f>
        <v>#DIV/0!</v>
      </c>
      <c r="AT169" s="46" t="e">
        <f>AB$3+S169/ATM_Conf!$C$5</f>
        <v>#DIV/0!</v>
      </c>
      <c r="AU169" s="46" t="e">
        <f>BD$3*MIN(1,(ATM_Conf!$C$6-Links!F169)/(ATM_Conf!$C$6-ATM_Conf!$C$7))</f>
        <v>#DIV/0!</v>
      </c>
      <c r="AV169" s="46" t="e">
        <f>BE$3*MIN(1,(ATM_Conf!$C$6-Links!G169)/(ATM_Conf!$C$6-ATM_Conf!$C$7))</f>
        <v>#DIV/0!</v>
      </c>
      <c r="AW169" s="46" t="e">
        <f>BF$3*MIN(1,(ATM_Conf!$C$6-Links!H169)/(ATM_Conf!$C$6-ATM_Conf!$C$7))</f>
        <v>#DIV/0!</v>
      </c>
      <c r="AX169" s="46" t="e">
        <f>BG$3*MIN(1,(ATM_Conf!$C$6-Links!I169)/(ATM_Conf!$C$6-ATM_Conf!$C$7))</f>
        <v>#DIV/0!</v>
      </c>
      <c r="AY169" s="46" t="e">
        <f>BH$3*MIN(1,(ATM_Conf!$C$6-Links!J169)/(ATM_Conf!$C$6-ATM_Conf!$C$7))</f>
        <v>#DIV/0!</v>
      </c>
      <c r="AZ169" s="46" t="e">
        <f>BI$3*MIN(1,(ATM_Conf!$C$6-Links!K169)/(ATM_Conf!$C$6-ATM_Conf!$C$7))</f>
        <v>#DIV/0!</v>
      </c>
      <c r="BA169" s="46" t="e">
        <f>BJ$3*MIN(1,(ATM_Conf!$C$6-Links!L169)/(ATM_Conf!$C$6-ATM_Conf!$C$7))</f>
        <v>#DIV/0!</v>
      </c>
      <c r="BB169" s="46" t="e">
        <f>BK$3*MIN(1,(ATM_Conf!$C$6-Links!M169)/(ATM_Conf!$C$6-ATM_Conf!$C$7))</f>
        <v>#DIV/0!</v>
      </c>
      <c r="BC169" s="46" t="e">
        <f>BL$3*MIN(1,(ATM_Conf!$C$6-Links!N169)/(ATM_Conf!$C$6-ATM_Conf!$C$7))</f>
        <v>#DIV/0!</v>
      </c>
      <c r="BD169" s="46"/>
      <c r="BE169" s="46"/>
      <c r="BF169" s="46"/>
      <c r="BG169" s="46"/>
      <c r="BH169" s="46"/>
      <c r="BI169" s="46"/>
      <c r="BJ169" s="46"/>
      <c r="BK169" s="46"/>
      <c r="BL169" s="46"/>
      <c r="BM169" s="54"/>
      <c r="BN169" s="54"/>
      <c r="BO169" s="54"/>
      <c r="BP169" s="54"/>
      <c r="BQ169" s="54"/>
      <c r="BR169" s="54"/>
      <c r="BS169" s="54"/>
      <c r="BT169" s="54"/>
      <c r="BU169" s="54"/>
      <c r="BV169" s="46" t="e">
        <f t="shared" si="98"/>
        <v>#DIV/0!</v>
      </c>
      <c r="BW169" s="46" t="e">
        <f t="shared" si="99"/>
        <v>#DIV/0!</v>
      </c>
      <c r="BX169" s="46" t="e">
        <f t="shared" si="100"/>
        <v>#DIV/0!</v>
      </c>
      <c r="BY169" s="46" t="e">
        <f t="shared" si="101"/>
        <v>#DIV/0!</v>
      </c>
      <c r="BZ169" s="46" t="e">
        <f t="shared" si="102"/>
        <v>#DIV/0!</v>
      </c>
      <c r="CA169" s="46" t="e">
        <f t="shared" si="103"/>
        <v>#DIV/0!</v>
      </c>
      <c r="CB169" s="46" t="e">
        <f t="shared" si="104"/>
        <v>#DIV/0!</v>
      </c>
      <c r="CC169" s="46" t="e">
        <f t="shared" si="105"/>
        <v>#DIV/0!</v>
      </c>
      <c r="CD169" s="46" t="e">
        <f t="shared" si="106"/>
        <v>#DIV/0!</v>
      </c>
      <c r="CE169" s="56" t="e">
        <f t="shared" si="107"/>
        <v>#DIV/0!</v>
      </c>
      <c r="CF169" s="56" t="e">
        <f t="shared" si="108"/>
        <v>#DIV/0!</v>
      </c>
      <c r="CG169" s="56" t="e">
        <f t="shared" si="109"/>
        <v>#DIV/0!</v>
      </c>
      <c r="CH169" s="56" t="e">
        <f t="shared" si="110"/>
        <v>#DIV/0!</v>
      </c>
      <c r="CI169" s="56" t="e">
        <f t="shared" si="111"/>
        <v>#DIV/0!</v>
      </c>
      <c r="CJ169" s="56" t="e">
        <f t="shared" si="112"/>
        <v>#DIV/0!</v>
      </c>
      <c r="CK169" s="56" t="e">
        <f t="shared" si="113"/>
        <v>#DIV/0!</v>
      </c>
      <c r="CL169" s="56" t="e">
        <f t="shared" si="114"/>
        <v>#DIV/0!</v>
      </c>
      <c r="CM169" s="56" t="e">
        <f t="shared" si="115"/>
        <v>#DIV/0!</v>
      </c>
    </row>
    <row r="170" spans="1:91" x14ac:dyDescent="0.15">
      <c r="A170" s="43">
        <v>168</v>
      </c>
      <c r="B170" s="46">
        <f t="shared" si="124"/>
        <v>1</v>
      </c>
      <c r="C170" s="46">
        <f t="shared" si="123"/>
        <v>1</v>
      </c>
      <c r="D170" s="46">
        <f t="shared" si="123"/>
        <v>1</v>
      </c>
      <c r="E170" s="46">
        <f t="shared" si="123"/>
        <v>1</v>
      </c>
      <c r="F170" s="46">
        <f t="shared" si="123"/>
        <v>1</v>
      </c>
      <c r="G170" s="46">
        <f t="shared" si="123"/>
        <v>1</v>
      </c>
      <c r="H170" s="46">
        <f t="shared" si="123"/>
        <v>1</v>
      </c>
      <c r="I170" s="46">
        <f t="shared" si="123"/>
        <v>1</v>
      </c>
      <c r="J170" s="46">
        <f t="shared" si="123"/>
        <v>1</v>
      </c>
      <c r="K170" s="46" t="e">
        <f>K169+ATM_Conf!$C$5*(T169-AC169)</f>
        <v>#DIV/0!</v>
      </c>
      <c r="L170" s="46" t="e">
        <f>L169+ATM_Conf!$C$5*(U169-AD169)</f>
        <v>#DIV/0!</v>
      </c>
      <c r="M170" s="46" t="e">
        <f>M169+ATM_Conf!$C$5*(V169-AE169)</f>
        <v>#DIV/0!</v>
      </c>
      <c r="N170" s="46" t="e">
        <f>N169+ATM_Conf!$C$5*(W169-AF169)</f>
        <v>#DIV/0!</v>
      </c>
      <c r="O170" s="46" t="e">
        <f>O169+ATM_Conf!$C$5*(X169-AG169)</f>
        <v>#DIV/0!</v>
      </c>
      <c r="P170" s="46" t="e">
        <f>P169+ATM_Conf!$C$5*(Y169-AH169)</f>
        <v>#DIV/0!</v>
      </c>
      <c r="Q170" s="46" t="e">
        <f>Q169+ATM_Conf!$C$5*(Z169-AI169)</f>
        <v>#DIV/0!</v>
      </c>
      <c r="R170" s="46" t="e">
        <f>R169+ATM_Conf!$C$5*(AA169-AJ169)</f>
        <v>#DIV/0!</v>
      </c>
      <c r="S170" s="46" t="e">
        <f>S169+ATM_Conf!$C$5*(AB169-AK169)</f>
        <v>#DIV/0!</v>
      </c>
      <c r="T170" s="46"/>
      <c r="U170" s="46"/>
      <c r="V170" s="46"/>
      <c r="W170" s="46"/>
      <c r="X170" s="46"/>
      <c r="Y170" s="46"/>
      <c r="Z170" s="46"/>
      <c r="AA170" s="46"/>
      <c r="AB170" s="46"/>
      <c r="AC170" s="46" t="e">
        <f t="shared" si="89"/>
        <v>#DIV/0!</v>
      </c>
      <c r="AD170" s="46" t="e">
        <f t="shared" si="90"/>
        <v>#DIV/0!</v>
      </c>
      <c r="AE170" s="46" t="e">
        <f t="shared" si="91"/>
        <v>#DIV/0!</v>
      </c>
      <c r="AF170" s="46" t="e">
        <f t="shared" si="92"/>
        <v>#DIV/0!</v>
      </c>
      <c r="AG170" s="46" t="e">
        <f t="shared" si="93"/>
        <v>#DIV/0!</v>
      </c>
      <c r="AH170" s="46" t="e">
        <f t="shared" si="94"/>
        <v>#DIV/0!</v>
      </c>
      <c r="AI170" s="46" t="e">
        <f t="shared" si="95"/>
        <v>#DIV/0!</v>
      </c>
      <c r="AJ170" s="46" t="e">
        <f t="shared" si="96"/>
        <v>#DIV/0!</v>
      </c>
      <c r="AK170" s="46" t="e">
        <f t="shared" si="97"/>
        <v>#DIV/0!</v>
      </c>
      <c r="AL170" s="46" t="e">
        <f>T$3+K170/ATM_Conf!$C$5</f>
        <v>#DIV/0!</v>
      </c>
      <c r="AM170" s="46" t="e">
        <f>U$3+L170/ATM_Conf!$C$5</f>
        <v>#DIV/0!</v>
      </c>
      <c r="AN170" s="46" t="e">
        <f>V$3+M170/ATM_Conf!$C$5</f>
        <v>#DIV/0!</v>
      </c>
      <c r="AO170" s="46" t="e">
        <f>W$3+N170/ATM_Conf!$C$5</f>
        <v>#DIV/0!</v>
      </c>
      <c r="AP170" s="46" t="e">
        <f>X$3+O170/ATM_Conf!$C$5</f>
        <v>#DIV/0!</v>
      </c>
      <c r="AQ170" s="46" t="e">
        <f>Y$3+P170/ATM_Conf!$C$5</f>
        <v>#DIV/0!</v>
      </c>
      <c r="AR170" s="46" t="e">
        <f>Z$3+Q170/ATM_Conf!$C$5</f>
        <v>#DIV/0!</v>
      </c>
      <c r="AS170" s="46" t="e">
        <f>AA$3+R170/ATM_Conf!$C$5</f>
        <v>#DIV/0!</v>
      </c>
      <c r="AT170" s="46" t="e">
        <f>AB$3+S170/ATM_Conf!$C$5</f>
        <v>#DIV/0!</v>
      </c>
      <c r="AU170" s="46" t="e">
        <f>BD$3*MIN(1,(ATM_Conf!$C$6-Links!F170)/(ATM_Conf!$C$6-ATM_Conf!$C$7))</f>
        <v>#DIV/0!</v>
      </c>
      <c r="AV170" s="46" t="e">
        <f>BE$3*MIN(1,(ATM_Conf!$C$6-Links!G170)/(ATM_Conf!$C$6-ATM_Conf!$C$7))</f>
        <v>#DIV/0!</v>
      </c>
      <c r="AW170" s="46" t="e">
        <f>BF$3*MIN(1,(ATM_Conf!$C$6-Links!H170)/(ATM_Conf!$C$6-ATM_Conf!$C$7))</f>
        <v>#DIV/0!</v>
      </c>
      <c r="AX170" s="46" t="e">
        <f>BG$3*MIN(1,(ATM_Conf!$C$6-Links!I170)/(ATM_Conf!$C$6-ATM_Conf!$C$7))</f>
        <v>#DIV/0!</v>
      </c>
      <c r="AY170" s="46" t="e">
        <f>BH$3*MIN(1,(ATM_Conf!$C$6-Links!J170)/(ATM_Conf!$C$6-ATM_Conf!$C$7))</f>
        <v>#DIV/0!</v>
      </c>
      <c r="AZ170" s="46" t="e">
        <f>BI$3*MIN(1,(ATM_Conf!$C$6-Links!K170)/(ATM_Conf!$C$6-ATM_Conf!$C$7))</f>
        <v>#DIV/0!</v>
      </c>
      <c r="BA170" s="46" t="e">
        <f>BJ$3*MIN(1,(ATM_Conf!$C$6-Links!L170)/(ATM_Conf!$C$6-ATM_Conf!$C$7))</f>
        <v>#DIV/0!</v>
      </c>
      <c r="BB170" s="46" t="e">
        <f>BK$3*MIN(1,(ATM_Conf!$C$6-Links!M170)/(ATM_Conf!$C$6-ATM_Conf!$C$7))</f>
        <v>#DIV/0!</v>
      </c>
      <c r="BC170" s="46" t="e">
        <f>BL$3*MIN(1,(ATM_Conf!$C$6-Links!N170)/(ATM_Conf!$C$6-ATM_Conf!$C$7))</f>
        <v>#DIV/0!</v>
      </c>
      <c r="BD170" s="46"/>
      <c r="BE170" s="46"/>
      <c r="BF170" s="46"/>
      <c r="BG170" s="46"/>
      <c r="BH170" s="46"/>
      <c r="BI170" s="46"/>
      <c r="BJ170" s="46"/>
      <c r="BK170" s="46"/>
      <c r="BL170" s="46"/>
      <c r="BM170" s="54"/>
      <c r="BN170" s="54"/>
      <c r="BO170" s="54"/>
      <c r="BP170" s="54"/>
      <c r="BQ170" s="54"/>
      <c r="BR170" s="54"/>
      <c r="BS170" s="54"/>
      <c r="BT170" s="54"/>
      <c r="BU170" s="54"/>
      <c r="BV170" s="46" t="e">
        <f t="shared" si="98"/>
        <v>#DIV/0!</v>
      </c>
      <c r="BW170" s="46" t="e">
        <f t="shared" si="99"/>
        <v>#DIV/0!</v>
      </c>
      <c r="BX170" s="46" t="e">
        <f t="shared" si="100"/>
        <v>#DIV/0!</v>
      </c>
      <c r="BY170" s="46" t="e">
        <f t="shared" si="101"/>
        <v>#DIV/0!</v>
      </c>
      <c r="BZ170" s="46" t="e">
        <f t="shared" si="102"/>
        <v>#DIV/0!</v>
      </c>
      <c r="CA170" s="46" t="e">
        <f t="shared" si="103"/>
        <v>#DIV/0!</v>
      </c>
      <c r="CB170" s="46" t="e">
        <f t="shared" si="104"/>
        <v>#DIV/0!</v>
      </c>
      <c r="CC170" s="46" t="e">
        <f t="shared" si="105"/>
        <v>#DIV/0!</v>
      </c>
      <c r="CD170" s="46" t="e">
        <f t="shared" si="106"/>
        <v>#DIV/0!</v>
      </c>
      <c r="CE170" s="56" t="e">
        <f t="shared" si="107"/>
        <v>#DIV/0!</v>
      </c>
      <c r="CF170" s="56" t="e">
        <f t="shared" si="108"/>
        <v>#DIV/0!</v>
      </c>
      <c r="CG170" s="56" t="e">
        <f t="shared" si="109"/>
        <v>#DIV/0!</v>
      </c>
      <c r="CH170" s="56" t="e">
        <f t="shared" si="110"/>
        <v>#DIV/0!</v>
      </c>
      <c r="CI170" s="56" t="e">
        <f t="shared" si="111"/>
        <v>#DIV/0!</v>
      </c>
      <c r="CJ170" s="56" t="e">
        <f t="shared" si="112"/>
        <v>#DIV/0!</v>
      </c>
      <c r="CK170" s="56" t="e">
        <f t="shared" si="113"/>
        <v>#DIV/0!</v>
      </c>
      <c r="CL170" s="56" t="e">
        <f t="shared" si="114"/>
        <v>#DIV/0!</v>
      </c>
      <c r="CM170" s="56" t="e">
        <f t="shared" si="115"/>
        <v>#DIV/0!</v>
      </c>
    </row>
    <row r="171" spans="1:91" x14ac:dyDescent="0.15">
      <c r="A171" s="43">
        <v>169</v>
      </c>
      <c r="B171" s="48">
        <v>1</v>
      </c>
      <c r="C171" s="48">
        <v>1</v>
      </c>
      <c r="D171" s="48">
        <v>1</v>
      </c>
      <c r="E171" s="48">
        <v>1</v>
      </c>
      <c r="F171" s="48">
        <v>1</v>
      </c>
      <c r="G171" s="48">
        <v>1</v>
      </c>
      <c r="H171" s="48">
        <v>1</v>
      </c>
      <c r="I171" s="48">
        <v>1</v>
      </c>
      <c r="J171" s="48">
        <v>1</v>
      </c>
      <c r="K171" s="46" t="e">
        <f>K170+ATM_Conf!$C$5*(T170-AC170)</f>
        <v>#DIV/0!</v>
      </c>
      <c r="L171" s="46" t="e">
        <f>L170+ATM_Conf!$C$5*(U170-AD170)</f>
        <v>#DIV/0!</v>
      </c>
      <c r="M171" s="46" t="e">
        <f>M170+ATM_Conf!$C$5*(V170-AE170)</f>
        <v>#DIV/0!</v>
      </c>
      <c r="N171" s="46" t="e">
        <f>N170+ATM_Conf!$C$5*(W170-AF170)</f>
        <v>#DIV/0!</v>
      </c>
      <c r="O171" s="46" t="e">
        <f>O170+ATM_Conf!$C$5*(X170-AG170)</f>
        <v>#DIV/0!</v>
      </c>
      <c r="P171" s="46" t="e">
        <f>P170+ATM_Conf!$C$5*(Y170-AH170)</f>
        <v>#DIV/0!</v>
      </c>
      <c r="Q171" s="46" t="e">
        <f>Q170+ATM_Conf!$C$5*(Z170-AI170)</f>
        <v>#DIV/0!</v>
      </c>
      <c r="R171" s="46" t="e">
        <f>R170+ATM_Conf!$C$5*(AA170-AJ170)</f>
        <v>#DIV/0!</v>
      </c>
      <c r="S171" s="46" t="e">
        <f>S170+ATM_Conf!$C$5*(AB170-AK170)</f>
        <v>#DIV/0!</v>
      </c>
      <c r="T171" s="46"/>
      <c r="U171" s="46"/>
      <c r="V171" s="46"/>
      <c r="W171" s="46"/>
      <c r="X171" s="46"/>
      <c r="Y171" s="46"/>
      <c r="Z171" s="46"/>
      <c r="AA171" s="46"/>
      <c r="AB171" s="46"/>
      <c r="AC171" s="46" t="e">
        <f t="shared" si="89"/>
        <v>#DIV/0!</v>
      </c>
      <c r="AD171" s="46" t="e">
        <f t="shared" si="90"/>
        <v>#DIV/0!</v>
      </c>
      <c r="AE171" s="46" t="e">
        <f t="shared" si="91"/>
        <v>#DIV/0!</v>
      </c>
      <c r="AF171" s="46" t="e">
        <f t="shared" si="92"/>
        <v>#DIV/0!</v>
      </c>
      <c r="AG171" s="46" t="e">
        <f t="shared" si="93"/>
        <v>#DIV/0!</v>
      </c>
      <c r="AH171" s="46" t="e">
        <f t="shared" si="94"/>
        <v>#DIV/0!</v>
      </c>
      <c r="AI171" s="46" t="e">
        <f t="shared" si="95"/>
        <v>#DIV/0!</v>
      </c>
      <c r="AJ171" s="46" t="e">
        <f t="shared" si="96"/>
        <v>#DIV/0!</v>
      </c>
      <c r="AK171" s="46" t="e">
        <f t="shared" si="97"/>
        <v>#DIV/0!</v>
      </c>
      <c r="AL171" s="46" t="e">
        <f>T$3+K171/ATM_Conf!$C$5</f>
        <v>#DIV/0!</v>
      </c>
      <c r="AM171" s="46" t="e">
        <f>U$3+L171/ATM_Conf!$C$5</f>
        <v>#DIV/0!</v>
      </c>
      <c r="AN171" s="46" t="e">
        <f>V$3+M171/ATM_Conf!$C$5</f>
        <v>#DIV/0!</v>
      </c>
      <c r="AO171" s="46" t="e">
        <f>W$3+N171/ATM_Conf!$C$5</f>
        <v>#DIV/0!</v>
      </c>
      <c r="AP171" s="46" t="e">
        <f>X$3+O171/ATM_Conf!$C$5</f>
        <v>#DIV/0!</v>
      </c>
      <c r="AQ171" s="46" t="e">
        <f>Y$3+P171/ATM_Conf!$C$5</f>
        <v>#DIV/0!</v>
      </c>
      <c r="AR171" s="46" t="e">
        <f>Z$3+Q171/ATM_Conf!$C$5</f>
        <v>#DIV/0!</v>
      </c>
      <c r="AS171" s="46" t="e">
        <f>AA$3+R171/ATM_Conf!$C$5</f>
        <v>#DIV/0!</v>
      </c>
      <c r="AT171" s="46" t="e">
        <f>AB$3+S171/ATM_Conf!$C$5</f>
        <v>#DIV/0!</v>
      </c>
      <c r="AU171" s="46" t="e">
        <f>BD$3*MIN(1,(ATM_Conf!$C$6-Links!F171)/(ATM_Conf!$C$6-ATM_Conf!$C$7))</f>
        <v>#DIV/0!</v>
      </c>
      <c r="AV171" s="46" t="e">
        <f>BE$3*MIN(1,(ATM_Conf!$C$6-Links!G171)/(ATM_Conf!$C$6-ATM_Conf!$C$7))</f>
        <v>#DIV/0!</v>
      </c>
      <c r="AW171" s="46" t="e">
        <f>BF$3*MIN(1,(ATM_Conf!$C$6-Links!H171)/(ATM_Conf!$C$6-ATM_Conf!$C$7))</f>
        <v>#DIV/0!</v>
      </c>
      <c r="AX171" s="46" t="e">
        <f>BG$3*MIN(1,(ATM_Conf!$C$6-Links!I171)/(ATM_Conf!$C$6-ATM_Conf!$C$7))</f>
        <v>#DIV/0!</v>
      </c>
      <c r="AY171" s="46" t="e">
        <f>BH$3*MIN(1,(ATM_Conf!$C$6-Links!J171)/(ATM_Conf!$C$6-ATM_Conf!$C$7))</f>
        <v>#DIV/0!</v>
      </c>
      <c r="AZ171" s="46" t="e">
        <f>BI$3*MIN(1,(ATM_Conf!$C$6-Links!K171)/(ATM_Conf!$C$6-ATM_Conf!$C$7))</f>
        <v>#DIV/0!</v>
      </c>
      <c r="BA171" s="46" t="e">
        <f>BJ$3*MIN(1,(ATM_Conf!$C$6-Links!L171)/(ATM_Conf!$C$6-ATM_Conf!$C$7))</f>
        <v>#DIV/0!</v>
      </c>
      <c r="BB171" s="46" t="e">
        <f>BK$3*MIN(1,(ATM_Conf!$C$6-Links!M171)/(ATM_Conf!$C$6-ATM_Conf!$C$7))</f>
        <v>#DIV/0!</v>
      </c>
      <c r="BC171" s="46" t="e">
        <f>BL$3*MIN(1,(ATM_Conf!$C$6-Links!N171)/(ATM_Conf!$C$6-ATM_Conf!$C$7))</f>
        <v>#DIV/0!</v>
      </c>
      <c r="BD171" s="46"/>
      <c r="BE171" s="46"/>
      <c r="BF171" s="46"/>
      <c r="BG171" s="46"/>
      <c r="BH171" s="46"/>
      <c r="BI171" s="46"/>
      <c r="BJ171" s="46"/>
      <c r="BK171" s="46"/>
      <c r="BL171" s="46"/>
      <c r="BM171" s="54">
        <f>(B171-B159)^2</f>
        <v>0</v>
      </c>
      <c r="BN171" s="54">
        <f t="shared" ref="BN171:BU171" si="125">(C171-C159)^2</f>
        <v>0</v>
      </c>
      <c r="BO171" s="54">
        <f t="shared" si="125"/>
        <v>0</v>
      </c>
      <c r="BP171" s="54">
        <f t="shared" si="125"/>
        <v>0</v>
      </c>
      <c r="BQ171" s="54">
        <f t="shared" si="125"/>
        <v>0</v>
      </c>
      <c r="BR171" s="54">
        <f t="shared" si="125"/>
        <v>0</v>
      </c>
      <c r="BS171" s="54">
        <f t="shared" si="125"/>
        <v>0</v>
      </c>
      <c r="BT171" s="54">
        <f t="shared" si="125"/>
        <v>0</v>
      </c>
      <c r="BU171" s="54">
        <f t="shared" si="125"/>
        <v>0</v>
      </c>
      <c r="BV171" s="46" t="e">
        <f t="shared" si="98"/>
        <v>#DIV/0!</v>
      </c>
      <c r="BW171" s="46" t="e">
        <f t="shared" si="99"/>
        <v>#DIV/0!</v>
      </c>
      <c r="BX171" s="46" t="e">
        <f t="shared" si="100"/>
        <v>#DIV/0!</v>
      </c>
      <c r="BY171" s="46" t="e">
        <f t="shared" si="101"/>
        <v>#DIV/0!</v>
      </c>
      <c r="BZ171" s="46" t="e">
        <f t="shared" si="102"/>
        <v>#DIV/0!</v>
      </c>
      <c r="CA171" s="46" t="e">
        <f t="shared" si="103"/>
        <v>#DIV/0!</v>
      </c>
      <c r="CB171" s="46" t="e">
        <f t="shared" si="104"/>
        <v>#DIV/0!</v>
      </c>
      <c r="CC171" s="46" t="e">
        <f t="shared" si="105"/>
        <v>#DIV/0!</v>
      </c>
      <c r="CD171" s="46" t="e">
        <f t="shared" si="106"/>
        <v>#DIV/0!</v>
      </c>
      <c r="CE171" s="56" t="e">
        <f t="shared" si="107"/>
        <v>#DIV/0!</v>
      </c>
      <c r="CF171" s="56" t="e">
        <f t="shared" si="108"/>
        <v>#DIV/0!</v>
      </c>
      <c r="CG171" s="56" t="e">
        <f t="shared" si="109"/>
        <v>#DIV/0!</v>
      </c>
      <c r="CH171" s="56" t="e">
        <f t="shared" si="110"/>
        <v>#DIV/0!</v>
      </c>
      <c r="CI171" s="56" t="e">
        <f t="shared" si="111"/>
        <v>#DIV/0!</v>
      </c>
      <c r="CJ171" s="56" t="e">
        <f t="shared" si="112"/>
        <v>#DIV/0!</v>
      </c>
      <c r="CK171" s="56" t="e">
        <f t="shared" si="113"/>
        <v>#DIV/0!</v>
      </c>
      <c r="CL171" s="56" t="e">
        <f t="shared" si="114"/>
        <v>#DIV/0!</v>
      </c>
      <c r="CM171" s="56" t="e">
        <f t="shared" si="115"/>
        <v>#DIV/0!</v>
      </c>
    </row>
    <row r="172" spans="1:91" x14ac:dyDescent="0.15">
      <c r="A172" s="43">
        <v>170</v>
      </c>
      <c r="B172" s="46">
        <f>B$171</f>
        <v>1</v>
      </c>
      <c r="C172" s="46">
        <f t="shared" ref="C172:J182" si="126">C$171</f>
        <v>1</v>
      </c>
      <c r="D172" s="46">
        <f t="shared" si="126"/>
        <v>1</v>
      </c>
      <c r="E172" s="46">
        <f t="shared" si="126"/>
        <v>1</v>
      </c>
      <c r="F172" s="46">
        <f t="shared" si="126"/>
        <v>1</v>
      </c>
      <c r="G172" s="46">
        <f t="shared" si="126"/>
        <v>1</v>
      </c>
      <c r="H172" s="46">
        <f t="shared" si="126"/>
        <v>1</v>
      </c>
      <c r="I172" s="46">
        <f t="shared" si="126"/>
        <v>1</v>
      </c>
      <c r="J172" s="46">
        <f t="shared" si="126"/>
        <v>1</v>
      </c>
      <c r="K172" s="46" t="e">
        <f>K171+ATM_Conf!$C$5*(T171-AC171)</f>
        <v>#DIV/0!</v>
      </c>
      <c r="L172" s="46" t="e">
        <f>L171+ATM_Conf!$C$5*(U171-AD171)</f>
        <v>#DIV/0!</v>
      </c>
      <c r="M172" s="46" t="e">
        <f>M171+ATM_Conf!$C$5*(V171-AE171)</f>
        <v>#DIV/0!</v>
      </c>
      <c r="N172" s="46" t="e">
        <f>N171+ATM_Conf!$C$5*(W171-AF171)</f>
        <v>#DIV/0!</v>
      </c>
      <c r="O172" s="46" t="e">
        <f>O171+ATM_Conf!$C$5*(X171-AG171)</f>
        <v>#DIV/0!</v>
      </c>
      <c r="P172" s="46" t="e">
        <f>P171+ATM_Conf!$C$5*(Y171-AH171)</f>
        <v>#DIV/0!</v>
      </c>
      <c r="Q172" s="46" t="e">
        <f>Q171+ATM_Conf!$C$5*(Z171-AI171)</f>
        <v>#DIV/0!</v>
      </c>
      <c r="R172" s="46" t="e">
        <f>R171+ATM_Conf!$C$5*(AA171-AJ171)</f>
        <v>#DIV/0!</v>
      </c>
      <c r="S172" s="46" t="e">
        <f>S171+ATM_Conf!$C$5*(AB171-AK171)</f>
        <v>#DIV/0!</v>
      </c>
      <c r="T172" s="46"/>
      <c r="U172" s="46"/>
      <c r="V172" s="46"/>
      <c r="W172" s="46"/>
      <c r="X172" s="46"/>
      <c r="Y172" s="46"/>
      <c r="Z172" s="46"/>
      <c r="AA172" s="46"/>
      <c r="AB172" s="46"/>
      <c r="AC172" s="46" t="e">
        <f t="shared" si="89"/>
        <v>#DIV/0!</v>
      </c>
      <c r="AD172" s="46" t="e">
        <f t="shared" si="90"/>
        <v>#DIV/0!</v>
      </c>
      <c r="AE172" s="46" t="e">
        <f t="shared" si="91"/>
        <v>#DIV/0!</v>
      </c>
      <c r="AF172" s="46" t="e">
        <f t="shared" si="92"/>
        <v>#DIV/0!</v>
      </c>
      <c r="AG172" s="46" t="e">
        <f t="shared" si="93"/>
        <v>#DIV/0!</v>
      </c>
      <c r="AH172" s="46" t="e">
        <f t="shared" si="94"/>
        <v>#DIV/0!</v>
      </c>
      <c r="AI172" s="46" t="e">
        <f t="shared" si="95"/>
        <v>#DIV/0!</v>
      </c>
      <c r="AJ172" s="46" t="e">
        <f t="shared" si="96"/>
        <v>#DIV/0!</v>
      </c>
      <c r="AK172" s="46" t="e">
        <f t="shared" si="97"/>
        <v>#DIV/0!</v>
      </c>
      <c r="AL172" s="46" t="e">
        <f>T$3+K172/ATM_Conf!$C$5</f>
        <v>#DIV/0!</v>
      </c>
      <c r="AM172" s="46" t="e">
        <f>U$3+L172/ATM_Conf!$C$5</f>
        <v>#DIV/0!</v>
      </c>
      <c r="AN172" s="46" t="e">
        <f>V$3+M172/ATM_Conf!$C$5</f>
        <v>#DIV/0!</v>
      </c>
      <c r="AO172" s="46" t="e">
        <f>W$3+N172/ATM_Conf!$C$5</f>
        <v>#DIV/0!</v>
      </c>
      <c r="AP172" s="46" t="e">
        <f>X$3+O172/ATM_Conf!$C$5</f>
        <v>#DIV/0!</v>
      </c>
      <c r="AQ172" s="46" t="e">
        <f>Y$3+P172/ATM_Conf!$C$5</f>
        <v>#DIV/0!</v>
      </c>
      <c r="AR172" s="46" t="e">
        <f>Z$3+Q172/ATM_Conf!$C$5</f>
        <v>#DIV/0!</v>
      </c>
      <c r="AS172" s="46" t="e">
        <f>AA$3+R172/ATM_Conf!$C$5</f>
        <v>#DIV/0!</v>
      </c>
      <c r="AT172" s="46" t="e">
        <f>AB$3+S172/ATM_Conf!$C$5</f>
        <v>#DIV/0!</v>
      </c>
      <c r="AU172" s="46" t="e">
        <f>BD$3*MIN(1,(ATM_Conf!$C$6-Links!F172)/(ATM_Conf!$C$6-ATM_Conf!$C$7))</f>
        <v>#DIV/0!</v>
      </c>
      <c r="AV172" s="46" t="e">
        <f>BE$3*MIN(1,(ATM_Conf!$C$6-Links!G172)/(ATM_Conf!$C$6-ATM_Conf!$C$7))</f>
        <v>#DIV/0!</v>
      </c>
      <c r="AW172" s="46" t="e">
        <f>BF$3*MIN(1,(ATM_Conf!$C$6-Links!H172)/(ATM_Conf!$C$6-ATM_Conf!$C$7))</f>
        <v>#DIV/0!</v>
      </c>
      <c r="AX172" s="46" t="e">
        <f>BG$3*MIN(1,(ATM_Conf!$C$6-Links!I172)/(ATM_Conf!$C$6-ATM_Conf!$C$7))</f>
        <v>#DIV/0!</v>
      </c>
      <c r="AY172" s="46" t="e">
        <f>BH$3*MIN(1,(ATM_Conf!$C$6-Links!J172)/(ATM_Conf!$C$6-ATM_Conf!$C$7))</f>
        <v>#DIV/0!</v>
      </c>
      <c r="AZ172" s="46" t="e">
        <f>BI$3*MIN(1,(ATM_Conf!$C$6-Links!K172)/(ATM_Conf!$C$6-ATM_Conf!$C$7))</f>
        <v>#DIV/0!</v>
      </c>
      <c r="BA172" s="46" t="e">
        <f>BJ$3*MIN(1,(ATM_Conf!$C$6-Links!L172)/(ATM_Conf!$C$6-ATM_Conf!$C$7))</f>
        <v>#DIV/0!</v>
      </c>
      <c r="BB172" s="46" t="e">
        <f>BK$3*MIN(1,(ATM_Conf!$C$6-Links!M172)/(ATM_Conf!$C$6-ATM_Conf!$C$7))</f>
        <v>#DIV/0!</v>
      </c>
      <c r="BC172" s="46" t="e">
        <f>BL$3*MIN(1,(ATM_Conf!$C$6-Links!N172)/(ATM_Conf!$C$6-ATM_Conf!$C$7))</f>
        <v>#DIV/0!</v>
      </c>
      <c r="BD172" s="46"/>
      <c r="BE172" s="46"/>
      <c r="BF172" s="46"/>
      <c r="BG172" s="46"/>
      <c r="BH172" s="46"/>
      <c r="BI172" s="46"/>
      <c r="BJ172" s="46"/>
      <c r="BK172" s="46"/>
      <c r="BL172" s="46"/>
      <c r="BM172" s="54"/>
      <c r="BN172" s="54"/>
      <c r="BO172" s="54"/>
      <c r="BP172" s="54"/>
      <c r="BQ172" s="54"/>
      <c r="BR172" s="54"/>
      <c r="BS172" s="54"/>
      <c r="BT172" s="54"/>
      <c r="BU172" s="54"/>
      <c r="BV172" s="46" t="e">
        <f t="shared" si="98"/>
        <v>#DIV/0!</v>
      </c>
      <c r="BW172" s="46" t="e">
        <f t="shared" si="99"/>
        <v>#DIV/0!</v>
      </c>
      <c r="BX172" s="46" t="e">
        <f t="shared" si="100"/>
        <v>#DIV/0!</v>
      </c>
      <c r="BY172" s="46" t="e">
        <f t="shared" si="101"/>
        <v>#DIV/0!</v>
      </c>
      <c r="BZ172" s="46" t="e">
        <f t="shared" si="102"/>
        <v>#DIV/0!</v>
      </c>
      <c r="CA172" s="46" t="e">
        <f t="shared" si="103"/>
        <v>#DIV/0!</v>
      </c>
      <c r="CB172" s="46" t="e">
        <f t="shared" si="104"/>
        <v>#DIV/0!</v>
      </c>
      <c r="CC172" s="46" t="e">
        <f t="shared" si="105"/>
        <v>#DIV/0!</v>
      </c>
      <c r="CD172" s="46" t="e">
        <f t="shared" si="106"/>
        <v>#DIV/0!</v>
      </c>
      <c r="CE172" s="56" t="e">
        <f t="shared" si="107"/>
        <v>#DIV/0!</v>
      </c>
      <c r="CF172" s="56" t="e">
        <f t="shared" si="108"/>
        <v>#DIV/0!</v>
      </c>
      <c r="CG172" s="56" t="e">
        <f t="shared" si="109"/>
        <v>#DIV/0!</v>
      </c>
      <c r="CH172" s="56" t="e">
        <f t="shared" si="110"/>
        <v>#DIV/0!</v>
      </c>
      <c r="CI172" s="56" t="e">
        <f t="shared" si="111"/>
        <v>#DIV/0!</v>
      </c>
      <c r="CJ172" s="56" t="e">
        <f t="shared" si="112"/>
        <v>#DIV/0!</v>
      </c>
      <c r="CK172" s="56" t="e">
        <f t="shared" si="113"/>
        <v>#DIV/0!</v>
      </c>
      <c r="CL172" s="56" t="e">
        <f t="shared" si="114"/>
        <v>#DIV/0!</v>
      </c>
      <c r="CM172" s="56" t="e">
        <f t="shared" si="115"/>
        <v>#DIV/0!</v>
      </c>
    </row>
    <row r="173" spans="1:91" x14ac:dyDescent="0.15">
      <c r="A173" s="43">
        <v>171</v>
      </c>
      <c r="B173" s="46">
        <f t="shared" ref="B173:B182" si="127">B$171</f>
        <v>1</v>
      </c>
      <c r="C173" s="46">
        <f t="shared" si="126"/>
        <v>1</v>
      </c>
      <c r="D173" s="46">
        <f t="shared" si="126"/>
        <v>1</v>
      </c>
      <c r="E173" s="46">
        <f t="shared" si="126"/>
        <v>1</v>
      </c>
      <c r="F173" s="46">
        <f t="shared" si="126"/>
        <v>1</v>
      </c>
      <c r="G173" s="46">
        <f t="shared" si="126"/>
        <v>1</v>
      </c>
      <c r="H173" s="46">
        <f t="shared" si="126"/>
        <v>1</v>
      </c>
      <c r="I173" s="46">
        <f t="shared" si="126"/>
        <v>1</v>
      </c>
      <c r="J173" s="46">
        <f t="shared" si="126"/>
        <v>1</v>
      </c>
      <c r="K173" s="46" t="e">
        <f>K172+ATM_Conf!$C$5*(T172-AC172)</f>
        <v>#DIV/0!</v>
      </c>
      <c r="L173" s="46" t="e">
        <f>L172+ATM_Conf!$C$5*(U172-AD172)</f>
        <v>#DIV/0!</v>
      </c>
      <c r="M173" s="46" t="e">
        <f>M172+ATM_Conf!$C$5*(V172-AE172)</f>
        <v>#DIV/0!</v>
      </c>
      <c r="N173" s="46" t="e">
        <f>N172+ATM_Conf!$C$5*(W172-AF172)</f>
        <v>#DIV/0!</v>
      </c>
      <c r="O173" s="46" t="e">
        <f>O172+ATM_Conf!$C$5*(X172-AG172)</f>
        <v>#DIV/0!</v>
      </c>
      <c r="P173" s="46" t="e">
        <f>P172+ATM_Conf!$C$5*(Y172-AH172)</f>
        <v>#DIV/0!</v>
      </c>
      <c r="Q173" s="46" t="e">
        <f>Q172+ATM_Conf!$C$5*(Z172-AI172)</f>
        <v>#DIV/0!</v>
      </c>
      <c r="R173" s="46" t="e">
        <f>R172+ATM_Conf!$C$5*(AA172-AJ172)</f>
        <v>#DIV/0!</v>
      </c>
      <c r="S173" s="46" t="e">
        <f>S172+ATM_Conf!$C$5*(AB172-AK172)</f>
        <v>#DIV/0!</v>
      </c>
      <c r="T173" s="46"/>
      <c r="U173" s="46"/>
      <c r="V173" s="46"/>
      <c r="W173" s="46"/>
      <c r="X173" s="46"/>
      <c r="Y173" s="46"/>
      <c r="Z173" s="46"/>
      <c r="AA173" s="46"/>
      <c r="AB173" s="46"/>
      <c r="AC173" s="46" t="e">
        <f t="shared" si="89"/>
        <v>#DIV/0!</v>
      </c>
      <c r="AD173" s="46" t="e">
        <f t="shared" si="90"/>
        <v>#DIV/0!</v>
      </c>
      <c r="AE173" s="46" t="e">
        <f t="shared" si="91"/>
        <v>#DIV/0!</v>
      </c>
      <c r="AF173" s="46" t="e">
        <f t="shared" si="92"/>
        <v>#DIV/0!</v>
      </c>
      <c r="AG173" s="46" t="e">
        <f t="shared" si="93"/>
        <v>#DIV/0!</v>
      </c>
      <c r="AH173" s="46" t="e">
        <f t="shared" si="94"/>
        <v>#DIV/0!</v>
      </c>
      <c r="AI173" s="46" t="e">
        <f t="shared" si="95"/>
        <v>#DIV/0!</v>
      </c>
      <c r="AJ173" s="46" t="e">
        <f t="shared" si="96"/>
        <v>#DIV/0!</v>
      </c>
      <c r="AK173" s="46" t="e">
        <f t="shared" si="97"/>
        <v>#DIV/0!</v>
      </c>
      <c r="AL173" s="46" t="e">
        <f>T$3+K173/ATM_Conf!$C$5</f>
        <v>#DIV/0!</v>
      </c>
      <c r="AM173" s="46" t="e">
        <f>U$3+L173/ATM_Conf!$C$5</f>
        <v>#DIV/0!</v>
      </c>
      <c r="AN173" s="46" t="e">
        <f>V$3+M173/ATM_Conf!$C$5</f>
        <v>#DIV/0!</v>
      </c>
      <c r="AO173" s="46" t="e">
        <f>W$3+N173/ATM_Conf!$C$5</f>
        <v>#DIV/0!</v>
      </c>
      <c r="AP173" s="46" t="e">
        <f>X$3+O173/ATM_Conf!$C$5</f>
        <v>#DIV/0!</v>
      </c>
      <c r="AQ173" s="46" t="e">
        <f>Y$3+P173/ATM_Conf!$C$5</f>
        <v>#DIV/0!</v>
      </c>
      <c r="AR173" s="46" t="e">
        <f>Z$3+Q173/ATM_Conf!$C$5</f>
        <v>#DIV/0!</v>
      </c>
      <c r="AS173" s="46" t="e">
        <f>AA$3+R173/ATM_Conf!$C$5</f>
        <v>#DIV/0!</v>
      </c>
      <c r="AT173" s="46" t="e">
        <f>AB$3+S173/ATM_Conf!$C$5</f>
        <v>#DIV/0!</v>
      </c>
      <c r="AU173" s="46" t="e">
        <f>BD$3*MIN(1,(ATM_Conf!$C$6-Links!F173)/(ATM_Conf!$C$6-ATM_Conf!$C$7))</f>
        <v>#DIV/0!</v>
      </c>
      <c r="AV173" s="46" t="e">
        <f>BE$3*MIN(1,(ATM_Conf!$C$6-Links!G173)/(ATM_Conf!$C$6-ATM_Conf!$C$7))</f>
        <v>#DIV/0!</v>
      </c>
      <c r="AW173" s="46" t="e">
        <f>BF$3*MIN(1,(ATM_Conf!$C$6-Links!H173)/(ATM_Conf!$C$6-ATM_Conf!$C$7))</f>
        <v>#DIV/0!</v>
      </c>
      <c r="AX173" s="46" t="e">
        <f>BG$3*MIN(1,(ATM_Conf!$C$6-Links!I173)/(ATM_Conf!$C$6-ATM_Conf!$C$7))</f>
        <v>#DIV/0!</v>
      </c>
      <c r="AY173" s="46" t="e">
        <f>BH$3*MIN(1,(ATM_Conf!$C$6-Links!J173)/(ATM_Conf!$C$6-ATM_Conf!$C$7))</f>
        <v>#DIV/0!</v>
      </c>
      <c r="AZ173" s="46" t="e">
        <f>BI$3*MIN(1,(ATM_Conf!$C$6-Links!K173)/(ATM_Conf!$C$6-ATM_Conf!$C$7))</f>
        <v>#DIV/0!</v>
      </c>
      <c r="BA173" s="46" t="e">
        <f>BJ$3*MIN(1,(ATM_Conf!$C$6-Links!L173)/(ATM_Conf!$C$6-ATM_Conf!$C$7))</f>
        <v>#DIV/0!</v>
      </c>
      <c r="BB173" s="46" t="e">
        <f>BK$3*MIN(1,(ATM_Conf!$C$6-Links!M173)/(ATM_Conf!$C$6-ATM_Conf!$C$7))</f>
        <v>#DIV/0!</v>
      </c>
      <c r="BC173" s="46" t="e">
        <f>BL$3*MIN(1,(ATM_Conf!$C$6-Links!N173)/(ATM_Conf!$C$6-ATM_Conf!$C$7))</f>
        <v>#DIV/0!</v>
      </c>
      <c r="BD173" s="46"/>
      <c r="BE173" s="46"/>
      <c r="BF173" s="46"/>
      <c r="BG173" s="46"/>
      <c r="BH173" s="46"/>
      <c r="BI173" s="46"/>
      <c r="BJ173" s="46"/>
      <c r="BK173" s="46"/>
      <c r="BL173" s="46"/>
      <c r="BM173" s="54"/>
      <c r="BN173" s="54"/>
      <c r="BO173" s="54"/>
      <c r="BP173" s="54"/>
      <c r="BQ173" s="54"/>
      <c r="BR173" s="54"/>
      <c r="BS173" s="54"/>
      <c r="BT173" s="54"/>
      <c r="BU173" s="54"/>
      <c r="BV173" s="46" t="e">
        <f t="shared" si="98"/>
        <v>#DIV/0!</v>
      </c>
      <c r="BW173" s="46" t="e">
        <f t="shared" si="99"/>
        <v>#DIV/0!</v>
      </c>
      <c r="BX173" s="46" t="e">
        <f t="shared" si="100"/>
        <v>#DIV/0!</v>
      </c>
      <c r="BY173" s="46" t="e">
        <f t="shared" si="101"/>
        <v>#DIV/0!</v>
      </c>
      <c r="BZ173" s="46" t="e">
        <f t="shared" si="102"/>
        <v>#DIV/0!</v>
      </c>
      <c r="CA173" s="46" t="e">
        <f t="shared" si="103"/>
        <v>#DIV/0!</v>
      </c>
      <c r="CB173" s="46" t="e">
        <f t="shared" si="104"/>
        <v>#DIV/0!</v>
      </c>
      <c r="CC173" s="46" t="e">
        <f t="shared" si="105"/>
        <v>#DIV/0!</v>
      </c>
      <c r="CD173" s="46" t="e">
        <f t="shared" si="106"/>
        <v>#DIV/0!</v>
      </c>
      <c r="CE173" s="56" t="e">
        <f t="shared" si="107"/>
        <v>#DIV/0!</v>
      </c>
      <c r="CF173" s="56" t="e">
        <f t="shared" si="108"/>
        <v>#DIV/0!</v>
      </c>
      <c r="CG173" s="56" t="e">
        <f t="shared" si="109"/>
        <v>#DIV/0!</v>
      </c>
      <c r="CH173" s="56" t="e">
        <f t="shared" si="110"/>
        <v>#DIV/0!</v>
      </c>
      <c r="CI173" s="56" t="e">
        <f t="shared" si="111"/>
        <v>#DIV/0!</v>
      </c>
      <c r="CJ173" s="56" t="e">
        <f t="shared" si="112"/>
        <v>#DIV/0!</v>
      </c>
      <c r="CK173" s="56" t="e">
        <f t="shared" si="113"/>
        <v>#DIV/0!</v>
      </c>
      <c r="CL173" s="56" t="e">
        <f t="shared" si="114"/>
        <v>#DIV/0!</v>
      </c>
      <c r="CM173" s="56" t="e">
        <f t="shared" si="115"/>
        <v>#DIV/0!</v>
      </c>
    </row>
    <row r="174" spans="1:91" x14ac:dyDescent="0.15">
      <c r="A174" s="43">
        <v>172</v>
      </c>
      <c r="B174" s="46">
        <f t="shared" si="127"/>
        <v>1</v>
      </c>
      <c r="C174" s="46">
        <f t="shared" si="126"/>
        <v>1</v>
      </c>
      <c r="D174" s="46">
        <f t="shared" si="126"/>
        <v>1</v>
      </c>
      <c r="E174" s="46">
        <f t="shared" si="126"/>
        <v>1</v>
      </c>
      <c r="F174" s="46">
        <f t="shared" si="126"/>
        <v>1</v>
      </c>
      <c r="G174" s="46">
        <f t="shared" si="126"/>
        <v>1</v>
      </c>
      <c r="H174" s="46">
        <f t="shared" si="126"/>
        <v>1</v>
      </c>
      <c r="I174" s="46">
        <f t="shared" si="126"/>
        <v>1</v>
      </c>
      <c r="J174" s="46">
        <f t="shared" si="126"/>
        <v>1</v>
      </c>
      <c r="K174" s="46" t="e">
        <f>K173+ATM_Conf!$C$5*(T173-AC173)</f>
        <v>#DIV/0!</v>
      </c>
      <c r="L174" s="46" t="e">
        <f>L173+ATM_Conf!$C$5*(U173-AD173)</f>
        <v>#DIV/0!</v>
      </c>
      <c r="M174" s="46" t="e">
        <f>M173+ATM_Conf!$C$5*(V173-AE173)</f>
        <v>#DIV/0!</v>
      </c>
      <c r="N174" s="46" t="e">
        <f>N173+ATM_Conf!$C$5*(W173-AF173)</f>
        <v>#DIV/0!</v>
      </c>
      <c r="O174" s="46" t="e">
        <f>O173+ATM_Conf!$C$5*(X173-AG173)</f>
        <v>#DIV/0!</v>
      </c>
      <c r="P174" s="46" t="e">
        <f>P173+ATM_Conf!$C$5*(Y173-AH173)</f>
        <v>#DIV/0!</v>
      </c>
      <c r="Q174" s="46" t="e">
        <f>Q173+ATM_Conf!$C$5*(Z173-AI173)</f>
        <v>#DIV/0!</v>
      </c>
      <c r="R174" s="46" t="e">
        <f>R173+ATM_Conf!$C$5*(AA173-AJ173)</f>
        <v>#DIV/0!</v>
      </c>
      <c r="S174" s="46" t="e">
        <f>S173+ATM_Conf!$C$5*(AB173-AK173)</f>
        <v>#DIV/0!</v>
      </c>
      <c r="T174" s="46"/>
      <c r="U174" s="46"/>
      <c r="V174" s="46"/>
      <c r="W174" s="46"/>
      <c r="X174" s="46"/>
      <c r="Y174" s="46"/>
      <c r="Z174" s="46"/>
      <c r="AA174" s="46"/>
      <c r="AB174" s="46"/>
      <c r="AC174" s="46" t="e">
        <f t="shared" si="89"/>
        <v>#DIV/0!</v>
      </c>
      <c r="AD174" s="46" t="e">
        <f t="shared" si="90"/>
        <v>#DIV/0!</v>
      </c>
      <c r="AE174" s="46" t="e">
        <f t="shared" si="91"/>
        <v>#DIV/0!</v>
      </c>
      <c r="AF174" s="46" t="e">
        <f t="shared" si="92"/>
        <v>#DIV/0!</v>
      </c>
      <c r="AG174" s="46" t="e">
        <f t="shared" si="93"/>
        <v>#DIV/0!</v>
      </c>
      <c r="AH174" s="46" t="e">
        <f t="shared" si="94"/>
        <v>#DIV/0!</v>
      </c>
      <c r="AI174" s="46" t="e">
        <f t="shared" si="95"/>
        <v>#DIV/0!</v>
      </c>
      <c r="AJ174" s="46" t="e">
        <f t="shared" si="96"/>
        <v>#DIV/0!</v>
      </c>
      <c r="AK174" s="46" t="e">
        <f t="shared" si="97"/>
        <v>#DIV/0!</v>
      </c>
      <c r="AL174" s="46" t="e">
        <f>T$3+K174/ATM_Conf!$C$5</f>
        <v>#DIV/0!</v>
      </c>
      <c r="AM174" s="46" t="e">
        <f>U$3+L174/ATM_Conf!$C$5</f>
        <v>#DIV/0!</v>
      </c>
      <c r="AN174" s="46" t="e">
        <f>V$3+M174/ATM_Conf!$C$5</f>
        <v>#DIV/0!</v>
      </c>
      <c r="AO174" s="46" t="e">
        <f>W$3+N174/ATM_Conf!$C$5</f>
        <v>#DIV/0!</v>
      </c>
      <c r="AP174" s="46" t="e">
        <f>X$3+O174/ATM_Conf!$C$5</f>
        <v>#DIV/0!</v>
      </c>
      <c r="AQ174" s="46" t="e">
        <f>Y$3+P174/ATM_Conf!$C$5</f>
        <v>#DIV/0!</v>
      </c>
      <c r="AR174" s="46" t="e">
        <f>Z$3+Q174/ATM_Conf!$C$5</f>
        <v>#DIV/0!</v>
      </c>
      <c r="AS174" s="46" t="e">
        <f>AA$3+R174/ATM_Conf!$C$5</f>
        <v>#DIV/0!</v>
      </c>
      <c r="AT174" s="46" t="e">
        <f>AB$3+S174/ATM_Conf!$C$5</f>
        <v>#DIV/0!</v>
      </c>
      <c r="AU174" s="46" t="e">
        <f>BD$3*MIN(1,(ATM_Conf!$C$6-Links!F174)/(ATM_Conf!$C$6-ATM_Conf!$C$7))</f>
        <v>#DIV/0!</v>
      </c>
      <c r="AV174" s="46" t="e">
        <f>BE$3*MIN(1,(ATM_Conf!$C$6-Links!G174)/(ATM_Conf!$C$6-ATM_Conf!$C$7))</f>
        <v>#DIV/0!</v>
      </c>
      <c r="AW174" s="46" t="e">
        <f>BF$3*MIN(1,(ATM_Conf!$C$6-Links!H174)/(ATM_Conf!$C$6-ATM_Conf!$C$7))</f>
        <v>#DIV/0!</v>
      </c>
      <c r="AX174" s="46" t="e">
        <f>BG$3*MIN(1,(ATM_Conf!$C$6-Links!I174)/(ATM_Conf!$C$6-ATM_Conf!$C$7))</f>
        <v>#DIV/0!</v>
      </c>
      <c r="AY174" s="46" t="e">
        <f>BH$3*MIN(1,(ATM_Conf!$C$6-Links!J174)/(ATM_Conf!$C$6-ATM_Conf!$C$7))</f>
        <v>#DIV/0!</v>
      </c>
      <c r="AZ174" s="46" t="e">
        <f>BI$3*MIN(1,(ATM_Conf!$C$6-Links!K174)/(ATM_Conf!$C$6-ATM_Conf!$C$7))</f>
        <v>#DIV/0!</v>
      </c>
      <c r="BA174" s="46" t="e">
        <f>BJ$3*MIN(1,(ATM_Conf!$C$6-Links!L174)/(ATM_Conf!$C$6-ATM_Conf!$C$7))</f>
        <v>#DIV/0!</v>
      </c>
      <c r="BB174" s="46" t="e">
        <f>BK$3*MIN(1,(ATM_Conf!$C$6-Links!M174)/(ATM_Conf!$C$6-ATM_Conf!$C$7))</f>
        <v>#DIV/0!</v>
      </c>
      <c r="BC174" s="46" t="e">
        <f>BL$3*MIN(1,(ATM_Conf!$C$6-Links!N174)/(ATM_Conf!$C$6-ATM_Conf!$C$7))</f>
        <v>#DIV/0!</v>
      </c>
      <c r="BD174" s="46"/>
      <c r="BE174" s="46"/>
      <c r="BF174" s="46"/>
      <c r="BG174" s="46"/>
      <c r="BH174" s="46"/>
      <c r="BI174" s="46"/>
      <c r="BJ174" s="46"/>
      <c r="BK174" s="46"/>
      <c r="BL174" s="46"/>
      <c r="BM174" s="54"/>
      <c r="BN174" s="54"/>
      <c r="BO174" s="54"/>
      <c r="BP174" s="54"/>
      <c r="BQ174" s="54"/>
      <c r="BR174" s="54"/>
      <c r="BS174" s="54"/>
      <c r="BT174" s="54"/>
      <c r="BU174" s="54"/>
      <c r="BV174" s="46" t="e">
        <f t="shared" si="98"/>
        <v>#DIV/0!</v>
      </c>
      <c r="BW174" s="46" t="e">
        <f t="shared" si="99"/>
        <v>#DIV/0!</v>
      </c>
      <c r="BX174" s="46" t="e">
        <f t="shared" si="100"/>
        <v>#DIV/0!</v>
      </c>
      <c r="BY174" s="46" t="e">
        <f t="shared" si="101"/>
        <v>#DIV/0!</v>
      </c>
      <c r="BZ174" s="46" t="e">
        <f t="shared" si="102"/>
        <v>#DIV/0!</v>
      </c>
      <c r="CA174" s="46" t="e">
        <f t="shared" si="103"/>
        <v>#DIV/0!</v>
      </c>
      <c r="CB174" s="46" t="e">
        <f t="shared" si="104"/>
        <v>#DIV/0!</v>
      </c>
      <c r="CC174" s="46" t="e">
        <f t="shared" si="105"/>
        <v>#DIV/0!</v>
      </c>
      <c r="CD174" s="46" t="e">
        <f t="shared" si="106"/>
        <v>#DIV/0!</v>
      </c>
      <c r="CE174" s="56" t="e">
        <f t="shared" si="107"/>
        <v>#DIV/0!</v>
      </c>
      <c r="CF174" s="56" t="e">
        <f t="shared" si="108"/>
        <v>#DIV/0!</v>
      </c>
      <c r="CG174" s="56" t="e">
        <f t="shared" si="109"/>
        <v>#DIV/0!</v>
      </c>
      <c r="CH174" s="56" t="e">
        <f t="shared" si="110"/>
        <v>#DIV/0!</v>
      </c>
      <c r="CI174" s="56" t="e">
        <f t="shared" si="111"/>
        <v>#DIV/0!</v>
      </c>
      <c r="CJ174" s="56" t="e">
        <f t="shared" si="112"/>
        <v>#DIV/0!</v>
      </c>
      <c r="CK174" s="56" t="e">
        <f t="shared" si="113"/>
        <v>#DIV/0!</v>
      </c>
      <c r="CL174" s="56" t="e">
        <f t="shared" si="114"/>
        <v>#DIV/0!</v>
      </c>
      <c r="CM174" s="56" t="e">
        <f t="shared" si="115"/>
        <v>#DIV/0!</v>
      </c>
    </row>
    <row r="175" spans="1:91" x14ac:dyDescent="0.15">
      <c r="A175" s="43">
        <v>173</v>
      </c>
      <c r="B175" s="46">
        <f t="shared" si="127"/>
        <v>1</v>
      </c>
      <c r="C175" s="46">
        <f t="shared" si="126"/>
        <v>1</v>
      </c>
      <c r="D175" s="46">
        <f t="shared" si="126"/>
        <v>1</v>
      </c>
      <c r="E175" s="46">
        <f t="shared" si="126"/>
        <v>1</v>
      </c>
      <c r="F175" s="46">
        <f t="shared" si="126"/>
        <v>1</v>
      </c>
      <c r="G175" s="46">
        <f t="shared" si="126"/>
        <v>1</v>
      </c>
      <c r="H175" s="46">
        <f t="shared" si="126"/>
        <v>1</v>
      </c>
      <c r="I175" s="46">
        <f t="shared" si="126"/>
        <v>1</v>
      </c>
      <c r="J175" s="46">
        <f t="shared" si="126"/>
        <v>1</v>
      </c>
      <c r="K175" s="46" t="e">
        <f>K174+ATM_Conf!$C$5*(T174-AC174)</f>
        <v>#DIV/0!</v>
      </c>
      <c r="L175" s="46" t="e">
        <f>L174+ATM_Conf!$C$5*(U174-AD174)</f>
        <v>#DIV/0!</v>
      </c>
      <c r="M175" s="46" t="e">
        <f>M174+ATM_Conf!$C$5*(V174-AE174)</f>
        <v>#DIV/0!</v>
      </c>
      <c r="N175" s="46" t="e">
        <f>N174+ATM_Conf!$C$5*(W174-AF174)</f>
        <v>#DIV/0!</v>
      </c>
      <c r="O175" s="46" t="e">
        <f>O174+ATM_Conf!$C$5*(X174-AG174)</f>
        <v>#DIV/0!</v>
      </c>
      <c r="P175" s="46" t="e">
        <f>P174+ATM_Conf!$C$5*(Y174-AH174)</f>
        <v>#DIV/0!</v>
      </c>
      <c r="Q175" s="46" t="e">
        <f>Q174+ATM_Conf!$C$5*(Z174-AI174)</f>
        <v>#DIV/0!</v>
      </c>
      <c r="R175" s="46" t="e">
        <f>R174+ATM_Conf!$C$5*(AA174-AJ174)</f>
        <v>#DIV/0!</v>
      </c>
      <c r="S175" s="46" t="e">
        <f>S174+ATM_Conf!$C$5*(AB174-AK174)</f>
        <v>#DIV/0!</v>
      </c>
      <c r="T175" s="46"/>
      <c r="U175" s="46"/>
      <c r="V175" s="46"/>
      <c r="W175" s="46"/>
      <c r="X175" s="46"/>
      <c r="Y175" s="46"/>
      <c r="Z175" s="46"/>
      <c r="AA175" s="46"/>
      <c r="AB175" s="46"/>
      <c r="AC175" s="46" t="e">
        <f t="shared" si="89"/>
        <v>#DIV/0!</v>
      </c>
      <c r="AD175" s="46" t="e">
        <f t="shared" si="90"/>
        <v>#DIV/0!</v>
      </c>
      <c r="AE175" s="46" t="e">
        <f t="shared" si="91"/>
        <v>#DIV/0!</v>
      </c>
      <c r="AF175" s="46" t="e">
        <f t="shared" si="92"/>
        <v>#DIV/0!</v>
      </c>
      <c r="AG175" s="46" t="e">
        <f t="shared" si="93"/>
        <v>#DIV/0!</v>
      </c>
      <c r="AH175" s="46" t="e">
        <f t="shared" si="94"/>
        <v>#DIV/0!</v>
      </c>
      <c r="AI175" s="46" t="e">
        <f t="shared" si="95"/>
        <v>#DIV/0!</v>
      </c>
      <c r="AJ175" s="46" t="e">
        <f t="shared" si="96"/>
        <v>#DIV/0!</v>
      </c>
      <c r="AK175" s="46" t="e">
        <f t="shared" si="97"/>
        <v>#DIV/0!</v>
      </c>
      <c r="AL175" s="46" t="e">
        <f>T$3+K175/ATM_Conf!$C$5</f>
        <v>#DIV/0!</v>
      </c>
      <c r="AM175" s="46" t="e">
        <f>U$3+L175/ATM_Conf!$C$5</f>
        <v>#DIV/0!</v>
      </c>
      <c r="AN175" s="46" t="e">
        <f>V$3+M175/ATM_Conf!$C$5</f>
        <v>#DIV/0!</v>
      </c>
      <c r="AO175" s="46" t="e">
        <f>W$3+N175/ATM_Conf!$C$5</f>
        <v>#DIV/0!</v>
      </c>
      <c r="AP175" s="46" t="e">
        <f>X$3+O175/ATM_Conf!$C$5</f>
        <v>#DIV/0!</v>
      </c>
      <c r="AQ175" s="46" t="e">
        <f>Y$3+P175/ATM_Conf!$C$5</f>
        <v>#DIV/0!</v>
      </c>
      <c r="AR175" s="46" t="e">
        <f>Z$3+Q175/ATM_Conf!$C$5</f>
        <v>#DIV/0!</v>
      </c>
      <c r="AS175" s="46" t="e">
        <f>AA$3+R175/ATM_Conf!$C$5</f>
        <v>#DIV/0!</v>
      </c>
      <c r="AT175" s="46" t="e">
        <f>AB$3+S175/ATM_Conf!$C$5</f>
        <v>#DIV/0!</v>
      </c>
      <c r="AU175" s="46" t="e">
        <f>BD$3*MIN(1,(ATM_Conf!$C$6-Links!F175)/(ATM_Conf!$C$6-ATM_Conf!$C$7))</f>
        <v>#DIV/0!</v>
      </c>
      <c r="AV175" s="46" t="e">
        <f>BE$3*MIN(1,(ATM_Conf!$C$6-Links!G175)/(ATM_Conf!$C$6-ATM_Conf!$C$7))</f>
        <v>#DIV/0!</v>
      </c>
      <c r="AW175" s="46" t="e">
        <f>BF$3*MIN(1,(ATM_Conf!$C$6-Links!H175)/(ATM_Conf!$C$6-ATM_Conf!$C$7))</f>
        <v>#DIV/0!</v>
      </c>
      <c r="AX175" s="46" t="e">
        <f>BG$3*MIN(1,(ATM_Conf!$C$6-Links!I175)/(ATM_Conf!$C$6-ATM_Conf!$C$7))</f>
        <v>#DIV/0!</v>
      </c>
      <c r="AY175" s="46" t="e">
        <f>BH$3*MIN(1,(ATM_Conf!$C$6-Links!J175)/(ATM_Conf!$C$6-ATM_Conf!$C$7))</f>
        <v>#DIV/0!</v>
      </c>
      <c r="AZ175" s="46" t="e">
        <f>BI$3*MIN(1,(ATM_Conf!$C$6-Links!K175)/(ATM_Conf!$C$6-ATM_Conf!$C$7))</f>
        <v>#DIV/0!</v>
      </c>
      <c r="BA175" s="46" t="e">
        <f>BJ$3*MIN(1,(ATM_Conf!$C$6-Links!L175)/(ATM_Conf!$C$6-ATM_Conf!$C$7))</f>
        <v>#DIV/0!</v>
      </c>
      <c r="BB175" s="46" t="e">
        <f>BK$3*MIN(1,(ATM_Conf!$C$6-Links!M175)/(ATM_Conf!$C$6-ATM_Conf!$C$7))</f>
        <v>#DIV/0!</v>
      </c>
      <c r="BC175" s="46" t="e">
        <f>BL$3*MIN(1,(ATM_Conf!$C$6-Links!N175)/(ATM_Conf!$C$6-ATM_Conf!$C$7))</f>
        <v>#DIV/0!</v>
      </c>
      <c r="BD175" s="46"/>
      <c r="BE175" s="46"/>
      <c r="BF175" s="46"/>
      <c r="BG175" s="46"/>
      <c r="BH175" s="46"/>
      <c r="BI175" s="46"/>
      <c r="BJ175" s="46"/>
      <c r="BK175" s="46"/>
      <c r="BL175" s="46"/>
      <c r="BM175" s="54"/>
      <c r="BN175" s="54"/>
      <c r="BO175" s="54"/>
      <c r="BP175" s="54"/>
      <c r="BQ175" s="54"/>
      <c r="BR175" s="54"/>
      <c r="BS175" s="54"/>
      <c r="BT175" s="54"/>
      <c r="BU175" s="54"/>
      <c r="BV175" s="46" t="e">
        <f t="shared" si="98"/>
        <v>#DIV/0!</v>
      </c>
      <c r="BW175" s="46" t="e">
        <f t="shared" si="99"/>
        <v>#DIV/0!</v>
      </c>
      <c r="BX175" s="46" t="e">
        <f t="shared" si="100"/>
        <v>#DIV/0!</v>
      </c>
      <c r="BY175" s="46" t="e">
        <f t="shared" si="101"/>
        <v>#DIV/0!</v>
      </c>
      <c r="BZ175" s="46" t="e">
        <f t="shared" si="102"/>
        <v>#DIV/0!</v>
      </c>
      <c r="CA175" s="46" t="e">
        <f t="shared" si="103"/>
        <v>#DIV/0!</v>
      </c>
      <c r="CB175" s="46" t="e">
        <f t="shared" si="104"/>
        <v>#DIV/0!</v>
      </c>
      <c r="CC175" s="46" t="e">
        <f t="shared" si="105"/>
        <v>#DIV/0!</v>
      </c>
      <c r="CD175" s="46" t="e">
        <f t="shared" si="106"/>
        <v>#DIV/0!</v>
      </c>
      <c r="CE175" s="56" t="e">
        <f t="shared" si="107"/>
        <v>#DIV/0!</v>
      </c>
      <c r="CF175" s="56" t="e">
        <f t="shared" si="108"/>
        <v>#DIV/0!</v>
      </c>
      <c r="CG175" s="56" t="e">
        <f t="shared" si="109"/>
        <v>#DIV/0!</v>
      </c>
      <c r="CH175" s="56" t="e">
        <f t="shared" si="110"/>
        <v>#DIV/0!</v>
      </c>
      <c r="CI175" s="56" t="e">
        <f t="shared" si="111"/>
        <v>#DIV/0!</v>
      </c>
      <c r="CJ175" s="56" t="e">
        <f t="shared" si="112"/>
        <v>#DIV/0!</v>
      </c>
      <c r="CK175" s="56" t="e">
        <f t="shared" si="113"/>
        <v>#DIV/0!</v>
      </c>
      <c r="CL175" s="56" t="e">
        <f t="shared" si="114"/>
        <v>#DIV/0!</v>
      </c>
      <c r="CM175" s="56" t="e">
        <f t="shared" si="115"/>
        <v>#DIV/0!</v>
      </c>
    </row>
    <row r="176" spans="1:91" x14ac:dyDescent="0.15">
      <c r="A176" s="43">
        <v>174</v>
      </c>
      <c r="B176" s="46">
        <f t="shared" si="127"/>
        <v>1</v>
      </c>
      <c r="C176" s="46">
        <f t="shared" si="126"/>
        <v>1</v>
      </c>
      <c r="D176" s="46">
        <f t="shared" si="126"/>
        <v>1</v>
      </c>
      <c r="E176" s="46">
        <f t="shared" si="126"/>
        <v>1</v>
      </c>
      <c r="F176" s="46">
        <f t="shared" si="126"/>
        <v>1</v>
      </c>
      <c r="G176" s="46">
        <f t="shared" si="126"/>
        <v>1</v>
      </c>
      <c r="H176" s="46">
        <f t="shared" si="126"/>
        <v>1</v>
      </c>
      <c r="I176" s="46">
        <f t="shared" si="126"/>
        <v>1</v>
      </c>
      <c r="J176" s="46">
        <f t="shared" si="126"/>
        <v>1</v>
      </c>
      <c r="K176" s="46" t="e">
        <f>K175+ATM_Conf!$C$5*(T175-AC175)</f>
        <v>#DIV/0!</v>
      </c>
      <c r="L176" s="46" t="e">
        <f>L175+ATM_Conf!$C$5*(U175-AD175)</f>
        <v>#DIV/0!</v>
      </c>
      <c r="M176" s="46" t="e">
        <f>M175+ATM_Conf!$C$5*(V175-AE175)</f>
        <v>#DIV/0!</v>
      </c>
      <c r="N176" s="46" t="e">
        <f>N175+ATM_Conf!$C$5*(W175-AF175)</f>
        <v>#DIV/0!</v>
      </c>
      <c r="O176" s="46" t="e">
        <f>O175+ATM_Conf!$C$5*(X175-AG175)</f>
        <v>#DIV/0!</v>
      </c>
      <c r="P176" s="46" t="e">
        <f>P175+ATM_Conf!$C$5*(Y175-AH175)</f>
        <v>#DIV/0!</v>
      </c>
      <c r="Q176" s="46" t="e">
        <f>Q175+ATM_Conf!$C$5*(Z175-AI175)</f>
        <v>#DIV/0!</v>
      </c>
      <c r="R176" s="46" t="e">
        <f>R175+ATM_Conf!$C$5*(AA175-AJ175)</f>
        <v>#DIV/0!</v>
      </c>
      <c r="S176" s="46" t="e">
        <f>S175+ATM_Conf!$C$5*(AB175-AK175)</f>
        <v>#DIV/0!</v>
      </c>
      <c r="T176" s="46"/>
      <c r="U176" s="46"/>
      <c r="V176" s="46"/>
      <c r="W176" s="46"/>
      <c r="X176" s="46"/>
      <c r="Y176" s="46"/>
      <c r="Z176" s="46"/>
      <c r="AA176" s="46"/>
      <c r="AB176" s="46"/>
      <c r="AC176" s="46" t="e">
        <f t="shared" si="89"/>
        <v>#DIV/0!</v>
      </c>
      <c r="AD176" s="46" t="e">
        <f t="shared" si="90"/>
        <v>#DIV/0!</v>
      </c>
      <c r="AE176" s="46" t="e">
        <f t="shared" si="91"/>
        <v>#DIV/0!</v>
      </c>
      <c r="AF176" s="46" t="e">
        <f t="shared" si="92"/>
        <v>#DIV/0!</v>
      </c>
      <c r="AG176" s="46" t="e">
        <f t="shared" si="93"/>
        <v>#DIV/0!</v>
      </c>
      <c r="AH176" s="46" t="e">
        <f t="shared" si="94"/>
        <v>#DIV/0!</v>
      </c>
      <c r="AI176" s="46" t="e">
        <f t="shared" si="95"/>
        <v>#DIV/0!</v>
      </c>
      <c r="AJ176" s="46" t="e">
        <f t="shared" si="96"/>
        <v>#DIV/0!</v>
      </c>
      <c r="AK176" s="46" t="e">
        <f t="shared" si="97"/>
        <v>#DIV/0!</v>
      </c>
      <c r="AL176" s="46" t="e">
        <f>T$3+K176/ATM_Conf!$C$5</f>
        <v>#DIV/0!</v>
      </c>
      <c r="AM176" s="46" t="e">
        <f>U$3+L176/ATM_Conf!$C$5</f>
        <v>#DIV/0!</v>
      </c>
      <c r="AN176" s="46" t="e">
        <f>V$3+M176/ATM_Conf!$C$5</f>
        <v>#DIV/0!</v>
      </c>
      <c r="AO176" s="46" t="e">
        <f>W$3+N176/ATM_Conf!$C$5</f>
        <v>#DIV/0!</v>
      </c>
      <c r="AP176" s="46" t="e">
        <f>X$3+O176/ATM_Conf!$C$5</f>
        <v>#DIV/0!</v>
      </c>
      <c r="AQ176" s="46" t="e">
        <f>Y$3+P176/ATM_Conf!$C$5</f>
        <v>#DIV/0!</v>
      </c>
      <c r="AR176" s="46" t="e">
        <f>Z$3+Q176/ATM_Conf!$C$5</f>
        <v>#DIV/0!</v>
      </c>
      <c r="AS176" s="46" t="e">
        <f>AA$3+R176/ATM_Conf!$C$5</f>
        <v>#DIV/0!</v>
      </c>
      <c r="AT176" s="46" t="e">
        <f>AB$3+S176/ATM_Conf!$C$5</f>
        <v>#DIV/0!</v>
      </c>
      <c r="AU176" s="46" t="e">
        <f>BD$3*MIN(1,(ATM_Conf!$C$6-Links!F176)/(ATM_Conf!$C$6-ATM_Conf!$C$7))</f>
        <v>#DIV/0!</v>
      </c>
      <c r="AV176" s="46" t="e">
        <f>BE$3*MIN(1,(ATM_Conf!$C$6-Links!G176)/(ATM_Conf!$C$6-ATM_Conf!$C$7))</f>
        <v>#DIV/0!</v>
      </c>
      <c r="AW176" s="46" t="e">
        <f>BF$3*MIN(1,(ATM_Conf!$C$6-Links!H176)/(ATM_Conf!$C$6-ATM_Conf!$C$7))</f>
        <v>#DIV/0!</v>
      </c>
      <c r="AX176" s="46" t="e">
        <f>BG$3*MIN(1,(ATM_Conf!$C$6-Links!I176)/(ATM_Conf!$C$6-ATM_Conf!$C$7))</f>
        <v>#DIV/0!</v>
      </c>
      <c r="AY176" s="46" t="e">
        <f>BH$3*MIN(1,(ATM_Conf!$C$6-Links!J176)/(ATM_Conf!$C$6-ATM_Conf!$C$7))</f>
        <v>#DIV/0!</v>
      </c>
      <c r="AZ176" s="46" t="e">
        <f>BI$3*MIN(1,(ATM_Conf!$C$6-Links!K176)/(ATM_Conf!$C$6-ATM_Conf!$C$7))</f>
        <v>#DIV/0!</v>
      </c>
      <c r="BA176" s="46" t="e">
        <f>BJ$3*MIN(1,(ATM_Conf!$C$6-Links!L176)/(ATM_Conf!$C$6-ATM_Conf!$C$7))</f>
        <v>#DIV/0!</v>
      </c>
      <c r="BB176" s="46" t="e">
        <f>BK$3*MIN(1,(ATM_Conf!$C$6-Links!M176)/(ATM_Conf!$C$6-ATM_Conf!$C$7))</f>
        <v>#DIV/0!</v>
      </c>
      <c r="BC176" s="46" t="e">
        <f>BL$3*MIN(1,(ATM_Conf!$C$6-Links!N176)/(ATM_Conf!$C$6-ATM_Conf!$C$7))</f>
        <v>#DIV/0!</v>
      </c>
      <c r="BD176" s="46"/>
      <c r="BE176" s="46"/>
      <c r="BF176" s="46"/>
      <c r="BG176" s="46"/>
      <c r="BH176" s="46"/>
      <c r="BI176" s="46"/>
      <c r="BJ176" s="46"/>
      <c r="BK176" s="46"/>
      <c r="BL176" s="46"/>
      <c r="BM176" s="54"/>
      <c r="BN176" s="54"/>
      <c r="BO176" s="54"/>
      <c r="BP176" s="54"/>
      <c r="BQ176" s="54"/>
      <c r="BR176" s="54"/>
      <c r="BS176" s="54"/>
      <c r="BT176" s="54"/>
      <c r="BU176" s="54"/>
      <c r="BV176" s="46" t="e">
        <f t="shared" si="98"/>
        <v>#DIV/0!</v>
      </c>
      <c r="BW176" s="46" t="e">
        <f t="shared" si="99"/>
        <v>#DIV/0!</v>
      </c>
      <c r="BX176" s="46" t="e">
        <f t="shared" si="100"/>
        <v>#DIV/0!</v>
      </c>
      <c r="BY176" s="46" t="e">
        <f t="shared" si="101"/>
        <v>#DIV/0!</v>
      </c>
      <c r="BZ176" s="46" t="e">
        <f t="shared" si="102"/>
        <v>#DIV/0!</v>
      </c>
      <c r="CA176" s="46" t="e">
        <f t="shared" si="103"/>
        <v>#DIV/0!</v>
      </c>
      <c r="CB176" s="46" t="e">
        <f t="shared" si="104"/>
        <v>#DIV/0!</v>
      </c>
      <c r="CC176" s="46" t="e">
        <f t="shared" si="105"/>
        <v>#DIV/0!</v>
      </c>
      <c r="CD176" s="46" t="e">
        <f t="shared" si="106"/>
        <v>#DIV/0!</v>
      </c>
      <c r="CE176" s="56" t="e">
        <f t="shared" si="107"/>
        <v>#DIV/0!</v>
      </c>
      <c r="CF176" s="56" t="e">
        <f t="shared" si="108"/>
        <v>#DIV/0!</v>
      </c>
      <c r="CG176" s="56" t="e">
        <f t="shared" si="109"/>
        <v>#DIV/0!</v>
      </c>
      <c r="CH176" s="56" t="e">
        <f t="shared" si="110"/>
        <v>#DIV/0!</v>
      </c>
      <c r="CI176" s="56" t="e">
        <f t="shared" si="111"/>
        <v>#DIV/0!</v>
      </c>
      <c r="CJ176" s="56" t="e">
        <f t="shared" si="112"/>
        <v>#DIV/0!</v>
      </c>
      <c r="CK176" s="56" t="e">
        <f t="shared" si="113"/>
        <v>#DIV/0!</v>
      </c>
      <c r="CL176" s="56" t="e">
        <f t="shared" si="114"/>
        <v>#DIV/0!</v>
      </c>
      <c r="CM176" s="56" t="e">
        <f t="shared" si="115"/>
        <v>#DIV/0!</v>
      </c>
    </row>
    <row r="177" spans="1:91" x14ac:dyDescent="0.15">
      <c r="A177" s="43">
        <v>175</v>
      </c>
      <c r="B177" s="46">
        <f t="shared" si="127"/>
        <v>1</v>
      </c>
      <c r="C177" s="46">
        <f t="shared" si="126"/>
        <v>1</v>
      </c>
      <c r="D177" s="46">
        <f t="shared" si="126"/>
        <v>1</v>
      </c>
      <c r="E177" s="46">
        <f t="shared" si="126"/>
        <v>1</v>
      </c>
      <c r="F177" s="46">
        <f t="shared" si="126"/>
        <v>1</v>
      </c>
      <c r="G177" s="46">
        <f t="shared" si="126"/>
        <v>1</v>
      </c>
      <c r="H177" s="46">
        <f t="shared" si="126"/>
        <v>1</v>
      </c>
      <c r="I177" s="46">
        <f t="shared" si="126"/>
        <v>1</v>
      </c>
      <c r="J177" s="46">
        <f t="shared" si="126"/>
        <v>1</v>
      </c>
      <c r="K177" s="46" t="e">
        <f>K176+ATM_Conf!$C$5*(T176-AC176)</f>
        <v>#DIV/0!</v>
      </c>
      <c r="L177" s="46" t="e">
        <f>L176+ATM_Conf!$C$5*(U176-AD176)</f>
        <v>#DIV/0!</v>
      </c>
      <c r="M177" s="46" t="e">
        <f>M176+ATM_Conf!$C$5*(V176-AE176)</f>
        <v>#DIV/0!</v>
      </c>
      <c r="N177" s="46" t="e">
        <f>N176+ATM_Conf!$C$5*(W176-AF176)</f>
        <v>#DIV/0!</v>
      </c>
      <c r="O177" s="46" t="e">
        <f>O176+ATM_Conf!$C$5*(X176-AG176)</f>
        <v>#DIV/0!</v>
      </c>
      <c r="P177" s="46" t="e">
        <f>P176+ATM_Conf!$C$5*(Y176-AH176)</f>
        <v>#DIV/0!</v>
      </c>
      <c r="Q177" s="46" t="e">
        <f>Q176+ATM_Conf!$C$5*(Z176-AI176)</f>
        <v>#DIV/0!</v>
      </c>
      <c r="R177" s="46" t="e">
        <f>R176+ATM_Conf!$C$5*(AA176-AJ176)</f>
        <v>#DIV/0!</v>
      </c>
      <c r="S177" s="46" t="e">
        <f>S176+ATM_Conf!$C$5*(AB176-AK176)</f>
        <v>#DIV/0!</v>
      </c>
      <c r="T177" s="46"/>
      <c r="U177" s="46"/>
      <c r="V177" s="46"/>
      <c r="W177" s="46"/>
      <c r="X177" s="46"/>
      <c r="Y177" s="46"/>
      <c r="Z177" s="46"/>
      <c r="AA177" s="46"/>
      <c r="AB177" s="46"/>
      <c r="AC177" s="46" t="e">
        <f t="shared" si="89"/>
        <v>#DIV/0!</v>
      </c>
      <c r="AD177" s="46" t="e">
        <f t="shared" si="90"/>
        <v>#DIV/0!</v>
      </c>
      <c r="AE177" s="46" t="e">
        <f t="shared" si="91"/>
        <v>#DIV/0!</v>
      </c>
      <c r="AF177" s="46" t="e">
        <f t="shared" si="92"/>
        <v>#DIV/0!</v>
      </c>
      <c r="AG177" s="46" t="e">
        <f t="shared" si="93"/>
        <v>#DIV/0!</v>
      </c>
      <c r="AH177" s="46" t="e">
        <f t="shared" si="94"/>
        <v>#DIV/0!</v>
      </c>
      <c r="AI177" s="46" t="e">
        <f t="shared" si="95"/>
        <v>#DIV/0!</v>
      </c>
      <c r="AJ177" s="46" t="e">
        <f t="shared" si="96"/>
        <v>#DIV/0!</v>
      </c>
      <c r="AK177" s="46" t="e">
        <f t="shared" si="97"/>
        <v>#DIV/0!</v>
      </c>
      <c r="AL177" s="46" t="e">
        <f>T$3+K177/ATM_Conf!$C$5</f>
        <v>#DIV/0!</v>
      </c>
      <c r="AM177" s="46" t="e">
        <f>U$3+L177/ATM_Conf!$C$5</f>
        <v>#DIV/0!</v>
      </c>
      <c r="AN177" s="46" t="e">
        <f>V$3+M177/ATM_Conf!$C$5</f>
        <v>#DIV/0!</v>
      </c>
      <c r="AO177" s="46" t="e">
        <f>W$3+N177/ATM_Conf!$C$5</f>
        <v>#DIV/0!</v>
      </c>
      <c r="AP177" s="46" t="e">
        <f>X$3+O177/ATM_Conf!$C$5</f>
        <v>#DIV/0!</v>
      </c>
      <c r="AQ177" s="46" t="e">
        <f>Y$3+P177/ATM_Conf!$C$5</f>
        <v>#DIV/0!</v>
      </c>
      <c r="AR177" s="46" t="e">
        <f>Z$3+Q177/ATM_Conf!$C$5</f>
        <v>#DIV/0!</v>
      </c>
      <c r="AS177" s="46" t="e">
        <f>AA$3+R177/ATM_Conf!$C$5</f>
        <v>#DIV/0!</v>
      </c>
      <c r="AT177" s="46" t="e">
        <f>AB$3+S177/ATM_Conf!$C$5</f>
        <v>#DIV/0!</v>
      </c>
      <c r="AU177" s="46" t="e">
        <f>BD$3*MIN(1,(ATM_Conf!$C$6-Links!F177)/(ATM_Conf!$C$6-ATM_Conf!$C$7))</f>
        <v>#DIV/0!</v>
      </c>
      <c r="AV177" s="46" t="e">
        <f>BE$3*MIN(1,(ATM_Conf!$C$6-Links!G177)/(ATM_Conf!$C$6-ATM_Conf!$C$7))</f>
        <v>#DIV/0!</v>
      </c>
      <c r="AW177" s="46" t="e">
        <f>BF$3*MIN(1,(ATM_Conf!$C$6-Links!H177)/(ATM_Conf!$C$6-ATM_Conf!$C$7))</f>
        <v>#DIV/0!</v>
      </c>
      <c r="AX177" s="46" t="e">
        <f>BG$3*MIN(1,(ATM_Conf!$C$6-Links!I177)/(ATM_Conf!$C$6-ATM_Conf!$C$7))</f>
        <v>#DIV/0!</v>
      </c>
      <c r="AY177" s="46" t="e">
        <f>BH$3*MIN(1,(ATM_Conf!$C$6-Links!J177)/(ATM_Conf!$C$6-ATM_Conf!$C$7))</f>
        <v>#DIV/0!</v>
      </c>
      <c r="AZ177" s="46" t="e">
        <f>BI$3*MIN(1,(ATM_Conf!$C$6-Links!K177)/(ATM_Conf!$C$6-ATM_Conf!$C$7))</f>
        <v>#DIV/0!</v>
      </c>
      <c r="BA177" s="46" t="e">
        <f>BJ$3*MIN(1,(ATM_Conf!$C$6-Links!L177)/(ATM_Conf!$C$6-ATM_Conf!$C$7))</f>
        <v>#DIV/0!</v>
      </c>
      <c r="BB177" s="46" t="e">
        <f>BK$3*MIN(1,(ATM_Conf!$C$6-Links!M177)/(ATM_Conf!$C$6-ATM_Conf!$C$7))</f>
        <v>#DIV/0!</v>
      </c>
      <c r="BC177" s="46" t="e">
        <f>BL$3*MIN(1,(ATM_Conf!$C$6-Links!N177)/(ATM_Conf!$C$6-ATM_Conf!$C$7))</f>
        <v>#DIV/0!</v>
      </c>
      <c r="BD177" s="46"/>
      <c r="BE177" s="46"/>
      <c r="BF177" s="46"/>
      <c r="BG177" s="46"/>
      <c r="BH177" s="46"/>
      <c r="BI177" s="46"/>
      <c r="BJ177" s="46"/>
      <c r="BK177" s="46"/>
      <c r="BL177" s="46"/>
      <c r="BM177" s="54"/>
      <c r="BN177" s="54"/>
      <c r="BO177" s="54"/>
      <c r="BP177" s="54"/>
      <c r="BQ177" s="54"/>
      <c r="BR177" s="54"/>
      <c r="BS177" s="54"/>
      <c r="BT177" s="54"/>
      <c r="BU177" s="54"/>
      <c r="BV177" s="46" t="e">
        <f t="shared" si="98"/>
        <v>#DIV/0!</v>
      </c>
      <c r="BW177" s="46" t="e">
        <f t="shared" si="99"/>
        <v>#DIV/0!</v>
      </c>
      <c r="BX177" s="46" t="e">
        <f t="shared" si="100"/>
        <v>#DIV/0!</v>
      </c>
      <c r="BY177" s="46" t="e">
        <f t="shared" si="101"/>
        <v>#DIV/0!</v>
      </c>
      <c r="BZ177" s="46" t="e">
        <f t="shared" si="102"/>
        <v>#DIV/0!</v>
      </c>
      <c r="CA177" s="46" t="e">
        <f t="shared" si="103"/>
        <v>#DIV/0!</v>
      </c>
      <c r="CB177" s="46" t="e">
        <f t="shared" si="104"/>
        <v>#DIV/0!</v>
      </c>
      <c r="CC177" s="46" t="e">
        <f t="shared" si="105"/>
        <v>#DIV/0!</v>
      </c>
      <c r="CD177" s="46" t="e">
        <f t="shared" si="106"/>
        <v>#DIV/0!</v>
      </c>
      <c r="CE177" s="56" t="e">
        <f t="shared" si="107"/>
        <v>#DIV/0!</v>
      </c>
      <c r="CF177" s="56" t="e">
        <f t="shared" si="108"/>
        <v>#DIV/0!</v>
      </c>
      <c r="CG177" s="56" t="e">
        <f t="shared" si="109"/>
        <v>#DIV/0!</v>
      </c>
      <c r="CH177" s="56" t="e">
        <f t="shared" si="110"/>
        <v>#DIV/0!</v>
      </c>
      <c r="CI177" s="56" t="e">
        <f t="shared" si="111"/>
        <v>#DIV/0!</v>
      </c>
      <c r="CJ177" s="56" t="e">
        <f t="shared" si="112"/>
        <v>#DIV/0!</v>
      </c>
      <c r="CK177" s="56" t="e">
        <f t="shared" si="113"/>
        <v>#DIV/0!</v>
      </c>
      <c r="CL177" s="56" t="e">
        <f t="shared" si="114"/>
        <v>#DIV/0!</v>
      </c>
      <c r="CM177" s="56" t="e">
        <f t="shared" si="115"/>
        <v>#DIV/0!</v>
      </c>
    </row>
    <row r="178" spans="1:91" x14ac:dyDescent="0.15">
      <c r="A178" s="43">
        <v>176</v>
      </c>
      <c r="B178" s="46">
        <f t="shared" si="127"/>
        <v>1</v>
      </c>
      <c r="C178" s="46">
        <f t="shared" si="126"/>
        <v>1</v>
      </c>
      <c r="D178" s="46">
        <f t="shared" si="126"/>
        <v>1</v>
      </c>
      <c r="E178" s="46">
        <f t="shared" si="126"/>
        <v>1</v>
      </c>
      <c r="F178" s="46">
        <f t="shared" si="126"/>
        <v>1</v>
      </c>
      <c r="G178" s="46">
        <f t="shared" si="126"/>
        <v>1</v>
      </c>
      <c r="H178" s="46">
        <f t="shared" si="126"/>
        <v>1</v>
      </c>
      <c r="I178" s="46">
        <f t="shared" si="126"/>
        <v>1</v>
      </c>
      <c r="J178" s="46">
        <f t="shared" si="126"/>
        <v>1</v>
      </c>
      <c r="K178" s="46" t="e">
        <f>K177+ATM_Conf!$C$5*(T177-AC177)</f>
        <v>#DIV/0!</v>
      </c>
      <c r="L178" s="46" t="e">
        <f>L177+ATM_Conf!$C$5*(U177-AD177)</f>
        <v>#DIV/0!</v>
      </c>
      <c r="M178" s="46" t="e">
        <f>M177+ATM_Conf!$C$5*(V177-AE177)</f>
        <v>#DIV/0!</v>
      </c>
      <c r="N178" s="46" t="e">
        <f>N177+ATM_Conf!$C$5*(W177-AF177)</f>
        <v>#DIV/0!</v>
      </c>
      <c r="O178" s="46" t="e">
        <f>O177+ATM_Conf!$C$5*(X177-AG177)</f>
        <v>#DIV/0!</v>
      </c>
      <c r="P178" s="46" t="e">
        <f>P177+ATM_Conf!$C$5*(Y177-AH177)</f>
        <v>#DIV/0!</v>
      </c>
      <c r="Q178" s="46" t="e">
        <f>Q177+ATM_Conf!$C$5*(Z177-AI177)</f>
        <v>#DIV/0!</v>
      </c>
      <c r="R178" s="46" t="e">
        <f>R177+ATM_Conf!$C$5*(AA177-AJ177)</f>
        <v>#DIV/0!</v>
      </c>
      <c r="S178" s="46" t="e">
        <f>S177+ATM_Conf!$C$5*(AB177-AK177)</f>
        <v>#DIV/0!</v>
      </c>
      <c r="T178" s="46"/>
      <c r="U178" s="46"/>
      <c r="V178" s="46"/>
      <c r="W178" s="46"/>
      <c r="X178" s="46"/>
      <c r="Y178" s="46"/>
      <c r="Z178" s="46"/>
      <c r="AA178" s="46"/>
      <c r="AB178" s="46"/>
      <c r="AC178" s="46" t="e">
        <f t="shared" si="89"/>
        <v>#DIV/0!</v>
      </c>
      <c r="AD178" s="46" t="e">
        <f t="shared" si="90"/>
        <v>#DIV/0!</v>
      </c>
      <c r="AE178" s="46" t="e">
        <f t="shared" si="91"/>
        <v>#DIV/0!</v>
      </c>
      <c r="AF178" s="46" t="e">
        <f t="shared" si="92"/>
        <v>#DIV/0!</v>
      </c>
      <c r="AG178" s="46" t="e">
        <f t="shared" si="93"/>
        <v>#DIV/0!</v>
      </c>
      <c r="AH178" s="46" t="e">
        <f t="shared" si="94"/>
        <v>#DIV/0!</v>
      </c>
      <c r="AI178" s="46" t="e">
        <f t="shared" si="95"/>
        <v>#DIV/0!</v>
      </c>
      <c r="AJ178" s="46" t="e">
        <f t="shared" si="96"/>
        <v>#DIV/0!</v>
      </c>
      <c r="AK178" s="46" t="e">
        <f t="shared" si="97"/>
        <v>#DIV/0!</v>
      </c>
      <c r="AL178" s="46" t="e">
        <f>T$3+K178/ATM_Conf!$C$5</f>
        <v>#DIV/0!</v>
      </c>
      <c r="AM178" s="46" t="e">
        <f>U$3+L178/ATM_Conf!$C$5</f>
        <v>#DIV/0!</v>
      </c>
      <c r="AN178" s="46" t="e">
        <f>V$3+M178/ATM_Conf!$C$5</f>
        <v>#DIV/0!</v>
      </c>
      <c r="AO178" s="46" t="e">
        <f>W$3+N178/ATM_Conf!$C$5</f>
        <v>#DIV/0!</v>
      </c>
      <c r="AP178" s="46" t="e">
        <f>X$3+O178/ATM_Conf!$C$5</f>
        <v>#DIV/0!</v>
      </c>
      <c r="AQ178" s="46" t="e">
        <f>Y$3+P178/ATM_Conf!$C$5</f>
        <v>#DIV/0!</v>
      </c>
      <c r="AR178" s="46" t="e">
        <f>Z$3+Q178/ATM_Conf!$C$5</f>
        <v>#DIV/0!</v>
      </c>
      <c r="AS178" s="46" t="e">
        <f>AA$3+R178/ATM_Conf!$C$5</f>
        <v>#DIV/0!</v>
      </c>
      <c r="AT178" s="46" t="e">
        <f>AB$3+S178/ATM_Conf!$C$5</f>
        <v>#DIV/0!</v>
      </c>
      <c r="AU178" s="46" t="e">
        <f>BD$3*MIN(1,(ATM_Conf!$C$6-Links!F178)/(ATM_Conf!$C$6-ATM_Conf!$C$7))</f>
        <v>#DIV/0!</v>
      </c>
      <c r="AV178" s="46" t="e">
        <f>BE$3*MIN(1,(ATM_Conf!$C$6-Links!G178)/(ATM_Conf!$C$6-ATM_Conf!$C$7))</f>
        <v>#DIV/0!</v>
      </c>
      <c r="AW178" s="46" t="e">
        <f>BF$3*MIN(1,(ATM_Conf!$C$6-Links!H178)/(ATM_Conf!$C$6-ATM_Conf!$C$7))</f>
        <v>#DIV/0!</v>
      </c>
      <c r="AX178" s="46" t="e">
        <f>BG$3*MIN(1,(ATM_Conf!$C$6-Links!I178)/(ATM_Conf!$C$6-ATM_Conf!$C$7))</f>
        <v>#DIV/0!</v>
      </c>
      <c r="AY178" s="46" t="e">
        <f>BH$3*MIN(1,(ATM_Conf!$C$6-Links!J178)/(ATM_Conf!$C$6-ATM_Conf!$C$7))</f>
        <v>#DIV/0!</v>
      </c>
      <c r="AZ178" s="46" t="e">
        <f>BI$3*MIN(1,(ATM_Conf!$C$6-Links!K178)/(ATM_Conf!$C$6-ATM_Conf!$C$7))</f>
        <v>#DIV/0!</v>
      </c>
      <c r="BA178" s="46" t="e">
        <f>BJ$3*MIN(1,(ATM_Conf!$C$6-Links!L178)/(ATM_Conf!$C$6-ATM_Conf!$C$7))</f>
        <v>#DIV/0!</v>
      </c>
      <c r="BB178" s="46" t="e">
        <f>BK$3*MIN(1,(ATM_Conf!$C$6-Links!M178)/(ATM_Conf!$C$6-ATM_Conf!$C$7))</f>
        <v>#DIV/0!</v>
      </c>
      <c r="BC178" s="46" t="e">
        <f>BL$3*MIN(1,(ATM_Conf!$C$6-Links!N178)/(ATM_Conf!$C$6-ATM_Conf!$C$7))</f>
        <v>#DIV/0!</v>
      </c>
      <c r="BD178" s="46"/>
      <c r="BE178" s="46"/>
      <c r="BF178" s="46"/>
      <c r="BG178" s="46"/>
      <c r="BH178" s="46"/>
      <c r="BI178" s="46"/>
      <c r="BJ178" s="46"/>
      <c r="BK178" s="46"/>
      <c r="BL178" s="46"/>
      <c r="BM178" s="54"/>
      <c r="BN178" s="54"/>
      <c r="BO178" s="54"/>
      <c r="BP178" s="54"/>
      <c r="BQ178" s="54"/>
      <c r="BR178" s="54"/>
      <c r="BS178" s="54"/>
      <c r="BT178" s="54"/>
      <c r="BU178" s="54"/>
      <c r="BV178" s="46" t="e">
        <f t="shared" si="98"/>
        <v>#DIV/0!</v>
      </c>
      <c r="BW178" s="46" t="e">
        <f t="shared" si="99"/>
        <v>#DIV/0!</v>
      </c>
      <c r="BX178" s="46" t="e">
        <f t="shared" si="100"/>
        <v>#DIV/0!</v>
      </c>
      <c r="BY178" s="46" t="e">
        <f t="shared" si="101"/>
        <v>#DIV/0!</v>
      </c>
      <c r="BZ178" s="46" t="e">
        <f t="shared" si="102"/>
        <v>#DIV/0!</v>
      </c>
      <c r="CA178" s="46" t="e">
        <f t="shared" si="103"/>
        <v>#DIV/0!</v>
      </c>
      <c r="CB178" s="46" t="e">
        <f t="shared" si="104"/>
        <v>#DIV/0!</v>
      </c>
      <c r="CC178" s="46" t="e">
        <f t="shared" si="105"/>
        <v>#DIV/0!</v>
      </c>
      <c r="CD178" s="46" t="e">
        <f t="shared" si="106"/>
        <v>#DIV/0!</v>
      </c>
      <c r="CE178" s="56" t="e">
        <f t="shared" si="107"/>
        <v>#DIV/0!</v>
      </c>
      <c r="CF178" s="56" t="e">
        <f t="shared" si="108"/>
        <v>#DIV/0!</v>
      </c>
      <c r="CG178" s="56" t="e">
        <f t="shared" si="109"/>
        <v>#DIV/0!</v>
      </c>
      <c r="CH178" s="56" t="e">
        <f t="shared" si="110"/>
        <v>#DIV/0!</v>
      </c>
      <c r="CI178" s="56" t="e">
        <f t="shared" si="111"/>
        <v>#DIV/0!</v>
      </c>
      <c r="CJ178" s="56" t="e">
        <f t="shared" si="112"/>
        <v>#DIV/0!</v>
      </c>
      <c r="CK178" s="56" t="e">
        <f t="shared" si="113"/>
        <v>#DIV/0!</v>
      </c>
      <c r="CL178" s="56" t="e">
        <f t="shared" si="114"/>
        <v>#DIV/0!</v>
      </c>
      <c r="CM178" s="56" t="e">
        <f t="shared" si="115"/>
        <v>#DIV/0!</v>
      </c>
    </row>
    <row r="179" spans="1:91" x14ac:dyDescent="0.15">
      <c r="A179" s="43">
        <v>177</v>
      </c>
      <c r="B179" s="46">
        <f t="shared" si="127"/>
        <v>1</v>
      </c>
      <c r="C179" s="46">
        <f t="shared" si="126"/>
        <v>1</v>
      </c>
      <c r="D179" s="46">
        <f t="shared" si="126"/>
        <v>1</v>
      </c>
      <c r="E179" s="46">
        <f t="shared" si="126"/>
        <v>1</v>
      </c>
      <c r="F179" s="46">
        <f t="shared" si="126"/>
        <v>1</v>
      </c>
      <c r="G179" s="46">
        <f t="shared" si="126"/>
        <v>1</v>
      </c>
      <c r="H179" s="46">
        <f t="shared" si="126"/>
        <v>1</v>
      </c>
      <c r="I179" s="46">
        <f t="shared" si="126"/>
        <v>1</v>
      </c>
      <c r="J179" s="46">
        <f t="shared" si="126"/>
        <v>1</v>
      </c>
      <c r="K179" s="46" t="e">
        <f>K178+ATM_Conf!$C$5*(T178-AC178)</f>
        <v>#DIV/0!</v>
      </c>
      <c r="L179" s="46" t="e">
        <f>L178+ATM_Conf!$C$5*(U178-AD178)</f>
        <v>#DIV/0!</v>
      </c>
      <c r="M179" s="46" t="e">
        <f>M178+ATM_Conf!$C$5*(V178-AE178)</f>
        <v>#DIV/0!</v>
      </c>
      <c r="N179" s="46" t="e">
        <f>N178+ATM_Conf!$C$5*(W178-AF178)</f>
        <v>#DIV/0!</v>
      </c>
      <c r="O179" s="46" t="e">
        <f>O178+ATM_Conf!$C$5*(X178-AG178)</f>
        <v>#DIV/0!</v>
      </c>
      <c r="P179" s="46" t="e">
        <f>P178+ATM_Conf!$C$5*(Y178-AH178)</f>
        <v>#DIV/0!</v>
      </c>
      <c r="Q179" s="46" t="e">
        <f>Q178+ATM_Conf!$C$5*(Z178-AI178)</f>
        <v>#DIV/0!</v>
      </c>
      <c r="R179" s="46" t="e">
        <f>R178+ATM_Conf!$C$5*(AA178-AJ178)</f>
        <v>#DIV/0!</v>
      </c>
      <c r="S179" s="46" t="e">
        <f>S178+ATM_Conf!$C$5*(AB178-AK178)</f>
        <v>#DIV/0!</v>
      </c>
      <c r="T179" s="46"/>
      <c r="U179" s="46"/>
      <c r="V179" s="46"/>
      <c r="W179" s="46"/>
      <c r="X179" s="46"/>
      <c r="Y179" s="46"/>
      <c r="Z179" s="46"/>
      <c r="AA179" s="46"/>
      <c r="AB179" s="46"/>
      <c r="AC179" s="46" t="e">
        <f t="shared" si="89"/>
        <v>#DIV/0!</v>
      </c>
      <c r="AD179" s="46" t="e">
        <f t="shared" si="90"/>
        <v>#DIV/0!</v>
      </c>
      <c r="AE179" s="46" t="e">
        <f t="shared" si="91"/>
        <v>#DIV/0!</v>
      </c>
      <c r="AF179" s="46" t="e">
        <f t="shared" si="92"/>
        <v>#DIV/0!</v>
      </c>
      <c r="AG179" s="46" t="e">
        <f t="shared" si="93"/>
        <v>#DIV/0!</v>
      </c>
      <c r="AH179" s="46" t="e">
        <f t="shared" si="94"/>
        <v>#DIV/0!</v>
      </c>
      <c r="AI179" s="46" t="e">
        <f t="shared" si="95"/>
        <v>#DIV/0!</v>
      </c>
      <c r="AJ179" s="46" t="e">
        <f t="shared" si="96"/>
        <v>#DIV/0!</v>
      </c>
      <c r="AK179" s="46" t="e">
        <f t="shared" si="97"/>
        <v>#DIV/0!</v>
      </c>
      <c r="AL179" s="46" t="e">
        <f>T$3+K179/ATM_Conf!$C$5</f>
        <v>#DIV/0!</v>
      </c>
      <c r="AM179" s="46" t="e">
        <f>U$3+L179/ATM_Conf!$C$5</f>
        <v>#DIV/0!</v>
      </c>
      <c r="AN179" s="46" t="e">
        <f>V$3+M179/ATM_Conf!$C$5</f>
        <v>#DIV/0!</v>
      </c>
      <c r="AO179" s="46" t="e">
        <f>W$3+N179/ATM_Conf!$C$5</f>
        <v>#DIV/0!</v>
      </c>
      <c r="AP179" s="46" t="e">
        <f>X$3+O179/ATM_Conf!$C$5</f>
        <v>#DIV/0!</v>
      </c>
      <c r="AQ179" s="46" t="e">
        <f>Y$3+P179/ATM_Conf!$C$5</f>
        <v>#DIV/0!</v>
      </c>
      <c r="AR179" s="46" t="e">
        <f>Z$3+Q179/ATM_Conf!$C$5</f>
        <v>#DIV/0!</v>
      </c>
      <c r="AS179" s="46" t="e">
        <f>AA$3+R179/ATM_Conf!$C$5</f>
        <v>#DIV/0!</v>
      </c>
      <c r="AT179" s="46" t="e">
        <f>AB$3+S179/ATM_Conf!$C$5</f>
        <v>#DIV/0!</v>
      </c>
      <c r="AU179" s="46" t="e">
        <f>BD$3*MIN(1,(ATM_Conf!$C$6-Links!F179)/(ATM_Conf!$C$6-ATM_Conf!$C$7))</f>
        <v>#DIV/0!</v>
      </c>
      <c r="AV179" s="46" t="e">
        <f>BE$3*MIN(1,(ATM_Conf!$C$6-Links!G179)/(ATM_Conf!$C$6-ATM_Conf!$C$7))</f>
        <v>#DIV/0!</v>
      </c>
      <c r="AW179" s="46" t="e">
        <f>BF$3*MIN(1,(ATM_Conf!$C$6-Links!H179)/(ATM_Conf!$C$6-ATM_Conf!$C$7))</f>
        <v>#DIV/0!</v>
      </c>
      <c r="AX179" s="46" t="e">
        <f>BG$3*MIN(1,(ATM_Conf!$C$6-Links!I179)/(ATM_Conf!$C$6-ATM_Conf!$C$7))</f>
        <v>#DIV/0!</v>
      </c>
      <c r="AY179" s="46" t="e">
        <f>BH$3*MIN(1,(ATM_Conf!$C$6-Links!J179)/(ATM_Conf!$C$6-ATM_Conf!$C$7))</f>
        <v>#DIV/0!</v>
      </c>
      <c r="AZ179" s="46" t="e">
        <f>BI$3*MIN(1,(ATM_Conf!$C$6-Links!K179)/(ATM_Conf!$C$6-ATM_Conf!$C$7))</f>
        <v>#DIV/0!</v>
      </c>
      <c r="BA179" s="46" t="e">
        <f>BJ$3*MIN(1,(ATM_Conf!$C$6-Links!L179)/(ATM_Conf!$C$6-ATM_Conf!$C$7))</f>
        <v>#DIV/0!</v>
      </c>
      <c r="BB179" s="46" t="e">
        <f>BK$3*MIN(1,(ATM_Conf!$C$6-Links!M179)/(ATM_Conf!$C$6-ATM_Conf!$C$7))</f>
        <v>#DIV/0!</v>
      </c>
      <c r="BC179" s="46" t="e">
        <f>BL$3*MIN(1,(ATM_Conf!$C$6-Links!N179)/(ATM_Conf!$C$6-ATM_Conf!$C$7))</f>
        <v>#DIV/0!</v>
      </c>
      <c r="BD179" s="46"/>
      <c r="BE179" s="46"/>
      <c r="BF179" s="46"/>
      <c r="BG179" s="46"/>
      <c r="BH179" s="46"/>
      <c r="BI179" s="46"/>
      <c r="BJ179" s="46"/>
      <c r="BK179" s="46"/>
      <c r="BL179" s="46"/>
      <c r="BM179" s="54"/>
      <c r="BN179" s="54"/>
      <c r="BO179" s="54"/>
      <c r="BP179" s="54"/>
      <c r="BQ179" s="54"/>
      <c r="BR179" s="54"/>
      <c r="BS179" s="54"/>
      <c r="BT179" s="54"/>
      <c r="BU179" s="54"/>
      <c r="BV179" s="46" t="e">
        <f t="shared" si="98"/>
        <v>#DIV/0!</v>
      </c>
      <c r="BW179" s="46" t="e">
        <f t="shared" si="99"/>
        <v>#DIV/0!</v>
      </c>
      <c r="BX179" s="46" t="e">
        <f t="shared" si="100"/>
        <v>#DIV/0!</v>
      </c>
      <c r="BY179" s="46" t="e">
        <f t="shared" si="101"/>
        <v>#DIV/0!</v>
      </c>
      <c r="BZ179" s="46" t="e">
        <f t="shared" si="102"/>
        <v>#DIV/0!</v>
      </c>
      <c r="CA179" s="46" t="e">
        <f t="shared" si="103"/>
        <v>#DIV/0!</v>
      </c>
      <c r="CB179" s="46" t="e">
        <f t="shared" si="104"/>
        <v>#DIV/0!</v>
      </c>
      <c r="CC179" s="46" t="e">
        <f t="shared" si="105"/>
        <v>#DIV/0!</v>
      </c>
      <c r="CD179" s="46" t="e">
        <f t="shared" si="106"/>
        <v>#DIV/0!</v>
      </c>
      <c r="CE179" s="56" t="e">
        <f t="shared" si="107"/>
        <v>#DIV/0!</v>
      </c>
      <c r="CF179" s="56" t="e">
        <f t="shared" si="108"/>
        <v>#DIV/0!</v>
      </c>
      <c r="CG179" s="56" t="e">
        <f t="shared" si="109"/>
        <v>#DIV/0!</v>
      </c>
      <c r="CH179" s="56" t="e">
        <f t="shared" si="110"/>
        <v>#DIV/0!</v>
      </c>
      <c r="CI179" s="56" t="e">
        <f t="shared" si="111"/>
        <v>#DIV/0!</v>
      </c>
      <c r="CJ179" s="56" t="e">
        <f t="shared" si="112"/>
        <v>#DIV/0!</v>
      </c>
      <c r="CK179" s="56" t="e">
        <f t="shared" si="113"/>
        <v>#DIV/0!</v>
      </c>
      <c r="CL179" s="56" t="e">
        <f t="shared" si="114"/>
        <v>#DIV/0!</v>
      </c>
      <c r="CM179" s="56" t="e">
        <f t="shared" si="115"/>
        <v>#DIV/0!</v>
      </c>
    </row>
    <row r="180" spans="1:91" x14ac:dyDescent="0.15">
      <c r="A180" s="43">
        <v>178</v>
      </c>
      <c r="B180" s="46">
        <f t="shared" si="127"/>
        <v>1</v>
      </c>
      <c r="C180" s="46">
        <f t="shared" si="126"/>
        <v>1</v>
      </c>
      <c r="D180" s="46">
        <f t="shared" si="126"/>
        <v>1</v>
      </c>
      <c r="E180" s="46">
        <f t="shared" si="126"/>
        <v>1</v>
      </c>
      <c r="F180" s="46">
        <f t="shared" si="126"/>
        <v>1</v>
      </c>
      <c r="G180" s="46">
        <f t="shared" si="126"/>
        <v>1</v>
      </c>
      <c r="H180" s="46">
        <f t="shared" si="126"/>
        <v>1</v>
      </c>
      <c r="I180" s="46">
        <f t="shared" si="126"/>
        <v>1</v>
      </c>
      <c r="J180" s="46">
        <f t="shared" si="126"/>
        <v>1</v>
      </c>
      <c r="K180" s="46" t="e">
        <f>K179+ATM_Conf!$C$5*(T179-AC179)</f>
        <v>#DIV/0!</v>
      </c>
      <c r="L180" s="46" t="e">
        <f>L179+ATM_Conf!$C$5*(U179-AD179)</f>
        <v>#DIV/0!</v>
      </c>
      <c r="M180" s="46" t="e">
        <f>M179+ATM_Conf!$C$5*(V179-AE179)</f>
        <v>#DIV/0!</v>
      </c>
      <c r="N180" s="46" t="e">
        <f>N179+ATM_Conf!$C$5*(W179-AF179)</f>
        <v>#DIV/0!</v>
      </c>
      <c r="O180" s="46" t="e">
        <f>O179+ATM_Conf!$C$5*(X179-AG179)</f>
        <v>#DIV/0!</v>
      </c>
      <c r="P180" s="46" t="e">
        <f>P179+ATM_Conf!$C$5*(Y179-AH179)</f>
        <v>#DIV/0!</v>
      </c>
      <c r="Q180" s="46" t="e">
        <f>Q179+ATM_Conf!$C$5*(Z179-AI179)</f>
        <v>#DIV/0!</v>
      </c>
      <c r="R180" s="46" t="e">
        <f>R179+ATM_Conf!$C$5*(AA179-AJ179)</f>
        <v>#DIV/0!</v>
      </c>
      <c r="S180" s="46" t="e">
        <f>S179+ATM_Conf!$C$5*(AB179-AK179)</f>
        <v>#DIV/0!</v>
      </c>
      <c r="T180" s="46"/>
      <c r="U180" s="46"/>
      <c r="V180" s="46"/>
      <c r="W180" s="46"/>
      <c r="X180" s="46"/>
      <c r="Y180" s="46"/>
      <c r="Z180" s="46"/>
      <c r="AA180" s="46"/>
      <c r="AB180" s="46"/>
      <c r="AC180" s="46" t="e">
        <f t="shared" si="89"/>
        <v>#DIV/0!</v>
      </c>
      <c r="AD180" s="46" t="e">
        <f t="shared" si="90"/>
        <v>#DIV/0!</v>
      </c>
      <c r="AE180" s="46" t="e">
        <f t="shared" si="91"/>
        <v>#DIV/0!</v>
      </c>
      <c r="AF180" s="46" t="e">
        <f t="shared" si="92"/>
        <v>#DIV/0!</v>
      </c>
      <c r="AG180" s="46" t="e">
        <f t="shared" si="93"/>
        <v>#DIV/0!</v>
      </c>
      <c r="AH180" s="46" t="e">
        <f t="shared" si="94"/>
        <v>#DIV/0!</v>
      </c>
      <c r="AI180" s="46" t="e">
        <f t="shared" si="95"/>
        <v>#DIV/0!</v>
      </c>
      <c r="AJ180" s="46" t="e">
        <f t="shared" si="96"/>
        <v>#DIV/0!</v>
      </c>
      <c r="AK180" s="46" t="e">
        <f t="shared" si="97"/>
        <v>#DIV/0!</v>
      </c>
      <c r="AL180" s="46" t="e">
        <f>T$3+K180/ATM_Conf!$C$5</f>
        <v>#DIV/0!</v>
      </c>
      <c r="AM180" s="46" t="e">
        <f>U$3+L180/ATM_Conf!$C$5</f>
        <v>#DIV/0!</v>
      </c>
      <c r="AN180" s="46" t="e">
        <f>V$3+M180/ATM_Conf!$C$5</f>
        <v>#DIV/0!</v>
      </c>
      <c r="AO180" s="46" t="e">
        <f>W$3+N180/ATM_Conf!$C$5</f>
        <v>#DIV/0!</v>
      </c>
      <c r="AP180" s="46" t="e">
        <f>X$3+O180/ATM_Conf!$C$5</f>
        <v>#DIV/0!</v>
      </c>
      <c r="AQ180" s="46" t="e">
        <f>Y$3+P180/ATM_Conf!$C$5</f>
        <v>#DIV/0!</v>
      </c>
      <c r="AR180" s="46" t="e">
        <f>Z$3+Q180/ATM_Conf!$C$5</f>
        <v>#DIV/0!</v>
      </c>
      <c r="AS180" s="46" t="e">
        <f>AA$3+R180/ATM_Conf!$C$5</f>
        <v>#DIV/0!</v>
      </c>
      <c r="AT180" s="46" t="e">
        <f>AB$3+S180/ATM_Conf!$C$5</f>
        <v>#DIV/0!</v>
      </c>
      <c r="AU180" s="46" t="e">
        <f>BD$3*MIN(1,(ATM_Conf!$C$6-Links!F180)/(ATM_Conf!$C$6-ATM_Conf!$C$7))</f>
        <v>#DIV/0!</v>
      </c>
      <c r="AV180" s="46" t="e">
        <f>BE$3*MIN(1,(ATM_Conf!$C$6-Links!G180)/(ATM_Conf!$C$6-ATM_Conf!$C$7))</f>
        <v>#DIV/0!</v>
      </c>
      <c r="AW180" s="46" t="e">
        <f>BF$3*MIN(1,(ATM_Conf!$C$6-Links!H180)/(ATM_Conf!$C$6-ATM_Conf!$C$7))</f>
        <v>#DIV/0!</v>
      </c>
      <c r="AX180" s="46" t="e">
        <f>BG$3*MIN(1,(ATM_Conf!$C$6-Links!I180)/(ATM_Conf!$C$6-ATM_Conf!$C$7))</f>
        <v>#DIV/0!</v>
      </c>
      <c r="AY180" s="46" t="e">
        <f>BH$3*MIN(1,(ATM_Conf!$C$6-Links!J180)/(ATM_Conf!$C$6-ATM_Conf!$C$7))</f>
        <v>#DIV/0!</v>
      </c>
      <c r="AZ180" s="46" t="e">
        <f>BI$3*MIN(1,(ATM_Conf!$C$6-Links!K180)/(ATM_Conf!$C$6-ATM_Conf!$C$7))</f>
        <v>#DIV/0!</v>
      </c>
      <c r="BA180" s="46" t="e">
        <f>BJ$3*MIN(1,(ATM_Conf!$C$6-Links!L180)/(ATM_Conf!$C$6-ATM_Conf!$C$7))</f>
        <v>#DIV/0!</v>
      </c>
      <c r="BB180" s="46" t="e">
        <f>BK$3*MIN(1,(ATM_Conf!$C$6-Links!M180)/(ATM_Conf!$C$6-ATM_Conf!$C$7))</f>
        <v>#DIV/0!</v>
      </c>
      <c r="BC180" s="46" t="e">
        <f>BL$3*MIN(1,(ATM_Conf!$C$6-Links!N180)/(ATM_Conf!$C$6-ATM_Conf!$C$7))</f>
        <v>#DIV/0!</v>
      </c>
      <c r="BD180" s="46"/>
      <c r="BE180" s="46"/>
      <c r="BF180" s="46"/>
      <c r="BG180" s="46"/>
      <c r="BH180" s="46"/>
      <c r="BI180" s="46"/>
      <c r="BJ180" s="46"/>
      <c r="BK180" s="46"/>
      <c r="BL180" s="46"/>
      <c r="BM180" s="54"/>
      <c r="BN180" s="54"/>
      <c r="BO180" s="54"/>
      <c r="BP180" s="54"/>
      <c r="BQ180" s="54"/>
      <c r="BR180" s="54"/>
      <c r="BS180" s="54"/>
      <c r="BT180" s="54"/>
      <c r="BU180" s="54"/>
      <c r="BV180" s="46" t="e">
        <f t="shared" si="98"/>
        <v>#DIV/0!</v>
      </c>
      <c r="BW180" s="46" t="e">
        <f t="shared" si="99"/>
        <v>#DIV/0!</v>
      </c>
      <c r="BX180" s="46" t="e">
        <f t="shared" si="100"/>
        <v>#DIV/0!</v>
      </c>
      <c r="BY180" s="46" t="e">
        <f t="shared" si="101"/>
        <v>#DIV/0!</v>
      </c>
      <c r="BZ180" s="46" t="e">
        <f t="shared" si="102"/>
        <v>#DIV/0!</v>
      </c>
      <c r="CA180" s="46" t="e">
        <f t="shared" si="103"/>
        <v>#DIV/0!</v>
      </c>
      <c r="CB180" s="46" t="e">
        <f t="shared" si="104"/>
        <v>#DIV/0!</v>
      </c>
      <c r="CC180" s="46" t="e">
        <f t="shared" si="105"/>
        <v>#DIV/0!</v>
      </c>
      <c r="CD180" s="46" t="e">
        <f t="shared" si="106"/>
        <v>#DIV/0!</v>
      </c>
      <c r="CE180" s="56" t="e">
        <f t="shared" si="107"/>
        <v>#DIV/0!</v>
      </c>
      <c r="CF180" s="56" t="e">
        <f t="shared" si="108"/>
        <v>#DIV/0!</v>
      </c>
      <c r="CG180" s="56" t="e">
        <f t="shared" si="109"/>
        <v>#DIV/0!</v>
      </c>
      <c r="CH180" s="56" t="e">
        <f t="shared" si="110"/>
        <v>#DIV/0!</v>
      </c>
      <c r="CI180" s="56" t="e">
        <f t="shared" si="111"/>
        <v>#DIV/0!</v>
      </c>
      <c r="CJ180" s="56" t="e">
        <f t="shared" si="112"/>
        <v>#DIV/0!</v>
      </c>
      <c r="CK180" s="56" t="e">
        <f t="shared" si="113"/>
        <v>#DIV/0!</v>
      </c>
      <c r="CL180" s="56" t="e">
        <f t="shared" si="114"/>
        <v>#DIV/0!</v>
      </c>
      <c r="CM180" s="56" t="e">
        <f t="shared" si="115"/>
        <v>#DIV/0!</v>
      </c>
    </row>
    <row r="181" spans="1:91" x14ac:dyDescent="0.15">
      <c r="A181" s="43">
        <v>179</v>
      </c>
      <c r="B181" s="46">
        <f t="shared" si="127"/>
        <v>1</v>
      </c>
      <c r="C181" s="46">
        <f t="shared" si="126"/>
        <v>1</v>
      </c>
      <c r="D181" s="46">
        <f t="shared" si="126"/>
        <v>1</v>
      </c>
      <c r="E181" s="46">
        <f t="shared" si="126"/>
        <v>1</v>
      </c>
      <c r="F181" s="46">
        <f t="shared" si="126"/>
        <v>1</v>
      </c>
      <c r="G181" s="46">
        <f t="shared" si="126"/>
        <v>1</v>
      </c>
      <c r="H181" s="46">
        <f t="shared" si="126"/>
        <v>1</v>
      </c>
      <c r="I181" s="46">
        <f t="shared" si="126"/>
        <v>1</v>
      </c>
      <c r="J181" s="46">
        <f t="shared" si="126"/>
        <v>1</v>
      </c>
      <c r="K181" s="46" t="e">
        <f>K180+ATM_Conf!$C$5*(T180-AC180)</f>
        <v>#DIV/0!</v>
      </c>
      <c r="L181" s="46" t="e">
        <f>L180+ATM_Conf!$C$5*(U180-AD180)</f>
        <v>#DIV/0!</v>
      </c>
      <c r="M181" s="46" t="e">
        <f>M180+ATM_Conf!$C$5*(V180-AE180)</f>
        <v>#DIV/0!</v>
      </c>
      <c r="N181" s="46" t="e">
        <f>N180+ATM_Conf!$C$5*(W180-AF180)</f>
        <v>#DIV/0!</v>
      </c>
      <c r="O181" s="46" t="e">
        <f>O180+ATM_Conf!$C$5*(X180-AG180)</f>
        <v>#DIV/0!</v>
      </c>
      <c r="P181" s="46" t="e">
        <f>P180+ATM_Conf!$C$5*(Y180-AH180)</f>
        <v>#DIV/0!</v>
      </c>
      <c r="Q181" s="46" t="e">
        <f>Q180+ATM_Conf!$C$5*(Z180-AI180)</f>
        <v>#DIV/0!</v>
      </c>
      <c r="R181" s="46" t="e">
        <f>R180+ATM_Conf!$C$5*(AA180-AJ180)</f>
        <v>#DIV/0!</v>
      </c>
      <c r="S181" s="46" t="e">
        <f>S180+ATM_Conf!$C$5*(AB180-AK180)</f>
        <v>#DIV/0!</v>
      </c>
      <c r="T181" s="46"/>
      <c r="U181" s="46"/>
      <c r="V181" s="46"/>
      <c r="W181" s="46"/>
      <c r="X181" s="46"/>
      <c r="Y181" s="46"/>
      <c r="Z181" s="46"/>
      <c r="AA181" s="46"/>
      <c r="AB181" s="46"/>
      <c r="AC181" s="46" t="e">
        <f t="shared" si="89"/>
        <v>#DIV/0!</v>
      </c>
      <c r="AD181" s="46" t="e">
        <f t="shared" si="90"/>
        <v>#DIV/0!</v>
      </c>
      <c r="AE181" s="46" t="e">
        <f t="shared" si="91"/>
        <v>#DIV/0!</v>
      </c>
      <c r="AF181" s="46" t="e">
        <f t="shared" si="92"/>
        <v>#DIV/0!</v>
      </c>
      <c r="AG181" s="46" t="e">
        <f t="shared" si="93"/>
        <v>#DIV/0!</v>
      </c>
      <c r="AH181" s="46" t="e">
        <f t="shared" si="94"/>
        <v>#DIV/0!</v>
      </c>
      <c r="AI181" s="46" t="e">
        <f t="shared" si="95"/>
        <v>#DIV/0!</v>
      </c>
      <c r="AJ181" s="46" t="e">
        <f t="shared" si="96"/>
        <v>#DIV/0!</v>
      </c>
      <c r="AK181" s="46" t="e">
        <f t="shared" si="97"/>
        <v>#DIV/0!</v>
      </c>
      <c r="AL181" s="46" t="e">
        <f>T$3+K181/ATM_Conf!$C$5</f>
        <v>#DIV/0!</v>
      </c>
      <c r="AM181" s="46" t="e">
        <f>U$3+L181/ATM_Conf!$C$5</f>
        <v>#DIV/0!</v>
      </c>
      <c r="AN181" s="46" t="e">
        <f>V$3+M181/ATM_Conf!$C$5</f>
        <v>#DIV/0!</v>
      </c>
      <c r="AO181" s="46" t="e">
        <f>W$3+N181/ATM_Conf!$C$5</f>
        <v>#DIV/0!</v>
      </c>
      <c r="AP181" s="46" t="e">
        <f>X$3+O181/ATM_Conf!$C$5</f>
        <v>#DIV/0!</v>
      </c>
      <c r="AQ181" s="46" t="e">
        <f>Y$3+P181/ATM_Conf!$C$5</f>
        <v>#DIV/0!</v>
      </c>
      <c r="AR181" s="46" t="e">
        <f>Z$3+Q181/ATM_Conf!$C$5</f>
        <v>#DIV/0!</v>
      </c>
      <c r="AS181" s="46" t="e">
        <f>AA$3+R181/ATM_Conf!$C$5</f>
        <v>#DIV/0!</v>
      </c>
      <c r="AT181" s="46" t="e">
        <f>AB$3+S181/ATM_Conf!$C$5</f>
        <v>#DIV/0!</v>
      </c>
      <c r="AU181" s="46" t="e">
        <f>BD$3*MIN(1,(ATM_Conf!$C$6-Links!F181)/(ATM_Conf!$C$6-ATM_Conf!$C$7))</f>
        <v>#DIV/0!</v>
      </c>
      <c r="AV181" s="46" t="e">
        <f>BE$3*MIN(1,(ATM_Conf!$C$6-Links!G181)/(ATM_Conf!$C$6-ATM_Conf!$C$7))</f>
        <v>#DIV/0!</v>
      </c>
      <c r="AW181" s="46" t="e">
        <f>BF$3*MIN(1,(ATM_Conf!$C$6-Links!H181)/(ATM_Conf!$C$6-ATM_Conf!$C$7))</f>
        <v>#DIV/0!</v>
      </c>
      <c r="AX181" s="46" t="e">
        <f>BG$3*MIN(1,(ATM_Conf!$C$6-Links!I181)/(ATM_Conf!$C$6-ATM_Conf!$C$7))</f>
        <v>#DIV/0!</v>
      </c>
      <c r="AY181" s="46" t="e">
        <f>BH$3*MIN(1,(ATM_Conf!$C$6-Links!J181)/(ATM_Conf!$C$6-ATM_Conf!$C$7))</f>
        <v>#DIV/0!</v>
      </c>
      <c r="AZ181" s="46" t="e">
        <f>BI$3*MIN(1,(ATM_Conf!$C$6-Links!K181)/(ATM_Conf!$C$6-ATM_Conf!$C$7))</f>
        <v>#DIV/0!</v>
      </c>
      <c r="BA181" s="46" t="e">
        <f>BJ$3*MIN(1,(ATM_Conf!$C$6-Links!L181)/(ATM_Conf!$C$6-ATM_Conf!$C$7))</f>
        <v>#DIV/0!</v>
      </c>
      <c r="BB181" s="46" t="e">
        <f>BK$3*MIN(1,(ATM_Conf!$C$6-Links!M181)/(ATM_Conf!$C$6-ATM_Conf!$C$7))</f>
        <v>#DIV/0!</v>
      </c>
      <c r="BC181" s="46" t="e">
        <f>BL$3*MIN(1,(ATM_Conf!$C$6-Links!N181)/(ATM_Conf!$C$6-ATM_Conf!$C$7))</f>
        <v>#DIV/0!</v>
      </c>
      <c r="BD181" s="46"/>
      <c r="BE181" s="46"/>
      <c r="BF181" s="46"/>
      <c r="BG181" s="46"/>
      <c r="BH181" s="46"/>
      <c r="BI181" s="46"/>
      <c r="BJ181" s="46"/>
      <c r="BK181" s="46"/>
      <c r="BL181" s="46"/>
      <c r="BM181" s="54"/>
      <c r="BN181" s="54"/>
      <c r="BO181" s="54"/>
      <c r="BP181" s="54"/>
      <c r="BQ181" s="54"/>
      <c r="BR181" s="54"/>
      <c r="BS181" s="54"/>
      <c r="BT181" s="54"/>
      <c r="BU181" s="54"/>
      <c r="BV181" s="46" t="e">
        <f t="shared" si="98"/>
        <v>#DIV/0!</v>
      </c>
      <c r="BW181" s="46" t="e">
        <f t="shared" si="99"/>
        <v>#DIV/0!</v>
      </c>
      <c r="BX181" s="46" t="e">
        <f t="shared" si="100"/>
        <v>#DIV/0!</v>
      </c>
      <c r="BY181" s="46" t="e">
        <f t="shared" si="101"/>
        <v>#DIV/0!</v>
      </c>
      <c r="BZ181" s="46" t="e">
        <f t="shared" si="102"/>
        <v>#DIV/0!</v>
      </c>
      <c r="CA181" s="46" t="e">
        <f t="shared" si="103"/>
        <v>#DIV/0!</v>
      </c>
      <c r="CB181" s="46" t="e">
        <f t="shared" si="104"/>
        <v>#DIV/0!</v>
      </c>
      <c r="CC181" s="46" t="e">
        <f t="shared" si="105"/>
        <v>#DIV/0!</v>
      </c>
      <c r="CD181" s="46" t="e">
        <f t="shared" si="106"/>
        <v>#DIV/0!</v>
      </c>
      <c r="CE181" s="56" t="e">
        <f t="shared" si="107"/>
        <v>#DIV/0!</v>
      </c>
      <c r="CF181" s="56" t="e">
        <f t="shared" si="108"/>
        <v>#DIV/0!</v>
      </c>
      <c r="CG181" s="56" t="e">
        <f t="shared" si="109"/>
        <v>#DIV/0!</v>
      </c>
      <c r="CH181" s="56" t="e">
        <f t="shared" si="110"/>
        <v>#DIV/0!</v>
      </c>
      <c r="CI181" s="56" t="e">
        <f t="shared" si="111"/>
        <v>#DIV/0!</v>
      </c>
      <c r="CJ181" s="56" t="e">
        <f t="shared" si="112"/>
        <v>#DIV/0!</v>
      </c>
      <c r="CK181" s="56" t="e">
        <f t="shared" si="113"/>
        <v>#DIV/0!</v>
      </c>
      <c r="CL181" s="56" t="e">
        <f t="shared" si="114"/>
        <v>#DIV/0!</v>
      </c>
      <c r="CM181" s="56" t="e">
        <f t="shared" si="115"/>
        <v>#DIV/0!</v>
      </c>
    </row>
    <row r="182" spans="1:91" x14ac:dyDescent="0.15">
      <c r="A182" s="43">
        <v>180</v>
      </c>
      <c r="B182" s="46">
        <f t="shared" si="127"/>
        <v>1</v>
      </c>
      <c r="C182" s="46">
        <f t="shared" si="126"/>
        <v>1</v>
      </c>
      <c r="D182" s="46">
        <f t="shared" si="126"/>
        <v>1</v>
      </c>
      <c r="E182" s="46">
        <f t="shared" si="126"/>
        <v>1</v>
      </c>
      <c r="F182" s="46">
        <f t="shared" si="126"/>
        <v>1</v>
      </c>
      <c r="G182" s="46">
        <f t="shared" si="126"/>
        <v>1</v>
      </c>
      <c r="H182" s="46">
        <f t="shared" si="126"/>
        <v>1</v>
      </c>
      <c r="I182" s="46">
        <f t="shared" si="126"/>
        <v>1</v>
      </c>
      <c r="J182" s="46">
        <f t="shared" si="126"/>
        <v>1</v>
      </c>
      <c r="K182" s="46" t="e">
        <f>K181+ATM_Conf!$C$5*(T181-AC181)</f>
        <v>#DIV/0!</v>
      </c>
      <c r="L182" s="46" t="e">
        <f>L181+ATM_Conf!$C$5*(U181-AD181)</f>
        <v>#DIV/0!</v>
      </c>
      <c r="M182" s="46" t="e">
        <f>M181+ATM_Conf!$C$5*(V181-AE181)</f>
        <v>#DIV/0!</v>
      </c>
      <c r="N182" s="46" t="e">
        <f>N181+ATM_Conf!$C$5*(W181-AF181)</f>
        <v>#DIV/0!</v>
      </c>
      <c r="O182" s="46" t="e">
        <f>O181+ATM_Conf!$C$5*(X181-AG181)</f>
        <v>#DIV/0!</v>
      </c>
      <c r="P182" s="46" t="e">
        <f>P181+ATM_Conf!$C$5*(Y181-AH181)</f>
        <v>#DIV/0!</v>
      </c>
      <c r="Q182" s="46" t="e">
        <f>Q181+ATM_Conf!$C$5*(Z181-AI181)</f>
        <v>#DIV/0!</v>
      </c>
      <c r="R182" s="46" t="e">
        <f>R181+ATM_Conf!$C$5*(AA181-AJ181)</f>
        <v>#DIV/0!</v>
      </c>
      <c r="S182" s="46" t="e">
        <f>S181+ATM_Conf!$C$5*(AB181-AK181)</f>
        <v>#DIV/0!</v>
      </c>
      <c r="T182" s="46"/>
      <c r="U182" s="46"/>
      <c r="V182" s="46"/>
      <c r="W182" s="46"/>
      <c r="X182" s="46"/>
      <c r="Y182" s="46"/>
      <c r="Z182" s="46"/>
      <c r="AA182" s="46"/>
      <c r="AB182" s="46"/>
      <c r="AC182" s="46" t="e">
        <f t="shared" si="89"/>
        <v>#DIV/0!</v>
      </c>
      <c r="AD182" s="46" t="e">
        <f t="shared" si="90"/>
        <v>#DIV/0!</v>
      </c>
      <c r="AE182" s="46" t="e">
        <f t="shared" si="91"/>
        <v>#DIV/0!</v>
      </c>
      <c r="AF182" s="46" t="e">
        <f t="shared" si="92"/>
        <v>#DIV/0!</v>
      </c>
      <c r="AG182" s="46" t="e">
        <f t="shared" si="93"/>
        <v>#DIV/0!</v>
      </c>
      <c r="AH182" s="46" t="e">
        <f t="shared" si="94"/>
        <v>#DIV/0!</v>
      </c>
      <c r="AI182" s="46" t="e">
        <f t="shared" si="95"/>
        <v>#DIV/0!</v>
      </c>
      <c r="AJ182" s="46" t="e">
        <f t="shared" si="96"/>
        <v>#DIV/0!</v>
      </c>
      <c r="AK182" s="46" t="e">
        <f t="shared" si="97"/>
        <v>#DIV/0!</v>
      </c>
      <c r="AL182" s="46" t="e">
        <f>T$3+K182/ATM_Conf!$C$5</f>
        <v>#DIV/0!</v>
      </c>
      <c r="AM182" s="46" t="e">
        <f>U$3+L182/ATM_Conf!$C$5</f>
        <v>#DIV/0!</v>
      </c>
      <c r="AN182" s="46" t="e">
        <f>V$3+M182/ATM_Conf!$C$5</f>
        <v>#DIV/0!</v>
      </c>
      <c r="AO182" s="46" t="e">
        <f>W$3+N182/ATM_Conf!$C$5</f>
        <v>#DIV/0!</v>
      </c>
      <c r="AP182" s="46" t="e">
        <f>X$3+O182/ATM_Conf!$C$5</f>
        <v>#DIV/0!</v>
      </c>
      <c r="AQ182" s="46" t="e">
        <f>Y$3+P182/ATM_Conf!$C$5</f>
        <v>#DIV/0!</v>
      </c>
      <c r="AR182" s="46" t="e">
        <f>Z$3+Q182/ATM_Conf!$C$5</f>
        <v>#DIV/0!</v>
      </c>
      <c r="AS182" s="46" t="e">
        <f>AA$3+R182/ATM_Conf!$C$5</f>
        <v>#DIV/0!</v>
      </c>
      <c r="AT182" s="46" t="e">
        <f>AB$3+S182/ATM_Conf!$C$5</f>
        <v>#DIV/0!</v>
      </c>
      <c r="AU182" s="46" t="e">
        <f>BD$3*MIN(1,(ATM_Conf!$C$6-Links!F182)/(ATM_Conf!$C$6-ATM_Conf!$C$7))</f>
        <v>#DIV/0!</v>
      </c>
      <c r="AV182" s="46" t="e">
        <f>BE$3*MIN(1,(ATM_Conf!$C$6-Links!G182)/(ATM_Conf!$C$6-ATM_Conf!$C$7))</f>
        <v>#DIV/0!</v>
      </c>
      <c r="AW182" s="46" t="e">
        <f>BF$3*MIN(1,(ATM_Conf!$C$6-Links!H182)/(ATM_Conf!$C$6-ATM_Conf!$C$7))</f>
        <v>#DIV/0!</v>
      </c>
      <c r="AX182" s="46" t="e">
        <f>BG$3*MIN(1,(ATM_Conf!$C$6-Links!I182)/(ATM_Conf!$C$6-ATM_Conf!$C$7))</f>
        <v>#DIV/0!</v>
      </c>
      <c r="AY182" s="46" t="e">
        <f>BH$3*MIN(1,(ATM_Conf!$C$6-Links!J182)/(ATM_Conf!$C$6-ATM_Conf!$C$7))</f>
        <v>#DIV/0!</v>
      </c>
      <c r="AZ182" s="46" t="e">
        <f>BI$3*MIN(1,(ATM_Conf!$C$6-Links!K182)/(ATM_Conf!$C$6-ATM_Conf!$C$7))</f>
        <v>#DIV/0!</v>
      </c>
      <c r="BA182" s="46" t="e">
        <f>BJ$3*MIN(1,(ATM_Conf!$C$6-Links!L182)/(ATM_Conf!$C$6-ATM_Conf!$C$7))</f>
        <v>#DIV/0!</v>
      </c>
      <c r="BB182" s="46" t="e">
        <f>BK$3*MIN(1,(ATM_Conf!$C$6-Links!M182)/(ATM_Conf!$C$6-ATM_Conf!$C$7))</f>
        <v>#DIV/0!</v>
      </c>
      <c r="BC182" s="46" t="e">
        <f>BL$3*MIN(1,(ATM_Conf!$C$6-Links!N182)/(ATM_Conf!$C$6-ATM_Conf!$C$7))</f>
        <v>#DIV/0!</v>
      </c>
      <c r="BD182" s="46"/>
      <c r="BE182" s="46"/>
      <c r="BF182" s="46"/>
      <c r="BG182" s="46"/>
      <c r="BH182" s="46"/>
      <c r="BI182" s="46"/>
      <c r="BJ182" s="46"/>
      <c r="BK182" s="46"/>
      <c r="BL182" s="46"/>
      <c r="BM182" s="57">
        <f>SUM(BM3:BU181)</f>
        <v>0</v>
      </c>
      <c r="BN182" s="54"/>
      <c r="BO182" s="54"/>
      <c r="BP182" s="54"/>
      <c r="BQ182" s="54"/>
      <c r="BR182" s="54"/>
      <c r="BS182" s="54"/>
      <c r="BT182" s="54"/>
      <c r="BU182" s="54"/>
      <c r="BV182" s="46" t="e">
        <f t="shared" ref="BV182" si="128">K182/B$190/K$190</f>
        <v>#DIV/0!</v>
      </c>
      <c r="BW182" s="46" t="e">
        <f t="shared" ref="BW182" si="129">L182/C$190/L$190</f>
        <v>#DIV/0!</v>
      </c>
      <c r="BX182" s="46" t="e">
        <f t="shared" ref="BX182" si="130">M182/D$190/M$190</f>
        <v>#DIV/0!</v>
      </c>
      <c r="BY182" s="46" t="e">
        <f t="shared" ref="BY182" si="131">N182/E$190/N$190</f>
        <v>#DIV/0!</v>
      </c>
      <c r="BZ182" s="46" t="e">
        <f t="shared" ref="BZ182" si="132">O182/F$190/O$190</f>
        <v>#DIV/0!</v>
      </c>
      <c r="CA182" s="46" t="e">
        <f t="shared" ref="CA182" si="133">P182/G$190/P$190</f>
        <v>#DIV/0!</v>
      </c>
      <c r="CB182" s="46" t="e">
        <f t="shared" ref="CB182" si="134">Q182/H$190/Q$190</f>
        <v>#DIV/0!</v>
      </c>
      <c r="CC182" s="46" t="e">
        <f t="shared" ref="CC182" si="135">R182/I$190/R$190</f>
        <v>#DIV/0!</v>
      </c>
      <c r="CD182" s="46" t="e">
        <f t="shared" ref="CD182" si="136">S182/J$190/S$190</f>
        <v>#DIV/0!</v>
      </c>
      <c r="CE182" s="56" t="e">
        <f t="shared" ref="CE182" si="137">AC182/BV182</f>
        <v>#DIV/0!</v>
      </c>
      <c r="CF182" s="56" t="e">
        <f t="shared" ref="CF182" si="138">AD182/BW182</f>
        <v>#DIV/0!</v>
      </c>
      <c r="CG182" s="56" t="e">
        <f t="shared" ref="CG182" si="139">AE182/BX182</f>
        <v>#DIV/0!</v>
      </c>
      <c r="CH182" s="56" t="e">
        <f t="shared" ref="CH182" si="140">AF182/BY182</f>
        <v>#DIV/0!</v>
      </c>
      <c r="CI182" s="56" t="e">
        <f t="shared" ref="CI182" si="141">AG182/BZ182</f>
        <v>#DIV/0!</v>
      </c>
      <c r="CJ182" s="56" t="e">
        <f t="shared" ref="CJ182" si="142">AH182/CA182</f>
        <v>#DIV/0!</v>
      </c>
      <c r="CK182" s="56" t="e">
        <f t="shared" ref="CK182" si="143">AI182/CB182</f>
        <v>#DIV/0!</v>
      </c>
      <c r="CL182" s="56" t="e">
        <f t="shared" ref="CL182" si="144">AJ182/CC182</f>
        <v>#DIV/0!</v>
      </c>
      <c r="CM182" s="56" t="e">
        <f t="shared" ref="CM182" si="145">AK182/CD182</f>
        <v>#DIV/0!</v>
      </c>
    </row>
    <row r="188" spans="1:91" x14ac:dyDescent="0.15">
      <c r="B188" s="73" t="s">
        <v>196</v>
      </c>
      <c r="C188" s="73"/>
      <c r="D188" s="73"/>
      <c r="E188" s="73"/>
      <c r="F188" s="73"/>
      <c r="G188" s="73"/>
      <c r="H188" s="73"/>
      <c r="I188" s="73"/>
      <c r="J188" s="73"/>
      <c r="K188" s="73" t="s">
        <v>206</v>
      </c>
      <c r="L188" s="73"/>
      <c r="M188" s="73"/>
      <c r="N188" s="73"/>
      <c r="O188" s="73"/>
      <c r="P188" s="73"/>
      <c r="Q188" s="73"/>
      <c r="R188" s="73"/>
      <c r="S188" s="73"/>
    </row>
    <row r="189" spans="1:91" x14ac:dyDescent="0.15">
      <c r="B189" s="42">
        <v>1</v>
      </c>
      <c r="C189" s="42">
        <v>2</v>
      </c>
      <c r="D189" s="42">
        <v>3</v>
      </c>
      <c r="E189" s="42">
        <v>4</v>
      </c>
      <c r="F189" s="42">
        <v>5</v>
      </c>
      <c r="G189" s="42">
        <v>6</v>
      </c>
      <c r="H189" s="42">
        <v>7</v>
      </c>
      <c r="I189" s="42">
        <v>8</v>
      </c>
      <c r="J189" s="42">
        <v>9</v>
      </c>
      <c r="K189" s="42">
        <v>1</v>
      </c>
      <c r="L189" s="42">
        <v>2</v>
      </c>
      <c r="M189" s="42">
        <v>3</v>
      </c>
      <c r="N189" s="42">
        <v>4</v>
      </c>
      <c r="O189" s="42">
        <v>5</v>
      </c>
      <c r="P189" s="42">
        <v>6</v>
      </c>
      <c r="Q189" s="42">
        <v>7</v>
      </c>
      <c r="R189" s="42">
        <v>8</v>
      </c>
      <c r="S189" s="42">
        <v>9</v>
      </c>
    </row>
    <row r="190" spans="1:91" x14ac:dyDescent="0.15">
      <c r="B190" s="44">
        <v>1</v>
      </c>
      <c r="C190" s="44">
        <v>1</v>
      </c>
      <c r="D190" s="44">
        <v>1</v>
      </c>
      <c r="E190" s="44">
        <v>1</v>
      </c>
      <c r="F190" s="44">
        <v>1</v>
      </c>
      <c r="G190" s="44">
        <v>1</v>
      </c>
      <c r="H190" s="44">
        <v>1</v>
      </c>
      <c r="I190" s="44">
        <v>1</v>
      </c>
      <c r="J190" s="44">
        <v>1</v>
      </c>
      <c r="K190" s="44">
        <v>1</v>
      </c>
      <c r="L190" s="44">
        <v>1</v>
      </c>
      <c r="M190" s="44">
        <v>1</v>
      </c>
      <c r="N190" s="44">
        <v>1</v>
      </c>
      <c r="O190" s="44">
        <v>1</v>
      </c>
      <c r="P190" s="44">
        <v>1</v>
      </c>
      <c r="Q190" s="44">
        <v>1</v>
      </c>
      <c r="R190" s="44">
        <v>1</v>
      </c>
      <c r="S190" s="44">
        <v>1</v>
      </c>
    </row>
  </sheetData>
  <mergeCells count="13">
    <mergeCell ref="A1:A2"/>
    <mergeCell ref="BM1:BU1"/>
    <mergeCell ref="B1:J1"/>
    <mergeCell ref="K1:S1"/>
    <mergeCell ref="T1:AB1"/>
    <mergeCell ref="AC1:AK1"/>
    <mergeCell ref="AL1:AT1"/>
    <mergeCell ref="AU1:BC1"/>
    <mergeCell ref="BV1:CD1"/>
    <mergeCell ref="CE1:CM1"/>
    <mergeCell ref="B188:J188"/>
    <mergeCell ref="K188:S188"/>
    <mergeCell ref="BD1:BL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89"/>
  <sheetViews>
    <sheetView zoomScale="70" zoomScaleNormal="70" workbookViewId="0">
      <selection sqref="A1:A2"/>
    </sheetView>
  </sheetViews>
  <sheetFormatPr defaultRowHeight="14.25" x14ac:dyDescent="0.15"/>
  <cols>
    <col min="1" max="16384" width="9" style="51"/>
  </cols>
  <sheetData>
    <row r="1" spans="1:28" x14ac:dyDescent="0.15">
      <c r="A1" s="80" t="s">
        <v>190</v>
      </c>
      <c r="B1" s="88" t="s">
        <v>168</v>
      </c>
      <c r="C1" s="89"/>
      <c r="D1" s="89"/>
      <c r="E1" s="89"/>
      <c r="F1" s="89"/>
      <c r="G1" s="89"/>
      <c r="H1" s="89"/>
      <c r="I1" s="89"/>
      <c r="J1" s="89"/>
      <c r="K1" s="91"/>
      <c r="L1" s="88" t="s">
        <v>207</v>
      </c>
      <c r="M1" s="89"/>
      <c r="N1" s="89"/>
      <c r="O1" s="89"/>
      <c r="P1" s="89"/>
      <c r="Q1" s="89"/>
      <c r="R1" s="89"/>
      <c r="S1" s="89"/>
      <c r="T1" s="89"/>
      <c r="U1" s="89"/>
      <c r="V1" s="63"/>
      <c r="W1" s="63"/>
      <c r="X1" s="63"/>
      <c r="Y1" s="63"/>
      <c r="Z1" s="63"/>
      <c r="AA1" s="63"/>
      <c r="AB1" s="63"/>
    </row>
    <row r="2" spans="1:28" x14ac:dyDescent="0.15">
      <c r="A2" s="81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</v>
      </c>
      <c r="M2" s="42">
        <v>2</v>
      </c>
      <c r="N2" s="42">
        <v>3</v>
      </c>
      <c r="O2" s="42">
        <v>4</v>
      </c>
      <c r="P2" s="42">
        <v>5</v>
      </c>
      <c r="Q2" s="42">
        <v>6</v>
      </c>
      <c r="R2" s="42">
        <v>7</v>
      </c>
      <c r="S2" s="42">
        <v>8</v>
      </c>
      <c r="T2" s="42">
        <v>9</v>
      </c>
      <c r="U2" s="42">
        <v>10</v>
      </c>
      <c r="V2" s="63"/>
      <c r="W2" s="63"/>
      <c r="X2" s="63"/>
      <c r="Y2" s="63"/>
      <c r="Z2" s="63"/>
      <c r="AA2" s="63"/>
      <c r="AB2" s="63"/>
    </row>
    <row r="3" spans="1:28" x14ac:dyDescent="0.15">
      <c r="A3" s="49">
        <v>1</v>
      </c>
      <c r="B3" s="46" t="e">
        <f>Nodes!B3*(1-Nodes!AO3)</f>
        <v>#DIV/0!</v>
      </c>
      <c r="C3" s="46" t="e">
        <f>Nodes!C3*(1-Nodes!AP3)</f>
        <v>#DIV/0!</v>
      </c>
      <c r="D3" s="46" t="e">
        <f>Nodes!D3*(1-Nodes!AQ3)</f>
        <v>#DIV/0!</v>
      </c>
      <c r="E3" s="46" t="e">
        <f>Nodes!E3*(1-Nodes!AR3)</f>
        <v>#DIV/0!</v>
      </c>
      <c r="F3" s="46" t="e">
        <f>Nodes!F3*(1-Nodes!AS3)</f>
        <v>#DIV/0!</v>
      </c>
      <c r="G3" s="46" t="e">
        <f>Nodes!G3*(1-Nodes!AT3)</f>
        <v>#DIV/0!</v>
      </c>
      <c r="H3" s="46" t="e">
        <f>Nodes!H3*(1-Nodes!AU3)</f>
        <v>#DIV/0!</v>
      </c>
      <c r="I3" s="46" t="e">
        <f>Nodes!I3*(1-Nodes!AV3)</f>
        <v>#DIV/0!</v>
      </c>
      <c r="J3" s="46" t="e">
        <f>Nodes!L3*(1-Nodes!AY3)</f>
        <v>#DIV/0!</v>
      </c>
      <c r="K3" s="46" t="e">
        <f>Nodes!N3*(1-Nodes!BA3)</f>
        <v>#DIV/0!</v>
      </c>
      <c r="L3" s="56" t="e">
        <f>B3/60/A$189</f>
        <v>#DIV/0!</v>
      </c>
      <c r="M3" s="56" t="e">
        <f>C3/60/B$189</f>
        <v>#DIV/0!</v>
      </c>
      <c r="N3" s="56" t="e">
        <f>D3/60/C$189</f>
        <v>#DIV/0!</v>
      </c>
      <c r="O3" s="56" t="e">
        <f>E3/60/D$189</f>
        <v>#DIV/0!</v>
      </c>
      <c r="P3" s="56" t="e">
        <f>F3/60/E$189</f>
        <v>#DIV/0!</v>
      </c>
      <c r="Q3" s="56" t="e">
        <f>G3/60/F$189</f>
        <v>#DIV/0!</v>
      </c>
      <c r="R3" s="56" t="e">
        <f>H3/60/G$189</f>
        <v>#DIV/0!</v>
      </c>
      <c r="S3" s="56" t="e">
        <f>I3/60/H$189</f>
        <v>#DIV/0!</v>
      </c>
      <c r="T3" s="56" t="e">
        <f>J3/60/I$189</f>
        <v>#DIV/0!</v>
      </c>
      <c r="U3" s="56" t="e">
        <f>K3/60/J$189</f>
        <v>#DIV/0!</v>
      </c>
    </row>
    <row r="4" spans="1:28" x14ac:dyDescent="0.15">
      <c r="A4" s="49">
        <v>2</v>
      </c>
      <c r="B4" s="46" t="e">
        <f>Nodes!B4*(1-Nodes!AO4)</f>
        <v>#DIV/0!</v>
      </c>
      <c r="C4" s="46" t="e">
        <f>Nodes!C4*(1-Nodes!AP4)</f>
        <v>#DIV/0!</v>
      </c>
      <c r="D4" s="46" t="e">
        <f>Nodes!D4*(1-Nodes!AQ4)</f>
        <v>#DIV/0!</v>
      </c>
      <c r="E4" s="46" t="e">
        <f>Nodes!E4*(1-Nodes!AR4)</f>
        <v>#DIV/0!</v>
      </c>
      <c r="F4" s="46" t="e">
        <f>Nodes!F4*(1-Nodes!AS4)</f>
        <v>#DIV/0!</v>
      </c>
      <c r="G4" s="46" t="e">
        <f>Nodes!G4*(1-Nodes!AT4)</f>
        <v>#DIV/0!</v>
      </c>
      <c r="H4" s="46" t="e">
        <f>Nodes!H4*(1-Nodes!AU4)</f>
        <v>#DIV/0!</v>
      </c>
      <c r="I4" s="46" t="e">
        <f>Nodes!I4*(1-Nodes!AV4)</f>
        <v>#DIV/0!</v>
      </c>
      <c r="J4" s="46" t="e">
        <f>Nodes!L4*(1-Nodes!AY4)</f>
        <v>#DIV/0!</v>
      </c>
      <c r="K4" s="46" t="e">
        <f>Nodes!N4*(1-Nodes!BA4)</f>
        <v>#DIV/0!</v>
      </c>
      <c r="L4" s="56" t="e">
        <f>B4/60/A$189</f>
        <v>#DIV/0!</v>
      </c>
      <c r="M4" s="56" t="e">
        <f>C4/60/B$189</f>
        <v>#DIV/0!</v>
      </c>
      <c r="N4" s="56" t="e">
        <f>D4/60/C$189</f>
        <v>#DIV/0!</v>
      </c>
      <c r="O4" s="56" t="e">
        <f>E4/60/D$189</f>
        <v>#DIV/0!</v>
      </c>
      <c r="P4" s="56" t="e">
        <f>F4/60/E$189</f>
        <v>#DIV/0!</v>
      </c>
      <c r="Q4" s="56" t="e">
        <f>G4/60/F$189</f>
        <v>#DIV/0!</v>
      </c>
      <c r="R4" s="56" t="e">
        <f>H4/60/G$189</f>
        <v>#DIV/0!</v>
      </c>
      <c r="S4" s="56" t="e">
        <f>I4/60/H$189</f>
        <v>#DIV/0!</v>
      </c>
      <c r="T4" s="56" t="e">
        <f>J4/60/I$189</f>
        <v>#DIV/0!</v>
      </c>
      <c r="U4" s="56" t="e">
        <f t="shared" ref="U4:U67" si="0">K4/60/J$189</f>
        <v>#DIV/0!</v>
      </c>
    </row>
    <row r="5" spans="1:28" x14ac:dyDescent="0.15">
      <c r="A5" s="49">
        <v>3</v>
      </c>
      <c r="B5" s="46" t="e">
        <f>Nodes!B5*(1-Nodes!AO5)</f>
        <v>#DIV/0!</v>
      </c>
      <c r="C5" s="46" t="e">
        <f>Nodes!C5*(1-Nodes!AP5)</f>
        <v>#DIV/0!</v>
      </c>
      <c r="D5" s="46" t="e">
        <f>Nodes!D5*(1-Nodes!AQ5)</f>
        <v>#DIV/0!</v>
      </c>
      <c r="E5" s="46" t="e">
        <f>Nodes!E5*(1-Nodes!AR5)</f>
        <v>#DIV/0!</v>
      </c>
      <c r="F5" s="46" t="e">
        <f>Nodes!F5*(1-Nodes!AS5)</f>
        <v>#DIV/0!</v>
      </c>
      <c r="G5" s="46" t="e">
        <f>Nodes!G5*(1-Nodes!AT5)</f>
        <v>#DIV/0!</v>
      </c>
      <c r="H5" s="46" t="e">
        <f>Nodes!H5*(1-Nodes!AU5)</f>
        <v>#DIV/0!</v>
      </c>
      <c r="I5" s="46" t="e">
        <f>Nodes!I5*(1-Nodes!AV5)</f>
        <v>#DIV/0!</v>
      </c>
      <c r="J5" s="46" t="e">
        <f>Nodes!L5*(1-Nodes!AY5)</f>
        <v>#DIV/0!</v>
      </c>
      <c r="K5" s="46" t="e">
        <f>Nodes!N5*(1-Nodes!BA5)</f>
        <v>#DIV/0!</v>
      </c>
      <c r="L5" s="56" t="e">
        <f>B5/60/A$189</f>
        <v>#DIV/0!</v>
      </c>
      <c r="M5" s="56" t="e">
        <f>C5/60/B$189</f>
        <v>#DIV/0!</v>
      </c>
      <c r="N5" s="56" t="e">
        <f>D5/60/C$189</f>
        <v>#DIV/0!</v>
      </c>
      <c r="O5" s="56" t="e">
        <f>E5/60/D$189</f>
        <v>#DIV/0!</v>
      </c>
      <c r="P5" s="56" t="e">
        <f>F5/60/E$189</f>
        <v>#DIV/0!</v>
      </c>
      <c r="Q5" s="56" t="e">
        <f>G5/60/F$189</f>
        <v>#DIV/0!</v>
      </c>
      <c r="R5" s="56" t="e">
        <f>H5/60/G$189</f>
        <v>#DIV/0!</v>
      </c>
      <c r="S5" s="56" t="e">
        <f>I5/60/H$189</f>
        <v>#DIV/0!</v>
      </c>
      <c r="T5" s="56" t="e">
        <f>J5/60/I$189</f>
        <v>#DIV/0!</v>
      </c>
      <c r="U5" s="56" t="e">
        <f t="shared" si="0"/>
        <v>#DIV/0!</v>
      </c>
    </row>
    <row r="6" spans="1:28" x14ac:dyDescent="0.15">
      <c r="A6" s="49">
        <v>4</v>
      </c>
      <c r="B6" s="46" t="e">
        <f>Nodes!B6*(1-Nodes!AO6)</f>
        <v>#DIV/0!</v>
      </c>
      <c r="C6" s="46" t="e">
        <f>Nodes!C6*(1-Nodes!AP6)</f>
        <v>#DIV/0!</v>
      </c>
      <c r="D6" s="46" t="e">
        <f>Nodes!D6*(1-Nodes!AQ6)</f>
        <v>#DIV/0!</v>
      </c>
      <c r="E6" s="46" t="e">
        <f>Nodes!E6*(1-Nodes!AR6)</f>
        <v>#DIV/0!</v>
      </c>
      <c r="F6" s="46" t="e">
        <f>Nodes!F6*(1-Nodes!AS6)</f>
        <v>#DIV/0!</v>
      </c>
      <c r="G6" s="46" t="e">
        <f>Nodes!G6*(1-Nodes!AT6)</f>
        <v>#DIV/0!</v>
      </c>
      <c r="H6" s="46" t="e">
        <f>Nodes!H6*(1-Nodes!AU6)</f>
        <v>#DIV/0!</v>
      </c>
      <c r="I6" s="46" t="e">
        <f>Nodes!I6*(1-Nodes!AV6)</f>
        <v>#DIV/0!</v>
      </c>
      <c r="J6" s="46" t="e">
        <f>Nodes!L6*(1-Nodes!AY6)</f>
        <v>#DIV/0!</v>
      </c>
      <c r="K6" s="46" t="e">
        <f>Nodes!N6*(1-Nodes!BA6)</f>
        <v>#DIV/0!</v>
      </c>
      <c r="L6" s="56" t="e">
        <f>B6/60/A$189</f>
        <v>#DIV/0!</v>
      </c>
      <c r="M6" s="56" t="e">
        <f>C6/60/B$189</f>
        <v>#DIV/0!</v>
      </c>
      <c r="N6" s="56" t="e">
        <f>D6/60/C$189</f>
        <v>#DIV/0!</v>
      </c>
      <c r="O6" s="56" t="e">
        <f>E6/60/D$189</f>
        <v>#DIV/0!</v>
      </c>
      <c r="P6" s="56" t="e">
        <f>F6/60/E$189</f>
        <v>#DIV/0!</v>
      </c>
      <c r="Q6" s="56" t="e">
        <f>G6/60/F$189</f>
        <v>#DIV/0!</v>
      </c>
      <c r="R6" s="56" t="e">
        <f>H6/60/G$189</f>
        <v>#DIV/0!</v>
      </c>
      <c r="S6" s="56" t="e">
        <f>I6/60/H$189</f>
        <v>#DIV/0!</v>
      </c>
      <c r="T6" s="56" t="e">
        <f>J6/60/I$189</f>
        <v>#DIV/0!</v>
      </c>
      <c r="U6" s="56" t="e">
        <f t="shared" si="0"/>
        <v>#DIV/0!</v>
      </c>
    </row>
    <row r="7" spans="1:28" x14ac:dyDescent="0.15">
      <c r="A7" s="49">
        <v>5</v>
      </c>
      <c r="B7" s="46" t="e">
        <f>Nodes!B7*(1-Nodes!AO7)</f>
        <v>#DIV/0!</v>
      </c>
      <c r="C7" s="46" t="e">
        <f>Nodes!C7*(1-Nodes!AP7)</f>
        <v>#DIV/0!</v>
      </c>
      <c r="D7" s="46" t="e">
        <f>Nodes!D7*(1-Nodes!AQ7)</f>
        <v>#DIV/0!</v>
      </c>
      <c r="E7" s="46" t="e">
        <f>Nodes!E7*(1-Nodes!AR7)</f>
        <v>#DIV/0!</v>
      </c>
      <c r="F7" s="46" t="e">
        <f>Nodes!F7*(1-Nodes!AS7)</f>
        <v>#DIV/0!</v>
      </c>
      <c r="G7" s="46" t="e">
        <f>Nodes!G7*(1-Nodes!AT7)</f>
        <v>#DIV/0!</v>
      </c>
      <c r="H7" s="46" t="e">
        <f>Nodes!H7*(1-Nodes!AU7)</f>
        <v>#DIV/0!</v>
      </c>
      <c r="I7" s="46" t="e">
        <f>Nodes!I7*(1-Nodes!AV7)</f>
        <v>#DIV/0!</v>
      </c>
      <c r="J7" s="46" t="e">
        <f>Nodes!L7*(1-Nodes!AY7)</f>
        <v>#DIV/0!</v>
      </c>
      <c r="K7" s="46" t="e">
        <f>Nodes!N7*(1-Nodes!BA7)</f>
        <v>#DIV/0!</v>
      </c>
      <c r="L7" s="56" t="e">
        <f>B7/60/A$189</f>
        <v>#DIV/0!</v>
      </c>
      <c r="M7" s="56" t="e">
        <f>C7/60/B$189</f>
        <v>#DIV/0!</v>
      </c>
      <c r="N7" s="56" t="e">
        <f>D7/60/C$189</f>
        <v>#DIV/0!</v>
      </c>
      <c r="O7" s="56" t="e">
        <f>E7/60/D$189</f>
        <v>#DIV/0!</v>
      </c>
      <c r="P7" s="56" t="e">
        <f>F7/60/E$189</f>
        <v>#DIV/0!</v>
      </c>
      <c r="Q7" s="56" t="e">
        <f>G7/60/F$189</f>
        <v>#DIV/0!</v>
      </c>
      <c r="R7" s="56" t="e">
        <f>H7/60/G$189</f>
        <v>#DIV/0!</v>
      </c>
      <c r="S7" s="56" t="e">
        <f>I7/60/H$189</f>
        <v>#DIV/0!</v>
      </c>
      <c r="T7" s="56" t="e">
        <f>J7/60/I$189</f>
        <v>#DIV/0!</v>
      </c>
      <c r="U7" s="56" t="e">
        <f t="shared" si="0"/>
        <v>#DIV/0!</v>
      </c>
    </row>
    <row r="8" spans="1:28" x14ac:dyDescent="0.15">
      <c r="A8" s="49">
        <v>6</v>
      </c>
      <c r="B8" s="46" t="e">
        <f>Nodes!B8*(1-Nodes!AO8)</f>
        <v>#DIV/0!</v>
      </c>
      <c r="C8" s="46" t="e">
        <f>Nodes!C8*(1-Nodes!AP8)</f>
        <v>#DIV/0!</v>
      </c>
      <c r="D8" s="46" t="e">
        <f>Nodes!D8*(1-Nodes!AQ8)</f>
        <v>#DIV/0!</v>
      </c>
      <c r="E8" s="46" t="e">
        <f>Nodes!E8*(1-Nodes!AR8)</f>
        <v>#DIV/0!</v>
      </c>
      <c r="F8" s="46" t="e">
        <f>Nodes!F8*(1-Nodes!AS8)</f>
        <v>#DIV/0!</v>
      </c>
      <c r="G8" s="46" t="e">
        <f>Nodes!G8*(1-Nodes!AT8)</f>
        <v>#DIV/0!</v>
      </c>
      <c r="H8" s="46" t="e">
        <f>Nodes!H8*(1-Nodes!AU8)</f>
        <v>#DIV/0!</v>
      </c>
      <c r="I8" s="46" t="e">
        <f>Nodes!I8*(1-Nodes!AV8)</f>
        <v>#DIV/0!</v>
      </c>
      <c r="J8" s="46" t="e">
        <f>Nodes!L8*(1-Nodes!AY8)</f>
        <v>#DIV/0!</v>
      </c>
      <c r="K8" s="46" t="e">
        <f>Nodes!N8*(1-Nodes!BA8)</f>
        <v>#DIV/0!</v>
      </c>
      <c r="L8" s="56" t="e">
        <f>B8/60/A$189</f>
        <v>#DIV/0!</v>
      </c>
      <c r="M8" s="56" t="e">
        <f>C8/60/B$189</f>
        <v>#DIV/0!</v>
      </c>
      <c r="N8" s="56" t="e">
        <f>D8/60/C$189</f>
        <v>#DIV/0!</v>
      </c>
      <c r="O8" s="56" t="e">
        <f>E8/60/D$189</f>
        <v>#DIV/0!</v>
      </c>
      <c r="P8" s="56" t="e">
        <f>F8/60/E$189</f>
        <v>#DIV/0!</v>
      </c>
      <c r="Q8" s="56" t="e">
        <f>G8/60/F$189</f>
        <v>#DIV/0!</v>
      </c>
      <c r="R8" s="56" t="e">
        <f>H8/60/G$189</f>
        <v>#DIV/0!</v>
      </c>
      <c r="S8" s="56" t="e">
        <f>I8/60/H$189</f>
        <v>#DIV/0!</v>
      </c>
      <c r="T8" s="56" t="e">
        <f>J8/60/I$189</f>
        <v>#DIV/0!</v>
      </c>
      <c r="U8" s="56" t="e">
        <f t="shared" si="0"/>
        <v>#DIV/0!</v>
      </c>
    </row>
    <row r="9" spans="1:28" x14ac:dyDescent="0.15">
      <c r="A9" s="49">
        <v>7</v>
      </c>
      <c r="B9" s="46" t="e">
        <f>Nodes!B9*(1-Nodes!AO9)</f>
        <v>#DIV/0!</v>
      </c>
      <c r="C9" s="46" t="e">
        <f>Nodes!C9*(1-Nodes!AP9)</f>
        <v>#DIV/0!</v>
      </c>
      <c r="D9" s="46" t="e">
        <f>Nodes!D9*(1-Nodes!AQ9)</f>
        <v>#DIV/0!</v>
      </c>
      <c r="E9" s="46" t="e">
        <f>Nodes!E9*(1-Nodes!AR9)</f>
        <v>#DIV/0!</v>
      </c>
      <c r="F9" s="46" t="e">
        <f>Nodes!F9*(1-Nodes!AS9)</f>
        <v>#DIV/0!</v>
      </c>
      <c r="G9" s="46" t="e">
        <f>Nodes!G9*(1-Nodes!AT9)</f>
        <v>#DIV/0!</v>
      </c>
      <c r="H9" s="46" t="e">
        <f>Nodes!H9*(1-Nodes!AU9)</f>
        <v>#DIV/0!</v>
      </c>
      <c r="I9" s="46" t="e">
        <f>Nodes!I9*(1-Nodes!AV9)</f>
        <v>#DIV/0!</v>
      </c>
      <c r="J9" s="46" t="e">
        <f>Nodes!L9*(1-Nodes!AY9)</f>
        <v>#DIV/0!</v>
      </c>
      <c r="K9" s="46" t="e">
        <f>Nodes!N9*(1-Nodes!BA9)</f>
        <v>#DIV/0!</v>
      </c>
      <c r="L9" s="56" t="e">
        <f>B9/60/A$189</f>
        <v>#DIV/0!</v>
      </c>
      <c r="M9" s="56" t="e">
        <f>C9/60/B$189</f>
        <v>#DIV/0!</v>
      </c>
      <c r="N9" s="56" t="e">
        <f>D9/60/C$189</f>
        <v>#DIV/0!</v>
      </c>
      <c r="O9" s="56" t="e">
        <f>E9/60/D$189</f>
        <v>#DIV/0!</v>
      </c>
      <c r="P9" s="56" t="e">
        <f>F9/60/E$189</f>
        <v>#DIV/0!</v>
      </c>
      <c r="Q9" s="56" t="e">
        <f>G9/60/F$189</f>
        <v>#DIV/0!</v>
      </c>
      <c r="R9" s="56" t="e">
        <f>H9/60/G$189</f>
        <v>#DIV/0!</v>
      </c>
      <c r="S9" s="56" t="e">
        <f>I9/60/H$189</f>
        <v>#DIV/0!</v>
      </c>
      <c r="T9" s="56" t="e">
        <f>J9/60/I$189</f>
        <v>#DIV/0!</v>
      </c>
      <c r="U9" s="56" t="e">
        <f t="shared" si="0"/>
        <v>#DIV/0!</v>
      </c>
    </row>
    <row r="10" spans="1:28" x14ac:dyDescent="0.15">
      <c r="A10" s="49">
        <v>8</v>
      </c>
      <c r="B10" s="46" t="e">
        <f>Nodes!B10*(1-Nodes!AO10)</f>
        <v>#DIV/0!</v>
      </c>
      <c r="C10" s="46" t="e">
        <f>Nodes!C10*(1-Nodes!AP10)</f>
        <v>#DIV/0!</v>
      </c>
      <c r="D10" s="46" t="e">
        <f>Nodes!D10*(1-Nodes!AQ10)</f>
        <v>#DIV/0!</v>
      </c>
      <c r="E10" s="46" t="e">
        <f>Nodes!E10*(1-Nodes!AR10)</f>
        <v>#DIV/0!</v>
      </c>
      <c r="F10" s="46" t="e">
        <f>Nodes!F10*(1-Nodes!AS10)</f>
        <v>#DIV/0!</v>
      </c>
      <c r="G10" s="46" t="e">
        <f>Nodes!G10*(1-Nodes!AT10)</f>
        <v>#DIV/0!</v>
      </c>
      <c r="H10" s="46" t="e">
        <f>Nodes!H10*(1-Nodes!AU10)</f>
        <v>#DIV/0!</v>
      </c>
      <c r="I10" s="46" t="e">
        <f>Nodes!I10*(1-Nodes!AV10)</f>
        <v>#DIV/0!</v>
      </c>
      <c r="J10" s="46" t="e">
        <f>Nodes!L10*(1-Nodes!AY10)</f>
        <v>#DIV/0!</v>
      </c>
      <c r="K10" s="46" t="e">
        <f>Nodes!N10*(1-Nodes!BA10)</f>
        <v>#DIV/0!</v>
      </c>
      <c r="L10" s="56" t="e">
        <f>B10/60/A$189</f>
        <v>#DIV/0!</v>
      </c>
      <c r="M10" s="56" t="e">
        <f>C10/60/B$189</f>
        <v>#DIV/0!</v>
      </c>
      <c r="N10" s="56" t="e">
        <f>D10/60/C$189</f>
        <v>#DIV/0!</v>
      </c>
      <c r="O10" s="56" t="e">
        <f>E10/60/D$189</f>
        <v>#DIV/0!</v>
      </c>
      <c r="P10" s="56" t="e">
        <f>F10/60/E$189</f>
        <v>#DIV/0!</v>
      </c>
      <c r="Q10" s="56" t="e">
        <f>G10/60/F$189</f>
        <v>#DIV/0!</v>
      </c>
      <c r="R10" s="56" t="e">
        <f>H10/60/G$189</f>
        <v>#DIV/0!</v>
      </c>
      <c r="S10" s="56" t="e">
        <f>I10/60/H$189</f>
        <v>#DIV/0!</v>
      </c>
      <c r="T10" s="56" t="e">
        <f>J10/60/I$189</f>
        <v>#DIV/0!</v>
      </c>
      <c r="U10" s="56" t="e">
        <f t="shared" si="0"/>
        <v>#DIV/0!</v>
      </c>
    </row>
    <row r="11" spans="1:28" x14ac:dyDescent="0.15">
      <c r="A11" s="49">
        <v>9</v>
      </c>
      <c r="B11" s="46" t="e">
        <f>Nodes!B11*(1-Nodes!AO11)</f>
        <v>#DIV/0!</v>
      </c>
      <c r="C11" s="46" t="e">
        <f>Nodes!C11*(1-Nodes!AP11)</f>
        <v>#DIV/0!</v>
      </c>
      <c r="D11" s="46" t="e">
        <f>Nodes!D11*(1-Nodes!AQ11)</f>
        <v>#DIV/0!</v>
      </c>
      <c r="E11" s="46" t="e">
        <f>Nodes!E11*(1-Nodes!AR11)</f>
        <v>#DIV/0!</v>
      </c>
      <c r="F11" s="46" t="e">
        <f>Nodes!F11*(1-Nodes!AS11)</f>
        <v>#DIV/0!</v>
      </c>
      <c r="G11" s="46" t="e">
        <f>Nodes!G11*(1-Nodes!AT11)</f>
        <v>#DIV/0!</v>
      </c>
      <c r="H11" s="46" t="e">
        <f>Nodes!H11*(1-Nodes!AU11)</f>
        <v>#DIV/0!</v>
      </c>
      <c r="I11" s="46" t="e">
        <f>Nodes!I11*(1-Nodes!AV11)</f>
        <v>#DIV/0!</v>
      </c>
      <c r="J11" s="46" t="e">
        <f>Nodes!L11*(1-Nodes!AY11)</f>
        <v>#DIV/0!</v>
      </c>
      <c r="K11" s="46" t="e">
        <f>Nodes!N11*(1-Nodes!BA11)</f>
        <v>#DIV/0!</v>
      </c>
      <c r="L11" s="56" t="e">
        <f>B11/60/A$189</f>
        <v>#DIV/0!</v>
      </c>
      <c r="M11" s="56" t="e">
        <f>C11/60/B$189</f>
        <v>#DIV/0!</v>
      </c>
      <c r="N11" s="56" t="e">
        <f>D11/60/C$189</f>
        <v>#DIV/0!</v>
      </c>
      <c r="O11" s="56" t="e">
        <f>E11/60/D$189</f>
        <v>#DIV/0!</v>
      </c>
      <c r="P11" s="56" t="e">
        <f>F11/60/E$189</f>
        <v>#DIV/0!</v>
      </c>
      <c r="Q11" s="56" t="e">
        <f>G11/60/F$189</f>
        <v>#DIV/0!</v>
      </c>
      <c r="R11" s="56" t="e">
        <f>H11/60/G$189</f>
        <v>#DIV/0!</v>
      </c>
      <c r="S11" s="56" t="e">
        <f>I11/60/H$189</f>
        <v>#DIV/0!</v>
      </c>
      <c r="T11" s="56" t="e">
        <f>J11/60/I$189</f>
        <v>#DIV/0!</v>
      </c>
      <c r="U11" s="56" t="e">
        <f t="shared" si="0"/>
        <v>#DIV/0!</v>
      </c>
    </row>
    <row r="12" spans="1:28" x14ac:dyDescent="0.15">
      <c r="A12" s="49">
        <v>10</v>
      </c>
      <c r="B12" s="46" t="e">
        <f>Nodes!B12*(1-Nodes!AO12)</f>
        <v>#DIV/0!</v>
      </c>
      <c r="C12" s="46" t="e">
        <f>Nodes!C12*(1-Nodes!AP12)</f>
        <v>#DIV/0!</v>
      </c>
      <c r="D12" s="46" t="e">
        <f>Nodes!D12*(1-Nodes!AQ12)</f>
        <v>#DIV/0!</v>
      </c>
      <c r="E12" s="46" t="e">
        <f>Nodes!E12*(1-Nodes!AR12)</f>
        <v>#DIV/0!</v>
      </c>
      <c r="F12" s="46" t="e">
        <f>Nodes!F12*(1-Nodes!AS12)</f>
        <v>#DIV/0!</v>
      </c>
      <c r="G12" s="46" t="e">
        <f>Nodes!G12*(1-Nodes!AT12)</f>
        <v>#DIV/0!</v>
      </c>
      <c r="H12" s="46" t="e">
        <f>Nodes!H12*(1-Nodes!AU12)</f>
        <v>#DIV/0!</v>
      </c>
      <c r="I12" s="46" t="e">
        <f>Nodes!I12*(1-Nodes!AV12)</f>
        <v>#DIV/0!</v>
      </c>
      <c r="J12" s="46" t="e">
        <f>Nodes!L12*(1-Nodes!AY12)</f>
        <v>#DIV/0!</v>
      </c>
      <c r="K12" s="46" t="e">
        <f>Nodes!N12*(1-Nodes!BA12)</f>
        <v>#DIV/0!</v>
      </c>
      <c r="L12" s="56" t="e">
        <f>B12/60/A$189</f>
        <v>#DIV/0!</v>
      </c>
      <c r="M12" s="56" t="e">
        <f>C12/60/B$189</f>
        <v>#DIV/0!</v>
      </c>
      <c r="N12" s="56" t="e">
        <f>D12/60/C$189</f>
        <v>#DIV/0!</v>
      </c>
      <c r="O12" s="56" t="e">
        <f>E12/60/D$189</f>
        <v>#DIV/0!</v>
      </c>
      <c r="P12" s="56" t="e">
        <f>F12/60/E$189</f>
        <v>#DIV/0!</v>
      </c>
      <c r="Q12" s="56" t="e">
        <f>G12/60/F$189</f>
        <v>#DIV/0!</v>
      </c>
      <c r="R12" s="56" t="e">
        <f>H12/60/G$189</f>
        <v>#DIV/0!</v>
      </c>
      <c r="S12" s="56" t="e">
        <f>I12/60/H$189</f>
        <v>#DIV/0!</v>
      </c>
      <c r="T12" s="56" t="e">
        <f>J12/60/I$189</f>
        <v>#DIV/0!</v>
      </c>
      <c r="U12" s="56" t="e">
        <f t="shared" si="0"/>
        <v>#DIV/0!</v>
      </c>
    </row>
    <row r="13" spans="1:28" x14ac:dyDescent="0.15">
      <c r="A13" s="49">
        <v>11</v>
      </c>
      <c r="B13" s="46" t="e">
        <f>Nodes!B13*(1-Nodes!AO13)</f>
        <v>#DIV/0!</v>
      </c>
      <c r="C13" s="46" t="e">
        <f>Nodes!C13*(1-Nodes!AP13)</f>
        <v>#DIV/0!</v>
      </c>
      <c r="D13" s="46" t="e">
        <f>Nodes!D13*(1-Nodes!AQ13)</f>
        <v>#DIV/0!</v>
      </c>
      <c r="E13" s="46" t="e">
        <f>Nodes!E13*(1-Nodes!AR13)</f>
        <v>#DIV/0!</v>
      </c>
      <c r="F13" s="46" t="e">
        <f>Nodes!F13*(1-Nodes!AS13)</f>
        <v>#DIV/0!</v>
      </c>
      <c r="G13" s="46" t="e">
        <f>Nodes!G13*(1-Nodes!AT13)</f>
        <v>#DIV/0!</v>
      </c>
      <c r="H13" s="46" t="e">
        <f>Nodes!H13*(1-Nodes!AU13)</f>
        <v>#DIV/0!</v>
      </c>
      <c r="I13" s="46" t="e">
        <f>Nodes!I13*(1-Nodes!AV13)</f>
        <v>#DIV/0!</v>
      </c>
      <c r="J13" s="46" t="e">
        <f>Nodes!L13*(1-Nodes!AY13)</f>
        <v>#DIV/0!</v>
      </c>
      <c r="K13" s="46" t="e">
        <f>Nodes!N13*(1-Nodes!BA13)</f>
        <v>#DIV/0!</v>
      </c>
      <c r="L13" s="56" t="e">
        <f>B13/60/A$189</f>
        <v>#DIV/0!</v>
      </c>
      <c r="M13" s="56" t="e">
        <f>C13/60/B$189</f>
        <v>#DIV/0!</v>
      </c>
      <c r="N13" s="56" t="e">
        <f>D13/60/C$189</f>
        <v>#DIV/0!</v>
      </c>
      <c r="O13" s="56" t="e">
        <f>E13/60/D$189</f>
        <v>#DIV/0!</v>
      </c>
      <c r="P13" s="56" t="e">
        <f>F13/60/E$189</f>
        <v>#DIV/0!</v>
      </c>
      <c r="Q13" s="56" t="e">
        <f>G13/60/F$189</f>
        <v>#DIV/0!</v>
      </c>
      <c r="R13" s="56" t="e">
        <f>H13/60/G$189</f>
        <v>#DIV/0!</v>
      </c>
      <c r="S13" s="56" t="e">
        <f>I13/60/H$189</f>
        <v>#DIV/0!</v>
      </c>
      <c r="T13" s="56" t="e">
        <f>J13/60/I$189</f>
        <v>#DIV/0!</v>
      </c>
      <c r="U13" s="56" t="e">
        <f t="shared" si="0"/>
        <v>#DIV/0!</v>
      </c>
    </row>
    <row r="14" spans="1:28" x14ac:dyDescent="0.15">
      <c r="A14" s="49">
        <v>12</v>
      </c>
      <c r="B14" s="46" t="e">
        <f>Nodes!B14*(1-Nodes!AO14)</f>
        <v>#DIV/0!</v>
      </c>
      <c r="C14" s="46" t="e">
        <f>Nodes!C14*(1-Nodes!AP14)</f>
        <v>#DIV/0!</v>
      </c>
      <c r="D14" s="46" t="e">
        <f>Nodes!D14*(1-Nodes!AQ14)</f>
        <v>#DIV/0!</v>
      </c>
      <c r="E14" s="46" t="e">
        <f>Nodes!E14*(1-Nodes!AR14)</f>
        <v>#DIV/0!</v>
      </c>
      <c r="F14" s="46" t="e">
        <f>Nodes!F14*(1-Nodes!AS14)</f>
        <v>#DIV/0!</v>
      </c>
      <c r="G14" s="46" t="e">
        <f>Nodes!G14*(1-Nodes!AT14)</f>
        <v>#DIV/0!</v>
      </c>
      <c r="H14" s="46" t="e">
        <f>Nodes!H14*(1-Nodes!AU14)</f>
        <v>#DIV/0!</v>
      </c>
      <c r="I14" s="46" t="e">
        <f>Nodes!I14*(1-Nodes!AV14)</f>
        <v>#DIV/0!</v>
      </c>
      <c r="J14" s="46" t="e">
        <f>Nodes!L14*(1-Nodes!AY14)</f>
        <v>#DIV/0!</v>
      </c>
      <c r="K14" s="46" t="e">
        <f>Nodes!N14*(1-Nodes!BA14)</f>
        <v>#DIV/0!</v>
      </c>
      <c r="L14" s="56" t="e">
        <f>B14/60/A$189</f>
        <v>#DIV/0!</v>
      </c>
      <c r="M14" s="56" t="e">
        <f>C14/60/B$189</f>
        <v>#DIV/0!</v>
      </c>
      <c r="N14" s="56" t="e">
        <f>D14/60/C$189</f>
        <v>#DIV/0!</v>
      </c>
      <c r="O14" s="56" t="e">
        <f>E14/60/D$189</f>
        <v>#DIV/0!</v>
      </c>
      <c r="P14" s="56" t="e">
        <f>F14/60/E$189</f>
        <v>#DIV/0!</v>
      </c>
      <c r="Q14" s="56" t="e">
        <f>G14/60/F$189</f>
        <v>#DIV/0!</v>
      </c>
      <c r="R14" s="56" t="e">
        <f>H14/60/G$189</f>
        <v>#DIV/0!</v>
      </c>
      <c r="S14" s="56" t="e">
        <f>I14/60/H$189</f>
        <v>#DIV/0!</v>
      </c>
      <c r="T14" s="56" t="e">
        <f>J14/60/I$189</f>
        <v>#DIV/0!</v>
      </c>
      <c r="U14" s="56" t="e">
        <f t="shared" si="0"/>
        <v>#DIV/0!</v>
      </c>
    </row>
    <row r="15" spans="1:28" x14ac:dyDescent="0.15">
      <c r="A15" s="49">
        <v>13</v>
      </c>
      <c r="B15" s="46" t="e">
        <f>Nodes!B15*(1-Nodes!AO15)</f>
        <v>#DIV/0!</v>
      </c>
      <c r="C15" s="46" t="e">
        <f>Nodes!C15*(1-Nodes!AP15)</f>
        <v>#DIV/0!</v>
      </c>
      <c r="D15" s="46" t="e">
        <f>Nodes!D15*(1-Nodes!AQ15)</f>
        <v>#DIV/0!</v>
      </c>
      <c r="E15" s="46" t="e">
        <f>Nodes!E15*(1-Nodes!AR15)</f>
        <v>#DIV/0!</v>
      </c>
      <c r="F15" s="46" t="e">
        <f>Nodes!F15*(1-Nodes!AS15)</f>
        <v>#DIV/0!</v>
      </c>
      <c r="G15" s="46" t="e">
        <f>Nodes!G15*(1-Nodes!AT15)</f>
        <v>#DIV/0!</v>
      </c>
      <c r="H15" s="46" t="e">
        <f>Nodes!H15*(1-Nodes!AU15)</f>
        <v>#DIV/0!</v>
      </c>
      <c r="I15" s="46" t="e">
        <f>Nodes!I15*(1-Nodes!AV15)</f>
        <v>#DIV/0!</v>
      </c>
      <c r="J15" s="46" t="e">
        <f>Nodes!L15*(1-Nodes!AY15)</f>
        <v>#DIV/0!</v>
      </c>
      <c r="K15" s="46" t="e">
        <f>Nodes!N15*(1-Nodes!BA15)</f>
        <v>#DIV/0!</v>
      </c>
      <c r="L15" s="56" t="e">
        <f>B15/60/A$189</f>
        <v>#DIV/0!</v>
      </c>
      <c r="M15" s="56" t="e">
        <f>C15/60/B$189</f>
        <v>#DIV/0!</v>
      </c>
      <c r="N15" s="56" t="e">
        <f>D15/60/C$189</f>
        <v>#DIV/0!</v>
      </c>
      <c r="O15" s="56" t="e">
        <f>E15/60/D$189</f>
        <v>#DIV/0!</v>
      </c>
      <c r="P15" s="56" t="e">
        <f>F15/60/E$189</f>
        <v>#DIV/0!</v>
      </c>
      <c r="Q15" s="56" t="e">
        <f>G15/60/F$189</f>
        <v>#DIV/0!</v>
      </c>
      <c r="R15" s="56" t="e">
        <f>H15/60/G$189</f>
        <v>#DIV/0!</v>
      </c>
      <c r="S15" s="56" t="e">
        <f>I15/60/H$189</f>
        <v>#DIV/0!</v>
      </c>
      <c r="T15" s="56" t="e">
        <f>J15/60/I$189</f>
        <v>#DIV/0!</v>
      </c>
      <c r="U15" s="56" t="e">
        <f t="shared" si="0"/>
        <v>#DIV/0!</v>
      </c>
    </row>
    <row r="16" spans="1:28" x14ac:dyDescent="0.15">
      <c r="A16" s="49">
        <v>14</v>
      </c>
      <c r="B16" s="46" t="e">
        <f>Nodes!B16*(1-Nodes!AO16)</f>
        <v>#DIV/0!</v>
      </c>
      <c r="C16" s="46" t="e">
        <f>Nodes!C16*(1-Nodes!AP16)</f>
        <v>#DIV/0!</v>
      </c>
      <c r="D16" s="46" t="e">
        <f>Nodes!D16*(1-Nodes!AQ16)</f>
        <v>#DIV/0!</v>
      </c>
      <c r="E16" s="46" t="e">
        <f>Nodes!E16*(1-Nodes!AR16)</f>
        <v>#DIV/0!</v>
      </c>
      <c r="F16" s="46" t="e">
        <f>Nodes!F16*(1-Nodes!AS16)</f>
        <v>#DIV/0!</v>
      </c>
      <c r="G16" s="46" t="e">
        <f>Nodes!G16*(1-Nodes!AT16)</f>
        <v>#DIV/0!</v>
      </c>
      <c r="H16" s="46" t="e">
        <f>Nodes!H16*(1-Nodes!AU16)</f>
        <v>#DIV/0!</v>
      </c>
      <c r="I16" s="46" t="e">
        <f>Nodes!I16*(1-Nodes!AV16)</f>
        <v>#DIV/0!</v>
      </c>
      <c r="J16" s="46" t="e">
        <f>Nodes!L16*(1-Nodes!AY16)</f>
        <v>#DIV/0!</v>
      </c>
      <c r="K16" s="46" t="e">
        <f>Nodes!N16*(1-Nodes!BA16)</f>
        <v>#DIV/0!</v>
      </c>
      <c r="L16" s="56" t="e">
        <f>B16/60/A$189</f>
        <v>#DIV/0!</v>
      </c>
      <c r="M16" s="56" t="e">
        <f>C16/60/B$189</f>
        <v>#DIV/0!</v>
      </c>
      <c r="N16" s="56" t="e">
        <f>D16/60/C$189</f>
        <v>#DIV/0!</v>
      </c>
      <c r="O16" s="56" t="e">
        <f>E16/60/D$189</f>
        <v>#DIV/0!</v>
      </c>
      <c r="P16" s="56" t="e">
        <f>F16/60/E$189</f>
        <v>#DIV/0!</v>
      </c>
      <c r="Q16" s="56" t="e">
        <f>G16/60/F$189</f>
        <v>#DIV/0!</v>
      </c>
      <c r="R16" s="56" t="e">
        <f>H16/60/G$189</f>
        <v>#DIV/0!</v>
      </c>
      <c r="S16" s="56" t="e">
        <f>I16/60/H$189</f>
        <v>#DIV/0!</v>
      </c>
      <c r="T16" s="56" t="e">
        <f>J16/60/I$189</f>
        <v>#DIV/0!</v>
      </c>
      <c r="U16" s="56" t="e">
        <f t="shared" si="0"/>
        <v>#DIV/0!</v>
      </c>
    </row>
    <row r="17" spans="1:21" x14ac:dyDescent="0.15">
      <c r="A17" s="49">
        <v>15</v>
      </c>
      <c r="B17" s="46" t="e">
        <f>Nodes!B17*(1-Nodes!AO17)</f>
        <v>#DIV/0!</v>
      </c>
      <c r="C17" s="46" t="e">
        <f>Nodes!C17*(1-Nodes!AP17)</f>
        <v>#DIV/0!</v>
      </c>
      <c r="D17" s="46" t="e">
        <f>Nodes!D17*(1-Nodes!AQ17)</f>
        <v>#DIV/0!</v>
      </c>
      <c r="E17" s="46" t="e">
        <f>Nodes!E17*(1-Nodes!AR17)</f>
        <v>#DIV/0!</v>
      </c>
      <c r="F17" s="46" t="e">
        <f>Nodes!F17*(1-Nodes!AS17)</f>
        <v>#DIV/0!</v>
      </c>
      <c r="G17" s="46" t="e">
        <f>Nodes!G17*(1-Nodes!AT17)</f>
        <v>#DIV/0!</v>
      </c>
      <c r="H17" s="46" t="e">
        <f>Nodes!H17*(1-Nodes!AU17)</f>
        <v>#DIV/0!</v>
      </c>
      <c r="I17" s="46" t="e">
        <f>Nodes!I17*(1-Nodes!AV17)</f>
        <v>#DIV/0!</v>
      </c>
      <c r="J17" s="46" t="e">
        <f>Nodes!L17*(1-Nodes!AY17)</f>
        <v>#DIV/0!</v>
      </c>
      <c r="K17" s="46" t="e">
        <f>Nodes!N17*(1-Nodes!BA17)</f>
        <v>#DIV/0!</v>
      </c>
      <c r="L17" s="56" t="e">
        <f>B17/60/A$189</f>
        <v>#DIV/0!</v>
      </c>
      <c r="M17" s="56" t="e">
        <f>C17/60/B$189</f>
        <v>#DIV/0!</v>
      </c>
      <c r="N17" s="56" t="e">
        <f>D17/60/C$189</f>
        <v>#DIV/0!</v>
      </c>
      <c r="O17" s="56" t="e">
        <f>E17/60/D$189</f>
        <v>#DIV/0!</v>
      </c>
      <c r="P17" s="56" t="e">
        <f>F17/60/E$189</f>
        <v>#DIV/0!</v>
      </c>
      <c r="Q17" s="56" t="e">
        <f>G17/60/F$189</f>
        <v>#DIV/0!</v>
      </c>
      <c r="R17" s="56" t="e">
        <f>H17/60/G$189</f>
        <v>#DIV/0!</v>
      </c>
      <c r="S17" s="56" t="e">
        <f>I17/60/H$189</f>
        <v>#DIV/0!</v>
      </c>
      <c r="T17" s="56" t="e">
        <f>J17/60/I$189</f>
        <v>#DIV/0!</v>
      </c>
      <c r="U17" s="56" t="e">
        <f t="shared" si="0"/>
        <v>#DIV/0!</v>
      </c>
    </row>
    <row r="18" spans="1:21" x14ac:dyDescent="0.15">
      <c r="A18" s="49">
        <v>16</v>
      </c>
      <c r="B18" s="46" t="e">
        <f>Nodes!B18*(1-Nodes!AO18)</f>
        <v>#DIV/0!</v>
      </c>
      <c r="C18" s="46" t="e">
        <f>Nodes!C18*(1-Nodes!AP18)</f>
        <v>#DIV/0!</v>
      </c>
      <c r="D18" s="46" t="e">
        <f>Nodes!D18*(1-Nodes!AQ18)</f>
        <v>#DIV/0!</v>
      </c>
      <c r="E18" s="46" t="e">
        <f>Nodes!E18*(1-Nodes!AR18)</f>
        <v>#DIV/0!</v>
      </c>
      <c r="F18" s="46" t="e">
        <f>Nodes!F18*(1-Nodes!AS18)</f>
        <v>#DIV/0!</v>
      </c>
      <c r="G18" s="46" t="e">
        <f>Nodes!G18*(1-Nodes!AT18)</f>
        <v>#DIV/0!</v>
      </c>
      <c r="H18" s="46" t="e">
        <f>Nodes!H18*(1-Nodes!AU18)</f>
        <v>#DIV/0!</v>
      </c>
      <c r="I18" s="46" t="e">
        <f>Nodes!I18*(1-Nodes!AV18)</f>
        <v>#DIV/0!</v>
      </c>
      <c r="J18" s="46" t="e">
        <f>Nodes!L18*(1-Nodes!AY18)</f>
        <v>#DIV/0!</v>
      </c>
      <c r="K18" s="46" t="e">
        <f>Nodes!N18*(1-Nodes!BA18)</f>
        <v>#DIV/0!</v>
      </c>
      <c r="L18" s="56" t="e">
        <f>B18/60/A$189</f>
        <v>#DIV/0!</v>
      </c>
      <c r="M18" s="56" t="e">
        <f>C18/60/B$189</f>
        <v>#DIV/0!</v>
      </c>
      <c r="N18" s="56" t="e">
        <f>D18/60/C$189</f>
        <v>#DIV/0!</v>
      </c>
      <c r="O18" s="56" t="e">
        <f>E18/60/D$189</f>
        <v>#DIV/0!</v>
      </c>
      <c r="P18" s="56" t="e">
        <f>F18/60/E$189</f>
        <v>#DIV/0!</v>
      </c>
      <c r="Q18" s="56" t="e">
        <f>G18/60/F$189</f>
        <v>#DIV/0!</v>
      </c>
      <c r="R18" s="56" t="e">
        <f>H18/60/G$189</f>
        <v>#DIV/0!</v>
      </c>
      <c r="S18" s="56" t="e">
        <f>I18/60/H$189</f>
        <v>#DIV/0!</v>
      </c>
      <c r="T18" s="56" t="e">
        <f>J18/60/I$189</f>
        <v>#DIV/0!</v>
      </c>
      <c r="U18" s="56" t="e">
        <f t="shared" si="0"/>
        <v>#DIV/0!</v>
      </c>
    </row>
    <row r="19" spans="1:21" x14ac:dyDescent="0.15">
      <c r="A19" s="49">
        <v>17</v>
      </c>
      <c r="B19" s="46" t="e">
        <f>Nodes!B19*(1-Nodes!AO19)</f>
        <v>#DIV/0!</v>
      </c>
      <c r="C19" s="46" t="e">
        <f>Nodes!C19*(1-Nodes!AP19)</f>
        <v>#DIV/0!</v>
      </c>
      <c r="D19" s="46" t="e">
        <f>Nodes!D19*(1-Nodes!AQ19)</f>
        <v>#DIV/0!</v>
      </c>
      <c r="E19" s="46" t="e">
        <f>Nodes!E19*(1-Nodes!AR19)</f>
        <v>#DIV/0!</v>
      </c>
      <c r="F19" s="46" t="e">
        <f>Nodes!F19*(1-Nodes!AS19)</f>
        <v>#DIV/0!</v>
      </c>
      <c r="G19" s="46" t="e">
        <f>Nodes!G19*(1-Nodes!AT19)</f>
        <v>#DIV/0!</v>
      </c>
      <c r="H19" s="46" t="e">
        <f>Nodes!H19*(1-Nodes!AU19)</f>
        <v>#DIV/0!</v>
      </c>
      <c r="I19" s="46" t="e">
        <f>Nodes!I19*(1-Nodes!AV19)</f>
        <v>#DIV/0!</v>
      </c>
      <c r="J19" s="46" t="e">
        <f>Nodes!L19*(1-Nodes!AY19)</f>
        <v>#DIV/0!</v>
      </c>
      <c r="K19" s="46" t="e">
        <f>Nodes!N19*(1-Nodes!BA19)</f>
        <v>#DIV/0!</v>
      </c>
      <c r="L19" s="56" t="e">
        <f>B19/60/A$189</f>
        <v>#DIV/0!</v>
      </c>
      <c r="M19" s="56" t="e">
        <f>C19/60/B$189</f>
        <v>#DIV/0!</v>
      </c>
      <c r="N19" s="56" t="e">
        <f>D19/60/C$189</f>
        <v>#DIV/0!</v>
      </c>
      <c r="O19" s="56" t="e">
        <f>E19/60/D$189</f>
        <v>#DIV/0!</v>
      </c>
      <c r="P19" s="56" t="e">
        <f>F19/60/E$189</f>
        <v>#DIV/0!</v>
      </c>
      <c r="Q19" s="56" t="e">
        <f>G19/60/F$189</f>
        <v>#DIV/0!</v>
      </c>
      <c r="R19" s="56" t="e">
        <f>H19/60/G$189</f>
        <v>#DIV/0!</v>
      </c>
      <c r="S19" s="56" t="e">
        <f>I19/60/H$189</f>
        <v>#DIV/0!</v>
      </c>
      <c r="T19" s="56" t="e">
        <f>J19/60/I$189</f>
        <v>#DIV/0!</v>
      </c>
      <c r="U19" s="56" t="e">
        <f t="shared" si="0"/>
        <v>#DIV/0!</v>
      </c>
    </row>
    <row r="20" spans="1:21" x14ac:dyDescent="0.15">
      <c r="A20" s="49">
        <v>18</v>
      </c>
      <c r="B20" s="46" t="e">
        <f>Nodes!B20*(1-Nodes!AO20)</f>
        <v>#DIV/0!</v>
      </c>
      <c r="C20" s="46" t="e">
        <f>Nodes!C20*(1-Nodes!AP20)</f>
        <v>#DIV/0!</v>
      </c>
      <c r="D20" s="46" t="e">
        <f>Nodes!D20*(1-Nodes!AQ20)</f>
        <v>#DIV/0!</v>
      </c>
      <c r="E20" s="46" t="e">
        <f>Nodes!E20*(1-Nodes!AR20)</f>
        <v>#DIV/0!</v>
      </c>
      <c r="F20" s="46" t="e">
        <f>Nodes!F20*(1-Nodes!AS20)</f>
        <v>#DIV/0!</v>
      </c>
      <c r="G20" s="46" t="e">
        <f>Nodes!G20*(1-Nodes!AT20)</f>
        <v>#DIV/0!</v>
      </c>
      <c r="H20" s="46" t="e">
        <f>Nodes!H20*(1-Nodes!AU20)</f>
        <v>#DIV/0!</v>
      </c>
      <c r="I20" s="46" t="e">
        <f>Nodes!I20*(1-Nodes!AV20)</f>
        <v>#DIV/0!</v>
      </c>
      <c r="J20" s="46" t="e">
        <f>Nodes!L20*(1-Nodes!AY20)</f>
        <v>#DIV/0!</v>
      </c>
      <c r="K20" s="46" t="e">
        <f>Nodes!N20*(1-Nodes!BA20)</f>
        <v>#DIV/0!</v>
      </c>
      <c r="L20" s="56" t="e">
        <f>B20/60/A$189</f>
        <v>#DIV/0!</v>
      </c>
      <c r="M20" s="56" t="e">
        <f>C20/60/B$189</f>
        <v>#DIV/0!</v>
      </c>
      <c r="N20" s="56" t="e">
        <f>D20/60/C$189</f>
        <v>#DIV/0!</v>
      </c>
      <c r="O20" s="56" t="e">
        <f>E20/60/D$189</f>
        <v>#DIV/0!</v>
      </c>
      <c r="P20" s="56" t="e">
        <f>F20/60/E$189</f>
        <v>#DIV/0!</v>
      </c>
      <c r="Q20" s="56" t="e">
        <f>G20/60/F$189</f>
        <v>#DIV/0!</v>
      </c>
      <c r="R20" s="56" t="e">
        <f>H20/60/G$189</f>
        <v>#DIV/0!</v>
      </c>
      <c r="S20" s="56" t="e">
        <f>I20/60/H$189</f>
        <v>#DIV/0!</v>
      </c>
      <c r="T20" s="56" t="e">
        <f>J20/60/I$189</f>
        <v>#DIV/0!</v>
      </c>
      <c r="U20" s="56" t="e">
        <f t="shared" si="0"/>
        <v>#DIV/0!</v>
      </c>
    </row>
    <row r="21" spans="1:21" x14ac:dyDescent="0.15">
      <c r="A21" s="49">
        <v>19</v>
      </c>
      <c r="B21" s="46" t="e">
        <f>Nodes!B21*(1-Nodes!AO21)</f>
        <v>#DIV/0!</v>
      </c>
      <c r="C21" s="46" t="e">
        <f>Nodes!C21*(1-Nodes!AP21)</f>
        <v>#DIV/0!</v>
      </c>
      <c r="D21" s="46" t="e">
        <f>Nodes!D21*(1-Nodes!AQ21)</f>
        <v>#DIV/0!</v>
      </c>
      <c r="E21" s="46" t="e">
        <f>Nodes!E21*(1-Nodes!AR21)</f>
        <v>#DIV/0!</v>
      </c>
      <c r="F21" s="46" t="e">
        <f>Nodes!F21*(1-Nodes!AS21)</f>
        <v>#DIV/0!</v>
      </c>
      <c r="G21" s="46" t="e">
        <f>Nodes!G21*(1-Nodes!AT21)</f>
        <v>#DIV/0!</v>
      </c>
      <c r="H21" s="46" t="e">
        <f>Nodes!H21*(1-Nodes!AU21)</f>
        <v>#DIV/0!</v>
      </c>
      <c r="I21" s="46" t="e">
        <f>Nodes!I21*(1-Nodes!AV21)</f>
        <v>#DIV/0!</v>
      </c>
      <c r="J21" s="46" t="e">
        <f>Nodes!L21*(1-Nodes!AY21)</f>
        <v>#DIV/0!</v>
      </c>
      <c r="K21" s="46" t="e">
        <f>Nodes!N21*(1-Nodes!BA21)</f>
        <v>#DIV/0!</v>
      </c>
      <c r="L21" s="56" t="e">
        <f>B21/60/A$189</f>
        <v>#DIV/0!</v>
      </c>
      <c r="M21" s="56" t="e">
        <f>C21/60/B$189</f>
        <v>#DIV/0!</v>
      </c>
      <c r="N21" s="56" t="e">
        <f>D21/60/C$189</f>
        <v>#DIV/0!</v>
      </c>
      <c r="O21" s="56" t="e">
        <f>E21/60/D$189</f>
        <v>#DIV/0!</v>
      </c>
      <c r="P21" s="56" t="e">
        <f>F21/60/E$189</f>
        <v>#DIV/0!</v>
      </c>
      <c r="Q21" s="56" t="e">
        <f>G21/60/F$189</f>
        <v>#DIV/0!</v>
      </c>
      <c r="R21" s="56" t="e">
        <f>H21/60/G$189</f>
        <v>#DIV/0!</v>
      </c>
      <c r="S21" s="56" t="e">
        <f>I21/60/H$189</f>
        <v>#DIV/0!</v>
      </c>
      <c r="T21" s="56" t="e">
        <f>J21/60/I$189</f>
        <v>#DIV/0!</v>
      </c>
      <c r="U21" s="56" t="e">
        <f t="shared" si="0"/>
        <v>#DIV/0!</v>
      </c>
    </row>
    <row r="22" spans="1:21" x14ac:dyDescent="0.15">
      <c r="A22" s="49">
        <v>20</v>
      </c>
      <c r="B22" s="46" t="e">
        <f>Nodes!B22*(1-Nodes!AO22)</f>
        <v>#DIV/0!</v>
      </c>
      <c r="C22" s="46" t="e">
        <f>Nodes!C22*(1-Nodes!AP22)</f>
        <v>#DIV/0!</v>
      </c>
      <c r="D22" s="46" t="e">
        <f>Nodes!D22*(1-Nodes!AQ22)</f>
        <v>#DIV/0!</v>
      </c>
      <c r="E22" s="46" t="e">
        <f>Nodes!E22*(1-Nodes!AR22)</f>
        <v>#DIV/0!</v>
      </c>
      <c r="F22" s="46" t="e">
        <f>Nodes!F22*(1-Nodes!AS22)</f>
        <v>#DIV/0!</v>
      </c>
      <c r="G22" s="46" t="e">
        <f>Nodes!G22*(1-Nodes!AT22)</f>
        <v>#DIV/0!</v>
      </c>
      <c r="H22" s="46" t="e">
        <f>Nodes!H22*(1-Nodes!AU22)</f>
        <v>#DIV/0!</v>
      </c>
      <c r="I22" s="46" t="e">
        <f>Nodes!I22*(1-Nodes!AV22)</f>
        <v>#DIV/0!</v>
      </c>
      <c r="J22" s="46" t="e">
        <f>Nodes!L22*(1-Nodes!AY22)</f>
        <v>#DIV/0!</v>
      </c>
      <c r="K22" s="46" t="e">
        <f>Nodes!N22*(1-Nodes!BA22)</f>
        <v>#DIV/0!</v>
      </c>
      <c r="L22" s="56" t="e">
        <f>B22/60/A$189</f>
        <v>#DIV/0!</v>
      </c>
      <c r="M22" s="56" t="e">
        <f>C22/60/B$189</f>
        <v>#DIV/0!</v>
      </c>
      <c r="N22" s="56" t="e">
        <f>D22/60/C$189</f>
        <v>#DIV/0!</v>
      </c>
      <c r="O22" s="56" t="e">
        <f>E22/60/D$189</f>
        <v>#DIV/0!</v>
      </c>
      <c r="P22" s="56" t="e">
        <f>F22/60/E$189</f>
        <v>#DIV/0!</v>
      </c>
      <c r="Q22" s="56" t="e">
        <f>G22/60/F$189</f>
        <v>#DIV/0!</v>
      </c>
      <c r="R22" s="56" t="e">
        <f>H22/60/G$189</f>
        <v>#DIV/0!</v>
      </c>
      <c r="S22" s="56" t="e">
        <f>I22/60/H$189</f>
        <v>#DIV/0!</v>
      </c>
      <c r="T22" s="56" t="e">
        <f>J22/60/I$189</f>
        <v>#DIV/0!</v>
      </c>
      <c r="U22" s="56" t="e">
        <f t="shared" si="0"/>
        <v>#DIV/0!</v>
      </c>
    </row>
    <row r="23" spans="1:21" x14ac:dyDescent="0.15">
      <c r="A23" s="49">
        <v>21</v>
      </c>
      <c r="B23" s="46" t="e">
        <f>Nodes!B23*(1-Nodes!AO23)</f>
        <v>#DIV/0!</v>
      </c>
      <c r="C23" s="46" t="e">
        <f>Nodes!C23*(1-Nodes!AP23)</f>
        <v>#DIV/0!</v>
      </c>
      <c r="D23" s="46" t="e">
        <f>Nodes!D23*(1-Nodes!AQ23)</f>
        <v>#DIV/0!</v>
      </c>
      <c r="E23" s="46" t="e">
        <f>Nodes!E23*(1-Nodes!AR23)</f>
        <v>#DIV/0!</v>
      </c>
      <c r="F23" s="46" t="e">
        <f>Nodes!F23*(1-Nodes!AS23)</f>
        <v>#DIV/0!</v>
      </c>
      <c r="G23" s="46" t="e">
        <f>Nodes!G23*(1-Nodes!AT23)</f>
        <v>#DIV/0!</v>
      </c>
      <c r="H23" s="46" t="e">
        <f>Nodes!H23*(1-Nodes!AU23)</f>
        <v>#DIV/0!</v>
      </c>
      <c r="I23" s="46" t="e">
        <f>Nodes!I23*(1-Nodes!AV23)</f>
        <v>#DIV/0!</v>
      </c>
      <c r="J23" s="46" t="e">
        <f>Nodes!L23*(1-Nodes!AY23)</f>
        <v>#DIV/0!</v>
      </c>
      <c r="K23" s="46" t="e">
        <f>Nodes!N23*(1-Nodes!BA23)</f>
        <v>#DIV/0!</v>
      </c>
      <c r="L23" s="56" t="e">
        <f>B23/60/A$189</f>
        <v>#DIV/0!</v>
      </c>
      <c r="M23" s="56" t="e">
        <f>C23/60/B$189</f>
        <v>#DIV/0!</v>
      </c>
      <c r="N23" s="56" t="e">
        <f>D23/60/C$189</f>
        <v>#DIV/0!</v>
      </c>
      <c r="O23" s="56" t="e">
        <f>E23/60/D$189</f>
        <v>#DIV/0!</v>
      </c>
      <c r="P23" s="56" t="e">
        <f>F23/60/E$189</f>
        <v>#DIV/0!</v>
      </c>
      <c r="Q23" s="56" t="e">
        <f>G23/60/F$189</f>
        <v>#DIV/0!</v>
      </c>
      <c r="R23" s="56" t="e">
        <f>H23/60/G$189</f>
        <v>#DIV/0!</v>
      </c>
      <c r="S23" s="56" t="e">
        <f>I23/60/H$189</f>
        <v>#DIV/0!</v>
      </c>
      <c r="T23" s="56" t="e">
        <f>J23/60/I$189</f>
        <v>#DIV/0!</v>
      </c>
      <c r="U23" s="56" t="e">
        <f t="shared" si="0"/>
        <v>#DIV/0!</v>
      </c>
    </row>
    <row r="24" spans="1:21" x14ac:dyDescent="0.15">
      <c r="A24" s="49">
        <v>22</v>
      </c>
      <c r="B24" s="46" t="e">
        <f>Nodes!B24*(1-Nodes!AO24)</f>
        <v>#DIV/0!</v>
      </c>
      <c r="C24" s="46" t="e">
        <f>Nodes!C24*(1-Nodes!AP24)</f>
        <v>#DIV/0!</v>
      </c>
      <c r="D24" s="46" t="e">
        <f>Nodes!D24*(1-Nodes!AQ24)</f>
        <v>#DIV/0!</v>
      </c>
      <c r="E24" s="46" t="e">
        <f>Nodes!E24*(1-Nodes!AR24)</f>
        <v>#DIV/0!</v>
      </c>
      <c r="F24" s="46" t="e">
        <f>Nodes!F24*(1-Nodes!AS24)</f>
        <v>#DIV/0!</v>
      </c>
      <c r="G24" s="46" t="e">
        <f>Nodes!G24*(1-Nodes!AT24)</f>
        <v>#DIV/0!</v>
      </c>
      <c r="H24" s="46" t="e">
        <f>Nodes!H24*(1-Nodes!AU24)</f>
        <v>#DIV/0!</v>
      </c>
      <c r="I24" s="46" t="e">
        <f>Nodes!I24*(1-Nodes!AV24)</f>
        <v>#DIV/0!</v>
      </c>
      <c r="J24" s="46" t="e">
        <f>Nodes!L24*(1-Nodes!AY24)</f>
        <v>#DIV/0!</v>
      </c>
      <c r="K24" s="46" t="e">
        <f>Nodes!N24*(1-Nodes!BA24)</f>
        <v>#DIV/0!</v>
      </c>
      <c r="L24" s="56" t="e">
        <f>B24/60/A$189</f>
        <v>#DIV/0!</v>
      </c>
      <c r="M24" s="56" t="e">
        <f>C24/60/B$189</f>
        <v>#DIV/0!</v>
      </c>
      <c r="N24" s="56" t="e">
        <f>D24/60/C$189</f>
        <v>#DIV/0!</v>
      </c>
      <c r="O24" s="56" t="e">
        <f>E24/60/D$189</f>
        <v>#DIV/0!</v>
      </c>
      <c r="P24" s="56" t="e">
        <f>F24/60/E$189</f>
        <v>#DIV/0!</v>
      </c>
      <c r="Q24" s="56" t="e">
        <f>G24/60/F$189</f>
        <v>#DIV/0!</v>
      </c>
      <c r="R24" s="56" t="e">
        <f>H24/60/G$189</f>
        <v>#DIV/0!</v>
      </c>
      <c r="S24" s="56" t="e">
        <f>I24/60/H$189</f>
        <v>#DIV/0!</v>
      </c>
      <c r="T24" s="56" t="e">
        <f>J24/60/I$189</f>
        <v>#DIV/0!</v>
      </c>
      <c r="U24" s="56" t="e">
        <f t="shared" si="0"/>
        <v>#DIV/0!</v>
      </c>
    </row>
    <row r="25" spans="1:21" x14ac:dyDescent="0.15">
      <c r="A25" s="49">
        <v>23</v>
      </c>
      <c r="B25" s="46" t="e">
        <f>Nodes!B25*(1-Nodes!AO25)</f>
        <v>#DIV/0!</v>
      </c>
      <c r="C25" s="46" t="e">
        <f>Nodes!C25*(1-Nodes!AP25)</f>
        <v>#DIV/0!</v>
      </c>
      <c r="D25" s="46" t="e">
        <f>Nodes!D25*(1-Nodes!AQ25)</f>
        <v>#DIV/0!</v>
      </c>
      <c r="E25" s="46" t="e">
        <f>Nodes!E25*(1-Nodes!AR25)</f>
        <v>#DIV/0!</v>
      </c>
      <c r="F25" s="46" t="e">
        <f>Nodes!F25*(1-Nodes!AS25)</f>
        <v>#DIV/0!</v>
      </c>
      <c r="G25" s="46" t="e">
        <f>Nodes!G25*(1-Nodes!AT25)</f>
        <v>#DIV/0!</v>
      </c>
      <c r="H25" s="46" t="e">
        <f>Nodes!H25*(1-Nodes!AU25)</f>
        <v>#DIV/0!</v>
      </c>
      <c r="I25" s="46" t="e">
        <f>Nodes!I25*(1-Nodes!AV25)</f>
        <v>#DIV/0!</v>
      </c>
      <c r="J25" s="46" t="e">
        <f>Nodes!L25*(1-Nodes!AY25)</f>
        <v>#DIV/0!</v>
      </c>
      <c r="K25" s="46" t="e">
        <f>Nodes!N25*(1-Nodes!BA25)</f>
        <v>#DIV/0!</v>
      </c>
      <c r="L25" s="56" t="e">
        <f>B25/60/A$189</f>
        <v>#DIV/0!</v>
      </c>
      <c r="M25" s="56" t="e">
        <f>C25/60/B$189</f>
        <v>#DIV/0!</v>
      </c>
      <c r="N25" s="56" t="e">
        <f>D25/60/C$189</f>
        <v>#DIV/0!</v>
      </c>
      <c r="O25" s="56" t="e">
        <f>E25/60/D$189</f>
        <v>#DIV/0!</v>
      </c>
      <c r="P25" s="56" t="e">
        <f>F25/60/E$189</f>
        <v>#DIV/0!</v>
      </c>
      <c r="Q25" s="56" t="e">
        <f>G25/60/F$189</f>
        <v>#DIV/0!</v>
      </c>
      <c r="R25" s="56" t="e">
        <f>H25/60/G$189</f>
        <v>#DIV/0!</v>
      </c>
      <c r="S25" s="56" t="e">
        <f>I25/60/H$189</f>
        <v>#DIV/0!</v>
      </c>
      <c r="T25" s="56" t="e">
        <f>J25/60/I$189</f>
        <v>#DIV/0!</v>
      </c>
      <c r="U25" s="56" t="e">
        <f t="shared" si="0"/>
        <v>#DIV/0!</v>
      </c>
    </row>
    <row r="26" spans="1:21" x14ac:dyDescent="0.15">
      <c r="A26" s="49">
        <v>24</v>
      </c>
      <c r="B26" s="46" t="e">
        <f>Nodes!B26*(1-Nodes!AO26)</f>
        <v>#DIV/0!</v>
      </c>
      <c r="C26" s="46" t="e">
        <f>Nodes!C26*(1-Nodes!AP26)</f>
        <v>#DIV/0!</v>
      </c>
      <c r="D26" s="46" t="e">
        <f>Nodes!D26*(1-Nodes!AQ26)</f>
        <v>#DIV/0!</v>
      </c>
      <c r="E26" s="46" t="e">
        <f>Nodes!E26*(1-Nodes!AR26)</f>
        <v>#DIV/0!</v>
      </c>
      <c r="F26" s="46" t="e">
        <f>Nodes!F26*(1-Nodes!AS26)</f>
        <v>#DIV/0!</v>
      </c>
      <c r="G26" s="46" t="e">
        <f>Nodes!G26*(1-Nodes!AT26)</f>
        <v>#DIV/0!</v>
      </c>
      <c r="H26" s="46" t="e">
        <f>Nodes!H26*(1-Nodes!AU26)</f>
        <v>#DIV/0!</v>
      </c>
      <c r="I26" s="46" t="e">
        <f>Nodes!I26*(1-Nodes!AV26)</f>
        <v>#DIV/0!</v>
      </c>
      <c r="J26" s="46" t="e">
        <f>Nodes!L26*(1-Nodes!AY26)</f>
        <v>#DIV/0!</v>
      </c>
      <c r="K26" s="46" t="e">
        <f>Nodes!N26*(1-Nodes!BA26)</f>
        <v>#DIV/0!</v>
      </c>
      <c r="L26" s="56" t="e">
        <f>B26/60/A$189</f>
        <v>#DIV/0!</v>
      </c>
      <c r="M26" s="56" t="e">
        <f>C26/60/B$189</f>
        <v>#DIV/0!</v>
      </c>
      <c r="N26" s="56" t="e">
        <f>D26/60/C$189</f>
        <v>#DIV/0!</v>
      </c>
      <c r="O26" s="56" t="e">
        <f>E26/60/D$189</f>
        <v>#DIV/0!</v>
      </c>
      <c r="P26" s="56" t="e">
        <f>F26/60/E$189</f>
        <v>#DIV/0!</v>
      </c>
      <c r="Q26" s="56" t="e">
        <f>G26/60/F$189</f>
        <v>#DIV/0!</v>
      </c>
      <c r="R26" s="56" t="e">
        <f>H26/60/G$189</f>
        <v>#DIV/0!</v>
      </c>
      <c r="S26" s="56" t="e">
        <f>I26/60/H$189</f>
        <v>#DIV/0!</v>
      </c>
      <c r="T26" s="56" t="e">
        <f>J26/60/I$189</f>
        <v>#DIV/0!</v>
      </c>
      <c r="U26" s="56" t="e">
        <f t="shared" si="0"/>
        <v>#DIV/0!</v>
      </c>
    </row>
    <row r="27" spans="1:21" x14ac:dyDescent="0.15">
      <c r="A27" s="49">
        <v>25</v>
      </c>
      <c r="B27" s="46" t="e">
        <f>Nodes!B27*(1-Nodes!AO27)</f>
        <v>#DIV/0!</v>
      </c>
      <c r="C27" s="46" t="e">
        <f>Nodes!C27*(1-Nodes!AP27)</f>
        <v>#DIV/0!</v>
      </c>
      <c r="D27" s="46" t="e">
        <f>Nodes!D27*(1-Nodes!AQ27)</f>
        <v>#DIV/0!</v>
      </c>
      <c r="E27" s="46" t="e">
        <f>Nodes!E27*(1-Nodes!AR27)</f>
        <v>#DIV/0!</v>
      </c>
      <c r="F27" s="46" t="e">
        <f>Nodes!F27*(1-Nodes!AS27)</f>
        <v>#DIV/0!</v>
      </c>
      <c r="G27" s="46" t="e">
        <f>Nodes!G27*(1-Nodes!AT27)</f>
        <v>#DIV/0!</v>
      </c>
      <c r="H27" s="46" t="e">
        <f>Nodes!H27*(1-Nodes!AU27)</f>
        <v>#DIV/0!</v>
      </c>
      <c r="I27" s="46" t="e">
        <f>Nodes!I27*(1-Nodes!AV27)</f>
        <v>#DIV/0!</v>
      </c>
      <c r="J27" s="46" t="e">
        <f>Nodes!L27*(1-Nodes!AY27)</f>
        <v>#DIV/0!</v>
      </c>
      <c r="K27" s="46" t="e">
        <f>Nodes!N27*(1-Nodes!BA27)</f>
        <v>#DIV/0!</v>
      </c>
      <c r="L27" s="56" t="e">
        <f>B27/60/A$189</f>
        <v>#DIV/0!</v>
      </c>
      <c r="M27" s="56" t="e">
        <f>C27/60/B$189</f>
        <v>#DIV/0!</v>
      </c>
      <c r="N27" s="56" t="e">
        <f>D27/60/C$189</f>
        <v>#DIV/0!</v>
      </c>
      <c r="O27" s="56" t="e">
        <f>E27/60/D$189</f>
        <v>#DIV/0!</v>
      </c>
      <c r="P27" s="56" t="e">
        <f>F27/60/E$189</f>
        <v>#DIV/0!</v>
      </c>
      <c r="Q27" s="56" t="e">
        <f>G27/60/F$189</f>
        <v>#DIV/0!</v>
      </c>
      <c r="R27" s="56" t="e">
        <f>H27/60/G$189</f>
        <v>#DIV/0!</v>
      </c>
      <c r="S27" s="56" t="e">
        <f>I27/60/H$189</f>
        <v>#DIV/0!</v>
      </c>
      <c r="T27" s="56" t="e">
        <f>J27/60/I$189</f>
        <v>#DIV/0!</v>
      </c>
      <c r="U27" s="56" t="e">
        <f t="shared" si="0"/>
        <v>#DIV/0!</v>
      </c>
    </row>
    <row r="28" spans="1:21" x14ac:dyDescent="0.15">
      <c r="A28" s="49">
        <v>26</v>
      </c>
      <c r="B28" s="46" t="e">
        <f>Nodes!B28*(1-Nodes!AO28)</f>
        <v>#DIV/0!</v>
      </c>
      <c r="C28" s="46" t="e">
        <f>Nodes!C28*(1-Nodes!AP28)</f>
        <v>#DIV/0!</v>
      </c>
      <c r="D28" s="46" t="e">
        <f>Nodes!D28*(1-Nodes!AQ28)</f>
        <v>#DIV/0!</v>
      </c>
      <c r="E28" s="46" t="e">
        <f>Nodes!E28*(1-Nodes!AR28)</f>
        <v>#DIV/0!</v>
      </c>
      <c r="F28" s="46" t="e">
        <f>Nodes!F28*(1-Nodes!AS28)</f>
        <v>#DIV/0!</v>
      </c>
      <c r="G28" s="46" t="e">
        <f>Nodes!G28*(1-Nodes!AT28)</f>
        <v>#DIV/0!</v>
      </c>
      <c r="H28" s="46" t="e">
        <f>Nodes!H28*(1-Nodes!AU28)</f>
        <v>#DIV/0!</v>
      </c>
      <c r="I28" s="46" t="e">
        <f>Nodes!I28*(1-Nodes!AV28)</f>
        <v>#DIV/0!</v>
      </c>
      <c r="J28" s="46" t="e">
        <f>Nodes!L28*(1-Nodes!AY28)</f>
        <v>#DIV/0!</v>
      </c>
      <c r="K28" s="46" t="e">
        <f>Nodes!N28*(1-Nodes!BA28)</f>
        <v>#DIV/0!</v>
      </c>
      <c r="L28" s="56" t="e">
        <f>B28/60/A$189</f>
        <v>#DIV/0!</v>
      </c>
      <c r="M28" s="56" t="e">
        <f>C28/60/B$189</f>
        <v>#DIV/0!</v>
      </c>
      <c r="N28" s="56" t="e">
        <f>D28/60/C$189</f>
        <v>#DIV/0!</v>
      </c>
      <c r="O28" s="56" t="e">
        <f>E28/60/D$189</f>
        <v>#DIV/0!</v>
      </c>
      <c r="P28" s="56" t="e">
        <f>F28/60/E$189</f>
        <v>#DIV/0!</v>
      </c>
      <c r="Q28" s="56" t="e">
        <f>G28/60/F$189</f>
        <v>#DIV/0!</v>
      </c>
      <c r="R28" s="56" t="e">
        <f>H28/60/G$189</f>
        <v>#DIV/0!</v>
      </c>
      <c r="S28" s="56" t="e">
        <f>I28/60/H$189</f>
        <v>#DIV/0!</v>
      </c>
      <c r="T28" s="56" t="e">
        <f>J28/60/I$189</f>
        <v>#DIV/0!</v>
      </c>
      <c r="U28" s="56" t="e">
        <f t="shared" si="0"/>
        <v>#DIV/0!</v>
      </c>
    </row>
    <row r="29" spans="1:21" x14ac:dyDescent="0.15">
      <c r="A29" s="49">
        <v>27</v>
      </c>
      <c r="B29" s="46" t="e">
        <f>Nodes!B29*(1-Nodes!AO29)</f>
        <v>#DIV/0!</v>
      </c>
      <c r="C29" s="46" t="e">
        <f>Nodes!C29*(1-Nodes!AP29)</f>
        <v>#DIV/0!</v>
      </c>
      <c r="D29" s="46" t="e">
        <f>Nodes!D29*(1-Nodes!AQ29)</f>
        <v>#DIV/0!</v>
      </c>
      <c r="E29" s="46" t="e">
        <f>Nodes!E29*(1-Nodes!AR29)</f>
        <v>#DIV/0!</v>
      </c>
      <c r="F29" s="46" t="e">
        <f>Nodes!F29*(1-Nodes!AS29)</f>
        <v>#DIV/0!</v>
      </c>
      <c r="G29" s="46" t="e">
        <f>Nodes!G29*(1-Nodes!AT29)</f>
        <v>#DIV/0!</v>
      </c>
      <c r="H29" s="46" t="e">
        <f>Nodes!H29*(1-Nodes!AU29)</f>
        <v>#DIV/0!</v>
      </c>
      <c r="I29" s="46" t="e">
        <f>Nodes!I29*(1-Nodes!AV29)</f>
        <v>#DIV/0!</v>
      </c>
      <c r="J29" s="46" t="e">
        <f>Nodes!L29*(1-Nodes!AY29)</f>
        <v>#DIV/0!</v>
      </c>
      <c r="K29" s="46" t="e">
        <f>Nodes!N29*(1-Nodes!BA29)</f>
        <v>#DIV/0!</v>
      </c>
      <c r="L29" s="56" t="e">
        <f>B29/60/A$189</f>
        <v>#DIV/0!</v>
      </c>
      <c r="M29" s="56" t="e">
        <f>C29/60/B$189</f>
        <v>#DIV/0!</v>
      </c>
      <c r="N29" s="56" t="e">
        <f>D29/60/C$189</f>
        <v>#DIV/0!</v>
      </c>
      <c r="O29" s="56" t="e">
        <f>E29/60/D$189</f>
        <v>#DIV/0!</v>
      </c>
      <c r="P29" s="56" t="e">
        <f>F29/60/E$189</f>
        <v>#DIV/0!</v>
      </c>
      <c r="Q29" s="56" t="e">
        <f>G29/60/F$189</f>
        <v>#DIV/0!</v>
      </c>
      <c r="R29" s="56" t="e">
        <f>H29/60/G$189</f>
        <v>#DIV/0!</v>
      </c>
      <c r="S29" s="56" t="e">
        <f>I29/60/H$189</f>
        <v>#DIV/0!</v>
      </c>
      <c r="T29" s="56" t="e">
        <f>J29/60/I$189</f>
        <v>#DIV/0!</v>
      </c>
      <c r="U29" s="56" t="e">
        <f t="shared" si="0"/>
        <v>#DIV/0!</v>
      </c>
    </row>
    <row r="30" spans="1:21" x14ac:dyDescent="0.15">
      <c r="A30" s="49">
        <v>28</v>
      </c>
      <c r="B30" s="46" t="e">
        <f>Nodes!B30*(1-Nodes!AO30)</f>
        <v>#DIV/0!</v>
      </c>
      <c r="C30" s="46" t="e">
        <f>Nodes!C30*(1-Nodes!AP30)</f>
        <v>#DIV/0!</v>
      </c>
      <c r="D30" s="46" t="e">
        <f>Nodes!D30*(1-Nodes!AQ30)</f>
        <v>#DIV/0!</v>
      </c>
      <c r="E30" s="46" t="e">
        <f>Nodes!E30*(1-Nodes!AR30)</f>
        <v>#DIV/0!</v>
      </c>
      <c r="F30" s="46" t="e">
        <f>Nodes!F30*(1-Nodes!AS30)</f>
        <v>#DIV/0!</v>
      </c>
      <c r="G30" s="46" t="e">
        <f>Nodes!G30*(1-Nodes!AT30)</f>
        <v>#DIV/0!</v>
      </c>
      <c r="H30" s="46" t="e">
        <f>Nodes!H30*(1-Nodes!AU30)</f>
        <v>#DIV/0!</v>
      </c>
      <c r="I30" s="46" t="e">
        <f>Nodes!I30*(1-Nodes!AV30)</f>
        <v>#DIV/0!</v>
      </c>
      <c r="J30" s="46" t="e">
        <f>Nodes!L30*(1-Nodes!AY30)</f>
        <v>#DIV/0!</v>
      </c>
      <c r="K30" s="46" t="e">
        <f>Nodes!N30*(1-Nodes!BA30)</f>
        <v>#DIV/0!</v>
      </c>
      <c r="L30" s="56" t="e">
        <f>B30/60/A$189</f>
        <v>#DIV/0!</v>
      </c>
      <c r="M30" s="56" t="e">
        <f>C30/60/B$189</f>
        <v>#DIV/0!</v>
      </c>
      <c r="N30" s="56" t="e">
        <f>D30/60/C$189</f>
        <v>#DIV/0!</v>
      </c>
      <c r="O30" s="56" t="e">
        <f>E30/60/D$189</f>
        <v>#DIV/0!</v>
      </c>
      <c r="P30" s="56" t="e">
        <f>F30/60/E$189</f>
        <v>#DIV/0!</v>
      </c>
      <c r="Q30" s="56" t="e">
        <f>G30/60/F$189</f>
        <v>#DIV/0!</v>
      </c>
      <c r="R30" s="56" t="e">
        <f>H30/60/G$189</f>
        <v>#DIV/0!</v>
      </c>
      <c r="S30" s="56" t="e">
        <f>I30/60/H$189</f>
        <v>#DIV/0!</v>
      </c>
      <c r="T30" s="56" t="e">
        <f>J30/60/I$189</f>
        <v>#DIV/0!</v>
      </c>
      <c r="U30" s="56" t="e">
        <f t="shared" si="0"/>
        <v>#DIV/0!</v>
      </c>
    </row>
    <row r="31" spans="1:21" x14ac:dyDescent="0.15">
      <c r="A31" s="49">
        <v>29</v>
      </c>
      <c r="B31" s="46" t="e">
        <f>Nodes!B31*(1-Nodes!AO31)</f>
        <v>#DIV/0!</v>
      </c>
      <c r="C31" s="46" t="e">
        <f>Nodes!C31*(1-Nodes!AP31)</f>
        <v>#DIV/0!</v>
      </c>
      <c r="D31" s="46" t="e">
        <f>Nodes!D31*(1-Nodes!AQ31)</f>
        <v>#DIV/0!</v>
      </c>
      <c r="E31" s="46" t="e">
        <f>Nodes!E31*(1-Nodes!AR31)</f>
        <v>#DIV/0!</v>
      </c>
      <c r="F31" s="46" t="e">
        <f>Nodes!F31*(1-Nodes!AS31)</f>
        <v>#DIV/0!</v>
      </c>
      <c r="G31" s="46" t="e">
        <f>Nodes!G31*(1-Nodes!AT31)</f>
        <v>#DIV/0!</v>
      </c>
      <c r="H31" s="46" t="e">
        <f>Nodes!H31*(1-Nodes!AU31)</f>
        <v>#DIV/0!</v>
      </c>
      <c r="I31" s="46" t="e">
        <f>Nodes!I31*(1-Nodes!AV31)</f>
        <v>#DIV/0!</v>
      </c>
      <c r="J31" s="46" t="e">
        <f>Nodes!L31*(1-Nodes!AY31)</f>
        <v>#DIV/0!</v>
      </c>
      <c r="K31" s="46" t="e">
        <f>Nodes!N31*(1-Nodes!BA31)</f>
        <v>#DIV/0!</v>
      </c>
      <c r="L31" s="56" t="e">
        <f>B31/60/A$189</f>
        <v>#DIV/0!</v>
      </c>
      <c r="M31" s="56" t="e">
        <f>C31/60/B$189</f>
        <v>#DIV/0!</v>
      </c>
      <c r="N31" s="56" t="e">
        <f>D31/60/C$189</f>
        <v>#DIV/0!</v>
      </c>
      <c r="O31" s="56" t="e">
        <f>E31/60/D$189</f>
        <v>#DIV/0!</v>
      </c>
      <c r="P31" s="56" t="e">
        <f>F31/60/E$189</f>
        <v>#DIV/0!</v>
      </c>
      <c r="Q31" s="56" t="e">
        <f>G31/60/F$189</f>
        <v>#DIV/0!</v>
      </c>
      <c r="R31" s="56" t="e">
        <f>H31/60/G$189</f>
        <v>#DIV/0!</v>
      </c>
      <c r="S31" s="56" t="e">
        <f>I31/60/H$189</f>
        <v>#DIV/0!</v>
      </c>
      <c r="T31" s="56" t="e">
        <f>J31/60/I$189</f>
        <v>#DIV/0!</v>
      </c>
      <c r="U31" s="56" t="e">
        <f t="shared" si="0"/>
        <v>#DIV/0!</v>
      </c>
    </row>
    <row r="32" spans="1:21" x14ac:dyDescent="0.15">
      <c r="A32" s="49">
        <v>30</v>
      </c>
      <c r="B32" s="46" t="e">
        <f>Nodes!B32*(1-Nodes!AO32)</f>
        <v>#DIV/0!</v>
      </c>
      <c r="C32" s="46" t="e">
        <f>Nodes!C32*(1-Nodes!AP32)</f>
        <v>#DIV/0!</v>
      </c>
      <c r="D32" s="46" t="e">
        <f>Nodes!D32*(1-Nodes!AQ32)</f>
        <v>#DIV/0!</v>
      </c>
      <c r="E32" s="46" t="e">
        <f>Nodes!E32*(1-Nodes!AR32)</f>
        <v>#DIV/0!</v>
      </c>
      <c r="F32" s="46" t="e">
        <f>Nodes!F32*(1-Nodes!AS32)</f>
        <v>#DIV/0!</v>
      </c>
      <c r="G32" s="46" t="e">
        <f>Nodes!G32*(1-Nodes!AT32)</f>
        <v>#DIV/0!</v>
      </c>
      <c r="H32" s="46" t="e">
        <f>Nodes!H32*(1-Nodes!AU32)</f>
        <v>#DIV/0!</v>
      </c>
      <c r="I32" s="46" t="e">
        <f>Nodes!I32*(1-Nodes!AV32)</f>
        <v>#DIV/0!</v>
      </c>
      <c r="J32" s="46" t="e">
        <f>Nodes!L32*(1-Nodes!AY32)</f>
        <v>#DIV/0!</v>
      </c>
      <c r="K32" s="46" t="e">
        <f>Nodes!N32*(1-Nodes!BA32)</f>
        <v>#DIV/0!</v>
      </c>
      <c r="L32" s="56" t="e">
        <f>B32/60/A$189</f>
        <v>#DIV/0!</v>
      </c>
      <c r="M32" s="56" t="e">
        <f>C32/60/B$189</f>
        <v>#DIV/0!</v>
      </c>
      <c r="N32" s="56" t="e">
        <f>D32/60/C$189</f>
        <v>#DIV/0!</v>
      </c>
      <c r="O32" s="56" t="e">
        <f>E32/60/D$189</f>
        <v>#DIV/0!</v>
      </c>
      <c r="P32" s="56" t="e">
        <f>F32/60/E$189</f>
        <v>#DIV/0!</v>
      </c>
      <c r="Q32" s="56" t="e">
        <f>G32/60/F$189</f>
        <v>#DIV/0!</v>
      </c>
      <c r="R32" s="56" t="e">
        <f>H32/60/G$189</f>
        <v>#DIV/0!</v>
      </c>
      <c r="S32" s="56" t="e">
        <f>I32/60/H$189</f>
        <v>#DIV/0!</v>
      </c>
      <c r="T32" s="56" t="e">
        <f>J32/60/I$189</f>
        <v>#DIV/0!</v>
      </c>
      <c r="U32" s="56" t="e">
        <f t="shared" si="0"/>
        <v>#DIV/0!</v>
      </c>
    </row>
    <row r="33" spans="1:21" x14ac:dyDescent="0.15">
      <c r="A33" s="49">
        <v>31</v>
      </c>
      <c r="B33" s="46" t="e">
        <f>Nodes!B33*(1-Nodes!AO33)</f>
        <v>#DIV/0!</v>
      </c>
      <c r="C33" s="46" t="e">
        <f>Nodes!C33*(1-Nodes!AP33)</f>
        <v>#DIV/0!</v>
      </c>
      <c r="D33" s="46" t="e">
        <f>Nodes!D33*(1-Nodes!AQ33)</f>
        <v>#DIV/0!</v>
      </c>
      <c r="E33" s="46" t="e">
        <f>Nodes!E33*(1-Nodes!AR33)</f>
        <v>#DIV/0!</v>
      </c>
      <c r="F33" s="46" t="e">
        <f>Nodes!F33*(1-Nodes!AS33)</f>
        <v>#DIV/0!</v>
      </c>
      <c r="G33" s="46" t="e">
        <f>Nodes!G33*(1-Nodes!AT33)</f>
        <v>#DIV/0!</v>
      </c>
      <c r="H33" s="46" t="e">
        <f>Nodes!H33*(1-Nodes!AU33)</f>
        <v>#DIV/0!</v>
      </c>
      <c r="I33" s="46" t="e">
        <f>Nodes!I33*(1-Nodes!AV33)</f>
        <v>#DIV/0!</v>
      </c>
      <c r="J33" s="46" t="e">
        <f>Nodes!L33*(1-Nodes!AY33)</f>
        <v>#DIV/0!</v>
      </c>
      <c r="K33" s="46" t="e">
        <f>Nodes!N33*(1-Nodes!BA33)</f>
        <v>#DIV/0!</v>
      </c>
      <c r="L33" s="56" t="e">
        <f>B33/60/A$189</f>
        <v>#DIV/0!</v>
      </c>
      <c r="M33" s="56" t="e">
        <f>C33/60/B$189</f>
        <v>#DIV/0!</v>
      </c>
      <c r="N33" s="56" t="e">
        <f>D33/60/C$189</f>
        <v>#DIV/0!</v>
      </c>
      <c r="O33" s="56" t="e">
        <f>E33/60/D$189</f>
        <v>#DIV/0!</v>
      </c>
      <c r="P33" s="56" t="e">
        <f>F33/60/E$189</f>
        <v>#DIV/0!</v>
      </c>
      <c r="Q33" s="56" t="e">
        <f>G33/60/F$189</f>
        <v>#DIV/0!</v>
      </c>
      <c r="R33" s="56" t="e">
        <f>H33/60/G$189</f>
        <v>#DIV/0!</v>
      </c>
      <c r="S33" s="56" t="e">
        <f>I33/60/H$189</f>
        <v>#DIV/0!</v>
      </c>
      <c r="T33" s="56" t="e">
        <f>J33/60/I$189</f>
        <v>#DIV/0!</v>
      </c>
      <c r="U33" s="56" t="e">
        <f t="shared" si="0"/>
        <v>#DIV/0!</v>
      </c>
    </row>
    <row r="34" spans="1:21" x14ac:dyDescent="0.15">
      <c r="A34" s="49">
        <v>32</v>
      </c>
      <c r="B34" s="46" t="e">
        <f>Nodes!B34*(1-Nodes!AO34)</f>
        <v>#DIV/0!</v>
      </c>
      <c r="C34" s="46" t="e">
        <f>Nodes!C34*(1-Nodes!AP34)</f>
        <v>#DIV/0!</v>
      </c>
      <c r="D34" s="46" t="e">
        <f>Nodes!D34*(1-Nodes!AQ34)</f>
        <v>#DIV/0!</v>
      </c>
      <c r="E34" s="46" t="e">
        <f>Nodes!E34*(1-Nodes!AR34)</f>
        <v>#DIV/0!</v>
      </c>
      <c r="F34" s="46" t="e">
        <f>Nodes!F34*(1-Nodes!AS34)</f>
        <v>#DIV/0!</v>
      </c>
      <c r="G34" s="46" t="e">
        <f>Nodes!G34*(1-Nodes!AT34)</f>
        <v>#DIV/0!</v>
      </c>
      <c r="H34" s="46" t="e">
        <f>Nodes!H34*(1-Nodes!AU34)</f>
        <v>#DIV/0!</v>
      </c>
      <c r="I34" s="46" t="e">
        <f>Nodes!I34*(1-Nodes!AV34)</f>
        <v>#DIV/0!</v>
      </c>
      <c r="J34" s="46" t="e">
        <f>Nodes!L34*(1-Nodes!AY34)</f>
        <v>#DIV/0!</v>
      </c>
      <c r="K34" s="46" t="e">
        <f>Nodes!N34*(1-Nodes!BA34)</f>
        <v>#DIV/0!</v>
      </c>
      <c r="L34" s="56" t="e">
        <f>B34/60/A$189</f>
        <v>#DIV/0!</v>
      </c>
      <c r="M34" s="56" t="e">
        <f>C34/60/B$189</f>
        <v>#DIV/0!</v>
      </c>
      <c r="N34" s="56" t="e">
        <f>D34/60/C$189</f>
        <v>#DIV/0!</v>
      </c>
      <c r="O34" s="56" t="e">
        <f>E34/60/D$189</f>
        <v>#DIV/0!</v>
      </c>
      <c r="P34" s="56" t="e">
        <f>F34/60/E$189</f>
        <v>#DIV/0!</v>
      </c>
      <c r="Q34" s="56" t="e">
        <f>G34/60/F$189</f>
        <v>#DIV/0!</v>
      </c>
      <c r="R34" s="56" t="e">
        <f>H34/60/G$189</f>
        <v>#DIV/0!</v>
      </c>
      <c r="S34" s="56" t="e">
        <f>I34/60/H$189</f>
        <v>#DIV/0!</v>
      </c>
      <c r="T34" s="56" t="e">
        <f>J34/60/I$189</f>
        <v>#DIV/0!</v>
      </c>
      <c r="U34" s="56" t="e">
        <f t="shared" si="0"/>
        <v>#DIV/0!</v>
      </c>
    </row>
    <row r="35" spans="1:21" x14ac:dyDescent="0.15">
      <c r="A35" s="49">
        <v>33</v>
      </c>
      <c r="B35" s="46" t="e">
        <f>Nodes!B35*(1-Nodes!AO35)</f>
        <v>#DIV/0!</v>
      </c>
      <c r="C35" s="46" t="e">
        <f>Nodes!C35*(1-Nodes!AP35)</f>
        <v>#DIV/0!</v>
      </c>
      <c r="D35" s="46" t="e">
        <f>Nodes!D35*(1-Nodes!AQ35)</f>
        <v>#DIV/0!</v>
      </c>
      <c r="E35" s="46" t="e">
        <f>Nodes!E35*(1-Nodes!AR35)</f>
        <v>#DIV/0!</v>
      </c>
      <c r="F35" s="46" t="e">
        <f>Nodes!F35*(1-Nodes!AS35)</f>
        <v>#DIV/0!</v>
      </c>
      <c r="G35" s="46" t="e">
        <f>Nodes!G35*(1-Nodes!AT35)</f>
        <v>#DIV/0!</v>
      </c>
      <c r="H35" s="46" t="e">
        <f>Nodes!H35*(1-Nodes!AU35)</f>
        <v>#DIV/0!</v>
      </c>
      <c r="I35" s="46" t="e">
        <f>Nodes!I35*(1-Nodes!AV35)</f>
        <v>#DIV/0!</v>
      </c>
      <c r="J35" s="46" t="e">
        <f>Nodes!L35*(1-Nodes!AY35)</f>
        <v>#DIV/0!</v>
      </c>
      <c r="K35" s="46" t="e">
        <f>Nodes!N35*(1-Nodes!BA35)</f>
        <v>#DIV/0!</v>
      </c>
      <c r="L35" s="56" t="e">
        <f>B35/60/A$189</f>
        <v>#DIV/0!</v>
      </c>
      <c r="M35" s="56" t="e">
        <f>C35/60/B$189</f>
        <v>#DIV/0!</v>
      </c>
      <c r="N35" s="56" t="e">
        <f>D35/60/C$189</f>
        <v>#DIV/0!</v>
      </c>
      <c r="O35" s="56" t="e">
        <f>E35/60/D$189</f>
        <v>#DIV/0!</v>
      </c>
      <c r="P35" s="56" t="e">
        <f>F35/60/E$189</f>
        <v>#DIV/0!</v>
      </c>
      <c r="Q35" s="56" t="e">
        <f>G35/60/F$189</f>
        <v>#DIV/0!</v>
      </c>
      <c r="R35" s="56" t="e">
        <f>H35/60/G$189</f>
        <v>#DIV/0!</v>
      </c>
      <c r="S35" s="56" t="e">
        <f>I35/60/H$189</f>
        <v>#DIV/0!</v>
      </c>
      <c r="T35" s="56" t="e">
        <f>J35/60/I$189</f>
        <v>#DIV/0!</v>
      </c>
      <c r="U35" s="56" t="e">
        <f t="shared" si="0"/>
        <v>#DIV/0!</v>
      </c>
    </row>
    <row r="36" spans="1:21" x14ac:dyDescent="0.15">
      <c r="A36" s="49">
        <v>34</v>
      </c>
      <c r="B36" s="46" t="e">
        <f>Nodes!B36*(1-Nodes!AO36)</f>
        <v>#DIV/0!</v>
      </c>
      <c r="C36" s="46" t="e">
        <f>Nodes!C36*(1-Nodes!AP36)</f>
        <v>#DIV/0!</v>
      </c>
      <c r="D36" s="46" t="e">
        <f>Nodes!D36*(1-Nodes!AQ36)</f>
        <v>#DIV/0!</v>
      </c>
      <c r="E36" s="46" t="e">
        <f>Nodes!E36*(1-Nodes!AR36)</f>
        <v>#DIV/0!</v>
      </c>
      <c r="F36" s="46" t="e">
        <f>Nodes!F36*(1-Nodes!AS36)</f>
        <v>#DIV/0!</v>
      </c>
      <c r="G36" s="46" t="e">
        <f>Nodes!G36*(1-Nodes!AT36)</f>
        <v>#DIV/0!</v>
      </c>
      <c r="H36" s="46" t="e">
        <f>Nodes!H36*(1-Nodes!AU36)</f>
        <v>#DIV/0!</v>
      </c>
      <c r="I36" s="46" t="e">
        <f>Nodes!I36*(1-Nodes!AV36)</f>
        <v>#DIV/0!</v>
      </c>
      <c r="J36" s="46" t="e">
        <f>Nodes!L36*(1-Nodes!AY36)</f>
        <v>#DIV/0!</v>
      </c>
      <c r="K36" s="46" t="e">
        <f>Nodes!N36*(1-Nodes!BA36)</f>
        <v>#DIV/0!</v>
      </c>
      <c r="L36" s="56" t="e">
        <f>B36/60/A$189</f>
        <v>#DIV/0!</v>
      </c>
      <c r="M36" s="56" t="e">
        <f>C36/60/B$189</f>
        <v>#DIV/0!</v>
      </c>
      <c r="N36" s="56" t="e">
        <f>D36/60/C$189</f>
        <v>#DIV/0!</v>
      </c>
      <c r="O36" s="56" t="e">
        <f>E36/60/D$189</f>
        <v>#DIV/0!</v>
      </c>
      <c r="P36" s="56" t="e">
        <f>F36/60/E$189</f>
        <v>#DIV/0!</v>
      </c>
      <c r="Q36" s="56" t="e">
        <f>G36/60/F$189</f>
        <v>#DIV/0!</v>
      </c>
      <c r="R36" s="56" t="e">
        <f>H36/60/G$189</f>
        <v>#DIV/0!</v>
      </c>
      <c r="S36" s="56" t="e">
        <f>I36/60/H$189</f>
        <v>#DIV/0!</v>
      </c>
      <c r="T36" s="56" t="e">
        <f>J36/60/I$189</f>
        <v>#DIV/0!</v>
      </c>
      <c r="U36" s="56" t="e">
        <f t="shared" si="0"/>
        <v>#DIV/0!</v>
      </c>
    </row>
    <row r="37" spans="1:21" x14ac:dyDescent="0.15">
      <c r="A37" s="49">
        <v>35</v>
      </c>
      <c r="B37" s="46" t="e">
        <f>Nodes!B37*(1-Nodes!AO37)</f>
        <v>#DIV/0!</v>
      </c>
      <c r="C37" s="46" t="e">
        <f>Nodes!C37*(1-Nodes!AP37)</f>
        <v>#DIV/0!</v>
      </c>
      <c r="D37" s="46" t="e">
        <f>Nodes!D37*(1-Nodes!AQ37)</f>
        <v>#DIV/0!</v>
      </c>
      <c r="E37" s="46" t="e">
        <f>Nodes!E37*(1-Nodes!AR37)</f>
        <v>#DIV/0!</v>
      </c>
      <c r="F37" s="46" t="e">
        <f>Nodes!F37*(1-Nodes!AS37)</f>
        <v>#DIV/0!</v>
      </c>
      <c r="G37" s="46" t="e">
        <f>Nodes!G37*(1-Nodes!AT37)</f>
        <v>#DIV/0!</v>
      </c>
      <c r="H37" s="46" t="e">
        <f>Nodes!H37*(1-Nodes!AU37)</f>
        <v>#DIV/0!</v>
      </c>
      <c r="I37" s="46" t="e">
        <f>Nodes!I37*(1-Nodes!AV37)</f>
        <v>#DIV/0!</v>
      </c>
      <c r="J37" s="46" t="e">
        <f>Nodes!L37*(1-Nodes!AY37)</f>
        <v>#DIV/0!</v>
      </c>
      <c r="K37" s="46" t="e">
        <f>Nodes!N37*(1-Nodes!BA37)</f>
        <v>#DIV/0!</v>
      </c>
      <c r="L37" s="56" t="e">
        <f>B37/60/A$189</f>
        <v>#DIV/0!</v>
      </c>
      <c r="M37" s="56" t="e">
        <f>C37/60/B$189</f>
        <v>#DIV/0!</v>
      </c>
      <c r="N37" s="56" t="e">
        <f>D37/60/C$189</f>
        <v>#DIV/0!</v>
      </c>
      <c r="O37" s="56" t="e">
        <f>E37/60/D$189</f>
        <v>#DIV/0!</v>
      </c>
      <c r="P37" s="56" t="e">
        <f>F37/60/E$189</f>
        <v>#DIV/0!</v>
      </c>
      <c r="Q37" s="56" t="e">
        <f>G37/60/F$189</f>
        <v>#DIV/0!</v>
      </c>
      <c r="R37" s="56" t="e">
        <f>H37/60/G$189</f>
        <v>#DIV/0!</v>
      </c>
      <c r="S37" s="56" t="e">
        <f>I37/60/H$189</f>
        <v>#DIV/0!</v>
      </c>
      <c r="T37" s="56" t="e">
        <f>J37/60/I$189</f>
        <v>#DIV/0!</v>
      </c>
      <c r="U37" s="56" t="e">
        <f t="shared" si="0"/>
        <v>#DIV/0!</v>
      </c>
    </row>
    <row r="38" spans="1:21" x14ac:dyDescent="0.15">
      <c r="A38" s="49">
        <v>36</v>
      </c>
      <c r="B38" s="46" t="e">
        <f>Nodes!B38*(1-Nodes!AO38)</f>
        <v>#DIV/0!</v>
      </c>
      <c r="C38" s="46" t="e">
        <f>Nodes!C38*(1-Nodes!AP38)</f>
        <v>#DIV/0!</v>
      </c>
      <c r="D38" s="46" t="e">
        <f>Nodes!D38*(1-Nodes!AQ38)</f>
        <v>#DIV/0!</v>
      </c>
      <c r="E38" s="46" t="e">
        <f>Nodes!E38*(1-Nodes!AR38)</f>
        <v>#DIV/0!</v>
      </c>
      <c r="F38" s="46" t="e">
        <f>Nodes!F38*(1-Nodes!AS38)</f>
        <v>#DIV/0!</v>
      </c>
      <c r="G38" s="46" t="e">
        <f>Nodes!G38*(1-Nodes!AT38)</f>
        <v>#DIV/0!</v>
      </c>
      <c r="H38" s="46" t="e">
        <f>Nodes!H38*(1-Nodes!AU38)</f>
        <v>#DIV/0!</v>
      </c>
      <c r="I38" s="46" t="e">
        <f>Nodes!I38*(1-Nodes!AV38)</f>
        <v>#DIV/0!</v>
      </c>
      <c r="J38" s="46" t="e">
        <f>Nodes!L38*(1-Nodes!AY38)</f>
        <v>#DIV/0!</v>
      </c>
      <c r="K38" s="46" t="e">
        <f>Nodes!N38*(1-Nodes!BA38)</f>
        <v>#DIV/0!</v>
      </c>
      <c r="L38" s="56" t="e">
        <f>B38/60/A$189</f>
        <v>#DIV/0!</v>
      </c>
      <c r="M38" s="56" t="e">
        <f>C38/60/B$189</f>
        <v>#DIV/0!</v>
      </c>
      <c r="N38" s="56" t="e">
        <f>D38/60/C$189</f>
        <v>#DIV/0!</v>
      </c>
      <c r="O38" s="56" t="e">
        <f>E38/60/D$189</f>
        <v>#DIV/0!</v>
      </c>
      <c r="P38" s="56" t="e">
        <f>F38/60/E$189</f>
        <v>#DIV/0!</v>
      </c>
      <c r="Q38" s="56" t="e">
        <f>G38/60/F$189</f>
        <v>#DIV/0!</v>
      </c>
      <c r="R38" s="56" t="e">
        <f>H38/60/G$189</f>
        <v>#DIV/0!</v>
      </c>
      <c r="S38" s="56" t="e">
        <f>I38/60/H$189</f>
        <v>#DIV/0!</v>
      </c>
      <c r="T38" s="56" t="e">
        <f>J38/60/I$189</f>
        <v>#DIV/0!</v>
      </c>
      <c r="U38" s="56" t="e">
        <f t="shared" si="0"/>
        <v>#DIV/0!</v>
      </c>
    </row>
    <row r="39" spans="1:21" x14ac:dyDescent="0.15">
      <c r="A39" s="49">
        <v>37</v>
      </c>
      <c r="B39" s="46" t="e">
        <f>Nodes!B39*(1-Nodes!AO39)</f>
        <v>#DIV/0!</v>
      </c>
      <c r="C39" s="46" t="e">
        <f>Nodes!C39*(1-Nodes!AP39)</f>
        <v>#DIV/0!</v>
      </c>
      <c r="D39" s="46" t="e">
        <f>Nodes!D39*(1-Nodes!AQ39)</f>
        <v>#DIV/0!</v>
      </c>
      <c r="E39" s="46" t="e">
        <f>Nodes!E39*(1-Nodes!AR39)</f>
        <v>#DIV/0!</v>
      </c>
      <c r="F39" s="46" t="e">
        <f>Nodes!F39*(1-Nodes!AS39)</f>
        <v>#DIV/0!</v>
      </c>
      <c r="G39" s="46" t="e">
        <f>Nodes!G39*(1-Nodes!AT39)</f>
        <v>#DIV/0!</v>
      </c>
      <c r="H39" s="46" t="e">
        <f>Nodes!H39*(1-Nodes!AU39)</f>
        <v>#DIV/0!</v>
      </c>
      <c r="I39" s="46" t="e">
        <f>Nodes!I39*(1-Nodes!AV39)</f>
        <v>#DIV/0!</v>
      </c>
      <c r="J39" s="46" t="e">
        <f>Nodes!L39*(1-Nodes!AY39)</f>
        <v>#DIV/0!</v>
      </c>
      <c r="K39" s="46" t="e">
        <f>Nodes!N39*(1-Nodes!BA39)</f>
        <v>#DIV/0!</v>
      </c>
      <c r="L39" s="56" t="e">
        <f>B39/60/A$189</f>
        <v>#DIV/0!</v>
      </c>
      <c r="M39" s="56" t="e">
        <f>C39/60/B$189</f>
        <v>#DIV/0!</v>
      </c>
      <c r="N39" s="56" t="e">
        <f>D39/60/C$189</f>
        <v>#DIV/0!</v>
      </c>
      <c r="O39" s="56" t="e">
        <f>E39/60/D$189</f>
        <v>#DIV/0!</v>
      </c>
      <c r="P39" s="56" t="e">
        <f>F39/60/E$189</f>
        <v>#DIV/0!</v>
      </c>
      <c r="Q39" s="56" t="e">
        <f>G39/60/F$189</f>
        <v>#DIV/0!</v>
      </c>
      <c r="R39" s="56" t="e">
        <f>H39/60/G$189</f>
        <v>#DIV/0!</v>
      </c>
      <c r="S39" s="56" t="e">
        <f>I39/60/H$189</f>
        <v>#DIV/0!</v>
      </c>
      <c r="T39" s="56" t="e">
        <f>J39/60/I$189</f>
        <v>#DIV/0!</v>
      </c>
      <c r="U39" s="56" t="e">
        <f t="shared" si="0"/>
        <v>#DIV/0!</v>
      </c>
    </row>
    <row r="40" spans="1:21" x14ac:dyDescent="0.15">
      <c r="A40" s="49">
        <v>38</v>
      </c>
      <c r="B40" s="46" t="e">
        <f>Nodes!B40*(1-Nodes!AO40)</f>
        <v>#DIV/0!</v>
      </c>
      <c r="C40" s="46" t="e">
        <f>Nodes!C40*(1-Nodes!AP40)</f>
        <v>#DIV/0!</v>
      </c>
      <c r="D40" s="46" t="e">
        <f>Nodes!D40*(1-Nodes!AQ40)</f>
        <v>#DIV/0!</v>
      </c>
      <c r="E40" s="46" t="e">
        <f>Nodes!E40*(1-Nodes!AR40)</f>
        <v>#DIV/0!</v>
      </c>
      <c r="F40" s="46" t="e">
        <f>Nodes!F40*(1-Nodes!AS40)</f>
        <v>#DIV/0!</v>
      </c>
      <c r="G40" s="46" t="e">
        <f>Nodes!G40*(1-Nodes!AT40)</f>
        <v>#DIV/0!</v>
      </c>
      <c r="H40" s="46" t="e">
        <f>Nodes!H40*(1-Nodes!AU40)</f>
        <v>#DIV/0!</v>
      </c>
      <c r="I40" s="46" t="e">
        <f>Nodes!I40*(1-Nodes!AV40)</f>
        <v>#DIV/0!</v>
      </c>
      <c r="J40" s="46" t="e">
        <f>Nodes!L40*(1-Nodes!AY40)</f>
        <v>#DIV/0!</v>
      </c>
      <c r="K40" s="46" t="e">
        <f>Nodes!N40*(1-Nodes!BA40)</f>
        <v>#DIV/0!</v>
      </c>
      <c r="L40" s="56" t="e">
        <f>B40/60/A$189</f>
        <v>#DIV/0!</v>
      </c>
      <c r="M40" s="56" t="e">
        <f>C40/60/B$189</f>
        <v>#DIV/0!</v>
      </c>
      <c r="N40" s="56" t="e">
        <f>D40/60/C$189</f>
        <v>#DIV/0!</v>
      </c>
      <c r="O40" s="56" t="e">
        <f>E40/60/D$189</f>
        <v>#DIV/0!</v>
      </c>
      <c r="P40" s="56" t="e">
        <f>F40/60/E$189</f>
        <v>#DIV/0!</v>
      </c>
      <c r="Q40" s="56" t="e">
        <f>G40/60/F$189</f>
        <v>#DIV/0!</v>
      </c>
      <c r="R40" s="56" t="e">
        <f>H40/60/G$189</f>
        <v>#DIV/0!</v>
      </c>
      <c r="S40" s="56" t="e">
        <f>I40/60/H$189</f>
        <v>#DIV/0!</v>
      </c>
      <c r="T40" s="56" t="e">
        <f>J40/60/I$189</f>
        <v>#DIV/0!</v>
      </c>
      <c r="U40" s="56" t="e">
        <f t="shared" si="0"/>
        <v>#DIV/0!</v>
      </c>
    </row>
    <row r="41" spans="1:21" x14ac:dyDescent="0.15">
      <c r="A41" s="49">
        <v>39</v>
      </c>
      <c r="B41" s="46" t="e">
        <f>Nodes!B41*(1-Nodes!AO41)</f>
        <v>#DIV/0!</v>
      </c>
      <c r="C41" s="46" t="e">
        <f>Nodes!C41*(1-Nodes!AP41)</f>
        <v>#DIV/0!</v>
      </c>
      <c r="D41" s="46" t="e">
        <f>Nodes!D41*(1-Nodes!AQ41)</f>
        <v>#DIV/0!</v>
      </c>
      <c r="E41" s="46" t="e">
        <f>Nodes!E41*(1-Nodes!AR41)</f>
        <v>#DIV/0!</v>
      </c>
      <c r="F41" s="46" t="e">
        <f>Nodes!F41*(1-Nodes!AS41)</f>
        <v>#DIV/0!</v>
      </c>
      <c r="G41" s="46" t="e">
        <f>Nodes!G41*(1-Nodes!AT41)</f>
        <v>#DIV/0!</v>
      </c>
      <c r="H41" s="46" t="e">
        <f>Nodes!H41*(1-Nodes!AU41)</f>
        <v>#DIV/0!</v>
      </c>
      <c r="I41" s="46" t="e">
        <f>Nodes!I41*(1-Nodes!AV41)</f>
        <v>#DIV/0!</v>
      </c>
      <c r="J41" s="46" t="e">
        <f>Nodes!L41*(1-Nodes!AY41)</f>
        <v>#DIV/0!</v>
      </c>
      <c r="K41" s="46" t="e">
        <f>Nodes!N41*(1-Nodes!BA41)</f>
        <v>#DIV/0!</v>
      </c>
      <c r="L41" s="56" t="e">
        <f>B41/60/A$189</f>
        <v>#DIV/0!</v>
      </c>
      <c r="M41" s="56" t="e">
        <f>C41/60/B$189</f>
        <v>#DIV/0!</v>
      </c>
      <c r="N41" s="56" t="e">
        <f>D41/60/C$189</f>
        <v>#DIV/0!</v>
      </c>
      <c r="O41" s="56" t="e">
        <f>E41/60/D$189</f>
        <v>#DIV/0!</v>
      </c>
      <c r="P41" s="56" t="e">
        <f>F41/60/E$189</f>
        <v>#DIV/0!</v>
      </c>
      <c r="Q41" s="56" t="e">
        <f>G41/60/F$189</f>
        <v>#DIV/0!</v>
      </c>
      <c r="R41" s="56" t="e">
        <f>H41/60/G$189</f>
        <v>#DIV/0!</v>
      </c>
      <c r="S41" s="56" t="e">
        <f>I41/60/H$189</f>
        <v>#DIV/0!</v>
      </c>
      <c r="T41" s="56" t="e">
        <f>J41/60/I$189</f>
        <v>#DIV/0!</v>
      </c>
      <c r="U41" s="56" t="e">
        <f t="shared" si="0"/>
        <v>#DIV/0!</v>
      </c>
    </row>
    <row r="42" spans="1:21" x14ac:dyDescent="0.15">
      <c r="A42" s="49">
        <v>40</v>
      </c>
      <c r="B42" s="46" t="e">
        <f>Nodes!B42*(1-Nodes!AO42)</f>
        <v>#DIV/0!</v>
      </c>
      <c r="C42" s="46" t="e">
        <f>Nodes!C42*(1-Nodes!AP42)</f>
        <v>#DIV/0!</v>
      </c>
      <c r="D42" s="46" t="e">
        <f>Nodes!D42*(1-Nodes!AQ42)</f>
        <v>#DIV/0!</v>
      </c>
      <c r="E42" s="46" t="e">
        <f>Nodes!E42*(1-Nodes!AR42)</f>
        <v>#DIV/0!</v>
      </c>
      <c r="F42" s="46" t="e">
        <f>Nodes!F42*(1-Nodes!AS42)</f>
        <v>#DIV/0!</v>
      </c>
      <c r="G42" s="46" t="e">
        <f>Nodes!G42*(1-Nodes!AT42)</f>
        <v>#DIV/0!</v>
      </c>
      <c r="H42" s="46" t="e">
        <f>Nodes!H42*(1-Nodes!AU42)</f>
        <v>#DIV/0!</v>
      </c>
      <c r="I42" s="46" t="e">
        <f>Nodes!I42*(1-Nodes!AV42)</f>
        <v>#DIV/0!</v>
      </c>
      <c r="J42" s="46" t="e">
        <f>Nodes!L42*(1-Nodes!AY42)</f>
        <v>#DIV/0!</v>
      </c>
      <c r="K42" s="46" t="e">
        <f>Nodes!N42*(1-Nodes!BA42)</f>
        <v>#DIV/0!</v>
      </c>
      <c r="L42" s="56" t="e">
        <f>B42/60/A$189</f>
        <v>#DIV/0!</v>
      </c>
      <c r="M42" s="56" t="e">
        <f>C42/60/B$189</f>
        <v>#DIV/0!</v>
      </c>
      <c r="N42" s="56" t="e">
        <f>D42/60/C$189</f>
        <v>#DIV/0!</v>
      </c>
      <c r="O42" s="56" t="e">
        <f>E42/60/D$189</f>
        <v>#DIV/0!</v>
      </c>
      <c r="P42" s="56" t="e">
        <f>F42/60/E$189</f>
        <v>#DIV/0!</v>
      </c>
      <c r="Q42" s="56" t="e">
        <f>G42/60/F$189</f>
        <v>#DIV/0!</v>
      </c>
      <c r="R42" s="56" t="e">
        <f>H42/60/G$189</f>
        <v>#DIV/0!</v>
      </c>
      <c r="S42" s="56" t="e">
        <f>I42/60/H$189</f>
        <v>#DIV/0!</v>
      </c>
      <c r="T42" s="56" t="e">
        <f>J42/60/I$189</f>
        <v>#DIV/0!</v>
      </c>
      <c r="U42" s="56" t="e">
        <f t="shared" si="0"/>
        <v>#DIV/0!</v>
      </c>
    </row>
    <row r="43" spans="1:21" x14ac:dyDescent="0.15">
      <c r="A43" s="49">
        <v>41</v>
      </c>
      <c r="B43" s="46" t="e">
        <f>Nodes!B43*(1-Nodes!AO43)</f>
        <v>#DIV/0!</v>
      </c>
      <c r="C43" s="46" t="e">
        <f>Nodes!C43*(1-Nodes!AP43)</f>
        <v>#DIV/0!</v>
      </c>
      <c r="D43" s="46" t="e">
        <f>Nodes!D43*(1-Nodes!AQ43)</f>
        <v>#DIV/0!</v>
      </c>
      <c r="E43" s="46" t="e">
        <f>Nodes!E43*(1-Nodes!AR43)</f>
        <v>#DIV/0!</v>
      </c>
      <c r="F43" s="46" t="e">
        <f>Nodes!F43*(1-Nodes!AS43)</f>
        <v>#DIV/0!</v>
      </c>
      <c r="G43" s="46" t="e">
        <f>Nodes!G43*(1-Nodes!AT43)</f>
        <v>#DIV/0!</v>
      </c>
      <c r="H43" s="46" t="e">
        <f>Nodes!H43*(1-Nodes!AU43)</f>
        <v>#DIV/0!</v>
      </c>
      <c r="I43" s="46" t="e">
        <f>Nodes!I43*(1-Nodes!AV43)</f>
        <v>#DIV/0!</v>
      </c>
      <c r="J43" s="46" t="e">
        <f>Nodes!L43*(1-Nodes!AY43)</f>
        <v>#DIV/0!</v>
      </c>
      <c r="K43" s="46" t="e">
        <f>Nodes!N43*(1-Nodes!BA43)</f>
        <v>#DIV/0!</v>
      </c>
      <c r="L43" s="56" t="e">
        <f>B43/60/A$189</f>
        <v>#DIV/0!</v>
      </c>
      <c r="M43" s="56" t="e">
        <f>C43/60/B$189</f>
        <v>#DIV/0!</v>
      </c>
      <c r="N43" s="56" t="e">
        <f>D43/60/C$189</f>
        <v>#DIV/0!</v>
      </c>
      <c r="O43" s="56" t="e">
        <f>E43/60/D$189</f>
        <v>#DIV/0!</v>
      </c>
      <c r="P43" s="56" t="e">
        <f>F43/60/E$189</f>
        <v>#DIV/0!</v>
      </c>
      <c r="Q43" s="56" t="e">
        <f>G43/60/F$189</f>
        <v>#DIV/0!</v>
      </c>
      <c r="R43" s="56" t="e">
        <f>H43/60/G$189</f>
        <v>#DIV/0!</v>
      </c>
      <c r="S43" s="56" t="e">
        <f>I43/60/H$189</f>
        <v>#DIV/0!</v>
      </c>
      <c r="T43" s="56" t="e">
        <f>J43/60/I$189</f>
        <v>#DIV/0!</v>
      </c>
      <c r="U43" s="56" t="e">
        <f t="shared" si="0"/>
        <v>#DIV/0!</v>
      </c>
    </row>
    <row r="44" spans="1:21" x14ac:dyDescent="0.15">
      <c r="A44" s="49">
        <v>42</v>
      </c>
      <c r="B44" s="46" t="e">
        <f>Nodes!B44*(1-Nodes!AO44)</f>
        <v>#DIV/0!</v>
      </c>
      <c r="C44" s="46" t="e">
        <f>Nodes!C44*(1-Nodes!AP44)</f>
        <v>#DIV/0!</v>
      </c>
      <c r="D44" s="46" t="e">
        <f>Nodes!D44*(1-Nodes!AQ44)</f>
        <v>#DIV/0!</v>
      </c>
      <c r="E44" s="46" t="e">
        <f>Nodes!E44*(1-Nodes!AR44)</f>
        <v>#DIV/0!</v>
      </c>
      <c r="F44" s="46" t="e">
        <f>Nodes!F44*(1-Nodes!AS44)</f>
        <v>#DIV/0!</v>
      </c>
      <c r="G44" s="46" t="e">
        <f>Nodes!G44*(1-Nodes!AT44)</f>
        <v>#DIV/0!</v>
      </c>
      <c r="H44" s="46" t="e">
        <f>Nodes!H44*(1-Nodes!AU44)</f>
        <v>#DIV/0!</v>
      </c>
      <c r="I44" s="46" t="e">
        <f>Nodes!I44*(1-Nodes!AV44)</f>
        <v>#DIV/0!</v>
      </c>
      <c r="J44" s="46" t="e">
        <f>Nodes!L44*(1-Nodes!AY44)</f>
        <v>#DIV/0!</v>
      </c>
      <c r="K44" s="46" t="e">
        <f>Nodes!N44*(1-Nodes!BA44)</f>
        <v>#DIV/0!</v>
      </c>
      <c r="L44" s="56" t="e">
        <f>B44/60/A$189</f>
        <v>#DIV/0!</v>
      </c>
      <c r="M44" s="56" t="e">
        <f>C44/60/B$189</f>
        <v>#DIV/0!</v>
      </c>
      <c r="N44" s="56" t="e">
        <f>D44/60/C$189</f>
        <v>#DIV/0!</v>
      </c>
      <c r="O44" s="56" t="e">
        <f>E44/60/D$189</f>
        <v>#DIV/0!</v>
      </c>
      <c r="P44" s="56" t="e">
        <f>F44/60/E$189</f>
        <v>#DIV/0!</v>
      </c>
      <c r="Q44" s="56" t="e">
        <f>G44/60/F$189</f>
        <v>#DIV/0!</v>
      </c>
      <c r="R44" s="56" t="e">
        <f>H44/60/G$189</f>
        <v>#DIV/0!</v>
      </c>
      <c r="S44" s="56" t="e">
        <f>I44/60/H$189</f>
        <v>#DIV/0!</v>
      </c>
      <c r="T44" s="56" t="e">
        <f>J44/60/I$189</f>
        <v>#DIV/0!</v>
      </c>
      <c r="U44" s="56" t="e">
        <f t="shared" si="0"/>
        <v>#DIV/0!</v>
      </c>
    </row>
    <row r="45" spans="1:21" x14ac:dyDescent="0.15">
      <c r="A45" s="49">
        <v>43</v>
      </c>
      <c r="B45" s="46" t="e">
        <f>Nodes!B45*(1-Nodes!AO45)</f>
        <v>#DIV/0!</v>
      </c>
      <c r="C45" s="46" t="e">
        <f>Nodes!C45*(1-Nodes!AP45)</f>
        <v>#DIV/0!</v>
      </c>
      <c r="D45" s="46" t="e">
        <f>Nodes!D45*(1-Nodes!AQ45)</f>
        <v>#DIV/0!</v>
      </c>
      <c r="E45" s="46" t="e">
        <f>Nodes!E45*(1-Nodes!AR45)</f>
        <v>#DIV/0!</v>
      </c>
      <c r="F45" s="46" t="e">
        <f>Nodes!F45*(1-Nodes!AS45)</f>
        <v>#DIV/0!</v>
      </c>
      <c r="G45" s="46" t="e">
        <f>Nodes!G45*(1-Nodes!AT45)</f>
        <v>#DIV/0!</v>
      </c>
      <c r="H45" s="46" t="e">
        <f>Nodes!H45*(1-Nodes!AU45)</f>
        <v>#DIV/0!</v>
      </c>
      <c r="I45" s="46" t="e">
        <f>Nodes!I45*(1-Nodes!AV45)</f>
        <v>#DIV/0!</v>
      </c>
      <c r="J45" s="46" t="e">
        <f>Nodes!L45*(1-Nodes!AY45)</f>
        <v>#DIV/0!</v>
      </c>
      <c r="K45" s="46" t="e">
        <f>Nodes!N45*(1-Nodes!BA45)</f>
        <v>#DIV/0!</v>
      </c>
      <c r="L45" s="56" t="e">
        <f>B45/60/A$189</f>
        <v>#DIV/0!</v>
      </c>
      <c r="M45" s="56" t="e">
        <f>C45/60/B$189</f>
        <v>#DIV/0!</v>
      </c>
      <c r="N45" s="56" t="e">
        <f>D45/60/C$189</f>
        <v>#DIV/0!</v>
      </c>
      <c r="O45" s="56" t="e">
        <f>E45/60/D$189</f>
        <v>#DIV/0!</v>
      </c>
      <c r="P45" s="56" t="e">
        <f>F45/60/E$189</f>
        <v>#DIV/0!</v>
      </c>
      <c r="Q45" s="56" t="e">
        <f>G45/60/F$189</f>
        <v>#DIV/0!</v>
      </c>
      <c r="R45" s="56" t="e">
        <f>H45/60/G$189</f>
        <v>#DIV/0!</v>
      </c>
      <c r="S45" s="56" t="e">
        <f>I45/60/H$189</f>
        <v>#DIV/0!</v>
      </c>
      <c r="T45" s="56" t="e">
        <f>J45/60/I$189</f>
        <v>#DIV/0!</v>
      </c>
      <c r="U45" s="56" t="e">
        <f t="shared" si="0"/>
        <v>#DIV/0!</v>
      </c>
    </row>
    <row r="46" spans="1:21" x14ac:dyDescent="0.15">
      <c r="A46" s="49">
        <v>44</v>
      </c>
      <c r="B46" s="46" t="e">
        <f>Nodes!B46*(1-Nodes!AO46)</f>
        <v>#DIV/0!</v>
      </c>
      <c r="C46" s="46" t="e">
        <f>Nodes!C46*(1-Nodes!AP46)</f>
        <v>#DIV/0!</v>
      </c>
      <c r="D46" s="46" t="e">
        <f>Nodes!D46*(1-Nodes!AQ46)</f>
        <v>#DIV/0!</v>
      </c>
      <c r="E46" s="46" t="e">
        <f>Nodes!E46*(1-Nodes!AR46)</f>
        <v>#DIV/0!</v>
      </c>
      <c r="F46" s="46" t="e">
        <f>Nodes!F46*(1-Nodes!AS46)</f>
        <v>#DIV/0!</v>
      </c>
      <c r="G46" s="46" t="e">
        <f>Nodes!G46*(1-Nodes!AT46)</f>
        <v>#DIV/0!</v>
      </c>
      <c r="H46" s="46" t="e">
        <f>Nodes!H46*(1-Nodes!AU46)</f>
        <v>#DIV/0!</v>
      </c>
      <c r="I46" s="46" t="e">
        <f>Nodes!I46*(1-Nodes!AV46)</f>
        <v>#DIV/0!</v>
      </c>
      <c r="J46" s="46" t="e">
        <f>Nodes!L46*(1-Nodes!AY46)</f>
        <v>#DIV/0!</v>
      </c>
      <c r="K46" s="46" t="e">
        <f>Nodes!N46*(1-Nodes!BA46)</f>
        <v>#DIV/0!</v>
      </c>
      <c r="L46" s="56" t="e">
        <f>B46/60/A$189</f>
        <v>#DIV/0!</v>
      </c>
      <c r="M46" s="56" t="e">
        <f>C46/60/B$189</f>
        <v>#DIV/0!</v>
      </c>
      <c r="N46" s="56" t="e">
        <f>D46/60/C$189</f>
        <v>#DIV/0!</v>
      </c>
      <c r="O46" s="56" t="e">
        <f>E46/60/D$189</f>
        <v>#DIV/0!</v>
      </c>
      <c r="P46" s="56" t="e">
        <f>F46/60/E$189</f>
        <v>#DIV/0!</v>
      </c>
      <c r="Q46" s="56" t="e">
        <f>G46/60/F$189</f>
        <v>#DIV/0!</v>
      </c>
      <c r="R46" s="56" t="e">
        <f>H46/60/G$189</f>
        <v>#DIV/0!</v>
      </c>
      <c r="S46" s="56" t="e">
        <f>I46/60/H$189</f>
        <v>#DIV/0!</v>
      </c>
      <c r="T46" s="56" t="e">
        <f>J46/60/I$189</f>
        <v>#DIV/0!</v>
      </c>
      <c r="U46" s="56" t="e">
        <f t="shared" si="0"/>
        <v>#DIV/0!</v>
      </c>
    </row>
    <row r="47" spans="1:21" x14ac:dyDescent="0.15">
      <c r="A47" s="49">
        <v>45</v>
      </c>
      <c r="B47" s="46" t="e">
        <f>Nodes!B47*(1-Nodes!AO47)</f>
        <v>#DIV/0!</v>
      </c>
      <c r="C47" s="46" t="e">
        <f>Nodes!C47*(1-Nodes!AP47)</f>
        <v>#DIV/0!</v>
      </c>
      <c r="D47" s="46" t="e">
        <f>Nodes!D47*(1-Nodes!AQ47)</f>
        <v>#DIV/0!</v>
      </c>
      <c r="E47" s="46" t="e">
        <f>Nodes!E47*(1-Nodes!AR47)</f>
        <v>#DIV/0!</v>
      </c>
      <c r="F47" s="46" t="e">
        <f>Nodes!F47*(1-Nodes!AS47)</f>
        <v>#DIV/0!</v>
      </c>
      <c r="G47" s="46" t="e">
        <f>Nodes!G47*(1-Nodes!AT47)</f>
        <v>#DIV/0!</v>
      </c>
      <c r="H47" s="46" t="e">
        <f>Nodes!H47*(1-Nodes!AU47)</f>
        <v>#DIV/0!</v>
      </c>
      <c r="I47" s="46" t="e">
        <f>Nodes!I47*(1-Nodes!AV47)</f>
        <v>#DIV/0!</v>
      </c>
      <c r="J47" s="46" t="e">
        <f>Nodes!L47*(1-Nodes!AY47)</f>
        <v>#DIV/0!</v>
      </c>
      <c r="K47" s="46" t="e">
        <f>Nodes!N47*(1-Nodes!BA47)</f>
        <v>#DIV/0!</v>
      </c>
      <c r="L47" s="56" t="e">
        <f>B47/60/A$189</f>
        <v>#DIV/0!</v>
      </c>
      <c r="M47" s="56" t="e">
        <f>C47/60/B$189</f>
        <v>#DIV/0!</v>
      </c>
      <c r="N47" s="56" t="e">
        <f>D47/60/C$189</f>
        <v>#DIV/0!</v>
      </c>
      <c r="O47" s="56" t="e">
        <f>E47/60/D$189</f>
        <v>#DIV/0!</v>
      </c>
      <c r="P47" s="56" t="e">
        <f>F47/60/E$189</f>
        <v>#DIV/0!</v>
      </c>
      <c r="Q47" s="56" t="e">
        <f>G47/60/F$189</f>
        <v>#DIV/0!</v>
      </c>
      <c r="R47" s="56" t="e">
        <f>H47/60/G$189</f>
        <v>#DIV/0!</v>
      </c>
      <c r="S47" s="56" t="e">
        <f>I47/60/H$189</f>
        <v>#DIV/0!</v>
      </c>
      <c r="T47" s="56" t="e">
        <f>J47/60/I$189</f>
        <v>#DIV/0!</v>
      </c>
      <c r="U47" s="56" t="e">
        <f t="shared" si="0"/>
        <v>#DIV/0!</v>
      </c>
    </row>
    <row r="48" spans="1:21" x14ac:dyDescent="0.15">
      <c r="A48" s="49">
        <v>46</v>
      </c>
      <c r="B48" s="46" t="e">
        <f>Nodes!B48*(1-Nodes!AO48)</f>
        <v>#DIV/0!</v>
      </c>
      <c r="C48" s="46" t="e">
        <f>Nodes!C48*(1-Nodes!AP48)</f>
        <v>#DIV/0!</v>
      </c>
      <c r="D48" s="46" t="e">
        <f>Nodes!D48*(1-Nodes!AQ48)</f>
        <v>#DIV/0!</v>
      </c>
      <c r="E48" s="46" t="e">
        <f>Nodes!E48*(1-Nodes!AR48)</f>
        <v>#DIV/0!</v>
      </c>
      <c r="F48" s="46" t="e">
        <f>Nodes!F48*(1-Nodes!AS48)</f>
        <v>#DIV/0!</v>
      </c>
      <c r="G48" s="46" t="e">
        <f>Nodes!G48*(1-Nodes!AT48)</f>
        <v>#DIV/0!</v>
      </c>
      <c r="H48" s="46" t="e">
        <f>Nodes!H48*(1-Nodes!AU48)</f>
        <v>#DIV/0!</v>
      </c>
      <c r="I48" s="46" t="e">
        <f>Nodes!I48*(1-Nodes!AV48)</f>
        <v>#DIV/0!</v>
      </c>
      <c r="J48" s="46" t="e">
        <f>Nodes!L48*(1-Nodes!AY48)</f>
        <v>#DIV/0!</v>
      </c>
      <c r="K48" s="46" t="e">
        <f>Nodes!N48*(1-Nodes!BA48)</f>
        <v>#DIV/0!</v>
      </c>
      <c r="L48" s="56" t="e">
        <f>B48/60/A$189</f>
        <v>#DIV/0!</v>
      </c>
      <c r="M48" s="56" t="e">
        <f>C48/60/B$189</f>
        <v>#DIV/0!</v>
      </c>
      <c r="N48" s="56" t="e">
        <f>D48/60/C$189</f>
        <v>#DIV/0!</v>
      </c>
      <c r="O48" s="56" t="e">
        <f>E48/60/D$189</f>
        <v>#DIV/0!</v>
      </c>
      <c r="P48" s="56" t="e">
        <f>F48/60/E$189</f>
        <v>#DIV/0!</v>
      </c>
      <c r="Q48" s="56" t="e">
        <f>G48/60/F$189</f>
        <v>#DIV/0!</v>
      </c>
      <c r="R48" s="56" t="e">
        <f>H48/60/G$189</f>
        <v>#DIV/0!</v>
      </c>
      <c r="S48" s="56" t="e">
        <f>I48/60/H$189</f>
        <v>#DIV/0!</v>
      </c>
      <c r="T48" s="56" t="e">
        <f>J48/60/I$189</f>
        <v>#DIV/0!</v>
      </c>
      <c r="U48" s="56" t="e">
        <f t="shared" si="0"/>
        <v>#DIV/0!</v>
      </c>
    </row>
    <row r="49" spans="1:21" x14ac:dyDescent="0.15">
      <c r="A49" s="49">
        <v>47</v>
      </c>
      <c r="B49" s="46" t="e">
        <f>Nodes!B49*(1-Nodes!AO49)</f>
        <v>#DIV/0!</v>
      </c>
      <c r="C49" s="46" t="e">
        <f>Nodes!C49*(1-Nodes!AP49)</f>
        <v>#DIV/0!</v>
      </c>
      <c r="D49" s="46" t="e">
        <f>Nodes!D49*(1-Nodes!AQ49)</f>
        <v>#DIV/0!</v>
      </c>
      <c r="E49" s="46" t="e">
        <f>Nodes!E49*(1-Nodes!AR49)</f>
        <v>#DIV/0!</v>
      </c>
      <c r="F49" s="46" t="e">
        <f>Nodes!F49*(1-Nodes!AS49)</f>
        <v>#DIV/0!</v>
      </c>
      <c r="G49" s="46" t="e">
        <f>Nodes!G49*(1-Nodes!AT49)</f>
        <v>#DIV/0!</v>
      </c>
      <c r="H49" s="46" t="e">
        <f>Nodes!H49*(1-Nodes!AU49)</f>
        <v>#DIV/0!</v>
      </c>
      <c r="I49" s="46" t="e">
        <f>Nodes!I49*(1-Nodes!AV49)</f>
        <v>#DIV/0!</v>
      </c>
      <c r="J49" s="46" t="e">
        <f>Nodes!L49*(1-Nodes!AY49)</f>
        <v>#DIV/0!</v>
      </c>
      <c r="K49" s="46" t="e">
        <f>Nodes!N49*(1-Nodes!BA49)</f>
        <v>#DIV/0!</v>
      </c>
      <c r="L49" s="56" t="e">
        <f>B49/60/A$189</f>
        <v>#DIV/0!</v>
      </c>
      <c r="M49" s="56" t="e">
        <f>C49/60/B$189</f>
        <v>#DIV/0!</v>
      </c>
      <c r="N49" s="56" t="e">
        <f>D49/60/C$189</f>
        <v>#DIV/0!</v>
      </c>
      <c r="O49" s="56" t="e">
        <f>E49/60/D$189</f>
        <v>#DIV/0!</v>
      </c>
      <c r="P49" s="56" t="e">
        <f>F49/60/E$189</f>
        <v>#DIV/0!</v>
      </c>
      <c r="Q49" s="56" t="e">
        <f>G49/60/F$189</f>
        <v>#DIV/0!</v>
      </c>
      <c r="R49" s="56" t="e">
        <f>H49/60/G$189</f>
        <v>#DIV/0!</v>
      </c>
      <c r="S49" s="56" t="e">
        <f>I49/60/H$189</f>
        <v>#DIV/0!</v>
      </c>
      <c r="T49" s="56" t="e">
        <f>J49/60/I$189</f>
        <v>#DIV/0!</v>
      </c>
      <c r="U49" s="56" t="e">
        <f t="shared" si="0"/>
        <v>#DIV/0!</v>
      </c>
    </row>
    <row r="50" spans="1:21" x14ac:dyDescent="0.15">
      <c r="A50" s="49">
        <v>48</v>
      </c>
      <c r="B50" s="46" t="e">
        <f>Nodes!B50*(1-Nodes!AO50)</f>
        <v>#DIV/0!</v>
      </c>
      <c r="C50" s="46" t="e">
        <f>Nodes!C50*(1-Nodes!AP50)</f>
        <v>#DIV/0!</v>
      </c>
      <c r="D50" s="46" t="e">
        <f>Nodes!D50*(1-Nodes!AQ50)</f>
        <v>#DIV/0!</v>
      </c>
      <c r="E50" s="46" t="e">
        <f>Nodes!E50*(1-Nodes!AR50)</f>
        <v>#DIV/0!</v>
      </c>
      <c r="F50" s="46" t="e">
        <f>Nodes!F50*(1-Nodes!AS50)</f>
        <v>#DIV/0!</v>
      </c>
      <c r="G50" s="46" t="e">
        <f>Nodes!G50*(1-Nodes!AT50)</f>
        <v>#DIV/0!</v>
      </c>
      <c r="H50" s="46" t="e">
        <f>Nodes!H50*(1-Nodes!AU50)</f>
        <v>#DIV/0!</v>
      </c>
      <c r="I50" s="46" t="e">
        <f>Nodes!I50*(1-Nodes!AV50)</f>
        <v>#DIV/0!</v>
      </c>
      <c r="J50" s="46" t="e">
        <f>Nodes!L50*(1-Nodes!AY50)</f>
        <v>#DIV/0!</v>
      </c>
      <c r="K50" s="46" t="e">
        <f>Nodes!N50*(1-Nodes!BA50)</f>
        <v>#DIV/0!</v>
      </c>
      <c r="L50" s="56" t="e">
        <f>B50/60/A$189</f>
        <v>#DIV/0!</v>
      </c>
      <c r="M50" s="56" t="e">
        <f>C50/60/B$189</f>
        <v>#DIV/0!</v>
      </c>
      <c r="N50" s="56" t="e">
        <f>D50/60/C$189</f>
        <v>#DIV/0!</v>
      </c>
      <c r="O50" s="56" t="e">
        <f>E50/60/D$189</f>
        <v>#DIV/0!</v>
      </c>
      <c r="P50" s="56" t="e">
        <f>F50/60/E$189</f>
        <v>#DIV/0!</v>
      </c>
      <c r="Q50" s="56" t="e">
        <f>G50/60/F$189</f>
        <v>#DIV/0!</v>
      </c>
      <c r="R50" s="56" t="e">
        <f>H50/60/G$189</f>
        <v>#DIV/0!</v>
      </c>
      <c r="S50" s="56" t="e">
        <f>I50/60/H$189</f>
        <v>#DIV/0!</v>
      </c>
      <c r="T50" s="56" t="e">
        <f>J50/60/I$189</f>
        <v>#DIV/0!</v>
      </c>
      <c r="U50" s="56" t="e">
        <f t="shared" si="0"/>
        <v>#DIV/0!</v>
      </c>
    </row>
    <row r="51" spans="1:21" x14ac:dyDescent="0.15">
      <c r="A51" s="49">
        <v>49</v>
      </c>
      <c r="B51" s="46" t="e">
        <f>Nodes!B51*(1-Nodes!AO51)</f>
        <v>#DIV/0!</v>
      </c>
      <c r="C51" s="46" t="e">
        <f>Nodes!C51*(1-Nodes!AP51)</f>
        <v>#DIV/0!</v>
      </c>
      <c r="D51" s="46" t="e">
        <f>Nodes!D51*(1-Nodes!AQ51)</f>
        <v>#DIV/0!</v>
      </c>
      <c r="E51" s="46" t="e">
        <f>Nodes!E51*(1-Nodes!AR51)</f>
        <v>#DIV/0!</v>
      </c>
      <c r="F51" s="46" t="e">
        <f>Nodes!F51*(1-Nodes!AS51)</f>
        <v>#DIV/0!</v>
      </c>
      <c r="G51" s="46" t="e">
        <f>Nodes!G51*(1-Nodes!AT51)</f>
        <v>#DIV/0!</v>
      </c>
      <c r="H51" s="46" t="e">
        <f>Nodes!H51*(1-Nodes!AU51)</f>
        <v>#DIV/0!</v>
      </c>
      <c r="I51" s="46" t="e">
        <f>Nodes!I51*(1-Nodes!AV51)</f>
        <v>#DIV/0!</v>
      </c>
      <c r="J51" s="46" t="e">
        <f>Nodes!L51*(1-Nodes!AY51)</f>
        <v>#DIV/0!</v>
      </c>
      <c r="K51" s="46" t="e">
        <f>Nodes!N51*(1-Nodes!BA51)</f>
        <v>#DIV/0!</v>
      </c>
      <c r="L51" s="56" t="e">
        <f>B51/60/A$189</f>
        <v>#DIV/0!</v>
      </c>
      <c r="M51" s="56" t="e">
        <f>C51/60/B$189</f>
        <v>#DIV/0!</v>
      </c>
      <c r="N51" s="56" t="e">
        <f>D51/60/C$189</f>
        <v>#DIV/0!</v>
      </c>
      <c r="O51" s="56" t="e">
        <f>E51/60/D$189</f>
        <v>#DIV/0!</v>
      </c>
      <c r="P51" s="56" t="e">
        <f>F51/60/E$189</f>
        <v>#DIV/0!</v>
      </c>
      <c r="Q51" s="56" t="e">
        <f>G51/60/F$189</f>
        <v>#DIV/0!</v>
      </c>
      <c r="R51" s="56" t="e">
        <f>H51/60/G$189</f>
        <v>#DIV/0!</v>
      </c>
      <c r="S51" s="56" t="e">
        <f>I51/60/H$189</f>
        <v>#DIV/0!</v>
      </c>
      <c r="T51" s="56" t="e">
        <f>J51/60/I$189</f>
        <v>#DIV/0!</v>
      </c>
      <c r="U51" s="56" t="e">
        <f t="shared" si="0"/>
        <v>#DIV/0!</v>
      </c>
    </row>
    <row r="52" spans="1:21" x14ac:dyDescent="0.15">
      <c r="A52" s="49">
        <v>50</v>
      </c>
      <c r="B52" s="46" t="e">
        <f>Nodes!B52*(1-Nodes!AO52)</f>
        <v>#DIV/0!</v>
      </c>
      <c r="C52" s="46" t="e">
        <f>Nodes!C52*(1-Nodes!AP52)</f>
        <v>#DIV/0!</v>
      </c>
      <c r="D52" s="46" t="e">
        <f>Nodes!D52*(1-Nodes!AQ52)</f>
        <v>#DIV/0!</v>
      </c>
      <c r="E52" s="46" t="e">
        <f>Nodes!E52*(1-Nodes!AR52)</f>
        <v>#DIV/0!</v>
      </c>
      <c r="F52" s="46" t="e">
        <f>Nodes!F52*(1-Nodes!AS52)</f>
        <v>#DIV/0!</v>
      </c>
      <c r="G52" s="46" t="e">
        <f>Nodes!G52*(1-Nodes!AT52)</f>
        <v>#DIV/0!</v>
      </c>
      <c r="H52" s="46" t="e">
        <f>Nodes!H52*(1-Nodes!AU52)</f>
        <v>#DIV/0!</v>
      </c>
      <c r="I52" s="46" t="e">
        <f>Nodes!I52*(1-Nodes!AV52)</f>
        <v>#DIV/0!</v>
      </c>
      <c r="J52" s="46" t="e">
        <f>Nodes!L52*(1-Nodes!AY52)</f>
        <v>#DIV/0!</v>
      </c>
      <c r="K52" s="46" t="e">
        <f>Nodes!N52*(1-Nodes!BA52)</f>
        <v>#DIV/0!</v>
      </c>
      <c r="L52" s="56" t="e">
        <f>B52/60/A$189</f>
        <v>#DIV/0!</v>
      </c>
      <c r="M52" s="56" t="e">
        <f>C52/60/B$189</f>
        <v>#DIV/0!</v>
      </c>
      <c r="N52" s="56" t="e">
        <f>D52/60/C$189</f>
        <v>#DIV/0!</v>
      </c>
      <c r="O52" s="56" t="e">
        <f>E52/60/D$189</f>
        <v>#DIV/0!</v>
      </c>
      <c r="P52" s="56" t="e">
        <f>F52/60/E$189</f>
        <v>#DIV/0!</v>
      </c>
      <c r="Q52" s="56" t="e">
        <f>G52/60/F$189</f>
        <v>#DIV/0!</v>
      </c>
      <c r="R52" s="56" t="e">
        <f>H52/60/G$189</f>
        <v>#DIV/0!</v>
      </c>
      <c r="S52" s="56" t="e">
        <f>I52/60/H$189</f>
        <v>#DIV/0!</v>
      </c>
      <c r="T52" s="56" t="e">
        <f>J52/60/I$189</f>
        <v>#DIV/0!</v>
      </c>
      <c r="U52" s="56" t="e">
        <f t="shared" si="0"/>
        <v>#DIV/0!</v>
      </c>
    </row>
    <row r="53" spans="1:21" x14ac:dyDescent="0.15">
      <c r="A53" s="49">
        <v>51</v>
      </c>
      <c r="B53" s="46" t="e">
        <f>Nodes!B53*(1-Nodes!AO53)</f>
        <v>#DIV/0!</v>
      </c>
      <c r="C53" s="46" t="e">
        <f>Nodes!C53*(1-Nodes!AP53)</f>
        <v>#DIV/0!</v>
      </c>
      <c r="D53" s="46" t="e">
        <f>Nodes!D53*(1-Nodes!AQ53)</f>
        <v>#DIV/0!</v>
      </c>
      <c r="E53" s="46" t="e">
        <f>Nodes!E53*(1-Nodes!AR53)</f>
        <v>#DIV/0!</v>
      </c>
      <c r="F53" s="46" t="e">
        <f>Nodes!F53*(1-Nodes!AS53)</f>
        <v>#DIV/0!</v>
      </c>
      <c r="G53" s="46" t="e">
        <f>Nodes!G53*(1-Nodes!AT53)</f>
        <v>#DIV/0!</v>
      </c>
      <c r="H53" s="46" t="e">
        <f>Nodes!H53*(1-Nodes!AU53)</f>
        <v>#DIV/0!</v>
      </c>
      <c r="I53" s="46" t="e">
        <f>Nodes!I53*(1-Nodes!AV53)</f>
        <v>#DIV/0!</v>
      </c>
      <c r="J53" s="46" t="e">
        <f>Nodes!L53*(1-Nodes!AY53)</f>
        <v>#DIV/0!</v>
      </c>
      <c r="K53" s="46" t="e">
        <f>Nodes!N53*(1-Nodes!BA53)</f>
        <v>#DIV/0!</v>
      </c>
      <c r="L53" s="56" t="e">
        <f>B53/60/A$189</f>
        <v>#DIV/0!</v>
      </c>
      <c r="M53" s="56" t="e">
        <f>C53/60/B$189</f>
        <v>#DIV/0!</v>
      </c>
      <c r="N53" s="56" t="e">
        <f>D53/60/C$189</f>
        <v>#DIV/0!</v>
      </c>
      <c r="O53" s="56" t="e">
        <f>E53/60/D$189</f>
        <v>#DIV/0!</v>
      </c>
      <c r="P53" s="56" t="e">
        <f>F53/60/E$189</f>
        <v>#DIV/0!</v>
      </c>
      <c r="Q53" s="56" t="e">
        <f>G53/60/F$189</f>
        <v>#DIV/0!</v>
      </c>
      <c r="R53" s="56" t="e">
        <f>H53/60/G$189</f>
        <v>#DIV/0!</v>
      </c>
      <c r="S53" s="56" t="e">
        <f>I53/60/H$189</f>
        <v>#DIV/0!</v>
      </c>
      <c r="T53" s="56" t="e">
        <f>J53/60/I$189</f>
        <v>#DIV/0!</v>
      </c>
      <c r="U53" s="56" t="e">
        <f t="shared" si="0"/>
        <v>#DIV/0!</v>
      </c>
    </row>
    <row r="54" spans="1:21" x14ac:dyDescent="0.15">
      <c r="A54" s="49">
        <v>52</v>
      </c>
      <c r="B54" s="46" t="e">
        <f>Nodes!B54*(1-Nodes!AO54)</f>
        <v>#DIV/0!</v>
      </c>
      <c r="C54" s="46" t="e">
        <f>Nodes!C54*(1-Nodes!AP54)</f>
        <v>#DIV/0!</v>
      </c>
      <c r="D54" s="46" t="e">
        <f>Nodes!D54*(1-Nodes!AQ54)</f>
        <v>#DIV/0!</v>
      </c>
      <c r="E54" s="46" t="e">
        <f>Nodes!E54*(1-Nodes!AR54)</f>
        <v>#DIV/0!</v>
      </c>
      <c r="F54" s="46" t="e">
        <f>Nodes!F54*(1-Nodes!AS54)</f>
        <v>#DIV/0!</v>
      </c>
      <c r="G54" s="46" t="e">
        <f>Nodes!G54*(1-Nodes!AT54)</f>
        <v>#DIV/0!</v>
      </c>
      <c r="H54" s="46" t="e">
        <f>Nodes!H54*(1-Nodes!AU54)</f>
        <v>#DIV/0!</v>
      </c>
      <c r="I54" s="46" t="e">
        <f>Nodes!I54*(1-Nodes!AV54)</f>
        <v>#DIV/0!</v>
      </c>
      <c r="J54" s="46" t="e">
        <f>Nodes!L54*(1-Nodes!AY54)</f>
        <v>#DIV/0!</v>
      </c>
      <c r="K54" s="46" t="e">
        <f>Nodes!N54*(1-Nodes!BA54)</f>
        <v>#DIV/0!</v>
      </c>
      <c r="L54" s="56" t="e">
        <f>B54/60/A$189</f>
        <v>#DIV/0!</v>
      </c>
      <c r="M54" s="56" t="e">
        <f>C54/60/B$189</f>
        <v>#DIV/0!</v>
      </c>
      <c r="N54" s="56" t="e">
        <f>D54/60/C$189</f>
        <v>#DIV/0!</v>
      </c>
      <c r="O54" s="56" t="e">
        <f>E54/60/D$189</f>
        <v>#DIV/0!</v>
      </c>
      <c r="P54" s="56" t="e">
        <f>F54/60/E$189</f>
        <v>#DIV/0!</v>
      </c>
      <c r="Q54" s="56" t="e">
        <f>G54/60/F$189</f>
        <v>#DIV/0!</v>
      </c>
      <c r="R54" s="56" t="e">
        <f>H54/60/G$189</f>
        <v>#DIV/0!</v>
      </c>
      <c r="S54" s="56" t="e">
        <f>I54/60/H$189</f>
        <v>#DIV/0!</v>
      </c>
      <c r="T54" s="56" t="e">
        <f>J54/60/I$189</f>
        <v>#DIV/0!</v>
      </c>
      <c r="U54" s="56" t="e">
        <f t="shared" si="0"/>
        <v>#DIV/0!</v>
      </c>
    </row>
    <row r="55" spans="1:21" x14ac:dyDescent="0.15">
      <c r="A55" s="49">
        <v>53</v>
      </c>
      <c r="B55" s="46" t="e">
        <f>Nodes!B55*(1-Nodes!AO55)</f>
        <v>#DIV/0!</v>
      </c>
      <c r="C55" s="46" t="e">
        <f>Nodes!C55*(1-Nodes!AP55)</f>
        <v>#DIV/0!</v>
      </c>
      <c r="D55" s="46" t="e">
        <f>Nodes!D55*(1-Nodes!AQ55)</f>
        <v>#DIV/0!</v>
      </c>
      <c r="E55" s="46" t="e">
        <f>Nodes!E55*(1-Nodes!AR55)</f>
        <v>#DIV/0!</v>
      </c>
      <c r="F55" s="46" t="e">
        <f>Nodes!F55*(1-Nodes!AS55)</f>
        <v>#DIV/0!</v>
      </c>
      <c r="G55" s="46" t="e">
        <f>Nodes!G55*(1-Nodes!AT55)</f>
        <v>#DIV/0!</v>
      </c>
      <c r="H55" s="46" t="e">
        <f>Nodes!H55*(1-Nodes!AU55)</f>
        <v>#DIV/0!</v>
      </c>
      <c r="I55" s="46" t="e">
        <f>Nodes!I55*(1-Nodes!AV55)</f>
        <v>#DIV/0!</v>
      </c>
      <c r="J55" s="46" t="e">
        <f>Nodes!L55*(1-Nodes!AY55)</f>
        <v>#DIV/0!</v>
      </c>
      <c r="K55" s="46" t="e">
        <f>Nodes!N55*(1-Nodes!BA55)</f>
        <v>#DIV/0!</v>
      </c>
      <c r="L55" s="56" t="e">
        <f>B55/60/A$189</f>
        <v>#DIV/0!</v>
      </c>
      <c r="M55" s="56" t="e">
        <f>C55/60/B$189</f>
        <v>#DIV/0!</v>
      </c>
      <c r="N55" s="56" t="e">
        <f>D55/60/C$189</f>
        <v>#DIV/0!</v>
      </c>
      <c r="O55" s="56" t="e">
        <f>E55/60/D$189</f>
        <v>#DIV/0!</v>
      </c>
      <c r="P55" s="56" t="e">
        <f>F55/60/E$189</f>
        <v>#DIV/0!</v>
      </c>
      <c r="Q55" s="56" t="e">
        <f>G55/60/F$189</f>
        <v>#DIV/0!</v>
      </c>
      <c r="R55" s="56" t="e">
        <f>H55/60/G$189</f>
        <v>#DIV/0!</v>
      </c>
      <c r="S55" s="56" t="e">
        <f>I55/60/H$189</f>
        <v>#DIV/0!</v>
      </c>
      <c r="T55" s="56" t="e">
        <f>J55/60/I$189</f>
        <v>#DIV/0!</v>
      </c>
      <c r="U55" s="56" t="e">
        <f t="shared" si="0"/>
        <v>#DIV/0!</v>
      </c>
    </row>
    <row r="56" spans="1:21" x14ac:dyDescent="0.15">
      <c r="A56" s="49">
        <v>54</v>
      </c>
      <c r="B56" s="46" t="e">
        <f>Nodes!B56*(1-Nodes!AO56)</f>
        <v>#DIV/0!</v>
      </c>
      <c r="C56" s="46" t="e">
        <f>Nodes!C56*(1-Nodes!AP56)</f>
        <v>#DIV/0!</v>
      </c>
      <c r="D56" s="46" t="e">
        <f>Nodes!D56*(1-Nodes!AQ56)</f>
        <v>#DIV/0!</v>
      </c>
      <c r="E56" s="46" t="e">
        <f>Nodes!E56*(1-Nodes!AR56)</f>
        <v>#DIV/0!</v>
      </c>
      <c r="F56" s="46" t="e">
        <f>Nodes!F56*(1-Nodes!AS56)</f>
        <v>#DIV/0!</v>
      </c>
      <c r="G56" s="46" t="e">
        <f>Nodes!G56*(1-Nodes!AT56)</f>
        <v>#DIV/0!</v>
      </c>
      <c r="H56" s="46" t="e">
        <f>Nodes!H56*(1-Nodes!AU56)</f>
        <v>#DIV/0!</v>
      </c>
      <c r="I56" s="46" t="e">
        <f>Nodes!I56*(1-Nodes!AV56)</f>
        <v>#DIV/0!</v>
      </c>
      <c r="J56" s="46" t="e">
        <f>Nodes!L56*(1-Nodes!AY56)</f>
        <v>#DIV/0!</v>
      </c>
      <c r="K56" s="46" t="e">
        <f>Nodes!N56*(1-Nodes!BA56)</f>
        <v>#DIV/0!</v>
      </c>
      <c r="L56" s="56" t="e">
        <f>B56/60/A$189</f>
        <v>#DIV/0!</v>
      </c>
      <c r="M56" s="56" t="e">
        <f>C56/60/B$189</f>
        <v>#DIV/0!</v>
      </c>
      <c r="N56" s="56" t="e">
        <f>D56/60/C$189</f>
        <v>#DIV/0!</v>
      </c>
      <c r="O56" s="56" t="e">
        <f>E56/60/D$189</f>
        <v>#DIV/0!</v>
      </c>
      <c r="P56" s="56" t="e">
        <f>F56/60/E$189</f>
        <v>#DIV/0!</v>
      </c>
      <c r="Q56" s="56" t="e">
        <f>G56/60/F$189</f>
        <v>#DIV/0!</v>
      </c>
      <c r="R56" s="56" t="e">
        <f>H56/60/G$189</f>
        <v>#DIV/0!</v>
      </c>
      <c r="S56" s="56" t="e">
        <f>I56/60/H$189</f>
        <v>#DIV/0!</v>
      </c>
      <c r="T56" s="56" t="e">
        <f>J56/60/I$189</f>
        <v>#DIV/0!</v>
      </c>
      <c r="U56" s="56" t="e">
        <f t="shared" si="0"/>
        <v>#DIV/0!</v>
      </c>
    </row>
    <row r="57" spans="1:21" x14ac:dyDescent="0.15">
      <c r="A57" s="49">
        <v>55</v>
      </c>
      <c r="B57" s="46" t="e">
        <f>Nodes!B57*(1-Nodes!AO57)</f>
        <v>#DIV/0!</v>
      </c>
      <c r="C57" s="46" t="e">
        <f>Nodes!C57*(1-Nodes!AP57)</f>
        <v>#DIV/0!</v>
      </c>
      <c r="D57" s="46" t="e">
        <f>Nodes!D57*(1-Nodes!AQ57)</f>
        <v>#DIV/0!</v>
      </c>
      <c r="E57" s="46" t="e">
        <f>Nodes!E57*(1-Nodes!AR57)</f>
        <v>#DIV/0!</v>
      </c>
      <c r="F57" s="46" t="e">
        <f>Nodes!F57*(1-Nodes!AS57)</f>
        <v>#DIV/0!</v>
      </c>
      <c r="G57" s="46" t="e">
        <f>Nodes!G57*(1-Nodes!AT57)</f>
        <v>#DIV/0!</v>
      </c>
      <c r="H57" s="46" t="e">
        <f>Nodes!H57*(1-Nodes!AU57)</f>
        <v>#DIV/0!</v>
      </c>
      <c r="I57" s="46" t="e">
        <f>Nodes!I57*(1-Nodes!AV57)</f>
        <v>#DIV/0!</v>
      </c>
      <c r="J57" s="46" t="e">
        <f>Nodes!L57*(1-Nodes!AY57)</f>
        <v>#DIV/0!</v>
      </c>
      <c r="K57" s="46" t="e">
        <f>Nodes!N57*(1-Nodes!BA57)</f>
        <v>#DIV/0!</v>
      </c>
      <c r="L57" s="56" t="e">
        <f>B57/60/A$189</f>
        <v>#DIV/0!</v>
      </c>
      <c r="M57" s="56" t="e">
        <f>C57/60/B$189</f>
        <v>#DIV/0!</v>
      </c>
      <c r="N57" s="56" t="e">
        <f>D57/60/C$189</f>
        <v>#DIV/0!</v>
      </c>
      <c r="O57" s="56" t="e">
        <f>E57/60/D$189</f>
        <v>#DIV/0!</v>
      </c>
      <c r="P57" s="56" t="e">
        <f>F57/60/E$189</f>
        <v>#DIV/0!</v>
      </c>
      <c r="Q57" s="56" t="e">
        <f>G57/60/F$189</f>
        <v>#DIV/0!</v>
      </c>
      <c r="R57" s="56" t="e">
        <f>H57/60/G$189</f>
        <v>#DIV/0!</v>
      </c>
      <c r="S57" s="56" t="e">
        <f>I57/60/H$189</f>
        <v>#DIV/0!</v>
      </c>
      <c r="T57" s="56" t="e">
        <f>J57/60/I$189</f>
        <v>#DIV/0!</v>
      </c>
      <c r="U57" s="56" t="e">
        <f t="shared" si="0"/>
        <v>#DIV/0!</v>
      </c>
    </row>
    <row r="58" spans="1:21" x14ac:dyDescent="0.15">
      <c r="A58" s="49">
        <v>56</v>
      </c>
      <c r="B58" s="46" t="e">
        <f>Nodes!B58*(1-Nodes!AO58)</f>
        <v>#DIV/0!</v>
      </c>
      <c r="C58" s="46" t="e">
        <f>Nodes!C58*(1-Nodes!AP58)</f>
        <v>#DIV/0!</v>
      </c>
      <c r="D58" s="46" t="e">
        <f>Nodes!D58*(1-Nodes!AQ58)</f>
        <v>#DIV/0!</v>
      </c>
      <c r="E58" s="46" t="e">
        <f>Nodes!E58*(1-Nodes!AR58)</f>
        <v>#DIV/0!</v>
      </c>
      <c r="F58" s="46" t="e">
        <f>Nodes!F58*(1-Nodes!AS58)</f>
        <v>#DIV/0!</v>
      </c>
      <c r="G58" s="46" t="e">
        <f>Nodes!G58*(1-Nodes!AT58)</f>
        <v>#DIV/0!</v>
      </c>
      <c r="H58" s="46" t="e">
        <f>Nodes!H58*(1-Nodes!AU58)</f>
        <v>#DIV/0!</v>
      </c>
      <c r="I58" s="46" t="e">
        <f>Nodes!I58*(1-Nodes!AV58)</f>
        <v>#DIV/0!</v>
      </c>
      <c r="J58" s="46" t="e">
        <f>Nodes!L58*(1-Nodes!AY58)</f>
        <v>#DIV/0!</v>
      </c>
      <c r="K58" s="46" t="e">
        <f>Nodes!N58*(1-Nodes!BA58)</f>
        <v>#DIV/0!</v>
      </c>
      <c r="L58" s="56" t="e">
        <f>B58/60/A$189</f>
        <v>#DIV/0!</v>
      </c>
      <c r="M58" s="56" t="e">
        <f>C58/60/B$189</f>
        <v>#DIV/0!</v>
      </c>
      <c r="N58" s="56" t="e">
        <f>D58/60/C$189</f>
        <v>#DIV/0!</v>
      </c>
      <c r="O58" s="56" t="e">
        <f>E58/60/D$189</f>
        <v>#DIV/0!</v>
      </c>
      <c r="P58" s="56" t="e">
        <f>F58/60/E$189</f>
        <v>#DIV/0!</v>
      </c>
      <c r="Q58" s="56" t="e">
        <f>G58/60/F$189</f>
        <v>#DIV/0!</v>
      </c>
      <c r="R58" s="56" t="e">
        <f>H58/60/G$189</f>
        <v>#DIV/0!</v>
      </c>
      <c r="S58" s="56" t="e">
        <f>I58/60/H$189</f>
        <v>#DIV/0!</v>
      </c>
      <c r="T58" s="56" t="e">
        <f>J58/60/I$189</f>
        <v>#DIV/0!</v>
      </c>
      <c r="U58" s="56" t="e">
        <f t="shared" si="0"/>
        <v>#DIV/0!</v>
      </c>
    </row>
    <row r="59" spans="1:21" x14ac:dyDescent="0.15">
      <c r="A59" s="49">
        <v>57</v>
      </c>
      <c r="B59" s="46" t="e">
        <f>Nodes!B59*(1-Nodes!AO59)</f>
        <v>#DIV/0!</v>
      </c>
      <c r="C59" s="46" t="e">
        <f>Nodes!C59*(1-Nodes!AP59)</f>
        <v>#DIV/0!</v>
      </c>
      <c r="D59" s="46" t="e">
        <f>Nodes!D59*(1-Nodes!AQ59)</f>
        <v>#DIV/0!</v>
      </c>
      <c r="E59" s="46" t="e">
        <f>Nodes!E59*(1-Nodes!AR59)</f>
        <v>#DIV/0!</v>
      </c>
      <c r="F59" s="46" t="e">
        <f>Nodes!F59*(1-Nodes!AS59)</f>
        <v>#DIV/0!</v>
      </c>
      <c r="G59" s="46" t="e">
        <f>Nodes!G59*(1-Nodes!AT59)</f>
        <v>#DIV/0!</v>
      </c>
      <c r="H59" s="46" t="e">
        <f>Nodes!H59*(1-Nodes!AU59)</f>
        <v>#DIV/0!</v>
      </c>
      <c r="I59" s="46" t="e">
        <f>Nodes!I59*(1-Nodes!AV59)</f>
        <v>#DIV/0!</v>
      </c>
      <c r="J59" s="46" t="e">
        <f>Nodes!L59*(1-Nodes!AY59)</f>
        <v>#DIV/0!</v>
      </c>
      <c r="K59" s="46" t="e">
        <f>Nodes!N59*(1-Nodes!BA59)</f>
        <v>#DIV/0!</v>
      </c>
      <c r="L59" s="56" t="e">
        <f>B59/60/A$189</f>
        <v>#DIV/0!</v>
      </c>
      <c r="M59" s="56" t="e">
        <f>C59/60/B$189</f>
        <v>#DIV/0!</v>
      </c>
      <c r="N59" s="56" t="e">
        <f>D59/60/C$189</f>
        <v>#DIV/0!</v>
      </c>
      <c r="O59" s="56" t="e">
        <f>E59/60/D$189</f>
        <v>#DIV/0!</v>
      </c>
      <c r="P59" s="56" t="e">
        <f>F59/60/E$189</f>
        <v>#DIV/0!</v>
      </c>
      <c r="Q59" s="56" t="e">
        <f>G59/60/F$189</f>
        <v>#DIV/0!</v>
      </c>
      <c r="R59" s="56" t="e">
        <f>H59/60/G$189</f>
        <v>#DIV/0!</v>
      </c>
      <c r="S59" s="56" t="e">
        <f>I59/60/H$189</f>
        <v>#DIV/0!</v>
      </c>
      <c r="T59" s="56" t="e">
        <f>J59/60/I$189</f>
        <v>#DIV/0!</v>
      </c>
      <c r="U59" s="56" t="e">
        <f t="shared" si="0"/>
        <v>#DIV/0!</v>
      </c>
    </row>
    <row r="60" spans="1:21" x14ac:dyDescent="0.15">
      <c r="A60" s="49">
        <v>58</v>
      </c>
      <c r="B60" s="46" t="e">
        <f>Nodes!B60*(1-Nodes!AO60)</f>
        <v>#DIV/0!</v>
      </c>
      <c r="C60" s="46" t="e">
        <f>Nodes!C60*(1-Nodes!AP60)</f>
        <v>#DIV/0!</v>
      </c>
      <c r="D60" s="46" t="e">
        <f>Nodes!D60*(1-Nodes!AQ60)</f>
        <v>#DIV/0!</v>
      </c>
      <c r="E60" s="46" t="e">
        <f>Nodes!E60*(1-Nodes!AR60)</f>
        <v>#DIV/0!</v>
      </c>
      <c r="F60" s="46" t="e">
        <f>Nodes!F60*(1-Nodes!AS60)</f>
        <v>#DIV/0!</v>
      </c>
      <c r="G60" s="46" t="e">
        <f>Nodes!G60*(1-Nodes!AT60)</f>
        <v>#DIV/0!</v>
      </c>
      <c r="H60" s="46" t="e">
        <f>Nodes!H60*(1-Nodes!AU60)</f>
        <v>#DIV/0!</v>
      </c>
      <c r="I60" s="46" t="e">
        <f>Nodes!I60*(1-Nodes!AV60)</f>
        <v>#DIV/0!</v>
      </c>
      <c r="J60" s="46" t="e">
        <f>Nodes!L60*(1-Nodes!AY60)</f>
        <v>#DIV/0!</v>
      </c>
      <c r="K60" s="46" t="e">
        <f>Nodes!N60*(1-Nodes!BA60)</f>
        <v>#DIV/0!</v>
      </c>
      <c r="L60" s="56" t="e">
        <f>B60/60/A$189</f>
        <v>#DIV/0!</v>
      </c>
      <c r="M60" s="56" t="e">
        <f>C60/60/B$189</f>
        <v>#DIV/0!</v>
      </c>
      <c r="N60" s="56" t="e">
        <f>D60/60/C$189</f>
        <v>#DIV/0!</v>
      </c>
      <c r="O60" s="56" t="e">
        <f>E60/60/D$189</f>
        <v>#DIV/0!</v>
      </c>
      <c r="P60" s="56" t="e">
        <f>F60/60/E$189</f>
        <v>#DIV/0!</v>
      </c>
      <c r="Q60" s="56" t="e">
        <f>G60/60/F$189</f>
        <v>#DIV/0!</v>
      </c>
      <c r="R60" s="56" t="e">
        <f>H60/60/G$189</f>
        <v>#DIV/0!</v>
      </c>
      <c r="S60" s="56" t="e">
        <f>I60/60/H$189</f>
        <v>#DIV/0!</v>
      </c>
      <c r="T60" s="56" t="e">
        <f>J60/60/I$189</f>
        <v>#DIV/0!</v>
      </c>
      <c r="U60" s="56" t="e">
        <f t="shared" si="0"/>
        <v>#DIV/0!</v>
      </c>
    </row>
    <row r="61" spans="1:21" x14ac:dyDescent="0.15">
      <c r="A61" s="49">
        <v>59</v>
      </c>
      <c r="B61" s="46" t="e">
        <f>Nodes!B61*(1-Nodes!AO61)</f>
        <v>#DIV/0!</v>
      </c>
      <c r="C61" s="46" t="e">
        <f>Nodes!C61*(1-Nodes!AP61)</f>
        <v>#DIV/0!</v>
      </c>
      <c r="D61" s="46" t="e">
        <f>Nodes!D61*(1-Nodes!AQ61)</f>
        <v>#DIV/0!</v>
      </c>
      <c r="E61" s="46" t="e">
        <f>Nodes!E61*(1-Nodes!AR61)</f>
        <v>#DIV/0!</v>
      </c>
      <c r="F61" s="46" t="e">
        <f>Nodes!F61*(1-Nodes!AS61)</f>
        <v>#DIV/0!</v>
      </c>
      <c r="G61" s="46" t="e">
        <f>Nodes!G61*(1-Nodes!AT61)</f>
        <v>#DIV/0!</v>
      </c>
      <c r="H61" s="46" t="e">
        <f>Nodes!H61*(1-Nodes!AU61)</f>
        <v>#DIV/0!</v>
      </c>
      <c r="I61" s="46" t="e">
        <f>Nodes!I61*(1-Nodes!AV61)</f>
        <v>#DIV/0!</v>
      </c>
      <c r="J61" s="46" t="e">
        <f>Nodes!L61*(1-Nodes!AY61)</f>
        <v>#DIV/0!</v>
      </c>
      <c r="K61" s="46" t="e">
        <f>Nodes!N61*(1-Nodes!BA61)</f>
        <v>#DIV/0!</v>
      </c>
      <c r="L61" s="56" t="e">
        <f>B61/60/A$189</f>
        <v>#DIV/0!</v>
      </c>
      <c r="M61" s="56" t="e">
        <f>C61/60/B$189</f>
        <v>#DIV/0!</v>
      </c>
      <c r="N61" s="56" t="e">
        <f>D61/60/C$189</f>
        <v>#DIV/0!</v>
      </c>
      <c r="O61" s="56" t="e">
        <f>E61/60/D$189</f>
        <v>#DIV/0!</v>
      </c>
      <c r="P61" s="56" t="e">
        <f>F61/60/E$189</f>
        <v>#DIV/0!</v>
      </c>
      <c r="Q61" s="56" t="e">
        <f>G61/60/F$189</f>
        <v>#DIV/0!</v>
      </c>
      <c r="R61" s="56" t="e">
        <f>H61/60/G$189</f>
        <v>#DIV/0!</v>
      </c>
      <c r="S61" s="56" t="e">
        <f>I61/60/H$189</f>
        <v>#DIV/0!</v>
      </c>
      <c r="T61" s="56" t="e">
        <f>J61/60/I$189</f>
        <v>#DIV/0!</v>
      </c>
      <c r="U61" s="56" t="e">
        <f t="shared" si="0"/>
        <v>#DIV/0!</v>
      </c>
    </row>
    <row r="62" spans="1:21" x14ac:dyDescent="0.15">
      <c r="A62" s="49">
        <v>60</v>
      </c>
      <c r="B62" s="46" t="e">
        <f>Nodes!B62*(1-Nodes!AO62)</f>
        <v>#DIV/0!</v>
      </c>
      <c r="C62" s="46" t="e">
        <f>Nodes!C62*(1-Nodes!AP62)</f>
        <v>#DIV/0!</v>
      </c>
      <c r="D62" s="46" t="e">
        <f>Nodes!D62*(1-Nodes!AQ62)</f>
        <v>#DIV/0!</v>
      </c>
      <c r="E62" s="46" t="e">
        <f>Nodes!E62*(1-Nodes!AR62)</f>
        <v>#DIV/0!</v>
      </c>
      <c r="F62" s="46" t="e">
        <f>Nodes!F62*(1-Nodes!AS62)</f>
        <v>#DIV/0!</v>
      </c>
      <c r="G62" s="46" t="e">
        <f>Nodes!G62*(1-Nodes!AT62)</f>
        <v>#DIV/0!</v>
      </c>
      <c r="H62" s="46" t="e">
        <f>Nodes!H62*(1-Nodes!AU62)</f>
        <v>#DIV/0!</v>
      </c>
      <c r="I62" s="46" t="e">
        <f>Nodes!I62*(1-Nodes!AV62)</f>
        <v>#DIV/0!</v>
      </c>
      <c r="J62" s="46" t="e">
        <f>Nodes!L62*(1-Nodes!AY62)</f>
        <v>#DIV/0!</v>
      </c>
      <c r="K62" s="46" t="e">
        <f>Nodes!N62*(1-Nodes!BA62)</f>
        <v>#DIV/0!</v>
      </c>
      <c r="L62" s="56" t="e">
        <f>B62/60/A$189</f>
        <v>#DIV/0!</v>
      </c>
      <c r="M62" s="56" t="e">
        <f>C62/60/B$189</f>
        <v>#DIV/0!</v>
      </c>
      <c r="N62" s="56" t="e">
        <f>D62/60/C$189</f>
        <v>#DIV/0!</v>
      </c>
      <c r="O62" s="56" t="e">
        <f>E62/60/D$189</f>
        <v>#DIV/0!</v>
      </c>
      <c r="P62" s="56" t="e">
        <f>F62/60/E$189</f>
        <v>#DIV/0!</v>
      </c>
      <c r="Q62" s="56" t="e">
        <f>G62/60/F$189</f>
        <v>#DIV/0!</v>
      </c>
      <c r="R62" s="56" t="e">
        <f>H62/60/G$189</f>
        <v>#DIV/0!</v>
      </c>
      <c r="S62" s="56" t="e">
        <f>I62/60/H$189</f>
        <v>#DIV/0!</v>
      </c>
      <c r="T62" s="56" t="e">
        <f>J62/60/I$189</f>
        <v>#DIV/0!</v>
      </c>
      <c r="U62" s="56" t="e">
        <f t="shared" si="0"/>
        <v>#DIV/0!</v>
      </c>
    </row>
    <row r="63" spans="1:21" x14ac:dyDescent="0.15">
      <c r="A63" s="49">
        <v>61</v>
      </c>
      <c r="B63" s="46" t="e">
        <f>Nodes!B63*(1-Nodes!AO63)</f>
        <v>#DIV/0!</v>
      </c>
      <c r="C63" s="46" t="e">
        <f>Nodes!C63*(1-Nodes!AP63)</f>
        <v>#DIV/0!</v>
      </c>
      <c r="D63" s="46" t="e">
        <f>Nodes!D63*(1-Nodes!AQ63)</f>
        <v>#DIV/0!</v>
      </c>
      <c r="E63" s="46" t="e">
        <f>Nodes!E63*(1-Nodes!AR63)</f>
        <v>#DIV/0!</v>
      </c>
      <c r="F63" s="46" t="e">
        <f>Nodes!F63*(1-Nodes!AS63)</f>
        <v>#DIV/0!</v>
      </c>
      <c r="G63" s="46" t="e">
        <f>Nodes!G63*(1-Nodes!AT63)</f>
        <v>#DIV/0!</v>
      </c>
      <c r="H63" s="46" t="e">
        <f>Nodes!H63*(1-Nodes!AU63)</f>
        <v>#DIV/0!</v>
      </c>
      <c r="I63" s="46" t="e">
        <f>Nodes!I63*(1-Nodes!AV63)</f>
        <v>#DIV/0!</v>
      </c>
      <c r="J63" s="46" t="e">
        <f>Nodes!L63*(1-Nodes!AY63)</f>
        <v>#DIV/0!</v>
      </c>
      <c r="K63" s="46" t="e">
        <f>Nodes!N63*(1-Nodes!BA63)</f>
        <v>#DIV/0!</v>
      </c>
      <c r="L63" s="56" t="e">
        <f>B63/60/A$189</f>
        <v>#DIV/0!</v>
      </c>
      <c r="M63" s="56" t="e">
        <f>C63/60/B$189</f>
        <v>#DIV/0!</v>
      </c>
      <c r="N63" s="56" t="e">
        <f>D63/60/C$189</f>
        <v>#DIV/0!</v>
      </c>
      <c r="O63" s="56" t="e">
        <f>E63/60/D$189</f>
        <v>#DIV/0!</v>
      </c>
      <c r="P63" s="56" t="e">
        <f>F63/60/E$189</f>
        <v>#DIV/0!</v>
      </c>
      <c r="Q63" s="56" t="e">
        <f>G63/60/F$189</f>
        <v>#DIV/0!</v>
      </c>
      <c r="R63" s="56" t="e">
        <f>H63/60/G$189</f>
        <v>#DIV/0!</v>
      </c>
      <c r="S63" s="56" t="e">
        <f>I63/60/H$189</f>
        <v>#DIV/0!</v>
      </c>
      <c r="T63" s="56" t="e">
        <f>J63/60/I$189</f>
        <v>#DIV/0!</v>
      </c>
      <c r="U63" s="56" t="e">
        <f t="shared" si="0"/>
        <v>#DIV/0!</v>
      </c>
    </row>
    <row r="64" spans="1:21" x14ac:dyDescent="0.15">
      <c r="A64" s="49">
        <v>62</v>
      </c>
      <c r="B64" s="46" t="e">
        <f>Nodes!B64*(1-Nodes!AO64)</f>
        <v>#DIV/0!</v>
      </c>
      <c r="C64" s="46" t="e">
        <f>Nodes!C64*(1-Nodes!AP64)</f>
        <v>#DIV/0!</v>
      </c>
      <c r="D64" s="46" t="e">
        <f>Nodes!D64*(1-Nodes!AQ64)</f>
        <v>#DIV/0!</v>
      </c>
      <c r="E64" s="46" t="e">
        <f>Nodes!E64*(1-Nodes!AR64)</f>
        <v>#DIV/0!</v>
      </c>
      <c r="F64" s="46" t="e">
        <f>Nodes!F64*(1-Nodes!AS64)</f>
        <v>#DIV/0!</v>
      </c>
      <c r="G64" s="46" t="e">
        <f>Nodes!G64*(1-Nodes!AT64)</f>
        <v>#DIV/0!</v>
      </c>
      <c r="H64" s="46" t="e">
        <f>Nodes!H64*(1-Nodes!AU64)</f>
        <v>#DIV/0!</v>
      </c>
      <c r="I64" s="46" t="e">
        <f>Nodes!I64*(1-Nodes!AV64)</f>
        <v>#DIV/0!</v>
      </c>
      <c r="J64" s="46" t="e">
        <f>Nodes!L64*(1-Nodes!AY64)</f>
        <v>#DIV/0!</v>
      </c>
      <c r="K64" s="46" t="e">
        <f>Nodes!N64*(1-Nodes!BA64)</f>
        <v>#DIV/0!</v>
      </c>
      <c r="L64" s="56" t="e">
        <f>B64/60/A$189</f>
        <v>#DIV/0!</v>
      </c>
      <c r="M64" s="56" t="e">
        <f>C64/60/B$189</f>
        <v>#DIV/0!</v>
      </c>
      <c r="N64" s="56" t="e">
        <f>D64/60/C$189</f>
        <v>#DIV/0!</v>
      </c>
      <c r="O64" s="56" t="e">
        <f>E64/60/D$189</f>
        <v>#DIV/0!</v>
      </c>
      <c r="P64" s="56" t="e">
        <f>F64/60/E$189</f>
        <v>#DIV/0!</v>
      </c>
      <c r="Q64" s="56" t="e">
        <f>G64/60/F$189</f>
        <v>#DIV/0!</v>
      </c>
      <c r="R64" s="56" t="e">
        <f>H64/60/G$189</f>
        <v>#DIV/0!</v>
      </c>
      <c r="S64" s="56" t="e">
        <f>I64/60/H$189</f>
        <v>#DIV/0!</v>
      </c>
      <c r="T64" s="56" t="e">
        <f>J64/60/I$189</f>
        <v>#DIV/0!</v>
      </c>
      <c r="U64" s="56" t="e">
        <f t="shared" si="0"/>
        <v>#DIV/0!</v>
      </c>
    </row>
    <row r="65" spans="1:21" x14ac:dyDescent="0.15">
      <c r="A65" s="49">
        <v>63</v>
      </c>
      <c r="B65" s="46" t="e">
        <f>Nodes!B65*(1-Nodes!AO65)</f>
        <v>#DIV/0!</v>
      </c>
      <c r="C65" s="46" t="e">
        <f>Nodes!C65*(1-Nodes!AP65)</f>
        <v>#DIV/0!</v>
      </c>
      <c r="D65" s="46" t="e">
        <f>Nodes!D65*(1-Nodes!AQ65)</f>
        <v>#DIV/0!</v>
      </c>
      <c r="E65" s="46" t="e">
        <f>Nodes!E65*(1-Nodes!AR65)</f>
        <v>#DIV/0!</v>
      </c>
      <c r="F65" s="46" t="e">
        <f>Nodes!F65*(1-Nodes!AS65)</f>
        <v>#DIV/0!</v>
      </c>
      <c r="G65" s="46" t="e">
        <f>Nodes!G65*(1-Nodes!AT65)</f>
        <v>#DIV/0!</v>
      </c>
      <c r="H65" s="46" t="e">
        <f>Nodes!H65*(1-Nodes!AU65)</f>
        <v>#DIV/0!</v>
      </c>
      <c r="I65" s="46" t="e">
        <f>Nodes!I65*(1-Nodes!AV65)</f>
        <v>#DIV/0!</v>
      </c>
      <c r="J65" s="46" t="e">
        <f>Nodes!L65*(1-Nodes!AY65)</f>
        <v>#DIV/0!</v>
      </c>
      <c r="K65" s="46" t="e">
        <f>Nodes!N65*(1-Nodes!BA65)</f>
        <v>#DIV/0!</v>
      </c>
      <c r="L65" s="56" t="e">
        <f>B65/60/A$189</f>
        <v>#DIV/0!</v>
      </c>
      <c r="M65" s="56" t="e">
        <f>C65/60/B$189</f>
        <v>#DIV/0!</v>
      </c>
      <c r="N65" s="56" t="e">
        <f>D65/60/C$189</f>
        <v>#DIV/0!</v>
      </c>
      <c r="O65" s="56" t="e">
        <f>E65/60/D$189</f>
        <v>#DIV/0!</v>
      </c>
      <c r="P65" s="56" t="e">
        <f>F65/60/E$189</f>
        <v>#DIV/0!</v>
      </c>
      <c r="Q65" s="56" t="e">
        <f>G65/60/F$189</f>
        <v>#DIV/0!</v>
      </c>
      <c r="R65" s="56" t="e">
        <f>H65/60/G$189</f>
        <v>#DIV/0!</v>
      </c>
      <c r="S65" s="56" t="e">
        <f>I65/60/H$189</f>
        <v>#DIV/0!</v>
      </c>
      <c r="T65" s="56" t="e">
        <f>J65/60/I$189</f>
        <v>#DIV/0!</v>
      </c>
      <c r="U65" s="56" t="e">
        <f t="shared" si="0"/>
        <v>#DIV/0!</v>
      </c>
    </row>
    <row r="66" spans="1:21" x14ac:dyDescent="0.15">
      <c r="A66" s="49">
        <v>64</v>
      </c>
      <c r="B66" s="46" t="e">
        <f>Nodes!B66*(1-Nodes!AO66)</f>
        <v>#DIV/0!</v>
      </c>
      <c r="C66" s="46" t="e">
        <f>Nodes!C66*(1-Nodes!AP66)</f>
        <v>#DIV/0!</v>
      </c>
      <c r="D66" s="46" t="e">
        <f>Nodes!D66*(1-Nodes!AQ66)</f>
        <v>#DIV/0!</v>
      </c>
      <c r="E66" s="46" t="e">
        <f>Nodes!E66*(1-Nodes!AR66)</f>
        <v>#DIV/0!</v>
      </c>
      <c r="F66" s="46" t="e">
        <f>Nodes!F66*(1-Nodes!AS66)</f>
        <v>#DIV/0!</v>
      </c>
      <c r="G66" s="46" t="e">
        <f>Nodes!G66*(1-Nodes!AT66)</f>
        <v>#DIV/0!</v>
      </c>
      <c r="H66" s="46" t="e">
        <f>Nodes!H66*(1-Nodes!AU66)</f>
        <v>#DIV/0!</v>
      </c>
      <c r="I66" s="46" t="e">
        <f>Nodes!I66*(1-Nodes!AV66)</f>
        <v>#DIV/0!</v>
      </c>
      <c r="J66" s="46" t="e">
        <f>Nodes!L66*(1-Nodes!AY66)</f>
        <v>#DIV/0!</v>
      </c>
      <c r="K66" s="46" t="e">
        <f>Nodes!N66*(1-Nodes!BA66)</f>
        <v>#DIV/0!</v>
      </c>
      <c r="L66" s="56" t="e">
        <f>B66/60/A$189</f>
        <v>#DIV/0!</v>
      </c>
      <c r="M66" s="56" t="e">
        <f>C66/60/B$189</f>
        <v>#DIV/0!</v>
      </c>
      <c r="N66" s="56" t="e">
        <f>D66/60/C$189</f>
        <v>#DIV/0!</v>
      </c>
      <c r="O66" s="56" t="e">
        <f>E66/60/D$189</f>
        <v>#DIV/0!</v>
      </c>
      <c r="P66" s="56" t="e">
        <f>F66/60/E$189</f>
        <v>#DIV/0!</v>
      </c>
      <c r="Q66" s="56" t="e">
        <f>G66/60/F$189</f>
        <v>#DIV/0!</v>
      </c>
      <c r="R66" s="56" t="e">
        <f>H66/60/G$189</f>
        <v>#DIV/0!</v>
      </c>
      <c r="S66" s="56" t="e">
        <f>I66/60/H$189</f>
        <v>#DIV/0!</v>
      </c>
      <c r="T66" s="56" t="e">
        <f>J66/60/I$189</f>
        <v>#DIV/0!</v>
      </c>
      <c r="U66" s="56" t="e">
        <f t="shared" si="0"/>
        <v>#DIV/0!</v>
      </c>
    </row>
    <row r="67" spans="1:21" x14ac:dyDescent="0.15">
      <c r="A67" s="49">
        <v>65</v>
      </c>
      <c r="B67" s="46" t="e">
        <f>Nodes!B67*(1-Nodes!AO67)</f>
        <v>#DIV/0!</v>
      </c>
      <c r="C67" s="46" t="e">
        <f>Nodes!C67*(1-Nodes!AP67)</f>
        <v>#DIV/0!</v>
      </c>
      <c r="D67" s="46" t="e">
        <f>Nodes!D67*(1-Nodes!AQ67)</f>
        <v>#DIV/0!</v>
      </c>
      <c r="E67" s="46" t="e">
        <f>Nodes!E67*(1-Nodes!AR67)</f>
        <v>#DIV/0!</v>
      </c>
      <c r="F67" s="46" t="e">
        <f>Nodes!F67*(1-Nodes!AS67)</f>
        <v>#DIV/0!</v>
      </c>
      <c r="G67" s="46" t="e">
        <f>Nodes!G67*(1-Nodes!AT67)</f>
        <v>#DIV/0!</v>
      </c>
      <c r="H67" s="46" t="e">
        <f>Nodes!H67*(1-Nodes!AU67)</f>
        <v>#DIV/0!</v>
      </c>
      <c r="I67" s="46" t="e">
        <f>Nodes!I67*(1-Nodes!AV67)</f>
        <v>#DIV/0!</v>
      </c>
      <c r="J67" s="46" t="e">
        <f>Nodes!L67*(1-Nodes!AY67)</f>
        <v>#DIV/0!</v>
      </c>
      <c r="K67" s="46" t="e">
        <f>Nodes!N67*(1-Nodes!BA67)</f>
        <v>#DIV/0!</v>
      </c>
      <c r="L67" s="56" t="e">
        <f>B67/60/A$189</f>
        <v>#DIV/0!</v>
      </c>
      <c r="M67" s="56" t="e">
        <f>C67/60/B$189</f>
        <v>#DIV/0!</v>
      </c>
      <c r="N67" s="56" t="e">
        <f>D67/60/C$189</f>
        <v>#DIV/0!</v>
      </c>
      <c r="O67" s="56" t="e">
        <f>E67/60/D$189</f>
        <v>#DIV/0!</v>
      </c>
      <c r="P67" s="56" t="e">
        <f>F67/60/E$189</f>
        <v>#DIV/0!</v>
      </c>
      <c r="Q67" s="56" t="e">
        <f>G67/60/F$189</f>
        <v>#DIV/0!</v>
      </c>
      <c r="R67" s="56" t="e">
        <f>H67/60/G$189</f>
        <v>#DIV/0!</v>
      </c>
      <c r="S67" s="56" t="e">
        <f>I67/60/H$189</f>
        <v>#DIV/0!</v>
      </c>
      <c r="T67" s="56" t="e">
        <f>J67/60/I$189</f>
        <v>#DIV/0!</v>
      </c>
      <c r="U67" s="56" t="e">
        <f t="shared" si="0"/>
        <v>#DIV/0!</v>
      </c>
    </row>
    <row r="68" spans="1:21" x14ac:dyDescent="0.15">
      <c r="A68" s="49">
        <v>66</v>
      </c>
      <c r="B68" s="46" t="e">
        <f>Nodes!B68*(1-Nodes!AO68)</f>
        <v>#DIV/0!</v>
      </c>
      <c r="C68" s="46" t="e">
        <f>Nodes!C68*(1-Nodes!AP68)</f>
        <v>#DIV/0!</v>
      </c>
      <c r="D68" s="46" t="e">
        <f>Nodes!D68*(1-Nodes!AQ68)</f>
        <v>#DIV/0!</v>
      </c>
      <c r="E68" s="46" t="e">
        <f>Nodes!E68*(1-Nodes!AR68)</f>
        <v>#DIV/0!</v>
      </c>
      <c r="F68" s="46" t="e">
        <f>Nodes!F68*(1-Nodes!AS68)</f>
        <v>#DIV/0!</v>
      </c>
      <c r="G68" s="46" t="e">
        <f>Nodes!G68*(1-Nodes!AT68)</f>
        <v>#DIV/0!</v>
      </c>
      <c r="H68" s="46" t="e">
        <f>Nodes!H68*(1-Nodes!AU68)</f>
        <v>#DIV/0!</v>
      </c>
      <c r="I68" s="46" t="e">
        <f>Nodes!I68*(1-Nodes!AV68)</f>
        <v>#DIV/0!</v>
      </c>
      <c r="J68" s="46" t="e">
        <f>Nodes!L68*(1-Nodes!AY68)</f>
        <v>#DIV/0!</v>
      </c>
      <c r="K68" s="46" t="e">
        <f>Nodes!N68*(1-Nodes!BA68)</f>
        <v>#DIV/0!</v>
      </c>
      <c r="L68" s="56" t="e">
        <f>B68/60/A$189</f>
        <v>#DIV/0!</v>
      </c>
      <c r="M68" s="56" t="e">
        <f>C68/60/B$189</f>
        <v>#DIV/0!</v>
      </c>
      <c r="N68" s="56" t="e">
        <f>D68/60/C$189</f>
        <v>#DIV/0!</v>
      </c>
      <c r="O68" s="56" t="e">
        <f>E68/60/D$189</f>
        <v>#DIV/0!</v>
      </c>
      <c r="P68" s="56" t="e">
        <f>F68/60/E$189</f>
        <v>#DIV/0!</v>
      </c>
      <c r="Q68" s="56" t="e">
        <f>G68/60/F$189</f>
        <v>#DIV/0!</v>
      </c>
      <c r="R68" s="56" t="e">
        <f>H68/60/G$189</f>
        <v>#DIV/0!</v>
      </c>
      <c r="S68" s="56" t="e">
        <f>I68/60/H$189</f>
        <v>#DIV/0!</v>
      </c>
      <c r="T68" s="56" t="e">
        <f>J68/60/I$189</f>
        <v>#DIV/0!</v>
      </c>
      <c r="U68" s="56" t="e">
        <f t="shared" ref="U68:U131" si="1">K68/60/J$189</f>
        <v>#DIV/0!</v>
      </c>
    </row>
    <row r="69" spans="1:21" x14ac:dyDescent="0.15">
      <c r="A69" s="49">
        <v>67</v>
      </c>
      <c r="B69" s="46" t="e">
        <f>Nodes!B69*(1-Nodes!AO69)</f>
        <v>#DIV/0!</v>
      </c>
      <c r="C69" s="46" t="e">
        <f>Nodes!C69*(1-Nodes!AP69)</f>
        <v>#DIV/0!</v>
      </c>
      <c r="D69" s="46" t="e">
        <f>Nodes!D69*(1-Nodes!AQ69)</f>
        <v>#DIV/0!</v>
      </c>
      <c r="E69" s="46" t="e">
        <f>Nodes!E69*(1-Nodes!AR69)</f>
        <v>#DIV/0!</v>
      </c>
      <c r="F69" s="46" t="e">
        <f>Nodes!F69*(1-Nodes!AS69)</f>
        <v>#DIV/0!</v>
      </c>
      <c r="G69" s="46" t="e">
        <f>Nodes!G69*(1-Nodes!AT69)</f>
        <v>#DIV/0!</v>
      </c>
      <c r="H69" s="46" t="e">
        <f>Nodes!H69*(1-Nodes!AU69)</f>
        <v>#DIV/0!</v>
      </c>
      <c r="I69" s="46" t="e">
        <f>Nodes!I69*(1-Nodes!AV69)</f>
        <v>#DIV/0!</v>
      </c>
      <c r="J69" s="46" t="e">
        <f>Nodes!L69*(1-Nodes!AY69)</f>
        <v>#DIV/0!</v>
      </c>
      <c r="K69" s="46" t="e">
        <f>Nodes!N69*(1-Nodes!BA69)</f>
        <v>#DIV/0!</v>
      </c>
      <c r="L69" s="56" t="e">
        <f>B69/60/A$189</f>
        <v>#DIV/0!</v>
      </c>
      <c r="M69" s="56" t="e">
        <f>C69/60/B$189</f>
        <v>#DIV/0!</v>
      </c>
      <c r="N69" s="56" t="e">
        <f>D69/60/C$189</f>
        <v>#DIV/0!</v>
      </c>
      <c r="O69" s="56" t="e">
        <f>E69/60/D$189</f>
        <v>#DIV/0!</v>
      </c>
      <c r="P69" s="56" t="e">
        <f>F69/60/E$189</f>
        <v>#DIV/0!</v>
      </c>
      <c r="Q69" s="56" t="e">
        <f>G69/60/F$189</f>
        <v>#DIV/0!</v>
      </c>
      <c r="R69" s="56" t="e">
        <f>H69/60/G$189</f>
        <v>#DIV/0!</v>
      </c>
      <c r="S69" s="56" t="e">
        <f>I69/60/H$189</f>
        <v>#DIV/0!</v>
      </c>
      <c r="T69" s="56" t="e">
        <f>J69/60/I$189</f>
        <v>#DIV/0!</v>
      </c>
      <c r="U69" s="56" t="e">
        <f t="shared" si="1"/>
        <v>#DIV/0!</v>
      </c>
    </row>
    <row r="70" spans="1:21" x14ac:dyDescent="0.15">
      <c r="A70" s="49">
        <v>68</v>
      </c>
      <c r="B70" s="46" t="e">
        <f>Nodes!B70*(1-Nodes!AO70)</f>
        <v>#DIV/0!</v>
      </c>
      <c r="C70" s="46" t="e">
        <f>Nodes!C70*(1-Nodes!AP70)</f>
        <v>#DIV/0!</v>
      </c>
      <c r="D70" s="46" t="e">
        <f>Nodes!D70*(1-Nodes!AQ70)</f>
        <v>#DIV/0!</v>
      </c>
      <c r="E70" s="46" t="e">
        <f>Nodes!E70*(1-Nodes!AR70)</f>
        <v>#DIV/0!</v>
      </c>
      <c r="F70" s="46" t="e">
        <f>Nodes!F70*(1-Nodes!AS70)</f>
        <v>#DIV/0!</v>
      </c>
      <c r="G70" s="46" t="e">
        <f>Nodes!G70*(1-Nodes!AT70)</f>
        <v>#DIV/0!</v>
      </c>
      <c r="H70" s="46" t="e">
        <f>Nodes!H70*(1-Nodes!AU70)</f>
        <v>#DIV/0!</v>
      </c>
      <c r="I70" s="46" t="e">
        <f>Nodes!I70*(1-Nodes!AV70)</f>
        <v>#DIV/0!</v>
      </c>
      <c r="J70" s="46" t="e">
        <f>Nodes!L70*(1-Nodes!AY70)</f>
        <v>#DIV/0!</v>
      </c>
      <c r="K70" s="46" t="e">
        <f>Nodes!N70*(1-Nodes!BA70)</f>
        <v>#DIV/0!</v>
      </c>
      <c r="L70" s="56" t="e">
        <f>B70/60/A$189</f>
        <v>#DIV/0!</v>
      </c>
      <c r="M70" s="56" t="e">
        <f>C70/60/B$189</f>
        <v>#DIV/0!</v>
      </c>
      <c r="N70" s="56" t="e">
        <f>D70/60/C$189</f>
        <v>#DIV/0!</v>
      </c>
      <c r="O70" s="56" t="e">
        <f>E70/60/D$189</f>
        <v>#DIV/0!</v>
      </c>
      <c r="P70" s="56" t="e">
        <f>F70/60/E$189</f>
        <v>#DIV/0!</v>
      </c>
      <c r="Q70" s="56" t="e">
        <f>G70/60/F$189</f>
        <v>#DIV/0!</v>
      </c>
      <c r="R70" s="56" t="e">
        <f>H70/60/G$189</f>
        <v>#DIV/0!</v>
      </c>
      <c r="S70" s="56" t="e">
        <f>I70/60/H$189</f>
        <v>#DIV/0!</v>
      </c>
      <c r="T70" s="56" t="e">
        <f>J70/60/I$189</f>
        <v>#DIV/0!</v>
      </c>
      <c r="U70" s="56" t="e">
        <f t="shared" si="1"/>
        <v>#DIV/0!</v>
      </c>
    </row>
    <row r="71" spans="1:21" x14ac:dyDescent="0.15">
      <c r="A71" s="49">
        <v>69</v>
      </c>
      <c r="B71" s="46" t="e">
        <f>Nodes!B71*(1-Nodes!AO71)</f>
        <v>#DIV/0!</v>
      </c>
      <c r="C71" s="46" t="e">
        <f>Nodes!C71*(1-Nodes!AP71)</f>
        <v>#DIV/0!</v>
      </c>
      <c r="D71" s="46" t="e">
        <f>Nodes!D71*(1-Nodes!AQ71)</f>
        <v>#DIV/0!</v>
      </c>
      <c r="E71" s="46" t="e">
        <f>Nodes!E71*(1-Nodes!AR71)</f>
        <v>#DIV/0!</v>
      </c>
      <c r="F71" s="46" t="e">
        <f>Nodes!F71*(1-Nodes!AS71)</f>
        <v>#DIV/0!</v>
      </c>
      <c r="G71" s="46" t="e">
        <f>Nodes!G71*(1-Nodes!AT71)</f>
        <v>#DIV/0!</v>
      </c>
      <c r="H71" s="46" t="e">
        <f>Nodes!H71*(1-Nodes!AU71)</f>
        <v>#DIV/0!</v>
      </c>
      <c r="I71" s="46" t="e">
        <f>Nodes!I71*(1-Nodes!AV71)</f>
        <v>#DIV/0!</v>
      </c>
      <c r="J71" s="46" t="e">
        <f>Nodes!L71*(1-Nodes!AY71)</f>
        <v>#DIV/0!</v>
      </c>
      <c r="K71" s="46" t="e">
        <f>Nodes!N71*(1-Nodes!BA71)</f>
        <v>#DIV/0!</v>
      </c>
      <c r="L71" s="56" t="e">
        <f>B71/60/A$189</f>
        <v>#DIV/0!</v>
      </c>
      <c r="M71" s="56" t="e">
        <f>C71/60/B$189</f>
        <v>#DIV/0!</v>
      </c>
      <c r="N71" s="56" t="e">
        <f>D71/60/C$189</f>
        <v>#DIV/0!</v>
      </c>
      <c r="O71" s="56" t="e">
        <f>E71/60/D$189</f>
        <v>#DIV/0!</v>
      </c>
      <c r="P71" s="56" t="e">
        <f>F71/60/E$189</f>
        <v>#DIV/0!</v>
      </c>
      <c r="Q71" s="56" t="e">
        <f>G71/60/F$189</f>
        <v>#DIV/0!</v>
      </c>
      <c r="R71" s="56" t="e">
        <f>H71/60/G$189</f>
        <v>#DIV/0!</v>
      </c>
      <c r="S71" s="56" t="e">
        <f>I71/60/H$189</f>
        <v>#DIV/0!</v>
      </c>
      <c r="T71" s="56" t="e">
        <f>J71/60/I$189</f>
        <v>#DIV/0!</v>
      </c>
      <c r="U71" s="56" t="e">
        <f t="shared" si="1"/>
        <v>#DIV/0!</v>
      </c>
    </row>
    <row r="72" spans="1:21" x14ac:dyDescent="0.15">
      <c r="A72" s="49">
        <v>70</v>
      </c>
      <c r="B72" s="46" t="e">
        <f>Nodes!B72*(1-Nodes!AO72)</f>
        <v>#DIV/0!</v>
      </c>
      <c r="C72" s="46" t="e">
        <f>Nodes!C72*(1-Nodes!AP72)</f>
        <v>#DIV/0!</v>
      </c>
      <c r="D72" s="46" t="e">
        <f>Nodes!D72*(1-Nodes!AQ72)</f>
        <v>#DIV/0!</v>
      </c>
      <c r="E72" s="46" t="e">
        <f>Nodes!E72*(1-Nodes!AR72)</f>
        <v>#DIV/0!</v>
      </c>
      <c r="F72" s="46" t="e">
        <f>Nodes!F72*(1-Nodes!AS72)</f>
        <v>#DIV/0!</v>
      </c>
      <c r="G72" s="46" t="e">
        <f>Nodes!G72*(1-Nodes!AT72)</f>
        <v>#DIV/0!</v>
      </c>
      <c r="H72" s="46" t="e">
        <f>Nodes!H72*(1-Nodes!AU72)</f>
        <v>#DIV/0!</v>
      </c>
      <c r="I72" s="46" t="e">
        <f>Nodes!I72*(1-Nodes!AV72)</f>
        <v>#DIV/0!</v>
      </c>
      <c r="J72" s="46" t="e">
        <f>Nodes!L72*(1-Nodes!AY72)</f>
        <v>#DIV/0!</v>
      </c>
      <c r="K72" s="46" t="e">
        <f>Nodes!N72*(1-Nodes!BA72)</f>
        <v>#DIV/0!</v>
      </c>
      <c r="L72" s="56" t="e">
        <f>B72/60/A$189</f>
        <v>#DIV/0!</v>
      </c>
      <c r="M72" s="56" t="e">
        <f>C72/60/B$189</f>
        <v>#DIV/0!</v>
      </c>
      <c r="N72" s="56" t="e">
        <f>D72/60/C$189</f>
        <v>#DIV/0!</v>
      </c>
      <c r="O72" s="56" t="e">
        <f>E72/60/D$189</f>
        <v>#DIV/0!</v>
      </c>
      <c r="P72" s="56" t="e">
        <f>F72/60/E$189</f>
        <v>#DIV/0!</v>
      </c>
      <c r="Q72" s="56" t="e">
        <f>G72/60/F$189</f>
        <v>#DIV/0!</v>
      </c>
      <c r="R72" s="56" t="e">
        <f>H72/60/G$189</f>
        <v>#DIV/0!</v>
      </c>
      <c r="S72" s="56" t="e">
        <f>I72/60/H$189</f>
        <v>#DIV/0!</v>
      </c>
      <c r="T72" s="56" t="e">
        <f>J72/60/I$189</f>
        <v>#DIV/0!</v>
      </c>
      <c r="U72" s="56" t="e">
        <f t="shared" si="1"/>
        <v>#DIV/0!</v>
      </c>
    </row>
    <row r="73" spans="1:21" x14ac:dyDescent="0.15">
      <c r="A73" s="49">
        <v>71</v>
      </c>
      <c r="B73" s="46" t="e">
        <f>Nodes!B73*(1-Nodes!AO73)</f>
        <v>#DIV/0!</v>
      </c>
      <c r="C73" s="46" t="e">
        <f>Nodes!C73*(1-Nodes!AP73)</f>
        <v>#DIV/0!</v>
      </c>
      <c r="D73" s="46" t="e">
        <f>Nodes!D73*(1-Nodes!AQ73)</f>
        <v>#DIV/0!</v>
      </c>
      <c r="E73" s="46" t="e">
        <f>Nodes!E73*(1-Nodes!AR73)</f>
        <v>#DIV/0!</v>
      </c>
      <c r="F73" s="46" t="e">
        <f>Nodes!F73*(1-Nodes!AS73)</f>
        <v>#DIV/0!</v>
      </c>
      <c r="G73" s="46" t="e">
        <f>Nodes!G73*(1-Nodes!AT73)</f>
        <v>#DIV/0!</v>
      </c>
      <c r="H73" s="46" t="e">
        <f>Nodes!H73*(1-Nodes!AU73)</f>
        <v>#DIV/0!</v>
      </c>
      <c r="I73" s="46" t="e">
        <f>Nodes!I73*(1-Nodes!AV73)</f>
        <v>#DIV/0!</v>
      </c>
      <c r="J73" s="46" t="e">
        <f>Nodes!L73*(1-Nodes!AY73)</f>
        <v>#DIV/0!</v>
      </c>
      <c r="K73" s="46" t="e">
        <f>Nodes!N73*(1-Nodes!BA73)</f>
        <v>#DIV/0!</v>
      </c>
      <c r="L73" s="56" t="e">
        <f>B73/60/A$189</f>
        <v>#DIV/0!</v>
      </c>
      <c r="M73" s="56" t="e">
        <f>C73/60/B$189</f>
        <v>#DIV/0!</v>
      </c>
      <c r="N73" s="56" t="e">
        <f>D73/60/C$189</f>
        <v>#DIV/0!</v>
      </c>
      <c r="O73" s="56" t="e">
        <f>E73/60/D$189</f>
        <v>#DIV/0!</v>
      </c>
      <c r="P73" s="56" t="e">
        <f>F73/60/E$189</f>
        <v>#DIV/0!</v>
      </c>
      <c r="Q73" s="56" t="e">
        <f>G73/60/F$189</f>
        <v>#DIV/0!</v>
      </c>
      <c r="R73" s="56" t="e">
        <f>H73/60/G$189</f>
        <v>#DIV/0!</v>
      </c>
      <c r="S73" s="56" t="e">
        <f>I73/60/H$189</f>
        <v>#DIV/0!</v>
      </c>
      <c r="T73" s="56" t="e">
        <f>J73/60/I$189</f>
        <v>#DIV/0!</v>
      </c>
      <c r="U73" s="56" t="e">
        <f t="shared" si="1"/>
        <v>#DIV/0!</v>
      </c>
    </row>
    <row r="74" spans="1:21" x14ac:dyDescent="0.15">
      <c r="A74" s="49">
        <v>72</v>
      </c>
      <c r="B74" s="46" t="e">
        <f>Nodes!B74*(1-Nodes!AO74)</f>
        <v>#DIV/0!</v>
      </c>
      <c r="C74" s="46" t="e">
        <f>Nodes!C74*(1-Nodes!AP74)</f>
        <v>#DIV/0!</v>
      </c>
      <c r="D74" s="46" t="e">
        <f>Nodes!D74*(1-Nodes!AQ74)</f>
        <v>#DIV/0!</v>
      </c>
      <c r="E74" s="46" t="e">
        <f>Nodes!E74*(1-Nodes!AR74)</f>
        <v>#DIV/0!</v>
      </c>
      <c r="F74" s="46" t="e">
        <f>Nodes!F74*(1-Nodes!AS74)</f>
        <v>#DIV/0!</v>
      </c>
      <c r="G74" s="46" t="e">
        <f>Nodes!G74*(1-Nodes!AT74)</f>
        <v>#DIV/0!</v>
      </c>
      <c r="H74" s="46" t="e">
        <f>Nodes!H74*(1-Nodes!AU74)</f>
        <v>#DIV/0!</v>
      </c>
      <c r="I74" s="46" t="e">
        <f>Nodes!I74*(1-Nodes!AV74)</f>
        <v>#DIV/0!</v>
      </c>
      <c r="J74" s="46" t="e">
        <f>Nodes!L74*(1-Nodes!AY74)</f>
        <v>#DIV/0!</v>
      </c>
      <c r="K74" s="46" t="e">
        <f>Nodes!N74*(1-Nodes!BA74)</f>
        <v>#DIV/0!</v>
      </c>
      <c r="L74" s="56" t="e">
        <f>B74/60/A$189</f>
        <v>#DIV/0!</v>
      </c>
      <c r="M74" s="56" t="e">
        <f>C74/60/B$189</f>
        <v>#DIV/0!</v>
      </c>
      <c r="N74" s="56" t="e">
        <f>D74/60/C$189</f>
        <v>#DIV/0!</v>
      </c>
      <c r="O74" s="56" t="e">
        <f>E74/60/D$189</f>
        <v>#DIV/0!</v>
      </c>
      <c r="P74" s="56" t="e">
        <f>F74/60/E$189</f>
        <v>#DIV/0!</v>
      </c>
      <c r="Q74" s="56" t="e">
        <f>G74/60/F$189</f>
        <v>#DIV/0!</v>
      </c>
      <c r="R74" s="56" t="e">
        <f>H74/60/G$189</f>
        <v>#DIV/0!</v>
      </c>
      <c r="S74" s="56" t="e">
        <f>I74/60/H$189</f>
        <v>#DIV/0!</v>
      </c>
      <c r="T74" s="56" t="e">
        <f>J74/60/I$189</f>
        <v>#DIV/0!</v>
      </c>
      <c r="U74" s="56" t="e">
        <f t="shared" si="1"/>
        <v>#DIV/0!</v>
      </c>
    </row>
    <row r="75" spans="1:21" x14ac:dyDescent="0.15">
      <c r="A75" s="49">
        <v>73</v>
      </c>
      <c r="B75" s="46" t="e">
        <f>Nodes!B75*(1-Nodes!AO75)</f>
        <v>#DIV/0!</v>
      </c>
      <c r="C75" s="46" t="e">
        <f>Nodes!C75*(1-Nodes!AP75)</f>
        <v>#DIV/0!</v>
      </c>
      <c r="D75" s="46" t="e">
        <f>Nodes!D75*(1-Nodes!AQ75)</f>
        <v>#DIV/0!</v>
      </c>
      <c r="E75" s="46" t="e">
        <f>Nodes!E75*(1-Nodes!AR75)</f>
        <v>#DIV/0!</v>
      </c>
      <c r="F75" s="46" t="e">
        <f>Nodes!F75*(1-Nodes!AS75)</f>
        <v>#DIV/0!</v>
      </c>
      <c r="G75" s="46" t="e">
        <f>Nodes!G75*(1-Nodes!AT75)</f>
        <v>#DIV/0!</v>
      </c>
      <c r="H75" s="46" t="e">
        <f>Nodes!H75*(1-Nodes!AU75)</f>
        <v>#DIV/0!</v>
      </c>
      <c r="I75" s="46" t="e">
        <f>Nodes!I75*(1-Nodes!AV75)</f>
        <v>#DIV/0!</v>
      </c>
      <c r="J75" s="46" t="e">
        <f>Nodes!L75*(1-Nodes!AY75)</f>
        <v>#DIV/0!</v>
      </c>
      <c r="K75" s="46" t="e">
        <f>Nodes!N75*(1-Nodes!BA75)</f>
        <v>#DIV/0!</v>
      </c>
      <c r="L75" s="56" t="e">
        <f>B75/60/A$189</f>
        <v>#DIV/0!</v>
      </c>
      <c r="M75" s="56" t="e">
        <f>C75/60/B$189</f>
        <v>#DIV/0!</v>
      </c>
      <c r="N75" s="56" t="e">
        <f>D75/60/C$189</f>
        <v>#DIV/0!</v>
      </c>
      <c r="O75" s="56" t="e">
        <f>E75/60/D$189</f>
        <v>#DIV/0!</v>
      </c>
      <c r="P75" s="56" t="e">
        <f>F75/60/E$189</f>
        <v>#DIV/0!</v>
      </c>
      <c r="Q75" s="56" t="e">
        <f>G75/60/F$189</f>
        <v>#DIV/0!</v>
      </c>
      <c r="R75" s="56" t="e">
        <f>H75/60/G$189</f>
        <v>#DIV/0!</v>
      </c>
      <c r="S75" s="56" t="e">
        <f>I75/60/H$189</f>
        <v>#DIV/0!</v>
      </c>
      <c r="T75" s="56" t="e">
        <f>J75/60/I$189</f>
        <v>#DIV/0!</v>
      </c>
      <c r="U75" s="56" t="e">
        <f t="shared" si="1"/>
        <v>#DIV/0!</v>
      </c>
    </row>
    <row r="76" spans="1:21" x14ac:dyDescent="0.15">
      <c r="A76" s="49">
        <v>74</v>
      </c>
      <c r="B76" s="46" t="e">
        <f>Nodes!B76*(1-Nodes!AO76)</f>
        <v>#DIV/0!</v>
      </c>
      <c r="C76" s="46" t="e">
        <f>Nodes!C76*(1-Nodes!AP76)</f>
        <v>#DIV/0!</v>
      </c>
      <c r="D76" s="46" t="e">
        <f>Nodes!D76*(1-Nodes!AQ76)</f>
        <v>#DIV/0!</v>
      </c>
      <c r="E76" s="46" t="e">
        <f>Nodes!E76*(1-Nodes!AR76)</f>
        <v>#DIV/0!</v>
      </c>
      <c r="F76" s="46" t="e">
        <f>Nodes!F76*(1-Nodes!AS76)</f>
        <v>#DIV/0!</v>
      </c>
      <c r="G76" s="46" t="e">
        <f>Nodes!G76*(1-Nodes!AT76)</f>
        <v>#DIV/0!</v>
      </c>
      <c r="H76" s="46" t="e">
        <f>Nodes!H76*(1-Nodes!AU76)</f>
        <v>#DIV/0!</v>
      </c>
      <c r="I76" s="46" t="e">
        <f>Nodes!I76*(1-Nodes!AV76)</f>
        <v>#DIV/0!</v>
      </c>
      <c r="J76" s="46" t="e">
        <f>Nodes!L76*(1-Nodes!AY76)</f>
        <v>#DIV/0!</v>
      </c>
      <c r="K76" s="46" t="e">
        <f>Nodes!N76*(1-Nodes!BA76)</f>
        <v>#DIV/0!</v>
      </c>
      <c r="L76" s="56" t="e">
        <f>B76/60/A$189</f>
        <v>#DIV/0!</v>
      </c>
      <c r="M76" s="56" t="e">
        <f>C76/60/B$189</f>
        <v>#DIV/0!</v>
      </c>
      <c r="N76" s="56" t="e">
        <f>D76/60/C$189</f>
        <v>#DIV/0!</v>
      </c>
      <c r="O76" s="56" t="e">
        <f>E76/60/D$189</f>
        <v>#DIV/0!</v>
      </c>
      <c r="P76" s="56" t="e">
        <f>F76/60/E$189</f>
        <v>#DIV/0!</v>
      </c>
      <c r="Q76" s="56" t="e">
        <f>G76/60/F$189</f>
        <v>#DIV/0!</v>
      </c>
      <c r="R76" s="56" t="e">
        <f>H76/60/G$189</f>
        <v>#DIV/0!</v>
      </c>
      <c r="S76" s="56" t="e">
        <f>I76/60/H$189</f>
        <v>#DIV/0!</v>
      </c>
      <c r="T76" s="56" t="e">
        <f>J76/60/I$189</f>
        <v>#DIV/0!</v>
      </c>
      <c r="U76" s="56" t="e">
        <f t="shared" si="1"/>
        <v>#DIV/0!</v>
      </c>
    </row>
    <row r="77" spans="1:21" x14ac:dyDescent="0.15">
      <c r="A77" s="49">
        <v>75</v>
      </c>
      <c r="B77" s="46" t="e">
        <f>Nodes!B77*(1-Nodes!AO77)</f>
        <v>#DIV/0!</v>
      </c>
      <c r="C77" s="46" t="e">
        <f>Nodes!C77*(1-Nodes!AP77)</f>
        <v>#DIV/0!</v>
      </c>
      <c r="D77" s="46" t="e">
        <f>Nodes!D77*(1-Nodes!AQ77)</f>
        <v>#DIV/0!</v>
      </c>
      <c r="E77" s="46" t="e">
        <f>Nodes!E77*(1-Nodes!AR77)</f>
        <v>#DIV/0!</v>
      </c>
      <c r="F77" s="46" t="e">
        <f>Nodes!F77*(1-Nodes!AS77)</f>
        <v>#DIV/0!</v>
      </c>
      <c r="G77" s="46" t="e">
        <f>Nodes!G77*(1-Nodes!AT77)</f>
        <v>#DIV/0!</v>
      </c>
      <c r="H77" s="46" t="e">
        <f>Nodes!H77*(1-Nodes!AU77)</f>
        <v>#DIV/0!</v>
      </c>
      <c r="I77" s="46" t="e">
        <f>Nodes!I77*(1-Nodes!AV77)</f>
        <v>#DIV/0!</v>
      </c>
      <c r="J77" s="46" t="e">
        <f>Nodes!L77*(1-Nodes!AY77)</f>
        <v>#DIV/0!</v>
      </c>
      <c r="K77" s="46" t="e">
        <f>Nodes!N77*(1-Nodes!BA77)</f>
        <v>#DIV/0!</v>
      </c>
      <c r="L77" s="56" t="e">
        <f>B77/60/A$189</f>
        <v>#DIV/0!</v>
      </c>
      <c r="M77" s="56" t="e">
        <f>C77/60/B$189</f>
        <v>#DIV/0!</v>
      </c>
      <c r="N77" s="56" t="e">
        <f>D77/60/C$189</f>
        <v>#DIV/0!</v>
      </c>
      <c r="O77" s="56" t="e">
        <f>E77/60/D$189</f>
        <v>#DIV/0!</v>
      </c>
      <c r="P77" s="56" t="e">
        <f>F77/60/E$189</f>
        <v>#DIV/0!</v>
      </c>
      <c r="Q77" s="56" t="e">
        <f>G77/60/F$189</f>
        <v>#DIV/0!</v>
      </c>
      <c r="R77" s="56" t="e">
        <f>H77/60/G$189</f>
        <v>#DIV/0!</v>
      </c>
      <c r="S77" s="56" t="e">
        <f>I77/60/H$189</f>
        <v>#DIV/0!</v>
      </c>
      <c r="T77" s="56" t="e">
        <f>J77/60/I$189</f>
        <v>#DIV/0!</v>
      </c>
      <c r="U77" s="56" t="e">
        <f t="shared" si="1"/>
        <v>#DIV/0!</v>
      </c>
    </row>
    <row r="78" spans="1:21" x14ac:dyDescent="0.15">
      <c r="A78" s="49">
        <v>76</v>
      </c>
      <c r="B78" s="46" t="e">
        <f>Nodes!B78*(1-Nodes!AO78)</f>
        <v>#DIV/0!</v>
      </c>
      <c r="C78" s="46" t="e">
        <f>Nodes!C78*(1-Nodes!AP78)</f>
        <v>#DIV/0!</v>
      </c>
      <c r="D78" s="46" t="e">
        <f>Nodes!D78*(1-Nodes!AQ78)</f>
        <v>#DIV/0!</v>
      </c>
      <c r="E78" s="46" t="e">
        <f>Nodes!E78*(1-Nodes!AR78)</f>
        <v>#DIV/0!</v>
      </c>
      <c r="F78" s="46" t="e">
        <f>Nodes!F78*(1-Nodes!AS78)</f>
        <v>#DIV/0!</v>
      </c>
      <c r="G78" s="46" t="e">
        <f>Nodes!G78*(1-Nodes!AT78)</f>
        <v>#DIV/0!</v>
      </c>
      <c r="H78" s="46" t="e">
        <f>Nodes!H78*(1-Nodes!AU78)</f>
        <v>#DIV/0!</v>
      </c>
      <c r="I78" s="46" t="e">
        <f>Nodes!I78*(1-Nodes!AV78)</f>
        <v>#DIV/0!</v>
      </c>
      <c r="J78" s="46" t="e">
        <f>Nodes!L78*(1-Nodes!AY78)</f>
        <v>#DIV/0!</v>
      </c>
      <c r="K78" s="46" t="e">
        <f>Nodes!N78*(1-Nodes!BA78)</f>
        <v>#DIV/0!</v>
      </c>
      <c r="L78" s="56" t="e">
        <f>B78/60/A$189</f>
        <v>#DIV/0!</v>
      </c>
      <c r="M78" s="56" t="e">
        <f>C78/60/B$189</f>
        <v>#DIV/0!</v>
      </c>
      <c r="N78" s="56" t="e">
        <f>D78/60/C$189</f>
        <v>#DIV/0!</v>
      </c>
      <c r="O78" s="56" t="e">
        <f>E78/60/D$189</f>
        <v>#DIV/0!</v>
      </c>
      <c r="P78" s="56" t="e">
        <f>F78/60/E$189</f>
        <v>#DIV/0!</v>
      </c>
      <c r="Q78" s="56" t="e">
        <f>G78/60/F$189</f>
        <v>#DIV/0!</v>
      </c>
      <c r="R78" s="56" t="e">
        <f>H78/60/G$189</f>
        <v>#DIV/0!</v>
      </c>
      <c r="S78" s="56" t="e">
        <f>I78/60/H$189</f>
        <v>#DIV/0!</v>
      </c>
      <c r="T78" s="56" t="e">
        <f>J78/60/I$189</f>
        <v>#DIV/0!</v>
      </c>
      <c r="U78" s="56" t="e">
        <f t="shared" si="1"/>
        <v>#DIV/0!</v>
      </c>
    </row>
    <row r="79" spans="1:21" x14ac:dyDescent="0.15">
      <c r="A79" s="49">
        <v>77</v>
      </c>
      <c r="B79" s="46" t="e">
        <f>Nodes!B79*(1-Nodes!AO79)</f>
        <v>#DIV/0!</v>
      </c>
      <c r="C79" s="46" t="e">
        <f>Nodes!C79*(1-Nodes!AP79)</f>
        <v>#DIV/0!</v>
      </c>
      <c r="D79" s="46" t="e">
        <f>Nodes!D79*(1-Nodes!AQ79)</f>
        <v>#DIV/0!</v>
      </c>
      <c r="E79" s="46" t="e">
        <f>Nodes!E79*(1-Nodes!AR79)</f>
        <v>#DIV/0!</v>
      </c>
      <c r="F79" s="46" t="e">
        <f>Nodes!F79*(1-Nodes!AS79)</f>
        <v>#DIV/0!</v>
      </c>
      <c r="G79" s="46" t="e">
        <f>Nodes!G79*(1-Nodes!AT79)</f>
        <v>#DIV/0!</v>
      </c>
      <c r="H79" s="46" t="e">
        <f>Nodes!H79*(1-Nodes!AU79)</f>
        <v>#DIV/0!</v>
      </c>
      <c r="I79" s="46" t="e">
        <f>Nodes!I79*(1-Nodes!AV79)</f>
        <v>#DIV/0!</v>
      </c>
      <c r="J79" s="46" t="e">
        <f>Nodes!L79*(1-Nodes!AY79)</f>
        <v>#DIV/0!</v>
      </c>
      <c r="K79" s="46" t="e">
        <f>Nodes!N79*(1-Nodes!BA79)</f>
        <v>#DIV/0!</v>
      </c>
      <c r="L79" s="56" t="e">
        <f>B79/60/A$189</f>
        <v>#DIV/0!</v>
      </c>
      <c r="M79" s="56" t="e">
        <f>C79/60/B$189</f>
        <v>#DIV/0!</v>
      </c>
      <c r="N79" s="56" t="e">
        <f>D79/60/C$189</f>
        <v>#DIV/0!</v>
      </c>
      <c r="O79" s="56" t="e">
        <f>E79/60/D$189</f>
        <v>#DIV/0!</v>
      </c>
      <c r="P79" s="56" t="e">
        <f>F79/60/E$189</f>
        <v>#DIV/0!</v>
      </c>
      <c r="Q79" s="56" t="e">
        <f>G79/60/F$189</f>
        <v>#DIV/0!</v>
      </c>
      <c r="R79" s="56" t="e">
        <f>H79/60/G$189</f>
        <v>#DIV/0!</v>
      </c>
      <c r="S79" s="56" t="e">
        <f>I79/60/H$189</f>
        <v>#DIV/0!</v>
      </c>
      <c r="T79" s="56" t="e">
        <f>J79/60/I$189</f>
        <v>#DIV/0!</v>
      </c>
      <c r="U79" s="56" t="e">
        <f t="shared" si="1"/>
        <v>#DIV/0!</v>
      </c>
    </row>
    <row r="80" spans="1:21" x14ac:dyDescent="0.15">
      <c r="A80" s="49">
        <v>78</v>
      </c>
      <c r="B80" s="46" t="e">
        <f>Nodes!B80*(1-Nodes!AO80)</f>
        <v>#DIV/0!</v>
      </c>
      <c r="C80" s="46" t="e">
        <f>Nodes!C80*(1-Nodes!AP80)</f>
        <v>#DIV/0!</v>
      </c>
      <c r="D80" s="46" t="e">
        <f>Nodes!D80*(1-Nodes!AQ80)</f>
        <v>#DIV/0!</v>
      </c>
      <c r="E80" s="46" t="e">
        <f>Nodes!E80*(1-Nodes!AR80)</f>
        <v>#DIV/0!</v>
      </c>
      <c r="F80" s="46" t="e">
        <f>Nodes!F80*(1-Nodes!AS80)</f>
        <v>#DIV/0!</v>
      </c>
      <c r="G80" s="46" t="e">
        <f>Nodes!G80*(1-Nodes!AT80)</f>
        <v>#DIV/0!</v>
      </c>
      <c r="H80" s="46" t="e">
        <f>Nodes!H80*(1-Nodes!AU80)</f>
        <v>#DIV/0!</v>
      </c>
      <c r="I80" s="46" t="e">
        <f>Nodes!I80*(1-Nodes!AV80)</f>
        <v>#DIV/0!</v>
      </c>
      <c r="J80" s="46" t="e">
        <f>Nodes!L80*(1-Nodes!AY80)</f>
        <v>#DIV/0!</v>
      </c>
      <c r="K80" s="46" t="e">
        <f>Nodes!N80*(1-Nodes!BA80)</f>
        <v>#DIV/0!</v>
      </c>
      <c r="L80" s="56" t="e">
        <f>B80/60/A$189</f>
        <v>#DIV/0!</v>
      </c>
      <c r="M80" s="56" t="e">
        <f>C80/60/B$189</f>
        <v>#DIV/0!</v>
      </c>
      <c r="N80" s="56" t="e">
        <f>D80/60/C$189</f>
        <v>#DIV/0!</v>
      </c>
      <c r="O80" s="56" t="e">
        <f>E80/60/D$189</f>
        <v>#DIV/0!</v>
      </c>
      <c r="P80" s="56" t="e">
        <f>F80/60/E$189</f>
        <v>#DIV/0!</v>
      </c>
      <c r="Q80" s="56" t="e">
        <f>G80/60/F$189</f>
        <v>#DIV/0!</v>
      </c>
      <c r="R80" s="56" t="e">
        <f>H80/60/G$189</f>
        <v>#DIV/0!</v>
      </c>
      <c r="S80" s="56" t="e">
        <f>I80/60/H$189</f>
        <v>#DIV/0!</v>
      </c>
      <c r="T80" s="56" t="e">
        <f>J80/60/I$189</f>
        <v>#DIV/0!</v>
      </c>
      <c r="U80" s="56" t="e">
        <f t="shared" si="1"/>
        <v>#DIV/0!</v>
      </c>
    </row>
    <row r="81" spans="1:21" x14ac:dyDescent="0.15">
      <c r="A81" s="49">
        <v>79</v>
      </c>
      <c r="B81" s="46" t="e">
        <f>Nodes!B81*(1-Nodes!AO81)</f>
        <v>#DIV/0!</v>
      </c>
      <c r="C81" s="46" t="e">
        <f>Nodes!C81*(1-Nodes!AP81)</f>
        <v>#DIV/0!</v>
      </c>
      <c r="D81" s="46" t="e">
        <f>Nodes!D81*(1-Nodes!AQ81)</f>
        <v>#DIV/0!</v>
      </c>
      <c r="E81" s="46" t="e">
        <f>Nodes!E81*(1-Nodes!AR81)</f>
        <v>#DIV/0!</v>
      </c>
      <c r="F81" s="46" t="e">
        <f>Nodes!F81*(1-Nodes!AS81)</f>
        <v>#DIV/0!</v>
      </c>
      <c r="G81" s="46" t="e">
        <f>Nodes!G81*(1-Nodes!AT81)</f>
        <v>#DIV/0!</v>
      </c>
      <c r="H81" s="46" t="e">
        <f>Nodes!H81*(1-Nodes!AU81)</f>
        <v>#DIV/0!</v>
      </c>
      <c r="I81" s="46" t="e">
        <f>Nodes!I81*(1-Nodes!AV81)</f>
        <v>#DIV/0!</v>
      </c>
      <c r="J81" s="46" t="e">
        <f>Nodes!L81*(1-Nodes!AY81)</f>
        <v>#DIV/0!</v>
      </c>
      <c r="K81" s="46" t="e">
        <f>Nodes!N81*(1-Nodes!BA81)</f>
        <v>#DIV/0!</v>
      </c>
      <c r="L81" s="56" t="e">
        <f>B81/60/A$189</f>
        <v>#DIV/0!</v>
      </c>
      <c r="M81" s="56" t="e">
        <f>C81/60/B$189</f>
        <v>#DIV/0!</v>
      </c>
      <c r="N81" s="56" t="e">
        <f>D81/60/C$189</f>
        <v>#DIV/0!</v>
      </c>
      <c r="O81" s="56" t="e">
        <f>E81/60/D$189</f>
        <v>#DIV/0!</v>
      </c>
      <c r="P81" s="56" t="e">
        <f>F81/60/E$189</f>
        <v>#DIV/0!</v>
      </c>
      <c r="Q81" s="56" t="e">
        <f>G81/60/F$189</f>
        <v>#DIV/0!</v>
      </c>
      <c r="R81" s="56" t="e">
        <f>H81/60/G$189</f>
        <v>#DIV/0!</v>
      </c>
      <c r="S81" s="56" t="e">
        <f>I81/60/H$189</f>
        <v>#DIV/0!</v>
      </c>
      <c r="T81" s="56" t="e">
        <f>J81/60/I$189</f>
        <v>#DIV/0!</v>
      </c>
      <c r="U81" s="56" t="e">
        <f t="shared" si="1"/>
        <v>#DIV/0!</v>
      </c>
    </row>
    <row r="82" spans="1:21" x14ac:dyDescent="0.15">
      <c r="A82" s="49">
        <v>80</v>
      </c>
      <c r="B82" s="46" t="e">
        <f>Nodes!B82*(1-Nodes!AO82)</f>
        <v>#DIV/0!</v>
      </c>
      <c r="C82" s="46" t="e">
        <f>Nodes!C82*(1-Nodes!AP82)</f>
        <v>#DIV/0!</v>
      </c>
      <c r="D82" s="46" t="e">
        <f>Nodes!D82*(1-Nodes!AQ82)</f>
        <v>#DIV/0!</v>
      </c>
      <c r="E82" s="46" t="e">
        <f>Nodes!E82*(1-Nodes!AR82)</f>
        <v>#DIV/0!</v>
      </c>
      <c r="F82" s="46" t="e">
        <f>Nodes!F82*(1-Nodes!AS82)</f>
        <v>#DIV/0!</v>
      </c>
      <c r="G82" s="46" t="e">
        <f>Nodes!G82*(1-Nodes!AT82)</f>
        <v>#DIV/0!</v>
      </c>
      <c r="H82" s="46" t="e">
        <f>Nodes!H82*(1-Nodes!AU82)</f>
        <v>#DIV/0!</v>
      </c>
      <c r="I82" s="46" t="e">
        <f>Nodes!I82*(1-Nodes!AV82)</f>
        <v>#DIV/0!</v>
      </c>
      <c r="J82" s="46" t="e">
        <f>Nodes!L82*(1-Nodes!AY82)</f>
        <v>#DIV/0!</v>
      </c>
      <c r="K82" s="46" t="e">
        <f>Nodes!N82*(1-Nodes!BA82)</f>
        <v>#DIV/0!</v>
      </c>
      <c r="L82" s="56" t="e">
        <f>B82/60/A$189</f>
        <v>#DIV/0!</v>
      </c>
      <c r="M82" s="56" t="e">
        <f>C82/60/B$189</f>
        <v>#DIV/0!</v>
      </c>
      <c r="N82" s="56" t="e">
        <f>D82/60/C$189</f>
        <v>#DIV/0!</v>
      </c>
      <c r="O82" s="56" t="e">
        <f>E82/60/D$189</f>
        <v>#DIV/0!</v>
      </c>
      <c r="P82" s="56" t="e">
        <f>F82/60/E$189</f>
        <v>#DIV/0!</v>
      </c>
      <c r="Q82" s="56" t="e">
        <f>G82/60/F$189</f>
        <v>#DIV/0!</v>
      </c>
      <c r="R82" s="56" t="e">
        <f>H82/60/G$189</f>
        <v>#DIV/0!</v>
      </c>
      <c r="S82" s="56" t="e">
        <f>I82/60/H$189</f>
        <v>#DIV/0!</v>
      </c>
      <c r="T82" s="56" t="e">
        <f>J82/60/I$189</f>
        <v>#DIV/0!</v>
      </c>
      <c r="U82" s="56" t="e">
        <f t="shared" si="1"/>
        <v>#DIV/0!</v>
      </c>
    </row>
    <row r="83" spans="1:21" x14ac:dyDescent="0.15">
      <c r="A83" s="49">
        <v>81</v>
      </c>
      <c r="B83" s="46" t="e">
        <f>Nodes!B83*(1-Nodes!AO83)</f>
        <v>#DIV/0!</v>
      </c>
      <c r="C83" s="46" t="e">
        <f>Nodes!C83*(1-Nodes!AP83)</f>
        <v>#DIV/0!</v>
      </c>
      <c r="D83" s="46" t="e">
        <f>Nodes!D83*(1-Nodes!AQ83)</f>
        <v>#DIV/0!</v>
      </c>
      <c r="E83" s="46" t="e">
        <f>Nodes!E83*(1-Nodes!AR83)</f>
        <v>#DIV/0!</v>
      </c>
      <c r="F83" s="46" t="e">
        <f>Nodes!F83*(1-Nodes!AS83)</f>
        <v>#DIV/0!</v>
      </c>
      <c r="G83" s="46" t="e">
        <f>Nodes!G83*(1-Nodes!AT83)</f>
        <v>#DIV/0!</v>
      </c>
      <c r="H83" s="46" t="e">
        <f>Nodes!H83*(1-Nodes!AU83)</f>
        <v>#DIV/0!</v>
      </c>
      <c r="I83" s="46" t="e">
        <f>Nodes!I83*(1-Nodes!AV83)</f>
        <v>#DIV/0!</v>
      </c>
      <c r="J83" s="46" t="e">
        <f>Nodes!L83*(1-Nodes!AY83)</f>
        <v>#DIV/0!</v>
      </c>
      <c r="K83" s="46" t="e">
        <f>Nodes!N83*(1-Nodes!BA83)</f>
        <v>#DIV/0!</v>
      </c>
      <c r="L83" s="56" t="e">
        <f>B83/60/A$189</f>
        <v>#DIV/0!</v>
      </c>
      <c r="M83" s="56" t="e">
        <f>C83/60/B$189</f>
        <v>#DIV/0!</v>
      </c>
      <c r="N83" s="56" t="e">
        <f>D83/60/C$189</f>
        <v>#DIV/0!</v>
      </c>
      <c r="O83" s="56" t="e">
        <f>E83/60/D$189</f>
        <v>#DIV/0!</v>
      </c>
      <c r="P83" s="56" t="e">
        <f>F83/60/E$189</f>
        <v>#DIV/0!</v>
      </c>
      <c r="Q83" s="56" t="e">
        <f>G83/60/F$189</f>
        <v>#DIV/0!</v>
      </c>
      <c r="R83" s="56" t="e">
        <f>H83/60/G$189</f>
        <v>#DIV/0!</v>
      </c>
      <c r="S83" s="56" t="e">
        <f>I83/60/H$189</f>
        <v>#DIV/0!</v>
      </c>
      <c r="T83" s="56" t="e">
        <f>J83/60/I$189</f>
        <v>#DIV/0!</v>
      </c>
      <c r="U83" s="56" t="e">
        <f t="shared" si="1"/>
        <v>#DIV/0!</v>
      </c>
    </row>
    <row r="84" spans="1:21" x14ac:dyDescent="0.15">
      <c r="A84" s="49">
        <v>82</v>
      </c>
      <c r="B84" s="46" t="e">
        <f>Nodes!B84*(1-Nodes!AO84)</f>
        <v>#DIV/0!</v>
      </c>
      <c r="C84" s="46" t="e">
        <f>Nodes!C84*(1-Nodes!AP84)</f>
        <v>#DIV/0!</v>
      </c>
      <c r="D84" s="46" t="e">
        <f>Nodes!D84*(1-Nodes!AQ84)</f>
        <v>#DIV/0!</v>
      </c>
      <c r="E84" s="46" t="e">
        <f>Nodes!E84*(1-Nodes!AR84)</f>
        <v>#DIV/0!</v>
      </c>
      <c r="F84" s="46" t="e">
        <f>Nodes!F84*(1-Nodes!AS84)</f>
        <v>#DIV/0!</v>
      </c>
      <c r="G84" s="46" t="e">
        <f>Nodes!G84*(1-Nodes!AT84)</f>
        <v>#DIV/0!</v>
      </c>
      <c r="H84" s="46" t="e">
        <f>Nodes!H84*(1-Nodes!AU84)</f>
        <v>#DIV/0!</v>
      </c>
      <c r="I84" s="46" t="e">
        <f>Nodes!I84*(1-Nodes!AV84)</f>
        <v>#DIV/0!</v>
      </c>
      <c r="J84" s="46" t="e">
        <f>Nodes!L84*(1-Nodes!AY84)</f>
        <v>#DIV/0!</v>
      </c>
      <c r="K84" s="46" t="e">
        <f>Nodes!N84*(1-Nodes!BA84)</f>
        <v>#DIV/0!</v>
      </c>
      <c r="L84" s="56" t="e">
        <f>B84/60/A$189</f>
        <v>#DIV/0!</v>
      </c>
      <c r="M84" s="56" t="e">
        <f>C84/60/B$189</f>
        <v>#DIV/0!</v>
      </c>
      <c r="N84" s="56" t="e">
        <f>D84/60/C$189</f>
        <v>#DIV/0!</v>
      </c>
      <c r="O84" s="56" t="e">
        <f>E84/60/D$189</f>
        <v>#DIV/0!</v>
      </c>
      <c r="P84" s="56" t="e">
        <f>F84/60/E$189</f>
        <v>#DIV/0!</v>
      </c>
      <c r="Q84" s="56" t="e">
        <f>G84/60/F$189</f>
        <v>#DIV/0!</v>
      </c>
      <c r="R84" s="56" t="e">
        <f>H84/60/G$189</f>
        <v>#DIV/0!</v>
      </c>
      <c r="S84" s="56" t="e">
        <f>I84/60/H$189</f>
        <v>#DIV/0!</v>
      </c>
      <c r="T84" s="56" t="e">
        <f>J84/60/I$189</f>
        <v>#DIV/0!</v>
      </c>
      <c r="U84" s="56" t="e">
        <f t="shared" si="1"/>
        <v>#DIV/0!</v>
      </c>
    </row>
    <row r="85" spans="1:21" x14ac:dyDescent="0.15">
      <c r="A85" s="49">
        <v>83</v>
      </c>
      <c r="B85" s="46" t="e">
        <f>Nodes!B85*(1-Nodes!AO85)</f>
        <v>#DIV/0!</v>
      </c>
      <c r="C85" s="46" t="e">
        <f>Nodes!C85*(1-Nodes!AP85)</f>
        <v>#DIV/0!</v>
      </c>
      <c r="D85" s="46" t="e">
        <f>Nodes!D85*(1-Nodes!AQ85)</f>
        <v>#DIV/0!</v>
      </c>
      <c r="E85" s="46" t="e">
        <f>Nodes!E85*(1-Nodes!AR85)</f>
        <v>#DIV/0!</v>
      </c>
      <c r="F85" s="46" t="e">
        <f>Nodes!F85*(1-Nodes!AS85)</f>
        <v>#DIV/0!</v>
      </c>
      <c r="G85" s="46" t="e">
        <f>Nodes!G85*(1-Nodes!AT85)</f>
        <v>#DIV/0!</v>
      </c>
      <c r="H85" s="46" t="e">
        <f>Nodes!H85*(1-Nodes!AU85)</f>
        <v>#DIV/0!</v>
      </c>
      <c r="I85" s="46" t="e">
        <f>Nodes!I85*(1-Nodes!AV85)</f>
        <v>#DIV/0!</v>
      </c>
      <c r="J85" s="46" t="e">
        <f>Nodes!L85*(1-Nodes!AY85)</f>
        <v>#DIV/0!</v>
      </c>
      <c r="K85" s="46" t="e">
        <f>Nodes!N85*(1-Nodes!BA85)</f>
        <v>#DIV/0!</v>
      </c>
      <c r="L85" s="56" t="e">
        <f>B85/60/A$189</f>
        <v>#DIV/0!</v>
      </c>
      <c r="M85" s="56" t="e">
        <f>C85/60/B$189</f>
        <v>#DIV/0!</v>
      </c>
      <c r="N85" s="56" t="e">
        <f>D85/60/C$189</f>
        <v>#DIV/0!</v>
      </c>
      <c r="O85" s="56" t="e">
        <f>E85/60/D$189</f>
        <v>#DIV/0!</v>
      </c>
      <c r="P85" s="56" t="e">
        <f>F85/60/E$189</f>
        <v>#DIV/0!</v>
      </c>
      <c r="Q85" s="56" t="e">
        <f>G85/60/F$189</f>
        <v>#DIV/0!</v>
      </c>
      <c r="R85" s="56" t="e">
        <f>H85/60/G$189</f>
        <v>#DIV/0!</v>
      </c>
      <c r="S85" s="56" t="e">
        <f>I85/60/H$189</f>
        <v>#DIV/0!</v>
      </c>
      <c r="T85" s="56" t="e">
        <f>J85/60/I$189</f>
        <v>#DIV/0!</v>
      </c>
      <c r="U85" s="56" t="e">
        <f t="shared" si="1"/>
        <v>#DIV/0!</v>
      </c>
    </row>
    <row r="86" spans="1:21" x14ac:dyDescent="0.15">
      <c r="A86" s="49">
        <v>84</v>
      </c>
      <c r="B86" s="46" t="e">
        <f>Nodes!B86*(1-Nodes!AO86)</f>
        <v>#DIV/0!</v>
      </c>
      <c r="C86" s="46" t="e">
        <f>Nodes!C86*(1-Nodes!AP86)</f>
        <v>#DIV/0!</v>
      </c>
      <c r="D86" s="46" t="e">
        <f>Nodes!D86*(1-Nodes!AQ86)</f>
        <v>#DIV/0!</v>
      </c>
      <c r="E86" s="46" t="e">
        <f>Nodes!E86*(1-Nodes!AR86)</f>
        <v>#DIV/0!</v>
      </c>
      <c r="F86" s="46" t="e">
        <f>Nodes!F86*(1-Nodes!AS86)</f>
        <v>#DIV/0!</v>
      </c>
      <c r="G86" s="46" t="e">
        <f>Nodes!G86*(1-Nodes!AT86)</f>
        <v>#DIV/0!</v>
      </c>
      <c r="H86" s="46" t="e">
        <f>Nodes!H86*(1-Nodes!AU86)</f>
        <v>#DIV/0!</v>
      </c>
      <c r="I86" s="46" t="e">
        <f>Nodes!I86*(1-Nodes!AV86)</f>
        <v>#DIV/0!</v>
      </c>
      <c r="J86" s="46" t="e">
        <f>Nodes!L86*(1-Nodes!AY86)</f>
        <v>#DIV/0!</v>
      </c>
      <c r="K86" s="46" t="e">
        <f>Nodes!N86*(1-Nodes!BA86)</f>
        <v>#DIV/0!</v>
      </c>
      <c r="L86" s="56" t="e">
        <f>B86/60/A$189</f>
        <v>#DIV/0!</v>
      </c>
      <c r="M86" s="56" t="e">
        <f>C86/60/B$189</f>
        <v>#DIV/0!</v>
      </c>
      <c r="N86" s="56" t="e">
        <f>D86/60/C$189</f>
        <v>#DIV/0!</v>
      </c>
      <c r="O86" s="56" t="e">
        <f>E86/60/D$189</f>
        <v>#DIV/0!</v>
      </c>
      <c r="P86" s="56" t="e">
        <f>F86/60/E$189</f>
        <v>#DIV/0!</v>
      </c>
      <c r="Q86" s="56" t="e">
        <f>G86/60/F$189</f>
        <v>#DIV/0!</v>
      </c>
      <c r="R86" s="56" t="e">
        <f>H86/60/G$189</f>
        <v>#DIV/0!</v>
      </c>
      <c r="S86" s="56" t="e">
        <f>I86/60/H$189</f>
        <v>#DIV/0!</v>
      </c>
      <c r="T86" s="56" t="e">
        <f>J86/60/I$189</f>
        <v>#DIV/0!</v>
      </c>
      <c r="U86" s="56" t="e">
        <f t="shared" si="1"/>
        <v>#DIV/0!</v>
      </c>
    </row>
    <row r="87" spans="1:21" x14ac:dyDescent="0.15">
      <c r="A87" s="49">
        <v>85</v>
      </c>
      <c r="B87" s="46" t="e">
        <f>Nodes!B87*(1-Nodes!AO87)</f>
        <v>#DIV/0!</v>
      </c>
      <c r="C87" s="46" t="e">
        <f>Nodes!C87*(1-Nodes!AP87)</f>
        <v>#DIV/0!</v>
      </c>
      <c r="D87" s="46" t="e">
        <f>Nodes!D87*(1-Nodes!AQ87)</f>
        <v>#DIV/0!</v>
      </c>
      <c r="E87" s="46" t="e">
        <f>Nodes!E87*(1-Nodes!AR87)</f>
        <v>#DIV/0!</v>
      </c>
      <c r="F87" s="46" t="e">
        <f>Nodes!F87*(1-Nodes!AS87)</f>
        <v>#DIV/0!</v>
      </c>
      <c r="G87" s="46" t="e">
        <f>Nodes!G87*(1-Nodes!AT87)</f>
        <v>#DIV/0!</v>
      </c>
      <c r="H87" s="46" t="e">
        <f>Nodes!H87*(1-Nodes!AU87)</f>
        <v>#DIV/0!</v>
      </c>
      <c r="I87" s="46" t="e">
        <f>Nodes!I87*(1-Nodes!AV87)</f>
        <v>#DIV/0!</v>
      </c>
      <c r="J87" s="46" t="e">
        <f>Nodes!L87*(1-Nodes!AY87)</f>
        <v>#DIV/0!</v>
      </c>
      <c r="K87" s="46" t="e">
        <f>Nodes!N87*(1-Nodes!BA87)</f>
        <v>#DIV/0!</v>
      </c>
      <c r="L87" s="56" t="e">
        <f>B87/60/A$189</f>
        <v>#DIV/0!</v>
      </c>
      <c r="M87" s="56" t="e">
        <f>C87/60/B$189</f>
        <v>#DIV/0!</v>
      </c>
      <c r="N87" s="56" t="e">
        <f>D87/60/C$189</f>
        <v>#DIV/0!</v>
      </c>
      <c r="O87" s="56" t="e">
        <f>E87/60/D$189</f>
        <v>#DIV/0!</v>
      </c>
      <c r="P87" s="56" t="e">
        <f>F87/60/E$189</f>
        <v>#DIV/0!</v>
      </c>
      <c r="Q87" s="56" t="e">
        <f>G87/60/F$189</f>
        <v>#DIV/0!</v>
      </c>
      <c r="R87" s="56" t="e">
        <f>H87/60/G$189</f>
        <v>#DIV/0!</v>
      </c>
      <c r="S87" s="56" t="e">
        <f>I87/60/H$189</f>
        <v>#DIV/0!</v>
      </c>
      <c r="T87" s="56" t="e">
        <f>J87/60/I$189</f>
        <v>#DIV/0!</v>
      </c>
      <c r="U87" s="56" t="e">
        <f t="shared" si="1"/>
        <v>#DIV/0!</v>
      </c>
    </row>
    <row r="88" spans="1:21" x14ac:dyDescent="0.15">
      <c r="A88" s="49">
        <v>86</v>
      </c>
      <c r="B88" s="46" t="e">
        <f>Nodes!B88*(1-Nodes!AO88)</f>
        <v>#DIV/0!</v>
      </c>
      <c r="C88" s="46" t="e">
        <f>Nodes!C88*(1-Nodes!AP88)</f>
        <v>#DIV/0!</v>
      </c>
      <c r="D88" s="46" t="e">
        <f>Nodes!D88*(1-Nodes!AQ88)</f>
        <v>#DIV/0!</v>
      </c>
      <c r="E88" s="46" t="e">
        <f>Nodes!E88*(1-Nodes!AR88)</f>
        <v>#DIV/0!</v>
      </c>
      <c r="F88" s="46" t="e">
        <f>Nodes!F88*(1-Nodes!AS88)</f>
        <v>#DIV/0!</v>
      </c>
      <c r="G88" s="46" t="e">
        <f>Nodes!G88*(1-Nodes!AT88)</f>
        <v>#DIV/0!</v>
      </c>
      <c r="H88" s="46" t="e">
        <f>Nodes!H88*(1-Nodes!AU88)</f>
        <v>#DIV/0!</v>
      </c>
      <c r="I88" s="46" t="e">
        <f>Nodes!I88*(1-Nodes!AV88)</f>
        <v>#DIV/0!</v>
      </c>
      <c r="J88" s="46" t="e">
        <f>Nodes!L88*(1-Nodes!AY88)</f>
        <v>#DIV/0!</v>
      </c>
      <c r="K88" s="46" t="e">
        <f>Nodes!N88*(1-Nodes!BA88)</f>
        <v>#DIV/0!</v>
      </c>
      <c r="L88" s="56" t="e">
        <f>B88/60/A$189</f>
        <v>#DIV/0!</v>
      </c>
      <c r="M88" s="56" t="e">
        <f>C88/60/B$189</f>
        <v>#DIV/0!</v>
      </c>
      <c r="N88" s="56" t="e">
        <f>D88/60/C$189</f>
        <v>#DIV/0!</v>
      </c>
      <c r="O88" s="56" t="e">
        <f>E88/60/D$189</f>
        <v>#DIV/0!</v>
      </c>
      <c r="P88" s="56" t="e">
        <f>F88/60/E$189</f>
        <v>#DIV/0!</v>
      </c>
      <c r="Q88" s="56" t="e">
        <f>G88/60/F$189</f>
        <v>#DIV/0!</v>
      </c>
      <c r="R88" s="56" t="e">
        <f>H88/60/G$189</f>
        <v>#DIV/0!</v>
      </c>
      <c r="S88" s="56" t="e">
        <f>I88/60/H$189</f>
        <v>#DIV/0!</v>
      </c>
      <c r="T88" s="56" t="e">
        <f>J88/60/I$189</f>
        <v>#DIV/0!</v>
      </c>
      <c r="U88" s="56" t="e">
        <f t="shared" si="1"/>
        <v>#DIV/0!</v>
      </c>
    </row>
    <row r="89" spans="1:21" x14ac:dyDescent="0.15">
      <c r="A89" s="49">
        <v>87</v>
      </c>
      <c r="B89" s="46" t="e">
        <f>Nodes!B89*(1-Nodes!AO89)</f>
        <v>#DIV/0!</v>
      </c>
      <c r="C89" s="46" t="e">
        <f>Nodes!C89*(1-Nodes!AP89)</f>
        <v>#DIV/0!</v>
      </c>
      <c r="D89" s="46" t="e">
        <f>Nodes!D89*(1-Nodes!AQ89)</f>
        <v>#DIV/0!</v>
      </c>
      <c r="E89" s="46" t="e">
        <f>Nodes!E89*(1-Nodes!AR89)</f>
        <v>#DIV/0!</v>
      </c>
      <c r="F89" s="46" t="e">
        <f>Nodes!F89*(1-Nodes!AS89)</f>
        <v>#DIV/0!</v>
      </c>
      <c r="G89" s="46" t="e">
        <f>Nodes!G89*(1-Nodes!AT89)</f>
        <v>#DIV/0!</v>
      </c>
      <c r="H89" s="46" t="e">
        <f>Nodes!H89*(1-Nodes!AU89)</f>
        <v>#DIV/0!</v>
      </c>
      <c r="I89" s="46" t="e">
        <f>Nodes!I89*(1-Nodes!AV89)</f>
        <v>#DIV/0!</v>
      </c>
      <c r="J89" s="46" t="e">
        <f>Nodes!L89*(1-Nodes!AY89)</f>
        <v>#DIV/0!</v>
      </c>
      <c r="K89" s="46" t="e">
        <f>Nodes!N89*(1-Nodes!BA89)</f>
        <v>#DIV/0!</v>
      </c>
      <c r="L89" s="56" t="e">
        <f>B89/60/A$189</f>
        <v>#DIV/0!</v>
      </c>
      <c r="M89" s="56" t="e">
        <f>C89/60/B$189</f>
        <v>#DIV/0!</v>
      </c>
      <c r="N89" s="56" t="e">
        <f>D89/60/C$189</f>
        <v>#DIV/0!</v>
      </c>
      <c r="O89" s="56" t="e">
        <f>E89/60/D$189</f>
        <v>#DIV/0!</v>
      </c>
      <c r="P89" s="56" t="e">
        <f>F89/60/E$189</f>
        <v>#DIV/0!</v>
      </c>
      <c r="Q89" s="56" t="e">
        <f>G89/60/F$189</f>
        <v>#DIV/0!</v>
      </c>
      <c r="R89" s="56" t="e">
        <f>H89/60/G$189</f>
        <v>#DIV/0!</v>
      </c>
      <c r="S89" s="56" t="e">
        <f>I89/60/H$189</f>
        <v>#DIV/0!</v>
      </c>
      <c r="T89" s="56" t="e">
        <f>J89/60/I$189</f>
        <v>#DIV/0!</v>
      </c>
      <c r="U89" s="56" t="e">
        <f t="shared" si="1"/>
        <v>#DIV/0!</v>
      </c>
    </row>
    <row r="90" spans="1:21" x14ac:dyDescent="0.15">
      <c r="A90" s="49">
        <v>88</v>
      </c>
      <c r="B90" s="46" t="e">
        <f>Nodes!B90*(1-Nodes!AO90)</f>
        <v>#DIV/0!</v>
      </c>
      <c r="C90" s="46" t="e">
        <f>Nodes!C90*(1-Nodes!AP90)</f>
        <v>#DIV/0!</v>
      </c>
      <c r="D90" s="46" t="e">
        <f>Nodes!D90*(1-Nodes!AQ90)</f>
        <v>#DIV/0!</v>
      </c>
      <c r="E90" s="46" t="e">
        <f>Nodes!E90*(1-Nodes!AR90)</f>
        <v>#DIV/0!</v>
      </c>
      <c r="F90" s="46" t="e">
        <f>Nodes!F90*(1-Nodes!AS90)</f>
        <v>#DIV/0!</v>
      </c>
      <c r="G90" s="46" t="e">
        <f>Nodes!G90*(1-Nodes!AT90)</f>
        <v>#DIV/0!</v>
      </c>
      <c r="H90" s="46" t="e">
        <f>Nodes!H90*(1-Nodes!AU90)</f>
        <v>#DIV/0!</v>
      </c>
      <c r="I90" s="46" t="e">
        <f>Nodes!I90*(1-Nodes!AV90)</f>
        <v>#DIV/0!</v>
      </c>
      <c r="J90" s="46" t="e">
        <f>Nodes!L90*(1-Nodes!AY90)</f>
        <v>#DIV/0!</v>
      </c>
      <c r="K90" s="46" t="e">
        <f>Nodes!N90*(1-Nodes!BA90)</f>
        <v>#DIV/0!</v>
      </c>
      <c r="L90" s="56" t="e">
        <f>B90/60/A$189</f>
        <v>#DIV/0!</v>
      </c>
      <c r="M90" s="56" t="e">
        <f>C90/60/B$189</f>
        <v>#DIV/0!</v>
      </c>
      <c r="N90" s="56" t="e">
        <f>D90/60/C$189</f>
        <v>#DIV/0!</v>
      </c>
      <c r="O90" s="56" t="e">
        <f>E90/60/D$189</f>
        <v>#DIV/0!</v>
      </c>
      <c r="P90" s="56" t="e">
        <f>F90/60/E$189</f>
        <v>#DIV/0!</v>
      </c>
      <c r="Q90" s="56" t="e">
        <f>G90/60/F$189</f>
        <v>#DIV/0!</v>
      </c>
      <c r="R90" s="56" t="e">
        <f>H90/60/G$189</f>
        <v>#DIV/0!</v>
      </c>
      <c r="S90" s="56" t="e">
        <f>I90/60/H$189</f>
        <v>#DIV/0!</v>
      </c>
      <c r="T90" s="56" t="e">
        <f>J90/60/I$189</f>
        <v>#DIV/0!</v>
      </c>
      <c r="U90" s="56" t="e">
        <f t="shared" si="1"/>
        <v>#DIV/0!</v>
      </c>
    </row>
    <row r="91" spans="1:21" x14ac:dyDescent="0.15">
      <c r="A91" s="49">
        <v>89</v>
      </c>
      <c r="B91" s="46" t="e">
        <f>Nodes!B91*(1-Nodes!AO91)</f>
        <v>#DIV/0!</v>
      </c>
      <c r="C91" s="46" t="e">
        <f>Nodes!C91*(1-Nodes!AP91)</f>
        <v>#DIV/0!</v>
      </c>
      <c r="D91" s="46" t="e">
        <f>Nodes!D91*(1-Nodes!AQ91)</f>
        <v>#DIV/0!</v>
      </c>
      <c r="E91" s="46" t="e">
        <f>Nodes!E91*(1-Nodes!AR91)</f>
        <v>#DIV/0!</v>
      </c>
      <c r="F91" s="46" t="e">
        <f>Nodes!F91*(1-Nodes!AS91)</f>
        <v>#DIV/0!</v>
      </c>
      <c r="G91" s="46" t="e">
        <f>Nodes!G91*(1-Nodes!AT91)</f>
        <v>#DIV/0!</v>
      </c>
      <c r="H91" s="46" t="e">
        <f>Nodes!H91*(1-Nodes!AU91)</f>
        <v>#DIV/0!</v>
      </c>
      <c r="I91" s="46" t="e">
        <f>Nodes!I91*(1-Nodes!AV91)</f>
        <v>#DIV/0!</v>
      </c>
      <c r="J91" s="46" t="e">
        <f>Nodes!L91*(1-Nodes!AY91)</f>
        <v>#DIV/0!</v>
      </c>
      <c r="K91" s="46" t="e">
        <f>Nodes!N91*(1-Nodes!BA91)</f>
        <v>#DIV/0!</v>
      </c>
      <c r="L91" s="56" t="e">
        <f>B91/60/A$189</f>
        <v>#DIV/0!</v>
      </c>
      <c r="M91" s="56" t="e">
        <f>C91/60/B$189</f>
        <v>#DIV/0!</v>
      </c>
      <c r="N91" s="56" t="e">
        <f>D91/60/C$189</f>
        <v>#DIV/0!</v>
      </c>
      <c r="O91" s="56" t="e">
        <f>E91/60/D$189</f>
        <v>#DIV/0!</v>
      </c>
      <c r="P91" s="56" t="e">
        <f>F91/60/E$189</f>
        <v>#DIV/0!</v>
      </c>
      <c r="Q91" s="56" t="e">
        <f>G91/60/F$189</f>
        <v>#DIV/0!</v>
      </c>
      <c r="R91" s="56" t="e">
        <f>H91/60/G$189</f>
        <v>#DIV/0!</v>
      </c>
      <c r="S91" s="56" t="e">
        <f>I91/60/H$189</f>
        <v>#DIV/0!</v>
      </c>
      <c r="T91" s="56" t="e">
        <f>J91/60/I$189</f>
        <v>#DIV/0!</v>
      </c>
      <c r="U91" s="56" t="e">
        <f t="shared" si="1"/>
        <v>#DIV/0!</v>
      </c>
    </row>
    <row r="92" spans="1:21" x14ac:dyDescent="0.15">
      <c r="A92" s="49">
        <v>90</v>
      </c>
      <c r="B92" s="46" t="e">
        <f>Nodes!B92*(1-Nodes!AO92)</f>
        <v>#DIV/0!</v>
      </c>
      <c r="C92" s="46" t="e">
        <f>Nodes!C92*(1-Nodes!AP92)</f>
        <v>#DIV/0!</v>
      </c>
      <c r="D92" s="46" t="e">
        <f>Nodes!D92*(1-Nodes!AQ92)</f>
        <v>#DIV/0!</v>
      </c>
      <c r="E92" s="46" t="e">
        <f>Nodes!E92*(1-Nodes!AR92)</f>
        <v>#DIV/0!</v>
      </c>
      <c r="F92" s="46" t="e">
        <f>Nodes!F92*(1-Nodes!AS92)</f>
        <v>#DIV/0!</v>
      </c>
      <c r="G92" s="46" t="e">
        <f>Nodes!G92*(1-Nodes!AT92)</f>
        <v>#DIV/0!</v>
      </c>
      <c r="H92" s="46" t="e">
        <f>Nodes!H92*(1-Nodes!AU92)</f>
        <v>#DIV/0!</v>
      </c>
      <c r="I92" s="46" t="e">
        <f>Nodes!I92*(1-Nodes!AV92)</f>
        <v>#DIV/0!</v>
      </c>
      <c r="J92" s="46" t="e">
        <f>Nodes!L92*(1-Nodes!AY92)</f>
        <v>#DIV/0!</v>
      </c>
      <c r="K92" s="46" t="e">
        <f>Nodes!N92*(1-Nodes!BA92)</f>
        <v>#DIV/0!</v>
      </c>
      <c r="L92" s="56" t="e">
        <f>B92/60/A$189</f>
        <v>#DIV/0!</v>
      </c>
      <c r="M92" s="56" t="e">
        <f>C92/60/B$189</f>
        <v>#DIV/0!</v>
      </c>
      <c r="N92" s="56" t="e">
        <f>D92/60/C$189</f>
        <v>#DIV/0!</v>
      </c>
      <c r="O92" s="56" t="e">
        <f>E92/60/D$189</f>
        <v>#DIV/0!</v>
      </c>
      <c r="P92" s="56" t="e">
        <f>F92/60/E$189</f>
        <v>#DIV/0!</v>
      </c>
      <c r="Q92" s="56" t="e">
        <f>G92/60/F$189</f>
        <v>#DIV/0!</v>
      </c>
      <c r="R92" s="56" t="e">
        <f>H92/60/G$189</f>
        <v>#DIV/0!</v>
      </c>
      <c r="S92" s="56" t="e">
        <f>I92/60/H$189</f>
        <v>#DIV/0!</v>
      </c>
      <c r="T92" s="56" t="e">
        <f>J92/60/I$189</f>
        <v>#DIV/0!</v>
      </c>
      <c r="U92" s="56" t="e">
        <f t="shared" si="1"/>
        <v>#DIV/0!</v>
      </c>
    </row>
    <row r="93" spans="1:21" x14ac:dyDescent="0.15">
      <c r="A93" s="49">
        <v>91</v>
      </c>
      <c r="B93" s="46" t="e">
        <f>Nodes!B93*(1-Nodes!AO93)</f>
        <v>#DIV/0!</v>
      </c>
      <c r="C93" s="46" t="e">
        <f>Nodes!C93*(1-Nodes!AP93)</f>
        <v>#DIV/0!</v>
      </c>
      <c r="D93" s="46" t="e">
        <f>Nodes!D93*(1-Nodes!AQ93)</f>
        <v>#DIV/0!</v>
      </c>
      <c r="E93" s="46" t="e">
        <f>Nodes!E93*(1-Nodes!AR93)</f>
        <v>#DIV/0!</v>
      </c>
      <c r="F93" s="46" t="e">
        <f>Nodes!F93*(1-Nodes!AS93)</f>
        <v>#DIV/0!</v>
      </c>
      <c r="G93" s="46" t="e">
        <f>Nodes!G93*(1-Nodes!AT93)</f>
        <v>#DIV/0!</v>
      </c>
      <c r="H93" s="46" t="e">
        <f>Nodes!H93*(1-Nodes!AU93)</f>
        <v>#DIV/0!</v>
      </c>
      <c r="I93" s="46" t="e">
        <f>Nodes!I93*(1-Nodes!AV93)</f>
        <v>#DIV/0!</v>
      </c>
      <c r="J93" s="46" t="e">
        <f>Nodes!L93*(1-Nodes!AY93)</f>
        <v>#DIV/0!</v>
      </c>
      <c r="K93" s="46" t="e">
        <f>Nodes!N93*(1-Nodes!BA93)</f>
        <v>#DIV/0!</v>
      </c>
      <c r="L93" s="56" t="e">
        <f>B93/60/A$189</f>
        <v>#DIV/0!</v>
      </c>
      <c r="M93" s="56" t="e">
        <f>C93/60/B$189</f>
        <v>#DIV/0!</v>
      </c>
      <c r="N93" s="56" t="e">
        <f>D93/60/C$189</f>
        <v>#DIV/0!</v>
      </c>
      <c r="O93" s="56" t="e">
        <f>E93/60/D$189</f>
        <v>#DIV/0!</v>
      </c>
      <c r="P93" s="56" t="e">
        <f>F93/60/E$189</f>
        <v>#DIV/0!</v>
      </c>
      <c r="Q93" s="56" t="e">
        <f>G93/60/F$189</f>
        <v>#DIV/0!</v>
      </c>
      <c r="R93" s="56" t="e">
        <f>H93/60/G$189</f>
        <v>#DIV/0!</v>
      </c>
      <c r="S93" s="56" t="e">
        <f>I93/60/H$189</f>
        <v>#DIV/0!</v>
      </c>
      <c r="T93" s="56" t="e">
        <f>J93/60/I$189</f>
        <v>#DIV/0!</v>
      </c>
      <c r="U93" s="56" t="e">
        <f t="shared" si="1"/>
        <v>#DIV/0!</v>
      </c>
    </row>
    <row r="94" spans="1:21" x14ac:dyDescent="0.15">
      <c r="A94" s="49">
        <v>92</v>
      </c>
      <c r="B94" s="46" t="e">
        <f>Nodes!B94*(1-Nodes!AO94)</f>
        <v>#DIV/0!</v>
      </c>
      <c r="C94" s="46" t="e">
        <f>Nodes!C94*(1-Nodes!AP94)</f>
        <v>#DIV/0!</v>
      </c>
      <c r="D94" s="46" t="e">
        <f>Nodes!D94*(1-Nodes!AQ94)</f>
        <v>#DIV/0!</v>
      </c>
      <c r="E94" s="46" t="e">
        <f>Nodes!E94*(1-Nodes!AR94)</f>
        <v>#DIV/0!</v>
      </c>
      <c r="F94" s="46" t="e">
        <f>Nodes!F94*(1-Nodes!AS94)</f>
        <v>#DIV/0!</v>
      </c>
      <c r="G94" s="46" t="e">
        <f>Nodes!G94*(1-Nodes!AT94)</f>
        <v>#DIV/0!</v>
      </c>
      <c r="H94" s="46" t="e">
        <f>Nodes!H94*(1-Nodes!AU94)</f>
        <v>#DIV/0!</v>
      </c>
      <c r="I94" s="46" t="e">
        <f>Nodes!I94*(1-Nodes!AV94)</f>
        <v>#DIV/0!</v>
      </c>
      <c r="J94" s="46" t="e">
        <f>Nodes!L94*(1-Nodes!AY94)</f>
        <v>#DIV/0!</v>
      </c>
      <c r="K94" s="46" t="e">
        <f>Nodes!N94*(1-Nodes!BA94)</f>
        <v>#DIV/0!</v>
      </c>
      <c r="L94" s="56" t="e">
        <f>B94/60/A$189</f>
        <v>#DIV/0!</v>
      </c>
      <c r="M94" s="56" t="e">
        <f>C94/60/B$189</f>
        <v>#DIV/0!</v>
      </c>
      <c r="N94" s="56" t="e">
        <f>D94/60/C$189</f>
        <v>#DIV/0!</v>
      </c>
      <c r="O94" s="56" t="e">
        <f>E94/60/D$189</f>
        <v>#DIV/0!</v>
      </c>
      <c r="P94" s="56" t="e">
        <f>F94/60/E$189</f>
        <v>#DIV/0!</v>
      </c>
      <c r="Q94" s="56" t="e">
        <f>G94/60/F$189</f>
        <v>#DIV/0!</v>
      </c>
      <c r="R94" s="56" t="e">
        <f>H94/60/G$189</f>
        <v>#DIV/0!</v>
      </c>
      <c r="S94" s="56" t="e">
        <f>I94/60/H$189</f>
        <v>#DIV/0!</v>
      </c>
      <c r="T94" s="56" t="e">
        <f>J94/60/I$189</f>
        <v>#DIV/0!</v>
      </c>
      <c r="U94" s="56" t="e">
        <f t="shared" si="1"/>
        <v>#DIV/0!</v>
      </c>
    </row>
    <row r="95" spans="1:21" x14ac:dyDescent="0.15">
      <c r="A95" s="49">
        <v>93</v>
      </c>
      <c r="B95" s="46" t="e">
        <f>Nodes!B95*(1-Nodes!AO95)</f>
        <v>#DIV/0!</v>
      </c>
      <c r="C95" s="46" t="e">
        <f>Nodes!C95*(1-Nodes!AP95)</f>
        <v>#DIV/0!</v>
      </c>
      <c r="D95" s="46" t="e">
        <f>Nodes!D95*(1-Nodes!AQ95)</f>
        <v>#DIV/0!</v>
      </c>
      <c r="E95" s="46" t="e">
        <f>Nodes!E95*(1-Nodes!AR95)</f>
        <v>#DIV/0!</v>
      </c>
      <c r="F95" s="46" t="e">
        <f>Nodes!F95*(1-Nodes!AS95)</f>
        <v>#DIV/0!</v>
      </c>
      <c r="G95" s="46" t="e">
        <f>Nodes!G95*(1-Nodes!AT95)</f>
        <v>#DIV/0!</v>
      </c>
      <c r="H95" s="46" t="e">
        <f>Nodes!H95*(1-Nodes!AU95)</f>
        <v>#DIV/0!</v>
      </c>
      <c r="I95" s="46" t="e">
        <f>Nodes!I95*(1-Nodes!AV95)</f>
        <v>#DIV/0!</v>
      </c>
      <c r="J95" s="46" t="e">
        <f>Nodes!L95*(1-Nodes!AY95)</f>
        <v>#DIV/0!</v>
      </c>
      <c r="K95" s="46" t="e">
        <f>Nodes!N95*(1-Nodes!BA95)</f>
        <v>#DIV/0!</v>
      </c>
      <c r="L95" s="56" t="e">
        <f>B95/60/A$189</f>
        <v>#DIV/0!</v>
      </c>
      <c r="M95" s="56" t="e">
        <f>C95/60/B$189</f>
        <v>#DIV/0!</v>
      </c>
      <c r="N95" s="56" t="e">
        <f>D95/60/C$189</f>
        <v>#DIV/0!</v>
      </c>
      <c r="O95" s="56" t="e">
        <f>E95/60/D$189</f>
        <v>#DIV/0!</v>
      </c>
      <c r="P95" s="56" t="e">
        <f>F95/60/E$189</f>
        <v>#DIV/0!</v>
      </c>
      <c r="Q95" s="56" t="e">
        <f>G95/60/F$189</f>
        <v>#DIV/0!</v>
      </c>
      <c r="R95" s="56" t="e">
        <f>H95/60/G$189</f>
        <v>#DIV/0!</v>
      </c>
      <c r="S95" s="56" t="e">
        <f>I95/60/H$189</f>
        <v>#DIV/0!</v>
      </c>
      <c r="T95" s="56" t="e">
        <f>J95/60/I$189</f>
        <v>#DIV/0!</v>
      </c>
      <c r="U95" s="56" t="e">
        <f t="shared" si="1"/>
        <v>#DIV/0!</v>
      </c>
    </row>
    <row r="96" spans="1:21" x14ac:dyDescent="0.15">
      <c r="A96" s="49">
        <v>94</v>
      </c>
      <c r="B96" s="46" t="e">
        <f>Nodes!B96*(1-Nodes!AO96)</f>
        <v>#DIV/0!</v>
      </c>
      <c r="C96" s="46" t="e">
        <f>Nodes!C96*(1-Nodes!AP96)</f>
        <v>#DIV/0!</v>
      </c>
      <c r="D96" s="46" t="e">
        <f>Nodes!D96*(1-Nodes!AQ96)</f>
        <v>#DIV/0!</v>
      </c>
      <c r="E96" s="46" t="e">
        <f>Nodes!E96*(1-Nodes!AR96)</f>
        <v>#DIV/0!</v>
      </c>
      <c r="F96" s="46" t="e">
        <f>Nodes!F96*(1-Nodes!AS96)</f>
        <v>#DIV/0!</v>
      </c>
      <c r="G96" s="46" t="e">
        <f>Nodes!G96*(1-Nodes!AT96)</f>
        <v>#DIV/0!</v>
      </c>
      <c r="H96" s="46" t="e">
        <f>Nodes!H96*(1-Nodes!AU96)</f>
        <v>#DIV/0!</v>
      </c>
      <c r="I96" s="46" t="e">
        <f>Nodes!I96*(1-Nodes!AV96)</f>
        <v>#DIV/0!</v>
      </c>
      <c r="J96" s="46" t="e">
        <f>Nodes!L96*(1-Nodes!AY96)</f>
        <v>#DIV/0!</v>
      </c>
      <c r="K96" s="46" t="e">
        <f>Nodes!N96*(1-Nodes!BA96)</f>
        <v>#DIV/0!</v>
      </c>
      <c r="L96" s="56" t="e">
        <f>B96/60/A$189</f>
        <v>#DIV/0!</v>
      </c>
      <c r="M96" s="56" t="e">
        <f>C96/60/B$189</f>
        <v>#DIV/0!</v>
      </c>
      <c r="N96" s="56" t="e">
        <f>D96/60/C$189</f>
        <v>#DIV/0!</v>
      </c>
      <c r="O96" s="56" t="e">
        <f>E96/60/D$189</f>
        <v>#DIV/0!</v>
      </c>
      <c r="P96" s="56" t="e">
        <f>F96/60/E$189</f>
        <v>#DIV/0!</v>
      </c>
      <c r="Q96" s="56" t="e">
        <f>G96/60/F$189</f>
        <v>#DIV/0!</v>
      </c>
      <c r="R96" s="56" t="e">
        <f>H96/60/G$189</f>
        <v>#DIV/0!</v>
      </c>
      <c r="S96" s="56" t="e">
        <f>I96/60/H$189</f>
        <v>#DIV/0!</v>
      </c>
      <c r="T96" s="56" t="e">
        <f>J96/60/I$189</f>
        <v>#DIV/0!</v>
      </c>
      <c r="U96" s="56" t="e">
        <f t="shared" si="1"/>
        <v>#DIV/0!</v>
      </c>
    </row>
    <row r="97" spans="1:21" x14ac:dyDescent="0.15">
      <c r="A97" s="49">
        <v>95</v>
      </c>
      <c r="B97" s="46" t="e">
        <f>Nodes!B97*(1-Nodes!AO97)</f>
        <v>#DIV/0!</v>
      </c>
      <c r="C97" s="46" t="e">
        <f>Nodes!C97*(1-Nodes!AP97)</f>
        <v>#DIV/0!</v>
      </c>
      <c r="D97" s="46" t="e">
        <f>Nodes!D97*(1-Nodes!AQ97)</f>
        <v>#DIV/0!</v>
      </c>
      <c r="E97" s="46" t="e">
        <f>Nodes!E97*(1-Nodes!AR97)</f>
        <v>#DIV/0!</v>
      </c>
      <c r="F97" s="46" t="e">
        <f>Nodes!F97*(1-Nodes!AS97)</f>
        <v>#DIV/0!</v>
      </c>
      <c r="G97" s="46" t="e">
        <f>Nodes!G97*(1-Nodes!AT97)</f>
        <v>#DIV/0!</v>
      </c>
      <c r="H97" s="46" t="e">
        <f>Nodes!H97*(1-Nodes!AU97)</f>
        <v>#DIV/0!</v>
      </c>
      <c r="I97" s="46" t="e">
        <f>Nodes!I97*(1-Nodes!AV97)</f>
        <v>#DIV/0!</v>
      </c>
      <c r="J97" s="46" t="e">
        <f>Nodes!L97*(1-Nodes!AY97)</f>
        <v>#DIV/0!</v>
      </c>
      <c r="K97" s="46" t="e">
        <f>Nodes!N97*(1-Nodes!BA97)</f>
        <v>#DIV/0!</v>
      </c>
      <c r="L97" s="56" t="e">
        <f>B97/60/A$189</f>
        <v>#DIV/0!</v>
      </c>
      <c r="M97" s="56" t="e">
        <f>C97/60/B$189</f>
        <v>#DIV/0!</v>
      </c>
      <c r="N97" s="56" t="e">
        <f>D97/60/C$189</f>
        <v>#DIV/0!</v>
      </c>
      <c r="O97" s="56" t="e">
        <f>E97/60/D$189</f>
        <v>#DIV/0!</v>
      </c>
      <c r="P97" s="56" t="e">
        <f>F97/60/E$189</f>
        <v>#DIV/0!</v>
      </c>
      <c r="Q97" s="56" t="e">
        <f>G97/60/F$189</f>
        <v>#DIV/0!</v>
      </c>
      <c r="R97" s="56" t="e">
        <f>H97/60/G$189</f>
        <v>#DIV/0!</v>
      </c>
      <c r="S97" s="56" t="e">
        <f>I97/60/H$189</f>
        <v>#DIV/0!</v>
      </c>
      <c r="T97" s="56" t="e">
        <f>J97/60/I$189</f>
        <v>#DIV/0!</v>
      </c>
      <c r="U97" s="56" t="e">
        <f t="shared" si="1"/>
        <v>#DIV/0!</v>
      </c>
    </row>
    <row r="98" spans="1:21" x14ac:dyDescent="0.15">
      <c r="A98" s="49">
        <v>96</v>
      </c>
      <c r="B98" s="46" t="e">
        <f>Nodes!B98*(1-Nodes!AO98)</f>
        <v>#DIV/0!</v>
      </c>
      <c r="C98" s="46" t="e">
        <f>Nodes!C98*(1-Nodes!AP98)</f>
        <v>#DIV/0!</v>
      </c>
      <c r="D98" s="46" t="e">
        <f>Nodes!D98*(1-Nodes!AQ98)</f>
        <v>#DIV/0!</v>
      </c>
      <c r="E98" s="46" t="e">
        <f>Nodes!E98*(1-Nodes!AR98)</f>
        <v>#DIV/0!</v>
      </c>
      <c r="F98" s="46" t="e">
        <f>Nodes!F98*(1-Nodes!AS98)</f>
        <v>#DIV/0!</v>
      </c>
      <c r="G98" s="46" t="e">
        <f>Nodes!G98*(1-Nodes!AT98)</f>
        <v>#DIV/0!</v>
      </c>
      <c r="H98" s="46" t="e">
        <f>Nodes!H98*(1-Nodes!AU98)</f>
        <v>#DIV/0!</v>
      </c>
      <c r="I98" s="46" t="e">
        <f>Nodes!I98*(1-Nodes!AV98)</f>
        <v>#DIV/0!</v>
      </c>
      <c r="J98" s="46" t="e">
        <f>Nodes!L98*(1-Nodes!AY98)</f>
        <v>#DIV/0!</v>
      </c>
      <c r="K98" s="46" t="e">
        <f>Nodes!N98*(1-Nodes!BA98)</f>
        <v>#DIV/0!</v>
      </c>
      <c r="L98" s="56" t="e">
        <f>B98/60/A$189</f>
        <v>#DIV/0!</v>
      </c>
      <c r="M98" s="56" t="e">
        <f>C98/60/B$189</f>
        <v>#DIV/0!</v>
      </c>
      <c r="N98" s="56" t="e">
        <f>D98/60/C$189</f>
        <v>#DIV/0!</v>
      </c>
      <c r="O98" s="56" t="e">
        <f>E98/60/D$189</f>
        <v>#DIV/0!</v>
      </c>
      <c r="P98" s="56" t="e">
        <f>F98/60/E$189</f>
        <v>#DIV/0!</v>
      </c>
      <c r="Q98" s="56" t="e">
        <f>G98/60/F$189</f>
        <v>#DIV/0!</v>
      </c>
      <c r="R98" s="56" t="e">
        <f>H98/60/G$189</f>
        <v>#DIV/0!</v>
      </c>
      <c r="S98" s="56" t="e">
        <f>I98/60/H$189</f>
        <v>#DIV/0!</v>
      </c>
      <c r="T98" s="56" t="e">
        <f>J98/60/I$189</f>
        <v>#DIV/0!</v>
      </c>
      <c r="U98" s="56" t="e">
        <f t="shared" si="1"/>
        <v>#DIV/0!</v>
      </c>
    </row>
    <row r="99" spans="1:21" x14ac:dyDescent="0.15">
      <c r="A99" s="49">
        <v>97</v>
      </c>
      <c r="B99" s="46" t="e">
        <f>Nodes!B99*(1-Nodes!AO99)</f>
        <v>#DIV/0!</v>
      </c>
      <c r="C99" s="46" t="e">
        <f>Nodes!C99*(1-Nodes!AP99)</f>
        <v>#DIV/0!</v>
      </c>
      <c r="D99" s="46" t="e">
        <f>Nodes!D99*(1-Nodes!AQ99)</f>
        <v>#DIV/0!</v>
      </c>
      <c r="E99" s="46" t="e">
        <f>Nodes!E99*(1-Nodes!AR99)</f>
        <v>#DIV/0!</v>
      </c>
      <c r="F99" s="46" t="e">
        <f>Nodes!F99*(1-Nodes!AS99)</f>
        <v>#DIV/0!</v>
      </c>
      <c r="G99" s="46" t="e">
        <f>Nodes!G99*(1-Nodes!AT99)</f>
        <v>#DIV/0!</v>
      </c>
      <c r="H99" s="46" t="e">
        <f>Nodes!H99*(1-Nodes!AU99)</f>
        <v>#DIV/0!</v>
      </c>
      <c r="I99" s="46" t="e">
        <f>Nodes!I99*(1-Nodes!AV99)</f>
        <v>#DIV/0!</v>
      </c>
      <c r="J99" s="46" t="e">
        <f>Nodes!L99*(1-Nodes!AY99)</f>
        <v>#DIV/0!</v>
      </c>
      <c r="K99" s="46" t="e">
        <f>Nodes!N99*(1-Nodes!BA99)</f>
        <v>#DIV/0!</v>
      </c>
      <c r="L99" s="56" t="e">
        <f>B99/60/A$189</f>
        <v>#DIV/0!</v>
      </c>
      <c r="M99" s="56" t="e">
        <f>C99/60/B$189</f>
        <v>#DIV/0!</v>
      </c>
      <c r="N99" s="56" t="e">
        <f>D99/60/C$189</f>
        <v>#DIV/0!</v>
      </c>
      <c r="O99" s="56" t="e">
        <f>E99/60/D$189</f>
        <v>#DIV/0!</v>
      </c>
      <c r="P99" s="56" t="e">
        <f>F99/60/E$189</f>
        <v>#DIV/0!</v>
      </c>
      <c r="Q99" s="56" t="e">
        <f>G99/60/F$189</f>
        <v>#DIV/0!</v>
      </c>
      <c r="R99" s="56" t="e">
        <f>H99/60/G$189</f>
        <v>#DIV/0!</v>
      </c>
      <c r="S99" s="56" t="e">
        <f>I99/60/H$189</f>
        <v>#DIV/0!</v>
      </c>
      <c r="T99" s="56" t="e">
        <f>J99/60/I$189</f>
        <v>#DIV/0!</v>
      </c>
      <c r="U99" s="56" t="e">
        <f t="shared" si="1"/>
        <v>#DIV/0!</v>
      </c>
    </row>
    <row r="100" spans="1:21" x14ac:dyDescent="0.15">
      <c r="A100" s="49">
        <v>98</v>
      </c>
      <c r="B100" s="46" t="e">
        <f>Nodes!B100*(1-Nodes!AO100)</f>
        <v>#DIV/0!</v>
      </c>
      <c r="C100" s="46" t="e">
        <f>Nodes!C100*(1-Nodes!AP100)</f>
        <v>#DIV/0!</v>
      </c>
      <c r="D100" s="46" t="e">
        <f>Nodes!D100*(1-Nodes!AQ100)</f>
        <v>#DIV/0!</v>
      </c>
      <c r="E100" s="46" t="e">
        <f>Nodes!E100*(1-Nodes!AR100)</f>
        <v>#DIV/0!</v>
      </c>
      <c r="F100" s="46" t="e">
        <f>Nodes!F100*(1-Nodes!AS100)</f>
        <v>#DIV/0!</v>
      </c>
      <c r="G100" s="46" t="e">
        <f>Nodes!G100*(1-Nodes!AT100)</f>
        <v>#DIV/0!</v>
      </c>
      <c r="H100" s="46" t="e">
        <f>Nodes!H100*(1-Nodes!AU100)</f>
        <v>#DIV/0!</v>
      </c>
      <c r="I100" s="46" t="e">
        <f>Nodes!I100*(1-Nodes!AV100)</f>
        <v>#DIV/0!</v>
      </c>
      <c r="J100" s="46" t="e">
        <f>Nodes!L100*(1-Nodes!AY100)</f>
        <v>#DIV/0!</v>
      </c>
      <c r="K100" s="46" t="e">
        <f>Nodes!N100*(1-Nodes!BA100)</f>
        <v>#DIV/0!</v>
      </c>
      <c r="L100" s="56" t="e">
        <f>B100/60/A$189</f>
        <v>#DIV/0!</v>
      </c>
      <c r="M100" s="56" t="e">
        <f>C100/60/B$189</f>
        <v>#DIV/0!</v>
      </c>
      <c r="N100" s="56" t="e">
        <f>D100/60/C$189</f>
        <v>#DIV/0!</v>
      </c>
      <c r="O100" s="56" t="e">
        <f>E100/60/D$189</f>
        <v>#DIV/0!</v>
      </c>
      <c r="P100" s="56" t="e">
        <f>F100/60/E$189</f>
        <v>#DIV/0!</v>
      </c>
      <c r="Q100" s="56" t="e">
        <f>G100/60/F$189</f>
        <v>#DIV/0!</v>
      </c>
      <c r="R100" s="56" t="e">
        <f>H100/60/G$189</f>
        <v>#DIV/0!</v>
      </c>
      <c r="S100" s="56" t="e">
        <f>I100/60/H$189</f>
        <v>#DIV/0!</v>
      </c>
      <c r="T100" s="56" t="e">
        <f>J100/60/I$189</f>
        <v>#DIV/0!</v>
      </c>
      <c r="U100" s="56" t="e">
        <f t="shared" si="1"/>
        <v>#DIV/0!</v>
      </c>
    </row>
    <row r="101" spans="1:21" x14ac:dyDescent="0.15">
      <c r="A101" s="49">
        <v>99</v>
      </c>
      <c r="B101" s="46" t="e">
        <f>Nodes!B101*(1-Nodes!AO101)</f>
        <v>#DIV/0!</v>
      </c>
      <c r="C101" s="46" t="e">
        <f>Nodes!C101*(1-Nodes!AP101)</f>
        <v>#DIV/0!</v>
      </c>
      <c r="D101" s="46" t="e">
        <f>Nodes!D101*(1-Nodes!AQ101)</f>
        <v>#DIV/0!</v>
      </c>
      <c r="E101" s="46" t="e">
        <f>Nodes!E101*(1-Nodes!AR101)</f>
        <v>#DIV/0!</v>
      </c>
      <c r="F101" s="46" t="e">
        <f>Nodes!F101*(1-Nodes!AS101)</f>
        <v>#DIV/0!</v>
      </c>
      <c r="G101" s="46" t="e">
        <f>Nodes!G101*(1-Nodes!AT101)</f>
        <v>#DIV/0!</v>
      </c>
      <c r="H101" s="46" t="e">
        <f>Nodes!H101*(1-Nodes!AU101)</f>
        <v>#DIV/0!</v>
      </c>
      <c r="I101" s="46" t="e">
        <f>Nodes!I101*(1-Nodes!AV101)</f>
        <v>#DIV/0!</v>
      </c>
      <c r="J101" s="46" t="e">
        <f>Nodes!L101*(1-Nodes!AY101)</f>
        <v>#DIV/0!</v>
      </c>
      <c r="K101" s="46" t="e">
        <f>Nodes!N101*(1-Nodes!BA101)</f>
        <v>#DIV/0!</v>
      </c>
      <c r="L101" s="56" t="e">
        <f>B101/60/A$189</f>
        <v>#DIV/0!</v>
      </c>
      <c r="M101" s="56" t="e">
        <f>C101/60/B$189</f>
        <v>#DIV/0!</v>
      </c>
      <c r="N101" s="56" t="e">
        <f>D101/60/C$189</f>
        <v>#DIV/0!</v>
      </c>
      <c r="O101" s="56" t="e">
        <f>E101/60/D$189</f>
        <v>#DIV/0!</v>
      </c>
      <c r="P101" s="56" t="e">
        <f>F101/60/E$189</f>
        <v>#DIV/0!</v>
      </c>
      <c r="Q101" s="56" t="e">
        <f>G101/60/F$189</f>
        <v>#DIV/0!</v>
      </c>
      <c r="R101" s="56" t="e">
        <f>H101/60/G$189</f>
        <v>#DIV/0!</v>
      </c>
      <c r="S101" s="56" t="e">
        <f>I101/60/H$189</f>
        <v>#DIV/0!</v>
      </c>
      <c r="T101" s="56" t="e">
        <f>J101/60/I$189</f>
        <v>#DIV/0!</v>
      </c>
      <c r="U101" s="56" t="e">
        <f t="shared" si="1"/>
        <v>#DIV/0!</v>
      </c>
    </row>
    <row r="102" spans="1:21" x14ac:dyDescent="0.15">
      <c r="A102" s="49">
        <v>100</v>
      </c>
      <c r="B102" s="46" t="e">
        <f>Nodes!B102*(1-Nodes!AO102)</f>
        <v>#DIV/0!</v>
      </c>
      <c r="C102" s="46" t="e">
        <f>Nodes!C102*(1-Nodes!AP102)</f>
        <v>#DIV/0!</v>
      </c>
      <c r="D102" s="46" t="e">
        <f>Nodes!D102*(1-Nodes!AQ102)</f>
        <v>#DIV/0!</v>
      </c>
      <c r="E102" s="46" t="e">
        <f>Nodes!E102*(1-Nodes!AR102)</f>
        <v>#DIV/0!</v>
      </c>
      <c r="F102" s="46" t="e">
        <f>Nodes!F102*(1-Nodes!AS102)</f>
        <v>#DIV/0!</v>
      </c>
      <c r="G102" s="46" t="e">
        <f>Nodes!G102*(1-Nodes!AT102)</f>
        <v>#DIV/0!</v>
      </c>
      <c r="H102" s="46" t="e">
        <f>Nodes!H102*(1-Nodes!AU102)</f>
        <v>#DIV/0!</v>
      </c>
      <c r="I102" s="46" t="e">
        <f>Nodes!I102*(1-Nodes!AV102)</f>
        <v>#DIV/0!</v>
      </c>
      <c r="J102" s="46" t="e">
        <f>Nodes!L102*(1-Nodes!AY102)</f>
        <v>#DIV/0!</v>
      </c>
      <c r="K102" s="46" t="e">
        <f>Nodes!N102*(1-Nodes!BA102)</f>
        <v>#DIV/0!</v>
      </c>
      <c r="L102" s="56" t="e">
        <f>B102/60/A$189</f>
        <v>#DIV/0!</v>
      </c>
      <c r="M102" s="56" t="e">
        <f>C102/60/B$189</f>
        <v>#DIV/0!</v>
      </c>
      <c r="N102" s="56" t="e">
        <f>D102/60/C$189</f>
        <v>#DIV/0!</v>
      </c>
      <c r="O102" s="56" t="e">
        <f>E102/60/D$189</f>
        <v>#DIV/0!</v>
      </c>
      <c r="P102" s="56" t="e">
        <f>F102/60/E$189</f>
        <v>#DIV/0!</v>
      </c>
      <c r="Q102" s="56" t="e">
        <f>G102/60/F$189</f>
        <v>#DIV/0!</v>
      </c>
      <c r="R102" s="56" t="e">
        <f>H102/60/G$189</f>
        <v>#DIV/0!</v>
      </c>
      <c r="S102" s="56" t="e">
        <f>I102/60/H$189</f>
        <v>#DIV/0!</v>
      </c>
      <c r="T102" s="56" t="e">
        <f>J102/60/I$189</f>
        <v>#DIV/0!</v>
      </c>
      <c r="U102" s="56" t="e">
        <f t="shared" si="1"/>
        <v>#DIV/0!</v>
      </c>
    </row>
    <row r="103" spans="1:21" x14ac:dyDescent="0.15">
      <c r="A103" s="49">
        <v>101</v>
      </c>
      <c r="B103" s="46" t="e">
        <f>Nodes!B103*(1-Nodes!AO103)</f>
        <v>#DIV/0!</v>
      </c>
      <c r="C103" s="46" t="e">
        <f>Nodes!C103*(1-Nodes!AP103)</f>
        <v>#DIV/0!</v>
      </c>
      <c r="D103" s="46" t="e">
        <f>Nodes!D103*(1-Nodes!AQ103)</f>
        <v>#DIV/0!</v>
      </c>
      <c r="E103" s="46" t="e">
        <f>Nodes!E103*(1-Nodes!AR103)</f>
        <v>#DIV/0!</v>
      </c>
      <c r="F103" s="46" t="e">
        <f>Nodes!F103*(1-Nodes!AS103)</f>
        <v>#DIV/0!</v>
      </c>
      <c r="G103" s="46" t="e">
        <f>Nodes!G103*(1-Nodes!AT103)</f>
        <v>#DIV/0!</v>
      </c>
      <c r="H103" s="46" t="e">
        <f>Nodes!H103*(1-Nodes!AU103)</f>
        <v>#DIV/0!</v>
      </c>
      <c r="I103" s="46" t="e">
        <f>Nodes!I103*(1-Nodes!AV103)</f>
        <v>#DIV/0!</v>
      </c>
      <c r="J103" s="46" t="e">
        <f>Nodes!L103*(1-Nodes!AY103)</f>
        <v>#DIV/0!</v>
      </c>
      <c r="K103" s="46" t="e">
        <f>Nodes!N103*(1-Nodes!BA103)</f>
        <v>#DIV/0!</v>
      </c>
      <c r="L103" s="56" t="e">
        <f>B103/60/A$189</f>
        <v>#DIV/0!</v>
      </c>
      <c r="M103" s="56" t="e">
        <f>C103/60/B$189</f>
        <v>#DIV/0!</v>
      </c>
      <c r="N103" s="56" t="e">
        <f>D103/60/C$189</f>
        <v>#DIV/0!</v>
      </c>
      <c r="O103" s="56" t="e">
        <f>E103/60/D$189</f>
        <v>#DIV/0!</v>
      </c>
      <c r="P103" s="56" t="e">
        <f>F103/60/E$189</f>
        <v>#DIV/0!</v>
      </c>
      <c r="Q103" s="56" t="e">
        <f>G103/60/F$189</f>
        <v>#DIV/0!</v>
      </c>
      <c r="R103" s="56" t="e">
        <f>H103/60/G$189</f>
        <v>#DIV/0!</v>
      </c>
      <c r="S103" s="56" t="e">
        <f>I103/60/H$189</f>
        <v>#DIV/0!</v>
      </c>
      <c r="T103" s="56" t="e">
        <f>J103/60/I$189</f>
        <v>#DIV/0!</v>
      </c>
      <c r="U103" s="56" t="e">
        <f t="shared" si="1"/>
        <v>#DIV/0!</v>
      </c>
    </row>
    <row r="104" spans="1:21" x14ac:dyDescent="0.15">
      <c r="A104" s="49">
        <v>102</v>
      </c>
      <c r="B104" s="46" t="e">
        <f>Nodes!B104*(1-Nodes!AO104)</f>
        <v>#DIV/0!</v>
      </c>
      <c r="C104" s="46" t="e">
        <f>Nodes!C104*(1-Nodes!AP104)</f>
        <v>#DIV/0!</v>
      </c>
      <c r="D104" s="46" t="e">
        <f>Nodes!D104*(1-Nodes!AQ104)</f>
        <v>#DIV/0!</v>
      </c>
      <c r="E104" s="46" t="e">
        <f>Nodes!E104*(1-Nodes!AR104)</f>
        <v>#DIV/0!</v>
      </c>
      <c r="F104" s="46" t="e">
        <f>Nodes!F104*(1-Nodes!AS104)</f>
        <v>#DIV/0!</v>
      </c>
      <c r="G104" s="46" t="e">
        <f>Nodes!G104*(1-Nodes!AT104)</f>
        <v>#DIV/0!</v>
      </c>
      <c r="H104" s="46" t="e">
        <f>Nodes!H104*(1-Nodes!AU104)</f>
        <v>#DIV/0!</v>
      </c>
      <c r="I104" s="46" t="e">
        <f>Nodes!I104*(1-Nodes!AV104)</f>
        <v>#DIV/0!</v>
      </c>
      <c r="J104" s="46" t="e">
        <f>Nodes!L104*(1-Nodes!AY104)</f>
        <v>#DIV/0!</v>
      </c>
      <c r="K104" s="46" t="e">
        <f>Nodes!N104*(1-Nodes!BA104)</f>
        <v>#DIV/0!</v>
      </c>
      <c r="L104" s="56" t="e">
        <f>B104/60/A$189</f>
        <v>#DIV/0!</v>
      </c>
      <c r="M104" s="56" t="e">
        <f>C104/60/B$189</f>
        <v>#DIV/0!</v>
      </c>
      <c r="N104" s="56" t="e">
        <f>D104/60/C$189</f>
        <v>#DIV/0!</v>
      </c>
      <c r="O104" s="56" t="e">
        <f>E104/60/D$189</f>
        <v>#DIV/0!</v>
      </c>
      <c r="P104" s="56" t="e">
        <f>F104/60/E$189</f>
        <v>#DIV/0!</v>
      </c>
      <c r="Q104" s="56" t="e">
        <f>G104/60/F$189</f>
        <v>#DIV/0!</v>
      </c>
      <c r="R104" s="56" t="e">
        <f>H104/60/G$189</f>
        <v>#DIV/0!</v>
      </c>
      <c r="S104" s="56" t="e">
        <f>I104/60/H$189</f>
        <v>#DIV/0!</v>
      </c>
      <c r="T104" s="56" t="e">
        <f>J104/60/I$189</f>
        <v>#DIV/0!</v>
      </c>
      <c r="U104" s="56" t="e">
        <f t="shared" si="1"/>
        <v>#DIV/0!</v>
      </c>
    </row>
    <row r="105" spans="1:21" x14ac:dyDescent="0.15">
      <c r="A105" s="49">
        <v>103</v>
      </c>
      <c r="B105" s="46" t="e">
        <f>Nodes!B105*(1-Nodes!AO105)</f>
        <v>#DIV/0!</v>
      </c>
      <c r="C105" s="46" t="e">
        <f>Nodes!C105*(1-Nodes!AP105)</f>
        <v>#DIV/0!</v>
      </c>
      <c r="D105" s="46" t="e">
        <f>Nodes!D105*(1-Nodes!AQ105)</f>
        <v>#DIV/0!</v>
      </c>
      <c r="E105" s="46" t="e">
        <f>Nodes!E105*(1-Nodes!AR105)</f>
        <v>#DIV/0!</v>
      </c>
      <c r="F105" s="46" t="e">
        <f>Nodes!F105*(1-Nodes!AS105)</f>
        <v>#DIV/0!</v>
      </c>
      <c r="G105" s="46" t="e">
        <f>Nodes!G105*(1-Nodes!AT105)</f>
        <v>#DIV/0!</v>
      </c>
      <c r="H105" s="46" t="e">
        <f>Nodes!H105*(1-Nodes!AU105)</f>
        <v>#DIV/0!</v>
      </c>
      <c r="I105" s="46" t="e">
        <f>Nodes!I105*(1-Nodes!AV105)</f>
        <v>#DIV/0!</v>
      </c>
      <c r="J105" s="46" t="e">
        <f>Nodes!L105*(1-Nodes!AY105)</f>
        <v>#DIV/0!</v>
      </c>
      <c r="K105" s="46" t="e">
        <f>Nodes!N105*(1-Nodes!BA105)</f>
        <v>#DIV/0!</v>
      </c>
      <c r="L105" s="56" t="e">
        <f>B105/60/A$189</f>
        <v>#DIV/0!</v>
      </c>
      <c r="M105" s="56" t="e">
        <f>C105/60/B$189</f>
        <v>#DIV/0!</v>
      </c>
      <c r="N105" s="56" t="e">
        <f>D105/60/C$189</f>
        <v>#DIV/0!</v>
      </c>
      <c r="O105" s="56" t="e">
        <f>E105/60/D$189</f>
        <v>#DIV/0!</v>
      </c>
      <c r="P105" s="56" t="e">
        <f>F105/60/E$189</f>
        <v>#DIV/0!</v>
      </c>
      <c r="Q105" s="56" t="e">
        <f>G105/60/F$189</f>
        <v>#DIV/0!</v>
      </c>
      <c r="R105" s="56" t="e">
        <f>H105/60/G$189</f>
        <v>#DIV/0!</v>
      </c>
      <c r="S105" s="56" t="e">
        <f>I105/60/H$189</f>
        <v>#DIV/0!</v>
      </c>
      <c r="T105" s="56" t="e">
        <f>J105/60/I$189</f>
        <v>#DIV/0!</v>
      </c>
      <c r="U105" s="56" t="e">
        <f t="shared" si="1"/>
        <v>#DIV/0!</v>
      </c>
    </row>
    <row r="106" spans="1:21" x14ac:dyDescent="0.15">
      <c r="A106" s="49">
        <v>104</v>
      </c>
      <c r="B106" s="46" t="e">
        <f>Nodes!B106*(1-Nodes!AO106)</f>
        <v>#DIV/0!</v>
      </c>
      <c r="C106" s="46" t="e">
        <f>Nodes!C106*(1-Nodes!AP106)</f>
        <v>#DIV/0!</v>
      </c>
      <c r="D106" s="46" t="e">
        <f>Nodes!D106*(1-Nodes!AQ106)</f>
        <v>#DIV/0!</v>
      </c>
      <c r="E106" s="46" t="e">
        <f>Nodes!E106*(1-Nodes!AR106)</f>
        <v>#DIV/0!</v>
      </c>
      <c r="F106" s="46" t="e">
        <f>Nodes!F106*(1-Nodes!AS106)</f>
        <v>#DIV/0!</v>
      </c>
      <c r="G106" s="46" t="e">
        <f>Nodes!G106*(1-Nodes!AT106)</f>
        <v>#DIV/0!</v>
      </c>
      <c r="H106" s="46" t="e">
        <f>Nodes!H106*(1-Nodes!AU106)</f>
        <v>#DIV/0!</v>
      </c>
      <c r="I106" s="46" t="e">
        <f>Nodes!I106*(1-Nodes!AV106)</f>
        <v>#DIV/0!</v>
      </c>
      <c r="J106" s="46" t="e">
        <f>Nodes!L106*(1-Nodes!AY106)</f>
        <v>#DIV/0!</v>
      </c>
      <c r="K106" s="46" t="e">
        <f>Nodes!N106*(1-Nodes!BA106)</f>
        <v>#DIV/0!</v>
      </c>
      <c r="L106" s="56" t="e">
        <f>B106/60/A$189</f>
        <v>#DIV/0!</v>
      </c>
      <c r="M106" s="56" t="e">
        <f>C106/60/B$189</f>
        <v>#DIV/0!</v>
      </c>
      <c r="N106" s="56" t="e">
        <f>D106/60/C$189</f>
        <v>#DIV/0!</v>
      </c>
      <c r="O106" s="56" t="e">
        <f>E106/60/D$189</f>
        <v>#DIV/0!</v>
      </c>
      <c r="P106" s="56" t="e">
        <f>F106/60/E$189</f>
        <v>#DIV/0!</v>
      </c>
      <c r="Q106" s="56" t="e">
        <f>G106/60/F$189</f>
        <v>#DIV/0!</v>
      </c>
      <c r="R106" s="56" t="e">
        <f>H106/60/G$189</f>
        <v>#DIV/0!</v>
      </c>
      <c r="S106" s="56" t="e">
        <f>I106/60/H$189</f>
        <v>#DIV/0!</v>
      </c>
      <c r="T106" s="56" t="e">
        <f>J106/60/I$189</f>
        <v>#DIV/0!</v>
      </c>
      <c r="U106" s="56" t="e">
        <f t="shared" si="1"/>
        <v>#DIV/0!</v>
      </c>
    </row>
    <row r="107" spans="1:21" x14ac:dyDescent="0.15">
      <c r="A107" s="49">
        <v>105</v>
      </c>
      <c r="B107" s="46" t="e">
        <f>Nodes!B107*(1-Nodes!AO107)</f>
        <v>#DIV/0!</v>
      </c>
      <c r="C107" s="46" t="e">
        <f>Nodes!C107*(1-Nodes!AP107)</f>
        <v>#DIV/0!</v>
      </c>
      <c r="D107" s="46" t="e">
        <f>Nodes!D107*(1-Nodes!AQ107)</f>
        <v>#DIV/0!</v>
      </c>
      <c r="E107" s="46" t="e">
        <f>Nodes!E107*(1-Nodes!AR107)</f>
        <v>#DIV/0!</v>
      </c>
      <c r="F107" s="46" t="e">
        <f>Nodes!F107*(1-Nodes!AS107)</f>
        <v>#DIV/0!</v>
      </c>
      <c r="G107" s="46" t="e">
        <f>Nodes!G107*(1-Nodes!AT107)</f>
        <v>#DIV/0!</v>
      </c>
      <c r="H107" s="46" t="e">
        <f>Nodes!H107*(1-Nodes!AU107)</f>
        <v>#DIV/0!</v>
      </c>
      <c r="I107" s="46" t="e">
        <f>Nodes!I107*(1-Nodes!AV107)</f>
        <v>#DIV/0!</v>
      </c>
      <c r="J107" s="46" t="e">
        <f>Nodes!L107*(1-Nodes!AY107)</f>
        <v>#DIV/0!</v>
      </c>
      <c r="K107" s="46" t="e">
        <f>Nodes!N107*(1-Nodes!BA107)</f>
        <v>#DIV/0!</v>
      </c>
      <c r="L107" s="56" t="e">
        <f>B107/60/A$189</f>
        <v>#DIV/0!</v>
      </c>
      <c r="M107" s="56" t="e">
        <f>C107/60/B$189</f>
        <v>#DIV/0!</v>
      </c>
      <c r="N107" s="56" t="e">
        <f>D107/60/C$189</f>
        <v>#DIV/0!</v>
      </c>
      <c r="O107" s="56" t="e">
        <f>E107/60/D$189</f>
        <v>#DIV/0!</v>
      </c>
      <c r="P107" s="56" t="e">
        <f>F107/60/E$189</f>
        <v>#DIV/0!</v>
      </c>
      <c r="Q107" s="56" t="e">
        <f>G107/60/F$189</f>
        <v>#DIV/0!</v>
      </c>
      <c r="R107" s="56" t="e">
        <f>H107/60/G$189</f>
        <v>#DIV/0!</v>
      </c>
      <c r="S107" s="56" t="e">
        <f>I107/60/H$189</f>
        <v>#DIV/0!</v>
      </c>
      <c r="T107" s="56" t="e">
        <f>J107/60/I$189</f>
        <v>#DIV/0!</v>
      </c>
      <c r="U107" s="56" t="e">
        <f t="shared" si="1"/>
        <v>#DIV/0!</v>
      </c>
    </row>
    <row r="108" spans="1:21" x14ac:dyDescent="0.15">
      <c r="A108" s="49">
        <v>106</v>
      </c>
      <c r="B108" s="46" t="e">
        <f>Nodes!B108*(1-Nodes!AO108)</f>
        <v>#DIV/0!</v>
      </c>
      <c r="C108" s="46" t="e">
        <f>Nodes!C108*(1-Nodes!AP108)</f>
        <v>#DIV/0!</v>
      </c>
      <c r="D108" s="46" t="e">
        <f>Nodes!D108*(1-Nodes!AQ108)</f>
        <v>#DIV/0!</v>
      </c>
      <c r="E108" s="46" t="e">
        <f>Nodes!E108*(1-Nodes!AR108)</f>
        <v>#DIV/0!</v>
      </c>
      <c r="F108" s="46" t="e">
        <f>Nodes!F108*(1-Nodes!AS108)</f>
        <v>#DIV/0!</v>
      </c>
      <c r="G108" s="46" t="e">
        <f>Nodes!G108*(1-Nodes!AT108)</f>
        <v>#DIV/0!</v>
      </c>
      <c r="H108" s="46" t="e">
        <f>Nodes!H108*(1-Nodes!AU108)</f>
        <v>#DIV/0!</v>
      </c>
      <c r="I108" s="46" t="e">
        <f>Nodes!I108*(1-Nodes!AV108)</f>
        <v>#DIV/0!</v>
      </c>
      <c r="J108" s="46" t="e">
        <f>Nodes!L108*(1-Nodes!AY108)</f>
        <v>#DIV/0!</v>
      </c>
      <c r="K108" s="46" t="e">
        <f>Nodes!N108*(1-Nodes!BA108)</f>
        <v>#DIV/0!</v>
      </c>
      <c r="L108" s="56" t="e">
        <f>B108/60/A$189</f>
        <v>#DIV/0!</v>
      </c>
      <c r="M108" s="56" t="e">
        <f>C108/60/B$189</f>
        <v>#DIV/0!</v>
      </c>
      <c r="N108" s="56" t="e">
        <f>D108/60/C$189</f>
        <v>#DIV/0!</v>
      </c>
      <c r="O108" s="56" t="e">
        <f>E108/60/D$189</f>
        <v>#DIV/0!</v>
      </c>
      <c r="P108" s="56" t="e">
        <f>F108/60/E$189</f>
        <v>#DIV/0!</v>
      </c>
      <c r="Q108" s="56" t="e">
        <f>G108/60/F$189</f>
        <v>#DIV/0!</v>
      </c>
      <c r="R108" s="56" t="e">
        <f>H108/60/G$189</f>
        <v>#DIV/0!</v>
      </c>
      <c r="S108" s="56" t="e">
        <f>I108/60/H$189</f>
        <v>#DIV/0!</v>
      </c>
      <c r="T108" s="56" t="e">
        <f>J108/60/I$189</f>
        <v>#DIV/0!</v>
      </c>
      <c r="U108" s="56" t="e">
        <f t="shared" si="1"/>
        <v>#DIV/0!</v>
      </c>
    </row>
    <row r="109" spans="1:21" x14ac:dyDescent="0.15">
      <c r="A109" s="49">
        <v>107</v>
      </c>
      <c r="B109" s="46" t="e">
        <f>Nodes!B109*(1-Nodes!AO109)</f>
        <v>#DIV/0!</v>
      </c>
      <c r="C109" s="46" t="e">
        <f>Nodes!C109*(1-Nodes!AP109)</f>
        <v>#DIV/0!</v>
      </c>
      <c r="D109" s="46" t="e">
        <f>Nodes!D109*(1-Nodes!AQ109)</f>
        <v>#DIV/0!</v>
      </c>
      <c r="E109" s="46" t="e">
        <f>Nodes!E109*(1-Nodes!AR109)</f>
        <v>#DIV/0!</v>
      </c>
      <c r="F109" s="46" t="e">
        <f>Nodes!F109*(1-Nodes!AS109)</f>
        <v>#DIV/0!</v>
      </c>
      <c r="G109" s="46" t="e">
        <f>Nodes!G109*(1-Nodes!AT109)</f>
        <v>#DIV/0!</v>
      </c>
      <c r="H109" s="46" t="e">
        <f>Nodes!H109*(1-Nodes!AU109)</f>
        <v>#DIV/0!</v>
      </c>
      <c r="I109" s="46" t="e">
        <f>Nodes!I109*(1-Nodes!AV109)</f>
        <v>#DIV/0!</v>
      </c>
      <c r="J109" s="46" t="e">
        <f>Nodes!L109*(1-Nodes!AY109)</f>
        <v>#DIV/0!</v>
      </c>
      <c r="K109" s="46" t="e">
        <f>Nodes!N109*(1-Nodes!BA109)</f>
        <v>#DIV/0!</v>
      </c>
      <c r="L109" s="56" t="e">
        <f>B109/60/A$189</f>
        <v>#DIV/0!</v>
      </c>
      <c r="M109" s="56" t="e">
        <f>C109/60/B$189</f>
        <v>#DIV/0!</v>
      </c>
      <c r="N109" s="56" t="e">
        <f>D109/60/C$189</f>
        <v>#DIV/0!</v>
      </c>
      <c r="O109" s="56" t="e">
        <f>E109/60/D$189</f>
        <v>#DIV/0!</v>
      </c>
      <c r="P109" s="56" t="e">
        <f>F109/60/E$189</f>
        <v>#DIV/0!</v>
      </c>
      <c r="Q109" s="56" t="e">
        <f>G109/60/F$189</f>
        <v>#DIV/0!</v>
      </c>
      <c r="R109" s="56" t="e">
        <f>H109/60/G$189</f>
        <v>#DIV/0!</v>
      </c>
      <c r="S109" s="56" t="e">
        <f>I109/60/H$189</f>
        <v>#DIV/0!</v>
      </c>
      <c r="T109" s="56" t="e">
        <f>J109/60/I$189</f>
        <v>#DIV/0!</v>
      </c>
      <c r="U109" s="56" t="e">
        <f t="shared" si="1"/>
        <v>#DIV/0!</v>
      </c>
    </row>
    <row r="110" spans="1:21" x14ac:dyDescent="0.15">
      <c r="A110" s="49">
        <v>108</v>
      </c>
      <c r="B110" s="46" t="e">
        <f>Nodes!B110*(1-Nodes!AO110)</f>
        <v>#DIV/0!</v>
      </c>
      <c r="C110" s="46" t="e">
        <f>Nodes!C110*(1-Nodes!AP110)</f>
        <v>#DIV/0!</v>
      </c>
      <c r="D110" s="46" t="e">
        <f>Nodes!D110*(1-Nodes!AQ110)</f>
        <v>#DIV/0!</v>
      </c>
      <c r="E110" s="46" t="e">
        <f>Nodes!E110*(1-Nodes!AR110)</f>
        <v>#DIV/0!</v>
      </c>
      <c r="F110" s="46" t="e">
        <f>Nodes!F110*(1-Nodes!AS110)</f>
        <v>#DIV/0!</v>
      </c>
      <c r="G110" s="46" t="e">
        <f>Nodes!G110*(1-Nodes!AT110)</f>
        <v>#DIV/0!</v>
      </c>
      <c r="H110" s="46" t="e">
        <f>Nodes!H110*(1-Nodes!AU110)</f>
        <v>#DIV/0!</v>
      </c>
      <c r="I110" s="46" t="e">
        <f>Nodes!I110*(1-Nodes!AV110)</f>
        <v>#DIV/0!</v>
      </c>
      <c r="J110" s="46" t="e">
        <f>Nodes!L110*(1-Nodes!AY110)</f>
        <v>#DIV/0!</v>
      </c>
      <c r="K110" s="46" t="e">
        <f>Nodes!N110*(1-Nodes!BA110)</f>
        <v>#DIV/0!</v>
      </c>
      <c r="L110" s="56" t="e">
        <f>B110/60/A$189</f>
        <v>#DIV/0!</v>
      </c>
      <c r="M110" s="56" t="e">
        <f>C110/60/B$189</f>
        <v>#DIV/0!</v>
      </c>
      <c r="N110" s="56" t="e">
        <f>D110/60/C$189</f>
        <v>#DIV/0!</v>
      </c>
      <c r="O110" s="56" t="e">
        <f>E110/60/D$189</f>
        <v>#DIV/0!</v>
      </c>
      <c r="P110" s="56" t="e">
        <f>F110/60/E$189</f>
        <v>#DIV/0!</v>
      </c>
      <c r="Q110" s="56" t="e">
        <f>G110/60/F$189</f>
        <v>#DIV/0!</v>
      </c>
      <c r="R110" s="56" t="e">
        <f>H110/60/G$189</f>
        <v>#DIV/0!</v>
      </c>
      <c r="S110" s="56" t="e">
        <f>I110/60/H$189</f>
        <v>#DIV/0!</v>
      </c>
      <c r="T110" s="56" t="e">
        <f>J110/60/I$189</f>
        <v>#DIV/0!</v>
      </c>
      <c r="U110" s="56" t="e">
        <f t="shared" si="1"/>
        <v>#DIV/0!</v>
      </c>
    </row>
    <row r="111" spans="1:21" x14ac:dyDescent="0.15">
      <c r="A111" s="49">
        <v>109</v>
      </c>
      <c r="B111" s="46" t="e">
        <f>Nodes!B111*(1-Nodes!AO111)</f>
        <v>#DIV/0!</v>
      </c>
      <c r="C111" s="46" t="e">
        <f>Nodes!C111*(1-Nodes!AP111)</f>
        <v>#DIV/0!</v>
      </c>
      <c r="D111" s="46" t="e">
        <f>Nodes!D111*(1-Nodes!AQ111)</f>
        <v>#DIV/0!</v>
      </c>
      <c r="E111" s="46" t="e">
        <f>Nodes!E111*(1-Nodes!AR111)</f>
        <v>#DIV/0!</v>
      </c>
      <c r="F111" s="46" t="e">
        <f>Nodes!F111*(1-Nodes!AS111)</f>
        <v>#DIV/0!</v>
      </c>
      <c r="G111" s="46" t="e">
        <f>Nodes!G111*(1-Nodes!AT111)</f>
        <v>#DIV/0!</v>
      </c>
      <c r="H111" s="46" t="e">
        <f>Nodes!H111*(1-Nodes!AU111)</f>
        <v>#DIV/0!</v>
      </c>
      <c r="I111" s="46" t="e">
        <f>Nodes!I111*(1-Nodes!AV111)</f>
        <v>#DIV/0!</v>
      </c>
      <c r="J111" s="46" t="e">
        <f>Nodes!L111*(1-Nodes!AY111)</f>
        <v>#DIV/0!</v>
      </c>
      <c r="K111" s="46" t="e">
        <f>Nodes!N111*(1-Nodes!BA111)</f>
        <v>#DIV/0!</v>
      </c>
      <c r="L111" s="56" t="e">
        <f>B111/60/A$189</f>
        <v>#DIV/0!</v>
      </c>
      <c r="M111" s="56" t="e">
        <f>C111/60/B$189</f>
        <v>#DIV/0!</v>
      </c>
      <c r="N111" s="56" t="e">
        <f>D111/60/C$189</f>
        <v>#DIV/0!</v>
      </c>
      <c r="O111" s="56" t="e">
        <f>E111/60/D$189</f>
        <v>#DIV/0!</v>
      </c>
      <c r="P111" s="56" t="e">
        <f>F111/60/E$189</f>
        <v>#DIV/0!</v>
      </c>
      <c r="Q111" s="56" t="e">
        <f>G111/60/F$189</f>
        <v>#DIV/0!</v>
      </c>
      <c r="R111" s="56" t="e">
        <f>H111/60/G$189</f>
        <v>#DIV/0!</v>
      </c>
      <c r="S111" s="56" t="e">
        <f>I111/60/H$189</f>
        <v>#DIV/0!</v>
      </c>
      <c r="T111" s="56" t="e">
        <f>J111/60/I$189</f>
        <v>#DIV/0!</v>
      </c>
      <c r="U111" s="56" t="e">
        <f t="shared" si="1"/>
        <v>#DIV/0!</v>
      </c>
    </row>
    <row r="112" spans="1:21" x14ac:dyDescent="0.15">
      <c r="A112" s="49">
        <v>110</v>
      </c>
      <c r="B112" s="46" t="e">
        <f>Nodes!B112*(1-Nodes!AO112)</f>
        <v>#DIV/0!</v>
      </c>
      <c r="C112" s="46" t="e">
        <f>Nodes!C112*(1-Nodes!AP112)</f>
        <v>#DIV/0!</v>
      </c>
      <c r="D112" s="46" t="e">
        <f>Nodes!D112*(1-Nodes!AQ112)</f>
        <v>#DIV/0!</v>
      </c>
      <c r="E112" s="46" t="e">
        <f>Nodes!E112*(1-Nodes!AR112)</f>
        <v>#DIV/0!</v>
      </c>
      <c r="F112" s="46" t="e">
        <f>Nodes!F112*(1-Nodes!AS112)</f>
        <v>#DIV/0!</v>
      </c>
      <c r="G112" s="46" t="e">
        <f>Nodes!G112*(1-Nodes!AT112)</f>
        <v>#DIV/0!</v>
      </c>
      <c r="H112" s="46" t="e">
        <f>Nodes!H112*(1-Nodes!AU112)</f>
        <v>#DIV/0!</v>
      </c>
      <c r="I112" s="46" t="e">
        <f>Nodes!I112*(1-Nodes!AV112)</f>
        <v>#DIV/0!</v>
      </c>
      <c r="J112" s="46" t="e">
        <f>Nodes!L112*(1-Nodes!AY112)</f>
        <v>#DIV/0!</v>
      </c>
      <c r="K112" s="46" t="e">
        <f>Nodes!N112*(1-Nodes!BA112)</f>
        <v>#DIV/0!</v>
      </c>
      <c r="L112" s="56" t="e">
        <f>B112/60/A$189</f>
        <v>#DIV/0!</v>
      </c>
      <c r="M112" s="56" t="e">
        <f>C112/60/B$189</f>
        <v>#DIV/0!</v>
      </c>
      <c r="N112" s="56" t="e">
        <f>D112/60/C$189</f>
        <v>#DIV/0!</v>
      </c>
      <c r="O112" s="56" t="e">
        <f>E112/60/D$189</f>
        <v>#DIV/0!</v>
      </c>
      <c r="P112" s="56" t="e">
        <f>F112/60/E$189</f>
        <v>#DIV/0!</v>
      </c>
      <c r="Q112" s="56" t="e">
        <f>G112/60/F$189</f>
        <v>#DIV/0!</v>
      </c>
      <c r="R112" s="56" t="e">
        <f>H112/60/G$189</f>
        <v>#DIV/0!</v>
      </c>
      <c r="S112" s="56" t="e">
        <f>I112/60/H$189</f>
        <v>#DIV/0!</v>
      </c>
      <c r="T112" s="56" t="e">
        <f>J112/60/I$189</f>
        <v>#DIV/0!</v>
      </c>
      <c r="U112" s="56" t="e">
        <f t="shared" si="1"/>
        <v>#DIV/0!</v>
      </c>
    </row>
    <row r="113" spans="1:21" x14ac:dyDescent="0.15">
      <c r="A113" s="49">
        <v>111</v>
      </c>
      <c r="B113" s="46" t="e">
        <f>Nodes!B113*(1-Nodes!AO113)</f>
        <v>#DIV/0!</v>
      </c>
      <c r="C113" s="46" t="e">
        <f>Nodes!C113*(1-Nodes!AP113)</f>
        <v>#DIV/0!</v>
      </c>
      <c r="D113" s="46" t="e">
        <f>Nodes!D113*(1-Nodes!AQ113)</f>
        <v>#DIV/0!</v>
      </c>
      <c r="E113" s="46" t="e">
        <f>Nodes!E113*(1-Nodes!AR113)</f>
        <v>#DIV/0!</v>
      </c>
      <c r="F113" s="46" t="e">
        <f>Nodes!F113*(1-Nodes!AS113)</f>
        <v>#DIV/0!</v>
      </c>
      <c r="G113" s="46" t="e">
        <f>Nodes!G113*(1-Nodes!AT113)</f>
        <v>#DIV/0!</v>
      </c>
      <c r="H113" s="46" t="e">
        <f>Nodes!H113*(1-Nodes!AU113)</f>
        <v>#DIV/0!</v>
      </c>
      <c r="I113" s="46" t="e">
        <f>Nodes!I113*(1-Nodes!AV113)</f>
        <v>#DIV/0!</v>
      </c>
      <c r="J113" s="46" t="e">
        <f>Nodes!L113*(1-Nodes!AY113)</f>
        <v>#DIV/0!</v>
      </c>
      <c r="K113" s="46" t="e">
        <f>Nodes!N113*(1-Nodes!BA113)</f>
        <v>#DIV/0!</v>
      </c>
      <c r="L113" s="56" t="e">
        <f>B113/60/A$189</f>
        <v>#DIV/0!</v>
      </c>
      <c r="M113" s="56" t="e">
        <f>C113/60/B$189</f>
        <v>#DIV/0!</v>
      </c>
      <c r="N113" s="56" t="e">
        <f>D113/60/C$189</f>
        <v>#DIV/0!</v>
      </c>
      <c r="O113" s="56" t="e">
        <f>E113/60/D$189</f>
        <v>#DIV/0!</v>
      </c>
      <c r="P113" s="56" t="e">
        <f>F113/60/E$189</f>
        <v>#DIV/0!</v>
      </c>
      <c r="Q113" s="56" t="e">
        <f>G113/60/F$189</f>
        <v>#DIV/0!</v>
      </c>
      <c r="R113" s="56" t="e">
        <f>H113/60/G$189</f>
        <v>#DIV/0!</v>
      </c>
      <c r="S113" s="56" t="e">
        <f>I113/60/H$189</f>
        <v>#DIV/0!</v>
      </c>
      <c r="T113" s="56" t="e">
        <f>J113/60/I$189</f>
        <v>#DIV/0!</v>
      </c>
      <c r="U113" s="56" t="e">
        <f t="shared" si="1"/>
        <v>#DIV/0!</v>
      </c>
    </row>
    <row r="114" spans="1:21" x14ac:dyDescent="0.15">
      <c r="A114" s="49">
        <v>112</v>
      </c>
      <c r="B114" s="46" t="e">
        <f>Nodes!B114*(1-Nodes!AO114)</f>
        <v>#DIV/0!</v>
      </c>
      <c r="C114" s="46" t="e">
        <f>Nodes!C114*(1-Nodes!AP114)</f>
        <v>#DIV/0!</v>
      </c>
      <c r="D114" s="46" t="e">
        <f>Nodes!D114*(1-Nodes!AQ114)</f>
        <v>#DIV/0!</v>
      </c>
      <c r="E114" s="46" t="e">
        <f>Nodes!E114*(1-Nodes!AR114)</f>
        <v>#DIV/0!</v>
      </c>
      <c r="F114" s="46" t="e">
        <f>Nodes!F114*(1-Nodes!AS114)</f>
        <v>#DIV/0!</v>
      </c>
      <c r="G114" s="46" t="e">
        <f>Nodes!G114*(1-Nodes!AT114)</f>
        <v>#DIV/0!</v>
      </c>
      <c r="H114" s="46" t="e">
        <f>Nodes!H114*(1-Nodes!AU114)</f>
        <v>#DIV/0!</v>
      </c>
      <c r="I114" s="46" t="e">
        <f>Nodes!I114*(1-Nodes!AV114)</f>
        <v>#DIV/0!</v>
      </c>
      <c r="J114" s="46" t="e">
        <f>Nodes!L114*(1-Nodes!AY114)</f>
        <v>#DIV/0!</v>
      </c>
      <c r="K114" s="46" t="e">
        <f>Nodes!N114*(1-Nodes!BA114)</f>
        <v>#DIV/0!</v>
      </c>
      <c r="L114" s="56" t="e">
        <f>B114/60/A$189</f>
        <v>#DIV/0!</v>
      </c>
      <c r="M114" s="56" t="e">
        <f>C114/60/B$189</f>
        <v>#DIV/0!</v>
      </c>
      <c r="N114" s="56" t="e">
        <f>D114/60/C$189</f>
        <v>#DIV/0!</v>
      </c>
      <c r="O114" s="56" t="e">
        <f>E114/60/D$189</f>
        <v>#DIV/0!</v>
      </c>
      <c r="P114" s="56" t="e">
        <f>F114/60/E$189</f>
        <v>#DIV/0!</v>
      </c>
      <c r="Q114" s="56" t="e">
        <f>G114/60/F$189</f>
        <v>#DIV/0!</v>
      </c>
      <c r="R114" s="56" t="e">
        <f>H114/60/G$189</f>
        <v>#DIV/0!</v>
      </c>
      <c r="S114" s="56" t="e">
        <f>I114/60/H$189</f>
        <v>#DIV/0!</v>
      </c>
      <c r="T114" s="56" t="e">
        <f>J114/60/I$189</f>
        <v>#DIV/0!</v>
      </c>
      <c r="U114" s="56" t="e">
        <f t="shared" si="1"/>
        <v>#DIV/0!</v>
      </c>
    </row>
    <row r="115" spans="1:21" x14ac:dyDescent="0.15">
      <c r="A115" s="49">
        <v>113</v>
      </c>
      <c r="B115" s="46" t="e">
        <f>Nodes!B115*(1-Nodes!AO115)</f>
        <v>#DIV/0!</v>
      </c>
      <c r="C115" s="46" t="e">
        <f>Nodes!C115*(1-Nodes!AP115)</f>
        <v>#DIV/0!</v>
      </c>
      <c r="D115" s="46" t="e">
        <f>Nodes!D115*(1-Nodes!AQ115)</f>
        <v>#DIV/0!</v>
      </c>
      <c r="E115" s="46" t="e">
        <f>Nodes!E115*(1-Nodes!AR115)</f>
        <v>#DIV/0!</v>
      </c>
      <c r="F115" s="46" t="e">
        <f>Nodes!F115*(1-Nodes!AS115)</f>
        <v>#DIV/0!</v>
      </c>
      <c r="G115" s="46" t="e">
        <f>Nodes!G115*(1-Nodes!AT115)</f>
        <v>#DIV/0!</v>
      </c>
      <c r="H115" s="46" t="e">
        <f>Nodes!H115*(1-Nodes!AU115)</f>
        <v>#DIV/0!</v>
      </c>
      <c r="I115" s="46" t="e">
        <f>Nodes!I115*(1-Nodes!AV115)</f>
        <v>#DIV/0!</v>
      </c>
      <c r="J115" s="46" t="e">
        <f>Nodes!L115*(1-Nodes!AY115)</f>
        <v>#DIV/0!</v>
      </c>
      <c r="K115" s="46" t="e">
        <f>Nodes!N115*(1-Nodes!BA115)</f>
        <v>#DIV/0!</v>
      </c>
      <c r="L115" s="56" t="e">
        <f>B115/60/A$189</f>
        <v>#DIV/0!</v>
      </c>
      <c r="M115" s="56" t="e">
        <f>C115/60/B$189</f>
        <v>#DIV/0!</v>
      </c>
      <c r="N115" s="56" t="e">
        <f>D115/60/C$189</f>
        <v>#DIV/0!</v>
      </c>
      <c r="O115" s="56" t="e">
        <f>E115/60/D$189</f>
        <v>#DIV/0!</v>
      </c>
      <c r="P115" s="56" t="e">
        <f>F115/60/E$189</f>
        <v>#DIV/0!</v>
      </c>
      <c r="Q115" s="56" t="e">
        <f>G115/60/F$189</f>
        <v>#DIV/0!</v>
      </c>
      <c r="R115" s="56" t="e">
        <f>H115/60/G$189</f>
        <v>#DIV/0!</v>
      </c>
      <c r="S115" s="56" t="e">
        <f>I115/60/H$189</f>
        <v>#DIV/0!</v>
      </c>
      <c r="T115" s="56" t="e">
        <f>J115/60/I$189</f>
        <v>#DIV/0!</v>
      </c>
      <c r="U115" s="56" t="e">
        <f t="shared" si="1"/>
        <v>#DIV/0!</v>
      </c>
    </row>
    <row r="116" spans="1:21" x14ac:dyDescent="0.15">
      <c r="A116" s="49">
        <v>114</v>
      </c>
      <c r="B116" s="46" t="e">
        <f>Nodes!B116*(1-Nodes!AO116)</f>
        <v>#DIV/0!</v>
      </c>
      <c r="C116" s="46" t="e">
        <f>Nodes!C116*(1-Nodes!AP116)</f>
        <v>#DIV/0!</v>
      </c>
      <c r="D116" s="46" t="e">
        <f>Nodes!D116*(1-Nodes!AQ116)</f>
        <v>#DIV/0!</v>
      </c>
      <c r="E116" s="46" t="e">
        <f>Nodes!E116*(1-Nodes!AR116)</f>
        <v>#DIV/0!</v>
      </c>
      <c r="F116" s="46" t="e">
        <f>Nodes!F116*(1-Nodes!AS116)</f>
        <v>#DIV/0!</v>
      </c>
      <c r="G116" s="46" t="e">
        <f>Nodes!G116*(1-Nodes!AT116)</f>
        <v>#DIV/0!</v>
      </c>
      <c r="H116" s="46" t="e">
        <f>Nodes!H116*(1-Nodes!AU116)</f>
        <v>#DIV/0!</v>
      </c>
      <c r="I116" s="46" t="e">
        <f>Nodes!I116*(1-Nodes!AV116)</f>
        <v>#DIV/0!</v>
      </c>
      <c r="J116" s="46" t="e">
        <f>Nodes!L116*(1-Nodes!AY116)</f>
        <v>#DIV/0!</v>
      </c>
      <c r="K116" s="46" t="e">
        <f>Nodes!N116*(1-Nodes!BA116)</f>
        <v>#DIV/0!</v>
      </c>
      <c r="L116" s="56" t="e">
        <f>B116/60/A$189</f>
        <v>#DIV/0!</v>
      </c>
      <c r="M116" s="56" t="e">
        <f>C116/60/B$189</f>
        <v>#DIV/0!</v>
      </c>
      <c r="N116" s="56" t="e">
        <f>D116/60/C$189</f>
        <v>#DIV/0!</v>
      </c>
      <c r="O116" s="56" t="e">
        <f>E116/60/D$189</f>
        <v>#DIV/0!</v>
      </c>
      <c r="P116" s="56" t="e">
        <f>F116/60/E$189</f>
        <v>#DIV/0!</v>
      </c>
      <c r="Q116" s="56" t="e">
        <f>G116/60/F$189</f>
        <v>#DIV/0!</v>
      </c>
      <c r="R116" s="56" t="e">
        <f>H116/60/G$189</f>
        <v>#DIV/0!</v>
      </c>
      <c r="S116" s="56" t="e">
        <f>I116/60/H$189</f>
        <v>#DIV/0!</v>
      </c>
      <c r="T116" s="56" t="e">
        <f>J116/60/I$189</f>
        <v>#DIV/0!</v>
      </c>
      <c r="U116" s="56" t="e">
        <f t="shared" si="1"/>
        <v>#DIV/0!</v>
      </c>
    </row>
    <row r="117" spans="1:21" x14ac:dyDescent="0.15">
      <c r="A117" s="49">
        <v>115</v>
      </c>
      <c r="B117" s="46" t="e">
        <f>Nodes!B117*(1-Nodes!AO117)</f>
        <v>#DIV/0!</v>
      </c>
      <c r="C117" s="46" t="e">
        <f>Nodes!C117*(1-Nodes!AP117)</f>
        <v>#DIV/0!</v>
      </c>
      <c r="D117" s="46" t="e">
        <f>Nodes!D117*(1-Nodes!AQ117)</f>
        <v>#DIV/0!</v>
      </c>
      <c r="E117" s="46" t="e">
        <f>Nodes!E117*(1-Nodes!AR117)</f>
        <v>#DIV/0!</v>
      </c>
      <c r="F117" s="46" t="e">
        <f>Nodes!F117*(1-Nodes!AS117)</f>
        <v>#DIV/0!</v>
      </c>
      <c r="G117" s="46" t="e">
        <f>Nodes!G117*(1-Nodes!AT117)</f>
        <v>#DIV/0!</v>
      </c>
      <c r="H117" s="46" t="e">
        <f>Nodes!H117*(1-Nodes!AU117)</f>
        <v>#DIV/0!</v>
      </c>
      <c r="I117" s="46" t="e">
        <f>Nodes!I117*(1-Nodes!AV117)</f>
        <v>#DIV/0!</v>
      </c>
      <c r="J117" s="46" t="e">
        <f>Nodes!L117*(1-Nodes!AY117)</f>
        <v>#DIV/0!</v>
      </c>
      <c r="K117" s="46" t="e">
        <f>Nodes!N117*(1-Nodes!BA117)</f>
        <v>#DIV/0!</v>
      </c>
      <c r="L117" s="56" t="e">
        <f>B117/60/A$189</f>
        <v>#DIV/0!</v>
      </c>
      <c r="M117" s="56" t="e">
        <f>C117/60/B$189</f>
        <v>#DIV/0!</v>
      </c>
      <c r="N117" s="56" t="e">
        <f>D117/60/C$189</f>
        <v>#DIV/0!</v>
      </c>
      <c r="O117" s="56" t="e">
        <f>E117/60/D$189</f>
        <v>#DIV/0!</v>
      </c>
      <c r="P117" s="56" t="e">
        <f>F117/60/E$189</f>
        <v>#DIV/0!</v>
      </c>
      <c r="Q117" s="56" t="e">
        <f>G117/60/F$189</f>
        <v>#DIV/0!</v>
      </c>
      <c r="R117" s="56" t="e">
        <f>H117/60/G$189</f>
        <v>#DIV/0!</v>
      </c>
      <c r="S117" s="56" t="e">
        <f>I117/60/H$189</f>
        <v>#DIV/0!</v>
      </c>
      <c r="T117" s="56" t="e">
        <f>J117/60/I$189</f>
        <v>#DIV/0!</v>
      </c>
      <c r="U117" s="56" t="e">
        <f t="shared" si="1"/>
        <v>#DIV/0!</v>
      </c>
    </row>
    <row r="118" spans="1:21" x14ac:dyDescent="0.15">
      <c r="A118" s="49">
        <v>116</v>
      </c>
      <c r="B118" s="46" t="e">
        <f>Nodes!B118*(1-Nodes!AO118)</f>
        <v>#DIV/0!</v>
      </c>
      <c r="C118" s="46" t="e">
        <f>Nodes!C118*(1-Nodes!AP118)</f>
        <v>#DIV/0!</v>
      </c>
      <c r="D118" s="46" t="e">
        <f>Nodes!D118*(1-Nodes!AQ118)</f>
        <v>#DIV/0!</v>
      </c>
      <c r="E118" s="46" t="e">
        <f>Nodes!E118*(1-Nodes!AR118)</f>
        <v>#DIV/0!</v>
      </c>
      <c r="F118" s="46" t="e">
        <f>Nodes!F118*(1-Nodes!AS118)</f>
        <v>#DIV/0!</v>
      </c>
      <c r="G118" s="46" t="e">
        <f>Nodes!G118*(1-Nodes!AT118)</f>
        <v>#DIV/0!</v>
      </c>
      <c r="H118" s="46" t="e">
        <f>Nodes!H118*(1-Nodes!AU118)</f>
        <v>#DIV/0!</v>
      </c>
      <c r="I118" s="46" t="e">
        <f>Nodes!I118*(1-Nodes!AV118)</f>
        <v>#DIV/0!</v>
      </c>
      <c r="J118" s="46" t="e">
        <f>Nodes!L118*(1-Nodes!AY118)</f>
        <v>#DIV/0!</v>
      </c>
      <c r="K118" s="46" t="e">
        <f>Nodes!N118*(1-Nodes!BA118)</f>
        <v>#DIV/0!</v>
      </c>
      <c r="L118" s="56" t="e">
        <f>B118/60/A$189</f>
        <v>#DIV/0!</v>
      </c>
      <c r="M118" s="56" t="e">
        <f>C118/60/B$189</f>
        <v>#DIV/0!</v>
      </c>
      <c r="N118" s="56" t="e">
        <f>D118/60/C$189</f>
        <v>#DIV/0!</v>
      </c>
      <c r="O118" s="56" t="e">
        <f>E118/60/D$189</f>
        <v>#DIV/0!</v>
      </c>
      <c r="P118" s="56" t="e">
        <f>F118/60/E$189</f>
        <v>#DIV/0!</v>
      </c>
      <c r="Q118" s="56" t="e">
        <f>G118/60/F$189</f>
        <v>#DIV/0!</v>
      </c>
      <c r="R118" s="56" t="e">
        <f>H118/60/G$189</f>
        <v>#DIV/0!</v>
      </c>
      <c r="S118" s="56" t="e">
        <f>I118/60/H$189</f>
        <v>#DIV/0!</v>
      </c>
      <c r="T118" s="56" t="e">
        <f>J118/60/I$189</f>
        <v>#DIV/0!</v>
      </c>
      <c r="U118" s="56" t="e">
        <f t="shared" si="1"/>
        <v>#DIV/0!</v>
      </c>
    </row>
    <row r="119" spans="1:21" x14ac:dyDescent="0.15">
      <c r="A119" s="49">
        <v>117</v>
      </c>
      <c r="B119" s="46" t="e">
        <f>Nodes!B119*(1-Nodes!AO119)</f>
        <v>#DIV/0!</v>
      </c>
      <c r="C119" s="46" t="e">
        <f>Nodes!C119*(1-Nodes!AP119)</f>
        <v>#DIV/0!</v>
      </c>
      <c r="D119" s="46" t="e">
        <f>Nodes!D119*(1-Nodes!AQ119)</f>
        <v>#DIV/0!</v>
      </c>
      <c r="E119" s="46" t="e">
        <f>Nodes!E119*(1-Nodes!AR119)</f>
        <v>#DIV/0!</v>
      </c>
      <c r="F119" s="46" t="e">
        <f>Nodes!F119*(1-Nodes!AS119)</f>
        <v>#DIV/0!</v>
      </c>
      <c r="G119" s="46" t="e">
        <f>Nodes!G119*(1-Nodes!AT119)</f>
        <v>#DIV/0!</v>
      </c>
      <c r="H119" s="46" t="e">
        <f>Nodes!H119*(1-Nodes!AU119)</f>
        <v>#DIV/0!</v>
      </c>
      <c r="I119" s="46" t="e">
        <f>Nodes!I119*(1-Nodes!AV119)</f>
        <v>#DIV/0!</v>
      </c>
      <c r="J119" s="46" t="e">
        <f>Nodes!L119*(1-Nodes!AY119)</f>
        <v>#DIV/0!</v>
      </c>
      <c r="K119" s="46" t="e">
        <f>Nodes!N119*(1-Nodes!BA119)</f>
        <v>#DIV/0!</v>
      </c>
      <c r="L119" s="56" t="e">
        <f>B119/60/A$189</f>
        <v>#DIV/0!</v>
      </c>
      <c r="M119" s="56" t="e">
        <f>C119/60/B$189</f>
        <v>#DIV/0!</v>
      </c>
      <c r="N119" s="56" t="e">
        <f>D119/60/C$189</f>
        <v>#DIV/0!</v>
      </c>
      <c r="O119" s="56" t="e">
        <f>E119/60/D$189</f>
        <v>#DIV/0!</v>
      </c>
      <c r="P119" s="56" t="e">
        <f>F119/60/E$189</f>
        <v>#DIV/0!</v>
      </c>
      <c r="Q119" s="56" t="e">
        <f>G119/60/F$189</f>
        <v>#DIV/0!</v>
      </c>
      <c r="R119" s="56" t="e">
        <f>H119/60/G$189</f>
        <v>#DIV/0!</v>
      </c>
      <c r="S119" s="56" t="e">
        <f>I119/60/H$189</f>
        <v>#DIV/0!</v>
      </c>
      <c r="T119" s="56" t="e">
        <f>J119/60/I$189</f>
        <v>#DIV/0!</v>
      </c>
      <c r="U119" s="56" t="e">
        <f t="shared" si="1"/>
        <v>#DIV/0!</v>
      </c>
    </row>
    <row r="120" spans="1:21" x14ac:dyDescent="0.15">
      <c r="A120" s="49">
        <v>118</v>
      </c>
      <c r="B120" s="46" t="e">
        <f>Nodes!B120*(1-Nodes!AO120)</f>
        <v>#DIV/0!</v>
      </c>
      <c r="C120" s="46" t="e">
        <f>Nodes!C120*(1-Nodes!AP120)</f>
        <v>#DIV/0!</v>
      </c>
      <c r="D120" s="46" t="e">
        <f>Nodes!D120*(1-Nodes!AQ120)</f>
        <v>#DIV/0!</v>
      </c>
      <c r="E120" s="46" t="e">
        <f>Nodes!E120*(1-Nodes!AR120)</f>
        <v>#DIV/0!</v>
      </c>
      <c r="F120" s="46" t="e">
        <f>Nodes!F120*(1-Nodes!AS120)</f>
        <v>#DIV/0!</v>
      </c>
      <c r="G120" s="46" t="e">
        <f>Nodes!G120*(1-Nodes!AT120)</f>
        <v>#DIV/0!</v>
      </c>
      <c r="H120" s="46" t="e">
        <f>Nodes!H120*(1-Nodes!AU120)</f>
        <v>#DIV/0!</v>
      </c>
      <c r="I120" s="46" t="e">
        <f>Nodes!I120*(1-Nodes!AV120)</f>
        <v>#DIV/0!</v>
      </c>
      <c r="J120" s="46" t="e">
        <f>Nodes!L120*(1-Nodes!AY120)</f>
        <v>#DIV/0!</v>
      </c>
      <c r="K120" s="46" t="e">
        <f>Nodes!N120*(1-Nodes!BA120)</f>
        <v>#DIV/0!</v>
      </c>
      <c r="L120" s="56" t="e">
        <f>B120/60/A$189</f>
        <v>#DIV/0!</v>
      </c>
      <c r="M120" s="56" t="e">
        <f>C120/60/B$189</f>
        <v>#DIV/0!</v>
      </c>
      <c r="N120" s="56" t="e">
        <f>D120/60/C$189</f>
        <v>#DIV/0!</v>
      </c>
      <c r="O120" s="56" t="e">
        <f>E120/60/D$189</f>
        <v>#DIV/0!</v>
      </c>
      <c r="P120" s="56" t="e">
        <f>F120/60/E$189</f>
        <v>#DIV/0!</v>
      </c>
      <c r="Q120" s="56" t="e">
        <f>G120/60/F$189</f>
        <v>#DIV/0!</v>
      </c>
      <c r="R120" s="56" t="e">
        <f>H120/60/G$189</f>
        <v>#DIV/0!</v>
      </c>
      <c r="S120" s="56" t="e">
        <f>I120/60/H$189</f>
        <v>#DIV/0!</v>
      </c>
      <c r="T120" s="56" t="e">
        <f>J120/60/I$189</f>
        <v>#DIV/0!</v>
      </c>
      <c r="U120" s="56" t="e">
        <f t="shared" si="1"/>
        <v>#DIV/0!</v>
      </c>
    </row>
    <row r="121" spans="1:21" x14ac:dyDescent="0.15">
      <c r="A121" s="49">
        <v>119</v>
      </c>
      <c r="B121" s="46" t="e">
        <f>Nodes!B121*(1-Nodes!AO121)</f>
        <v>#DIV/0!</v>
      </c>
      <c r="C121" s="46" t="e">
        <f>Nodes!C121*(1-Nodes!AP121)</f>
        <v>#DIV/0!</v>
      </c>
      <c r="D121" s="46" t="e">
        <f>Nodes!D121*(1-Nodes!AQ121)</f>
        <v>#DIV/0!</v>
      </c>
      <c r="E121" s="46" t="e">
        <f>Nodes!E121*(1-Nodes!AR121)</f>
        <v>#DIV/0!</v>
      </c>
      <c r="F121" s="46" t="e">
        <f>Nodes!F121*(1-Nodes!AS121)</f>
        <v>#DIV/0!</v>
      </c>
      <c r="G121" s="46" t="e">
        <f>Nodes!G121*(1-Nodes!AT121)</f>
        <v>#DIV/0!</v>
      </c>
      <c r="H121" s="46" t="e">
        <f>Nodes!H121*(1-Nodes!AU121)</f>
        <v>#DIV/0!</v>
      </c>
      <c r="I121" s="46" t="e">
        <f>Nodes!I121*(1-Nodes!AV121)</f>
        <v>#DIV/0!</v>
      </c>
      <c r="J121" s="46" t="e">
        <f>Nodes!L121*(1-Nodes!AY121)</f>
        <v>#DIV/0!</v>
      </c>
      <c r="K121" s="46" t="e">
        <f>Nodes!N121*(1-Nodes!BA121)</f>
        <v>#DIV/0!</v>
      </c>
      <c r="L121" s="56" t="e">
        <f>B121/60/A$189</f>
        <v>#DIV/0!</v>
      </c>
      <c r="M121" s="56" t="e">
        <f>C121/60/B$189</f>
        <v>#DIV/0!</v>
      </c>
      <c r="N121" s="56" t="e">
        <f>D121/60/C$189</f>
        <v>#DIV/0!</v>
      </c>
      <c r="O121" s="56" t="e">
        <f>E121/60/D$189</f>
        <v>#DIV/0!</v>
      </c>
      <c r="P121" s="56" t="e">
        <f>F121/60/E$189</f>
        <v>#DIV/0!</v>
      </c>
      <c r="Q121" s="56" t="e">
        <f>G121/60/F$189</f>
        <v>#DIV/0!</v>
      </c>
      <c r="R121" s="56" t="e">
        <f>H121/60/G$189</f>
        <v>#DIV/0!</v>
      </c>
      <c r="S121" s="56" t="e">
        <f>I121/60/H$189</f>
        <v>#DIV/0!</v>
      </c>
      <c r="T121" s="56" t="e">
        <f>J121/60/I$189</f>
        <v>#DIV/0!</v>
      </c>
      <c r="U121" s="56" t="e">
        <f t="shared" si="1"/>
        <v>#DIV/0!</v>
      </c>
    </row>
    <row r="122" spans="1:21" x14ac:dyDescent="0.15">
      <c r="A122" s="49">
        <v>120</v>
      </c>
      <c r="B122" s="46" t="e">
        <f>Nodes!B122*(1-Nodes!AO122)</f>
        <v>#DIV/0!</v>
      </c>
      <c r="C122" s="46" t="e">
        <f>Nodes!C122*(1-Nodes!AP122)</f>
        <v>#DIV/0!</v>
      </c>
      <c r="D122" s="46" t="e">
        <f>Nodes!D122*(1-Nodes!AQ122)</f>
        <v>#DIV/0!</v>
      </c>
      <c r="E122" s="46" t="e">
        <f>Nodes!E122*(1-Nodes!AR122)</f>
        <v>#DIV/0!</v>
      </c>
      <c r="F122" s="46" t="e">
        <f>Nodes!F122*(1-Nodes!AS122)</f>
        <v>#DIV/0!</v>
      </c>
      <c r="G122" s="46" t="e">
        <f>Nodes!G122*(1-Nodes!AT122)</f>
        <v>#DIV/0!</v>
      </c>
      <c r="H122" s="46" t="e">
        <f>Nodes!H122*(1-Nodes!AU122)</f>
        <v>#DIV/0!</v>
      </c>
      <c r="I122" s="46" t="e">
        <f>Nodes!I122*(1-Nodes!AV122)</f>
        <v>#DIV/0!</v>
      </c>
      <c r="J122" s="46" t="e">
        <f>Nodes!L122*(1-Nodes!AY122)</f>
        <v>#DIV/0!</v>
      </c>
      <c r="K122" s="46" t="e">
        <f>Nodes!N122*(1-Nodes!BA122)</f>
        <v>#DIV/0!</v>
      </c>
      <c r="L122" s="56" t="e">
        <f>B122/60/A$189</f>
        <v>#DIV/0!</v>
      </c>
      <c r="M122" s="56" t="e">
        <f>C122/60/B$189</f>
        <v>#DIV/0!</v>
      </c>
      <c r="N122" s="56" t="e">
        <f>D122/60/C$189</f>
        <v>#DIV/0!</v>
      </c>
      <c r="O122" s="56" t="e">
        <f>E122/60/D$189</f>
        <v>#DIV/0!</v>
      </c>
      <c r="P122" s="56" t="e">
        <f>F122/60/E$189</f>
        <v>#DIV/0!</v>
      </c>
      <c r="Q122" s="56" t="e">
        <f>G122/60/F$189</f>
        <v>#DIV/0!</v>
      </c>
      <c r="R122" s="56" t="e">
        <f>H122/60/G$189</f>
        <v>#DIV/0!</v>
      </c>
      <c r="S122" s="56" t="e">
        <f>I122/60/H$189</f>
        <v>#DIV/0!</v>
      </c>
      <c r="T122" s="56" t="e">
        <f>J122/60/I$189</f>
        <v>#DIV/0!</v>
      </c>
      <c r="U122" s="56" t="e">
        <f t="shared" si="1"/>
        <v>#DIV/0!</v>
      </c>
    </row>
    <row r="123" spans="1:21" x14ac:dyDescent="0.15">
      <c r="A123" s="49">
        <v>121</v>
      </c>
      <c r="B123" s="46" t="e">
        <f>Nodes!B123*(1-Nodes!AO123)</f>
        <v>#DIV/0!</v>
      </c>
      <c r="C123" s="46" t="e">
        <f>Nodes!C123*(1-Nodes!AP123)</f>
        <v>#DIV/0!</v>
      </c>
      <c r="D123" s="46" t="e">
        <f>Nodes!D123*(1-Nodes!AQ123)</f>
        <v>#DIV/0!</v>
      </c>
      <c r="E123" s="46" t="e">
        <f>Nodes!E123*(1-Nodes!AR123)</f>
        <v>#DIV/0!</v>
      </c>
      <c r="F123" s="46" t="e">
        <f>Nodes!F123*(1-Nodes!AS123)</f>
        <v>#DIV/0!</v>
      </c>
      <c r="G123" s="46" t="e">
        <f>Nodes!G123*(1-Nodes!AT123)</f>
        <v>#DIV/0!</v>
      </c>
      <c r="H123" s="46" t="e">
        <f>Nodes!H123*(1-Nodes!AU123)</f>
        <v>#DIV/0!</v>
      </c>
      <c r="I123" s="46" t="e">
        <f>Nodes!I123*(1-Nodes!AV123)</f>
        <v>#DIV/0!</v>
      </c>
      <c r="J123" s="46" t="e">
        <f>Nodes!L123*(1-Nodes!AY123)</f>
        <v>#DIV/0!</v>
      </c>
      <c r="K123" s="46" t="e">
        <f>Nodes!N123*(1-Nodes!BA123)</f>
        <v>#DIV/0!</v>
      </c>
      <c r="L123" s="56" t="e">
        <f>B123/60/A$189</f>
        <v>#DIV/0!</v>
      </c>
      <c r="M123" s="56" t="e">
        <f>C123/60/B$189</f>
        <v>#DIV/0!</v>
      </c>
      <c r="N123" s="56" t="e">
        <f>D123/60/C$189</f>
        <v>#DIV/0!</v>
      </c>
      <c r="O123" s="56" t="e">
        <f>E123/60/D$189</f>
        <v>#DIV/0!</v>
      </c>
      <c r="P123" s="56" t="e">
        <f>F123/60/E$189</f>
        <v>#DIV/0!</v>
      </c>
      <c r="Q123" s="56" t="e">
        <f>G123/60/F$189</f>
        <v>#DIV/0!</v>
      </c>
      <c r="R123" s="56" t="e">
        <f>H123/60/G$189</f>
        <v>#DIV/0!</v>
      </c>
      <c r="S123" s="56" t="e">
        <f>I123/60/H$189</f>
        <v>#DIV/0!</v>
      </c>
      <c r="T123" s="56" t="e">
        <f>J123/60/I$189</f>
        <v>#DIV/0!</v>
      </c>
      <c r="U123" s="56" t="e">
        <f t="shared" si="1"/>
        <v>#DIV/0!</v>
      </c>
    </row>
    <row r="124" spans="1:21" x14ac:dyDescent="0.15">
      <c r="A124" s="49">
        <v>122</v>
      </c>
      <c r="B124" s="46" t="e">
        <f>Nodes!B124*(1-Nodes!AO124)</f>
        <v>#DIV/0!</v>
      </c>
      <c r="C124" s="46" t="e">
        <f>Nodes!C124*(1-Nodes!AP124)</f>
        <v>#DIV/0!</v>
      </c>
      <c r="D124" s="46" t="e">
        <f>Nodes!D124*(1-Nodes!AQ124)</f>
        <v>#DIV/0!</v>
      </c>
      <c r="E124" s="46" t="e">
        <f>Nodes!E124*(1-Nodes!AR124)</f>
        <v>#DIV/0!</v>
      </c>
      <c r="F124" s="46" t="e">
        <f>Nodes!F124*(1-Nodes!AS124)</f>
        <v>#DIV/0!</v>
      </c>
      <c r="G124" s="46" t="e">
        <f>Nodes!G124*(1-Nodes!AT124)</f>
        <v>#DIV/0!</v>
      </c>
      <c r="H124" s="46" t="e">
        <f>Nodes!H124*(1-Nodes!AU124)</f>
        <v>#DIV/0!</v>
      </c>
      <c r="I124" s="46" t="e">
        <f>Nodes!I124*(1-Nodes!AV124)</f>
        <v>#DIV/0!</v>
      </c>
      <c r="J124" s="46" t="e">
        <f>Nodes!L124*(1-Nodes!AY124)</f>
        <v>#DIV/0!</v>
      </c>
      <c r="K124" s="46" t="e">
        <f>Nodes!N124*(1-Nodes!BA124)</f>
        <v>#DIV/0!</v>
      </c>
      <c r="L124" s="56" t="e">
        <f>B124/60/A$189</f>
        <v>#DIV/0!</v>
      </c>
      <c r="M124" s="56" t="e">
        <f>C124/60/B$189</f>
        <v>#DIV/0!</v>
      </c>
      <c r="N124" s="56" t="e">
        <f>D124/60/C$189</f>
        <v>#DIV/0!</v>
      </c>
      <c r="O124" s="56" t="e">
        <f>E124/60/D$189</f>
        <v>#DIV/0!</v>
      </c>
      <c r="P124" s="56" t="e">
        <f>F124/60/E$189</f>
        <v>#DIV/0!</v>
      </c>
      <c r="Q124" s="56" t="e">
        <f>G124/60/F$189</f>
        <v>#DIV/0!</v>
      </c>
      <c r="R124" s="56" t="e">
        <f>H124/60/G$189</f>
        <v>#DIV/0!</v>
      </c>
      <c r="S124" s="56" t="e">
        <f>I124/60/H$189</f>
        <v>#DIV/0!</v>
      </c>
      <c r="T124" s="56" t="e">
        <f>J124/60/I$189</f>
        <v>#DIV/0!</v>
      </c>
      <c r="U124" s="56" t="e">
        <f t="shared" si="1"/>
        <v>#DIV/0!</v>
      </c>
    </row>
    <row r="125" spans="1:21" x14ac:dyDescent="0.15">
      <c r="A125" s="49">
        <v>123</v>
      </c>
      <c r="B125" s="46" t="e">
        <f>Nodes!B125*(1-Nodes!AO125)</f>
        <v>#DIV/0!</v>
      </c>
      <c r="C125" s="46" t="e">
        <f>Nodes!C125*(1-Nodes!AP125)</f>
        <v>#DIV/0!</v>
      </c>
      <c r="D125" s="46" t="e">
        <f>Nodes!D125*(1-Nodes!AQ125)</f>
        <v>#DIV/0!</v>
      </c>
      <c r="E125" s="46" t="e">
        <f>Nodes!E125*(1-Nodes!AR125)</f>
        <v>#DIV/0!</v>
      </c>
      <c r="F125" s="46" t="e">
        <f>Nodes!F125*(1-Nodes!AS125)</f>
        <v>#DIV/0!</v>
      </c>
      <c r="G125" s="46" t="e">
        <f>Nodes!G125*(1-Nodes!AT125)</f>
        <v>#DIV/0!</v>
      </c>
      <c r="H125" s="46" t="e">
        <f>Nodes!H125*(1-Nodes!AU125)</f>
        <v>#DIV/0!</v>
      </c>
      <c r="I125" s="46" t="e">
        <f>Nodes!I125*(1-Nodes!AV125)</f>
        <v>#DIV/0!</v>
      </c>
      <c r="J125" s="46" t="e">
        <f>Nodes!L125*(1-Nodes!AY125)</f>
        <v>#DIV/0!</v>
      </c>
      <c r="K125" s="46" t="e">
        <f>Nodes!N125*(1-Nodes!BA125)</f>
        <v>#DIV/0!</v>
      </c>
      <c r="L125" s="56" t="e">
        <f>B125/60/A$189</f>
        <v>#DIV/0!</v>
      </c>
      <c r="M125" s="56" t="e">
        <f>C125/60/B$189</f>
        <v>#DIV/0!</v>
      </c>
      <c r="N125" s="56" t="e">
        <f>D125/60/C$189</f>
        <v>#DIV/0!</v>
      </c>
      <c r="O125" s="56" t="e">
        <f>E125/60/D$189</f>
        <v>#DIV/0!</v>
      </c>
      <c r="P125" s="56" t="e">
        <f>F125/60/E$189</f>
        <v>#DIV/0!</v>
      </c>
      <c r="Q125" s="56" t="e">
        <f>G125/60/F$189</f>
        <v>#DIV/0!</v>
      </c>
      <c r="R125" s="56" t="e">
        <f>H125/60/G$189</f>
        <v>#DIV/0!</v>
      </c>
      <c r="S125" s="56" t="e">
        <f>I125/60/H$189</f>
        <v>#DIV/0!</v>
      </c>
      <c r="T125" s="56" t="e">
        <f>J125/60/I$189</f>
        <v>#DIV/0!</v>
      </c>
      <c r="U125" s="56" t="e">
        <f t="shared" si="1"/>
        <v>#DIV/0!</v>
      </c>
    </row>
    <row r="126" spans="1:21" x14ac:dyDescent="0.15">
      <c r="A126" s="49">
        <v>124</v>
      </c>
      <c r="B126" s="46" t="e">
        <f>Nodes!B126*(1-Nodes!AO126)</f>
        <v>#DIV/0!</v>
      </c>
      <c r="C126" s="46" t="e">
        <f>Nodes!C126*(1-Nodes!AP126)</f>
        <v>#DIV/0!</v>
      </c>
      <c r="D126" s="46" t="e">
        <f>Nodes!D126*(1-Nodes!AQ126)</f>
        <v>#DIV/0!</v>
      </c>
      <c r="E126" s="46" t="e">
        <f>Nodes!E126*(1-Nodes!AR126)</f>
        <v>#DIV/0!</v>
      </c>
      <c r="F126" s="46" t="e">
        <f>Nodes!F126*(1-Nodes!AS126)</f>
        <v>#DIV/0!</v>
      </c>
      <c r="G126" s="46" t="e">
        <f>Nodes!G126*(1-Nodes!AT126)</f>
        <v>#DIV/0!</v>
      </c>
      <c r="H126" s="46" t="e">
        <f>Nodes!H126*(1-Nodes!AU126)</f>
        <v>#DIV/0!</v>
      </c>
      <c r="I126" s="46" t="e">
        <f>Nodes!I126*(1-Nodes!AV126)</f>
        <v>#DIV/0!</v>
      </c>
      <c r="J126" s="46" t="e">
        <f>Nodes!L126*(1-Nodes!AY126)</f>
        <v>#DIV/0!</v>
      </c>
      <c r="K126" s="46" t="e">
        <f>Nodes!N126*(1-Nodes!BA126)</f>
        <v>#DIV/0!</v>
      </c>
      <c r="L126" s="56" t="e">
        <f>B126/60/A$189</f>
        <v>#DIV/0!</v>
      </c>
      <c r="M126" s="56" t="e">
        <f>C126/60/B$189</f>
        <v>#DIV/0!</v>
      </c>
      <c r="N126" s="56" t="e">
        <f>D126/60/C$189</f>
        <v>#DIV/0!</v>
      </c>
      <c r="O126" s="56" t="e">
        <f>E126/60/D$189</f>
        <v>#DIV/0!</v>
      </c>
      <c r="P126" s="56" t="e">
        <f>F126/60/E$189</f>
        <v>#DIV/0!</v>
      </c>
      <c r="Q126" s="56" t="e">
        <f>G126/60/F$189</f>
        <v>#DIV/0!</v>
      </c>
      <c r="R126" s="56" t="e">
        <f>H126/60/G$189</f>
        <v>#DIV/0!</v>
      </c>
      <c r="S126" s="56" t="e">
        <f>I126/60/H$189</f>
        <v>#DIV/0!</v>
      </c>
      <c r="T126" s="56" t="e">
        <f>J126/60/I$189</f>
        <v>#DIV/0!</v>
      </c>
      <c r="U126" s="56" t="e">
        <f t="shared" si="1"/>
        <v>#DIV/0!</v>
      </c>
    </row>
    <row r="127" spans="1:21" x14ac:dyDescent="0.15">
      <c r="A127" s="49">
        <v>125</v>
      </c>
      <c r="B127" s="46" t="e">
        <f>Nodes!B127*(1-Nodes!AO127)</f>
        <v>#DIV/0!</v>
      </c>
      <c r="C127" s="46" t="e">
        <f>Nodes!C127*(1-Nodes!AP127)</f>
        <v>#DIV/0!</v>
      </c>
      <c r="D127" s="46" t="e">
        <f>Nodes!D127*(1-Nodes!AQ127)</f>
        <v>#DIV/0!</v>
      </c>
      <c r="E127" s="46" t="e">
        <f>Nodes!E127*(1-Nodes!AR127)</f>
        <v>#DIV/0!</v>
      </c>
      <c r="F127" s="46" t="e">
        <f>Nodes!F127*(1-Nodes!AS127)</f>
        <v>#DIV/0!</v>
      </c>
      <c r="G127" s="46" t="e">
        <f>Nodes!G127*(1-Nodes!AT127)</f>
        <v>#DIV/0!</v>
      </c>
      <c r="H127" s="46" t="e">
        <f>Nodes!H127*(1-Nodes!AU127)</f>
        <v>#DIV/0!</v>
      </c>
      <c r="I127" s="46" t="e">
        <f>Nodes!I127*(1-Nodes!AV127)</f>
        <v>#DIV/0!</v>
      </c>
      <c r="J127" s="46" t="e">
        <f>Nodes!L127*(1-Nodes!AY127)</f>
        <v>#DIV/0!</v>
      </c>
      <c r="K127" s="46" t="e">
        <f>Nodes!N127*(1-Nodes!BA127)</f>
        <v>#DIV/0!</v>
      </c>
      <c r="L127" s="56" t="e">
        <f>B127/60/A$189</f>
        <v>#DIV/0!</v>
      </c>
      <c r="M127" s="56" t="e">
        <f>C127/60/B$189</f>
        <v>#DIV/0!</v>
      </c>
      <c r="N127" s="56" t="e">
        <f>D127/60/C$189</f>
        <v>#DIV/0!</v>
      </c>
      <c r="O127" s="56" t="e">
        <f>E127/60/D$189</f>
        <v>#DIV/0!</v>
      </c>
      <c r="P127" s="56" t="e">
        <f>F127/60/E$189</f>
        <v>#DIV/0!</v>
      </c>
      <c r="Q127" s="56" t="e">
        <f>G127/60/F$189</f>
        <v>#DIV/0!</v>
      </c>
      <c r="R127" s="56" t="e">
        <f>H127/60/G$189</f>
        <v>#DIV/0!</v>
      </c>
      <c r="S127" s="56" t="e">
        <f>I127/60/H$189</f>
        <v>#DIV/0!</v>
      </c>
      <c r="T127" s="56" t="e">
        <f>J127/60/I$189</f>
        <v>#DIV/0!</v>
      </c>
      <c r="U127" s="56" t="e">
        <f t="shared" si="1"/>
        <v>#DIV/0!</v>
      </c>
    </row>
    <row r="128" spans="1:21" x14ac:dyDescent="0.15">
      <c r="A128" s="49">
        <v>126</v>
      </c>
      <c r="B128" s="46" t="e">
        <f>Nodes!B128*(1-Nodes!AO128)</f>
        <v>#DIV/0!</v>
      </c>
      <c r="C128" s="46" t="e">
        <f>Nodes!C128*(1-Nodes!AP128)</f>
        <v>#DIV/0!</v>
      </c>
      <c r="D128" s="46" t="e">
        <f>Nodes!D128*(1-Nodes!AQ128)</f>
        <v>#DIV/0!</v>
      </c>
      <c r="E128" s="46" t="e">
        <f>Nodes!E128*(1-Nodes!AR128)</f>
        <v>#DIV/0!</v>
      </c>
      <c r="F128" s="46" t="e">
        <f>Nodes!F128*(1-Nodes!AS128)</f>
        <v>#DIV/0!</v>
      </c>
      <c r="G128" s="46" t="e">
        <f>Nodes!G128*(1-Nodes!AT128)</f>
        <v>#DIV/0!</v>
      </c>
      <c r="H128" s="46" t="e">
        <f>Nodes!H128*(1-Nodes!AU128)</f>
        <v>#DIV/0!</v>
      </c>
      <c r="I128" s="46" t="e">
        <f>Nodes!I128*(1-Nodes!AV128)</f>
        <v>#DIV/0!</v>
      </c>
      <c r="J128" s="46" t="e">
        <f>Nodes!L128*(1-Nodes!AY128)</f>
        <v>#DIV/0!</v>
      </c>
      <c r="K128" s="46" t="e">
        <f>Nodes!N128*(1-Nodes!BA128)</f>
        <v>#DIV/0!</v>
      </c>
      <c r="L128" s="56" t="e">
        <f>B128/60/A$189</f>
        <v>#DIV/0!</v>
      </c>
      <c r="M128" s="56" t="e">
        <f>C128/60/B$189</f>
        <v>#DIV/0!</v>
      </c>
      <c r="N128" s="56" t="e">
        <f>D128/60/C$189</f>
        <v>#DIV/0!</v>
      </c>
      <c r="O128" s="56" t="e">
        <f>E128/60/D$189</f>
        <v>#DIV/0!</v>
      </c>
      <c r="P128" s="56" t="e">
        <f>F128/60/E$189</f>
        <v>#DIV/0!</v>
      </c>
      <c r="Q128" s="56" t="e">
        <f>G128/60/F$189</f>
        <v>#DIV/0!</v>
      </c>
      <c r="R128" s="56" t="e">
        <f>H128/60/G$189</f>
        <v>#DIV/0!</v>
      </c>
      <c r="S128" s="56" t="e">
        <f>I128/60/H$189</f>
        <v>#DIV/0!</v>
      </c>
      <c r="T128" s="56" t="e">
        <f>J128/60/I$189</f>
        <v>#DIV/0!</v>
      </c>
      <c r="U128" s="56" t="e">
        <f t="shared" si="1"/>
        <v>#DIV/0!</v>
      </c>
    </row>
    <row r="129" spans="1:21" x14ac:dyDescent="0.15">
      <c r="A129" s="49">
        <v>127</v>
      </c>
      <c r="B129" s="46" t="e">
        <f>Nodes!B129*(1-Nodes!AO129)</f>
        <v>#DIV/0!</v>
      </c>
      <c r="C129" s="46" t="e">
        <f>Nodes!C129*(1-Nodes!AP129)</f>
        <v>#DIV/0!</v>
      </c>
      <c r="D129" s="46" t="e">
        <f>Nodes!D129*(1-Nodes!AQ129)</f>
        <v>#DIV/0!</v>
      </c>
      <c r="E129" s="46" t="e">
        <f>Nodes!E129*(1-Nodes!AR129)</f>
        <v>#DIV/0!</v>
      </c>
      <c r="F129" s="46" t="e">
        <f>Nodes!F129*(1-Nodes!AS129)</f>
        <v>#DIV/0!</v>
      </c>
      <c r="G129" s="46" t="e">
        <f>Nodes!G129*(1-Nodes!AT129)</f>
        <v>#DIV/0!</v>
      </c>
      <c r="H129" s="46" t="e">
        <f>Nodes!H129*(1-Nodes!AU129)</f>
        <v>#DIV/0!</v>
      </c>
      <c r="I129" s="46" t="e">
        <f>Nodes!I129*(1-Nodes!AV129)</f>
        <v>#DIV/0!</v>
      </c>
      <c r="J129" s="46" t="e">
        <f>Nodes!L129*(1-Nodes!AY129)</f>
        <v>#DIV/0!</v>
      </c>
      <c r="K129" s="46" t="e">
        <f>Nodes!N129*(1-Nodes!BA129)</f>
        <v>#DIV/0!</v>
      </c>
      <c r="L129" s="56" t="e">
        <f>B129/60/A$189</f>
        <v>#DIV/0!</v>
      </c>
      <c r="M129" s="56" t="e">
        <f>C129/60/B$189</f>
        <v>#DIV/0!</v>
      </c>
      <c r="N129" s="56" t="e">
        <f>D129/60/C$189</f>
        <v>#DIV/0!</v>
      </c>
      <c r="O129" s="56" t="e">
        <f>E129/60/D$189</f>
        <v>#DIV/0!</v>
      </c>
      <c r="P129" s="56" t="e">
        <f>F129/60/E$189</f>
        <v>#DIV/0!</v>
      </c>
      <c r="Q129" s="56" t="e">
        <f>G129/60/F$189</f>
        <v>#DIV/0!</v>
      </c>
      <c r="R129" s="56" t="e">
        <f>H129/60/G$189</f>
        <v>#DIV/0!</v>
      </c>
      <c r="S129" s="56" t="e">
        <f>I129/60/H$189</f>
        <v>#DIV/0!</v>
      </c>
      <c r="T129" s="56" t="e">
        <f>J129/60/I$189</f>
        <v>#DIV/0!</v>
      </c>
      <c r="U129" s="56" t="e">
        <f t="shared" si="1"/>
        <v>#DIV/0!</v>
      </c>
    </row>
    <row r="130" spans="1:21" x14ac:dyDescent="0.15">
      <c r="A130" s="49">
        <v>128</v>
      </c>
      <c r="B130" s="46" t="e">
        <f>Nodes!B130*(1-Nodes!AO130)</f>
        <v>#DIV/0!</v>
      </c>
      <c r="C130" s="46" t="e">
        <f>Nodes!C130*(1-Nodes!AP130)</f>
        <v>#DIV/0!</v>
      </c>
      <c r="D130" s="46" t="e">
        <f>Nodes!D130*(1-Nodes!AQ130)</f>
        <v>#DIV/0!</v>
      </c>
      <c r="E130" s="46" t="e">
        <f>Nodes!E130*(1-Nodes!AR130)</f>
        <v>#DIV/0!</v>
      </c>
      <c r="F130" s="46" t="e">
        <f>Nodes!F130*(1-Nodes!AS130)</f>
        <v>#DIV/0!</v>
      </c>
      <c r="G130" s="46" t="e">
        <f>Nodes!G130*(1-Nodes!AT130)</f>
        <v>#DIV/0!</v>
      </c>
      <c r="H130" s="46" t="e">
        <f>Nodes!H130*(1-Nodes!AU130)</f>
        <v>#DIV/0!</v>
      </c>
      <c r="I130" s="46" t="e">
        <f>Nodes!I130*(1-Nodes!AV130)</f>
        <v>#DIV/0!</v>
      </c>
      <c r="J130" s="46" t="e">
        <f>Nodes!L130*(1-Nodes!AY130)</f>
        <v>#DIV/0!</v>
      </c>
      <c r="K130" s="46" t="e">
        <f>Nodes!N130*(1-Nodes!BA130)</f>
        <v>#DIV/0!</v>
      </c>
      <c r="L130" s="56" t="e">
        <f>B130/60/A$189</f>
        <v>#DIV/0!</v>
      </c>
      <c r="M130" s="56" t="e">
        <f>C130/60/B$189</f>
        <v>#DIV/0!</v>
      </c>
      <c r="N130" s="56" t="e">
        <f>D130/60/C$189</f>
        <v>#DIV/0!</v>
      </c>
      <c r="O130" s="56" t="e">
        <f>E130/60/D$189</f>
        <v>#DIV/0!</v>
      </c>
      <c r="P130" s="56" t="e">
        <f>F130/60/E$189</f>
        <v>#DIV/0!</v>
      </c>
      <c r="Q130" s="56" t="e">
        <f>G130/60/F$189</f>
        <v>#DIV/0!</v>
      </c>
      <c r="R130" s="56" t="e">
        <f>H130/60/G$189</f>
        <v>#DIV/0!</v>
      </c>
      <c r="S130" s="56" t="e">
        <f>I130/60/H$189</f>
        <v>#DIV/0!</v>
      </c>
      <c r="T130" s="56" t="e">
        <f>J130/60/I$189</f>
        <v>#DIV/0!</v>
      </c>
      <c r="U130" s="56" t="e">
        <f t="shared" si="1"/>
        <v>#DIV/0!</v>
      </c>
    </row>
    <row r="131" spans="1:21" x14ac:dyDescent="0.15">
      <c r="A131" s="49">
        <v>129</v>
      </c>
      <c r="B131" s="46" t="e">
        <f>Nodes!B131*(1-Nodes!AO131)</f>
        <v>#DIV/0!</v>
      </c>
      <c r="C131" s="46" t="e">
        <f>Nodes!C131*(1-Nodes!AP131)</f>
        <v>#DIV/0!</v>
      </c>
      <c r="D131" s="46" t="e">
        <f>Nodes!D131*(1-Nodes!AQ131)</f>
        <v>#DIV/0!</v>
      </c>
      <c r="E131" s="46" t="e">
        <f>Nodes!E131*(1-Nodes!AR131)</f>
        <v>#DIV/0!</v>
      </c>
      <c r="F131" s="46" t="e">
        <f>Nodes!F131*(1-Nodes!AS131)</f>
        <v>#DIV/0!</v>
      </c>
      <c r="G131" s="46" t="e">
        <f>Nodes!G131*(1-Nodes!AT131)</f>
        <v>#DIV/0!</v>
      </c>
      <c r="H131" s="46" t="e">
        <f>Nodes!H131*(1-Nodes!AU131)</f>
        <v>#DIV/0!</v>
      </c>
      <c r="I131" s="46" t="e">
        <f>Nodes!I131*(1-Nodes!AV131)</f>
        <v>#DIV/0!</v>
      </c>
      <c r="J131" s="46" t="e">
        <f>Nodes!L131*(1-Nodes!AY131)</f>
        <v>#DIV/0!</v>
      </c>
      <c r="K131" s="46" t="e">
        <f>Nodes!N131*(1-Nodes!BA131)</f>
        <v>#DIV/0!</v>
      </c>
      <c r="L131" s="56" t="e">
        <f>B131/60/A$189</f>
        <v>#DIV/0!</v>
      </c>
      <c r="M131" s="56" t="e">
        <f>C131/60/B$189</f>
        <v>#DIV/0!</v>
      </c>
      <c r="N131" s="56" t="e">
        <f>D131/60/C$189</f>
        <v>#DIV/0!</v>
      </c>
      <c r="O131" s="56" t="e">
        <f>E131/60/D$189</f>
        <v>#DIV/0!</v>
      </c>
      <c r="P131" s="56" t="e">
        <f>F131/60/E$189</f>
        <v>#DIV/0!</v>
      </c>
      <c r="Q131" s="56" t="e">
        <f>G131/60/F$189</f>
        <v>#DIV/0!</v>
      </c>
      <c r="R131" s="56" t="e">
        <f>H131/60/G$189</f>
        <v>#DIV/0!</v>
      </c>
      <c r="S131" s="56" t="e">
        <f>I131/60/H$189</f>
        <v>#DIV/0!</v>
      </c>
      <c r="T131" s="56" t="e">
        <f>J131/60/I$189</f>
        <v>#DIV/0!</v>
      </c>
      <c r="U131" s="56" t="e">
        <f t="shared" si="1"/>
        <v>#DIV/0!</v>
      </c>
    </row>
    <row r="132" spans="1:21" x14ac:dyDescent="0.15">
      <c r="A132" s="49">
        <v>130</v>
      </c>
      <c r="B132" s="46" t="e">
        <f>Nodes!B132*(1-Nodes!AO132)</f>
        <v>#DIV/0!</v>
      </c>
      <c r="C132" s="46" t="e">
        <f>Nodes!C132*(1-Nodes!AP132)</f>
        <v>#DIV/0!</v>
      </c>
      <c r="D132" s="46" t="e">
        <f>Nodes!D132*(1-Nodes!AQ132)</f>
        <v>#DIV/0!</v>
      </c>
      <c r="E132" s="46" t="e">
        <f>Nodes!E132*(1-Nodes!AR132)</f>
        <v>#DIV/0!</v>
      </c>
      <c r="F132" s="46" t="e">
        <f>Nodes!F132*(1-Nodes!AS132)</f>
        <v>#DIV/0!</v>
      </c>
      <c r="G132" s="46" t="e">
        <f>Nodes!G132*(1-Nodes!AT132)</f>
        <v>#DIV/0!</v>
      </c>
      <c r="H132" s="46" t="e">
        <f>Nodes!H132*(1-Nodes!AU132)</f>
        <v>#DIV/0!</v>
      </c>
      <c r="I132" s="46" t="e">
        <f>Nodes!I132*(1-Nodes!AV132)</f>
        <v>#DIV/0!</v>
      </c>
      <c r="J132" s="46" t="e">
        <f>Nodes!L132*(1-Nodes!AY132)</f>
        <v>#DIV/0!</v>
      </c>
      <c r="K132" s="46" t="e">
        <f>Nodes!N132*(1-Nodes!BA132)</f>
        <v>#DIV/0!</v>
      </c>
      <c r="L132" s="56" t="e">
        <f>B132/60/A$189</f>
        <v>#DIV/0!</v>
      </c>
      <c r="M132" s="56" t="e">
        <f>C132/60/B$189</f>
        <v>#DIV/0!</v>
      </c>
      <c r="N132" s="56" t="e">
        <f>D132/60/C$189</f>
        <v>#DIV/0!</v>
      </c>
      <c r="O132" s="56" t="e">
        <f>E132/60/D$189</f>
        <v>#DIV/0!</v>
      </c>
      <c r="P132" s="56" t="e">
        <f>F132/60/E$189</f>
        <v>#DIV/0!</v>
      </c>
      <c r="Q132" s="56" t="e">
        <f>G132/60/F$189</f>
        <v>#DIV/0!</v>
      </c>
      <c r="R132" s="56" t="e">
        <f>H132/60/G$189</f>
        <v>#DIV/0!</v>
      </c>
      <c r="S132" s="56" t="e">
        <f>I132/60/H$189</f>
        <v>#DIV/0!</v>
      </c>
      <c r="T132" s="56" t="e">
        <f>J132/60/I$189</f>
        <v>#DIV/0!</v>
      </c>
      <c r="U132" s="56" t="e">
        <f t="shared" ref="U132:U182" si="2">K132/60/J$189</f>
        <v>#DIV/0!</v>
      </c>
    </row>
    <row r="133" spans="1:21" x14ac:dyDescent="0.15">
      <c r="A133" s="49">
        <v>131</v>
      </c>
      <c r="B133" s="46" t="e">
        <f>Nodes!B133*(1-Nodes!AO133)</f>
        <v>#DIV/0!</v>
      </c>
      <c r="C133" s="46" t="e">
        <f>Nodes!C133*(1-Nodes!AP133)</f>
        <v>#DIV/0!</v>
      </c>
      <c r="D133" s="46" t="e">
        <f>Nodes!D133*(1-Nodes!AQ133)</f>
        <v>#DIV/0!</v>
      </c>
      <c r="E133" s="46" t="e">
        <f>Nodes!E133*(1-Nodes!AR133)</f>
        <v>#DIV/0!</v>
      </c>
      <c r="F133" s="46" t="e">
        <f>Nodes!F133*(1-Nodes!AS133)</f>
        <v>#DIV/0!</v>
      </c>
      <c r="G133" s="46" t="e">
        <f>Nodes!G133*(1-Nodes!AT133)</f>
        <v>#DIV/0!</v>
      </c>
      <c r="H133" s="46" t="e">
        <f>Nodes!H133*(1-Nodes!AU133)</f>
        <v>#DIV/0!</v>
      </c>
      <c r="I133" s="46" t="e">
        <f>Nodes!I133*(1-Nodes!AV133)</f>
        <v>#DIV/0!</v>
      </c>
      <c r="J133" s="46" t="e">
        <f>Nodes!L133*(1-Nodes!AY133)</f>
        <v>#DIV/0!</v>
      </c>
      <c r="K133" s="46" t="e">
        <f>Nodes!N133*(1-Nodes!BA133)</f>
        <v>#DIV/0!</v>
      </c>
      <c r="L133" s="56" t="e">
        <f>B133/60/A$189</f>
        <v>#DIV/0!</v>
      </c>
      <c r="M133" s="56" t="e">
        <f>C133/60/B$189</f>
        <v>#DIV/0!</v>
      </c>
      <c r="N133" s="56" t="e">
        <f>D133/60/C$189</f>
        <v>#DIV/0!</v>
      </c>
      <c r="O133" s="56" t="e">
        <f>E133/60/D$189</f>
        <v>#DIV/0!</v>
      </c>
      <c r="P133" s="56" t="e">
        <f>F133/60/E$189</f>
        <v>#DIV/0!</v>
      </c>
      <c r="Q133" s="56" t="e">
        <f>G133/60/F$189</f>
        <v>#DIV/0!</v>
      </c>
      <c r="R133" s="56" t="e">
        <f>H133/60/G$189</f>
        <v>#DIV/0!</v>
      </c>
      <c r="S133" s="56" t="e">
        <f>I133/60/H$189</f>
        <v>#DIV/0!</v>
      </c>
      <c r="T133" s="56" t="e">
        <f>J133/60/I$189</f>
        <v>#DIV/0!</v>
      </c>
      <c r="U133" s="56" t="e">
        <f t="shared" si="2"/>
        <v>#DIV/0!</v>
      </c>
    </row>
    <row r="134" spans="1:21" x14ac:dyDescent="0.15">
      <c r="A134" s="49">
        <v>132</v>
      </c>
      <c r="B134" s="46" t="e">
        <f>Nodes!B134*(1-Nodes!AO134)</f>
        <v>#DIV/0!</v>
      </c>
      <c r="C134" s="46" t="e">
        <f>Nodes!C134*(1-Nodes!AP134)</f>
        <v>#DIV/0!</v>
      </c>
      <c r="D134" s="46" t="e">
        <f>Nodes!D134*(1-Nodes!AQ134)</f>
        <v>#DIV/0!</v>
      </c>
      <c r="E134" s="46" t="e">
        <f>Nodes!E134*(1-Nodes!AR134)</f>
        <v>#DIV/0!</v>
      </c>
      <c r="F134" s="46" t="e">
        <f>Nodes!F134*(1-Nodes!AS134)</f>
        <v>#DIV/0!</v>
      </c>
      <c r="G134" s="46" t="e">
        <f>Nodes!G134*(1-Nodes!AT134)</f>
        <v>#DIV/0!</v>
      </c>
      <c r="H134" s="46" t="e">
        <f>Nodes!H134*(1-Nodes!AU134)</f>
        <v>#DIV/0!</v>
      </c>
      <c r="I134" s="46" t="e">
        <f>Nodes!I134*(1-Nodes!AV134)</f>
        <v>#DIV/0!</v>
      </c>
      <c r="J134" s="46" t="e">
        <f>Nodes!L134*(1-Nodes!AY134)</f>
        <v>#DIV/0!</v>
      </c>
      <c r="K134" s="46" t="e">
        <f>Nodes!N134*(1-Nodes!BA134)</f>
        <v>#DIV/0!</v>
      </c>
      <c r="L134" s="56" t="e">
        <f>B134/60/A$189</f>
        <v>#DIV/0!</v>
      </c>
      <c r="M134" s="56" t="e">
        <f>C134/60/B$189</f>
        <v>#DIV/0!</v>
      </c>
      <c r="N134" s="56" t="e">
        <f>D134/60/C$189</f>
        <v>#DIV/0!</v>
      </c>
      <c r="O134" s="56" t="e">
        <f>E134/60/D$189</f>
        <v>#DIV/0!</v>
      </c>
      <c r="P134" s="56" t="e">
        <f>F134/60/E$189</f>
        <v>#DIV/0!</v>
      </c>
      <c r="Q134" s="56" t="e">
        <f>G134/60/F$189</f>
        <v>#DIV/0!</v>
      </c>
      <c r="R134" s="56" t="e">
        <f>H134/60/G$189</f>
        <v>#DIV/0!</v>
      </c>
      <c r="S134" s="56" t="e">
        <f>I134/60/H$189</f>
        <v>#DIV/0!</v>
      </c>
      <c r="T134" s="56" t="e">
        <f>J134/60/I$189</f>
        <v>#DIV/0!</v>
      </c>
      <c r="U134" s="56" t="e">
        <f t="shared" si="2"/>
        <v>#DIV/0!</v>
      </c>
    </row>
    <row r="135" spans="1:21" x14ac:dyDescent="0.15">
      <c r="A135" s="49">
        <v>133</v>
      </c>
      <c r="B135" s="46" t="e">
        <f>Nodes!B135*(1-Nodes!AO135)</f>
        <v>#DIV/0!</v>
      </c>
      <c r="C135" s="46" t="e">
        <f>Nodes!C135*(1-Nodes!AP135)</f>
        <v>#DIV/0!</v>
      </c>
      <c r="D135" s="46" t="e">
        <f>Nodes!D135*(1-Nodes!AQ135)</f>
        <v>#DIV/0!</v>
      </c>
      <c r="E135" s="46" t="e">
        <f>Nodes!E135*(1-Nodes!AR135)</f>
        <v>#DIV/0!</v>
      </c>
      <c r="F135" s="46" t="e">
        <f>Nodes!F135*(1-Nodes!AS135)</f>
        <v>#DIV/0!</v>
      </c>
      <c r="G135" s="46" t="e">
        <f>Nodes!G135*(1-Nodes!AT135)</f>
        <v>#DIV/0!</v>
      </c>
      <c r="H135" s="46" t="e">
        <f>Nodes!H135*(1-Nodes!AU135)</f>
        <v>#DIV/0!</v>
      </c>
      <c r="I135" s="46" t="e">
        <f>Nodes!I135*(1-Nodes!AV135)</f>
        <v>#DIV/0!</v>
      </c>
      <c r="J135" s="46" t="e">
        <f>Nodes!L135*(1-Nodes!AY135)</f>
        <v>#DIV/0!</v>
      </c>
      <c r="K135" s="46" t="e">
        <f>Nodes!N135*(1-Nodes!BA135)</f>
        <v>#DIV/0!</v>
      </c>
      <c r="L135" s="56" t="e">
        <f>B135/60/A$189</f>
        <v>#DIV/0!</v>
      </c>
      <c r="M135" s="56" t="e">
        <f>C135/60/B$189</f>
        <v>#DIV/0!</v>
      </c>
      <c r="N135" s="56" t="e">
        <f>D135/60/C$189</f>
        <v>#DIV/0!</v>
      </c>
      <c r="O135" s="56" t="e">
        <f>E135/60/D$189</f>
        <v>#DIV/0!</v>
      </c>
      <c r="P135" s="56" t="e">
        <f>F135/60/E$189</f>
        <v>#DIV/0!</v>
      </c>
      <c r="Q135" s="56" t="e">
        <f>G135/60/F$189</f>
        <v>#DIV/0!</v>
      </c>
      <c r="R135" s="56" t="e">
        <f>H135/60/G$189</f>
        <v>#DIV/0!</v>
      </c>
      <c r="S135" s="56" t="e">
        <f>I135/60/H$189</f>
        <v>#DIV/0!</v>
      </c>
      <c r="T135" s="56" t="e">
        <f>J135/60/I$189</f>
        <v>#DIV/0!</v>
      </c>
      <c r="U135" s="56" t="e">
        <f t="shared" si="2"/>
        <v>#DIV/0!</v>
      </c>
    </row>
    <row r="136" spans="1:21" x14ac:dyDescent="0.15">
      <c r="A136" s="49">
        <v>134</v>
      </c>
      <c r="B136" s="46" t="e">
        <f>Nodes!B136*(1-Nodes!AO136)</f>
        <v>#DIV/0!</v>
      </c>
      <c r="C136" s="46" t="e">
        <f>Nodes!C136*(1-Nodes!AP136)</f>
        <v>#DIV/0!</v>
      </c>
      <c r="D136" s="46" t="e">
        <f>Nodes!D136*(1-Nodes!AQ136)</f>
        <v>#DIV/0!</v>
      </c>
      <c r="E136" s="46" t="e">
        <f>Nodes!E136*(1-Nodes!AR136)</f>
        <v>#DIV/0!</v>
      </c>
      <c r="F136" s="46" t="e">
        <f>Nodes!F136*(1-Nodes!AS136)</f>
        <v>#DIV/0!</v>
      </c>
      <c r="G136" s="46" t="e">
        <f>Nodes!G136*(1-Nodes!AT136)</f>
        <v>#DIV/0!</v>
      </c>
      <c r="H136" s="46" t="e">
        <f>Nodes!H136*(1-Nodes!AU136)</f>
        <v>#DIV/0!</v>
      </c>
      <c r="I136" s="46" t="e">
        <f>Nodes!I136*(1-Nodes!AV136)</f>
        <v>#DIV/0!</v>
      </c>
      <c r="J136" s="46" t="e">
        <f>Nodes!L136*(1-Nodes!AY136)</f>
        <v>#DIV/0!</v>
      </c>
      <c r="K136" s="46" t="e">
        <f>Nodes!N136*(1-Nodes!BA136)</f>
        <v>#DIV/0!</v>
      </c>
      <c r="L136" s="56" t="e">
        <f>B136/60/A$189</f>
        <v>#DIV/0!</v>
      </c>
      <c r="M136" s="56" t="e">
        <f>C136/60/B$189</f>
        <v>#DIV/0!</v>
      </c>
      <c r="N136" s="56" t="e">
        <f>D136/60/C$189</f>
        <v>#DIV/0!</v>
      </c>
      <c r="O136" s="56" t="e">
        <f>E136/60/D$189</f>
        <v>#DIV/0!</v>
      </c>
      <c r="P136" s="56" t="e">
        <f>F136/60/E$189</f>
        <v>#DIV/0!</v>
      </c>
      <c r="Q136" s="56" t="e">
        <f>G136/60/F$189</f>
        <v>#DIV/0!</v>
      </c>
      <c r="R136" s="56" t="e">
        <f>H136/60/G$189</f>
        <v>#DIV/0!</v>
      </c>
      <c r="S136" s="56" t="e">
        <f>I136/60/H$189</f>
        <v>#DIV/0!</v>
      </c>
      <c r="T136" s="56" t="e">
        <f>J136/60/I$189</f>
        <v>#DIV/0!</v>
      </c>
      <c r="U136" s="56" t="e">
        <f t="shared" si="2"/>
        <v>#DIV/0!</v>
      </c>
    </row>
    <row r="137" spans="1:21" x14ac:dyDescent="0.15">
      <c r="A137" s="49">
        <v>135</v>
      </c>
      <c r="B137" s="46" t="e">
        <f>Nodes!B137*(1-Nodes!AO137)</f>
        <v>#DIV/0!</v>
      </c>
      <c r="C137" s="46" t="e">
        <f>Nodes!C137*(1-Nodes!AP137)</f>
        <v>#DIV/0!</v>
      </c>
      <c r="D137" s="46" t="e">
        <f>Nodes!D137*(1-Nodes!AQ137)</f>
        <v>#DIV/0!</v>
      </c>
      <c r="E137" s="46" t="e">
        <f>Nodes!E137*(1-Nodes!AR137)</f>
        <v>#DIV/0!</v>
      </c>
      <c r="F137" s="46" t="e">
        <f>Nodes!F137*(1-Nodes!AS137)</f>
        <v>#DIV/0!</v>
      </c>
      <c r="G137" s="46" t="e">
        <f>Nodes!G137*(1-Nodes!AT137)</f>
        <v>#DIV/0!</v>
      </c>
      <c r="H137" s="46" t="e">
        <f>Nodes!H137*(1-Nodes!AU137)</f>
        <v>#DIV/0!</v>
      </c>
      <c r="I137" s="46" t="e">
        <f>Nodes!I137*(1-Nodes!AV137)</f>
        <v>#DIV/0!</v>
      </c>
      <c r="J137" s="46" t="e">
        <f>Nodes!L137*(1-Nodes!AY137)</f>
        <v>#DIV/0!</v>
      </c>
      <c r="K137" s="46" t="e">
        <f>Nodes!N137*(1-Nodes!BA137)</f>
        <v>#DIV/0!</v>
      </c>
      <c r="L137" s="56" t="e">
        <f>B137/60/A$189</f>
        <v>#DIV/0!</v>
      </c>
      <c r="M137" s="56" t="e">
        <f>C137/60/B$189</f>
        <v>#DIV/0!</v>
      </c>
      <c r="N137" s="56" t="e">
        <f>D137/60/C$189</f>
        <v>#DIV/0!</v>
      </c>
      <c r="O137" s="56" t="e">
        <f>E137/60/D$189</f>
        <v>#DIV/0!</v>
      </c>
      <c r="P137" s="56" t="e">
        <f>F137/60/E$189</f>
        <v>#DIV/0!</v>
      </c>
      <c r="Q137" s="56" t="e">
        <f>G137/60/F$189</f>
        <v>#DIV/0!</v>
      </c>
      <c r="R137" s="56" t="e">
        <f>H137/60/G$189</f>
        <v>#DIV/0!</v>
      </c>
      <c r="S137" s="56" t="e">
        <f>I137/60/H$189</f>
        <v>#DIV/0!</v>
      </c>
      <c r="T137" s="56" t="e">
        <f>J137/60/I$189</f>
        <v>#DIV/0!</v>
      </c>
      <c r="U137" s="56" t="e">
        <f t="shared" si="2"/>
        <v>#DIV/0!</v>
      </c>
    </row>
    <row r="138" spans="1:21" x14ac:dyDescent="0.15">
      <c r="A138" s="49">
        <v>136</v>
      </c>
      <c r="B138" s="46" t="e">
        <f>Nodes!B138*(1-Nodes!AO138)</f>
        <v>#DIV/0!</v>
      </c>
      <c r="C138" s="46" t="e">
        <f>Nodes!C138*(1-Nodes!AP138)</f>
        <v>#DIV/0!</v>
      </c>
      <c r="D138" s="46" t="e">
        <f>Nodes!D138*(1-Nodes!AQ138)</f>
        <v>#DIV/0!</v>
      </c>
      <c r="E138" s="46" t="e">
        <f>Nodes!E138*(1-Nodes!AR138)</f>
        <v>#DIV/0!</v>
      </c>
      <c r="F138" s="46" t="e">
        <f>Nodes!F138*(1-Nodes!AS138)</f>
        <v>#DIV/0!</v>
      </c>
      <c r="G138" s="46" t="e">
        <f>Nodes!G138*(1-Nodes!AT138)</f>
        <v>#DIV/0!</v>
      </c>
      <c r="H138" s="46" t="e">
        <f>Nodes!H138*(1-Nodes!AU138)</f>
        <v>#DIV/0!</v>
      </c>
      <c r="I138" s="46" t="e">
        <f>Nodes!I138*(1-Nodes!AV138)</f>
        <v>#DIV/0!</v>
      </c>
      <c r="J138" s="46" t="e">
        <f>Nodes!L138*(1-Nodes!AY138)</f>
        <v>#DIV/0!</v>
      </c>
      <c r="K138" s="46" t="e">
        <f>Nodes!N138*(1-Nodes!BA138)</f>
        <v>#DIV/0!</v>
      </c>
      <c r="L138" s="56" t="e">
        <f>B138/60/A$189</f>
        <v>#DIV/0!</v>
      </c>
      <c r="M138" s="56" t="e">
        <f>C138/60/B$189</f>
        <v>#DIV/0!</v>
      </c>
      <c r="N138" s="56" t="e">
        <f>D138/60/C$189</f>
        <v>#DIV/0!</v>
      </c>
      <c r="O138" s="56" t="e">
        <f>E138/60/D$189</f>
        <v>#DIV/0!</v>
      </c>
      <c r="P138" s="56" t="e">
        <f>F138/60/E$189</f>
        <v>#DIV/0!</v>
      </c>
      <c r="Q138" s="56" t="e">
        <f>G138/60/F$189</f>
        <v>#DIV/0!</v>
      </c>
      <c r="R138" s="56" t="e">
        <f>H138/60/G$189</f>
        <v>#DIV/0!</v>
      </c>
      <c r="S138" s="56" t="e">
        <f>I138/60/H$189</f>
        <v>#DIV/0!</v>
      </c>
      <c r="T138" s="56" t="e">
        <f>J138/60/I$189</f>
        <v>#DIV/0!</v>
      </c>
      <c r="U138" s="56" t="e">
        <f t="shared" si="2"/>
        <v>#DIV/0!</v>
      </c>
    </row>
    <row r="139" spans="1:21" x14ac:dyDescent="0.15">
      <c r="A139" s="49">
        <v>137</v>
      </c>
      <c r="B139" s="46" t="e">
        <f>Nodes!B139*(1-Nodes!AO139)</f>
        <v>#DIV/0!</v>
      </c>
      <c r="C139" s="46" t="e">
        <f>Nodes!C139*(1-Nodes!AP139)</f>
        <v>#DIV/0!</v>
      </c>
      <c r="D139" s="46" t="e">
        <f>Nodes!D139*(1-Nodes!AQ139)</f>
        <v>#DIV/0!</v>
      </c>
      <c r="E139" s="46" t="e">
        <f>Nodes!E139*(1-Nodes!AR139)</f>
        <v>#DIV/0!</v>
      </c>
      <c r="F139" s="46" t="e">
        <f>Nodes!F139*(1-Nodes!AS139)</f>
        <v>#DIV/0!</v>
      </c>
      <c r="G139" s="46" t="e">
        <f>Nodes!G139*(1-Nodes!AT139)</f>
        <v>#DIV/0!</v>
      </c>
      <c r="H139" s="46" t="e">
        <f>Nodes!H139*(1-Nodes!AU139)</f>
        <v>#DIV/0!</v>
      </c>
      <c r="I139" s="46" t="e">
        <f>Nodes!I139*(1-Nodes!AV139)</f>
        <v>#DIV/0!</v>
      </c>
      <c r="J139" s="46" t="e">
        <f>Nodes!L139*(1-Nodes!AY139)</f>
        <v>#DIV/0!</v>
      </c>
      <c r="K139" s="46" t="e">
        <f>Nodes!N139*(1-Nodes!BA139)</f>
        <v>#DIV/0!</v>
      </c>
      <c r="L139" s="56" t="e">
        <f>B139/60/A$189</f>
        <v>#DIV/0!</v>
      </c>
      <c r="M139" s="56" t="e">
        <f>C139/60/B$189</f>
        <v>#DIV/0!</v>
      </c>
      <c r="N139" s="56" t="e">
        <f>D139/60/C$189</f>
        <v>#DIV/0!</v>
      </c>
      <c r="O139" s="56" t="e">
        <f>E139/60/D$189</f>
        <v>#DIV/0!</v>
      </c>
      <c r="P139" s="56" t="e">
        <f>F139/60/E$189</f>
        <v>#DIV/0!</v>
      </c>
      <c r="Q139" s="56" t="e">
        <f>G139/60/F$189</f>
        <v>#DIV/0!</v>
      </c>
      <c r="R139" s="56" t="e">
        <f>H139/60/G$189</f>
        <v>#DIV/0!</v>
      </c>
      <c r="S139" s="56" t="e">
        <f>I139/60/H$189</f>
        <v>#DIV/0!</v>
      </c>
      <c r="T139" s="56" t="e">
        <f>J139/60/I$189</f>
        <v>#DIV/0!</v>
      </c>
      <c r="U139" s="56" t="e">
        <f t="shared" si="2"/>
        <v>#DIV/0!</v>
      </c>
    </row>
    <row r="140" spans="1:21" x14ac:dyDescent="0.15">
      <c r="A140" s="49">
        <v>138</v>
      </c>
      <c r="B140" s="46" t="e">
        <f>Nodes!B140*(1-Nodes!AO140)</f>
        <v>#DIV/0!</v>
      </c>
      <c r="C140" s="46" t="e">
        <f>Nodes!C140*(1-Nodes!AP140)</f>
        <v>#DIV/0!</v>
      </c>
      <c r="D140" s="46" t="e">
        <f>Nodes!D140*(1-Nodes!AQ140)</f>
        <v>#DIV/0!</v>
      </c>
      <c r="E140" s="46" t="e">
        <f>Nodes!E140*(1-Nodes!AR140)</f>
        <v>#DIV/0!</v>
      </c>
      <c r="F140" s="46" t="e">
        <f>Nodes!F140*(1-Nodes!AS140)</f>
        <v>#DIV/0!</v>
      </c>
      <c r="G140" s="46" t="e">
        <f>Nodes!G140*(1-Nodes!AT140)</f>
        <v>#DIV/0!</v>
      </c>
      <c r="H140" s="46" t="e">
        <f>Nodes!H140*(1-Nodes!AU140)</f>
        <v>#DIV/0!</v>
      </c>
      <c r="I140" s="46" t="e">
        <f>Nodes!I140*(1-Nodes!AV140)</f>
        <v>#DIV/0!</v>
      </c>
      <c r="J140" s="46" t="e">
        <f>Nodes!L140*(1-Nodes!AY140)</f>
        <v>#DIV/0!</v>
      </c>
      <c r="K140" s="46" t="e">
        <f>Nodes!N140*(1-Nodes!BA140)</f>
        <v>#DIV/0!</v>
      </c>
      <c r="L140" s="56" t="e">
        <f>B140/60/A$189</f>
        <v>#DIV/0!</v>
      </c>
      <c r="M140" s="56" t="e">
        <f>C140/60/B$189</f>
        <v>#DIV/0!</v>
      </c>
      <c r="N140" s="56" t="e">
        <f>D140/60/C$189</f>
        <v>#DIV/0!</v>
      </c>
      <c r="O140" s="56" t="e">
        <f>E140/60/D$189</f>
        <v>#DIV/0!</v>
      </c>
      <c r="P140" s="56" t="e">
        <f>F140/60/E$189</f>
        <v>#DIV/0!</v>
      </c>
      <c r="Q140" s="56" t="e">
        <f>G140/60/F$189</f>
        <v>#DIV/0!</v>
      </c>
      <c r="R140" s="56" t="e">
        <f>H140/60/G$189</f>
        <v>#DIV/0!</v>
      </c>
      <c r="S140" s="56" t="e">
        <f>I140/60/H$189</f>
        <v>#DIV/0!</v>
      </c>
      <c r="T140" s="56" t="e">
        <f>J140/60/I$189</f>
        <v>#DIV/0!</v>
      </c>
      <c r="U140" s="56" t="e">
        <f t="shared" si="2"/>
        <v>#DIV/0!</v>
      </c>
    </row>
    <row r="141" spans="1:21" x14ac:dyDescent="0.15">
      <c r="A141" s="49">
        <v>139</v>
      </c>
      <c r="B141" s="46" t="e">
        <f>Nodes!B141*(1-Nodes!AO141)</f>
        <v>#DIV/0!</v>
      </c>
      <c r="C141" s="46" t="e">
        <f>Nodes!C141*(1-Nodes!AP141)</f>
        <v>#DIV/0!</v>
      </c>
      <c r="D141" s="46" t="e">
        <f>Nodes!D141*(1-Nodes!AQ141)</f>
        <v>#DIV/0!</v>
      </c>
      <c r="E141" s="46" t="e">
        <f>Nodes!E141*(1-Nodes!AR141)</f>
        <v>#DIV/0!</v>
      </c>
      <c r="F141" s="46" t="e">
        <f>Nodes!F141*(1-Nodes!AS141)</f>
        <v>#DIV/0!</v>
      </c>
      <c r="G141" s="46" t="e">
        <f>Nodes!G141*(1-Nodes!AT141)</f>
        <v>#DIV/0!</v>
      </c>
      <c r="H141" s="46" t="e">
        <f>Nodes!H141*(1-Nodes!AU141)</f>
        <v>#DIV/0!</v>
      </c>
      <c r="I141" s="46" t="e">
        <f>Nodes!I141*(1-Nodes!AV141)</f>
        <v>#DIV/0!</v>
      </c>
      <c r="J141" s="46" t="e">
        <f>Nodes!L141*(1-Nodes!AY141)</f>
        <v>#DIV/0!</v>
      </c>
      <c r="K141" s="46" t="e">
        <f>Nodes!N141*(1-Nodes!BA141)</f>
        <v>#DIV/0!</v>
      </c>
      <c r="L141" s="56" t="e">
        <f>B141/60/A$189</f>
        <v>#DIV/0!</v>
      </c>
      <c r="M141" s="56" t="e">
        <f>C141/60/B$189</f>
        <v>#DIV/0!</v>
      </c>
      <c r="N141" s="56" t="e">
        <f>D141/60/C$189</f>
        <v>#DIV/0!</v>
      </c>
      <c r="O141" s="56" t="e">
        <f>E141/60/D$189</f>
        <v>#DIV/0!</v>
      </c>
      <c r="P141" s="56" t="e">
        <f>F141/60/E$189</f>
        <v>#DIV/0!</v>
      </c>
      <c r="Q141" s="56" t="e">
        <f>G141/60/F$189</f>
        <v>#DIV/0!</v>
      </c>
      <c r="R141" s="56" t="e">
        <f>H141/60/G$189</f>
        <v>#DIV/0!</v>
      </c>
      <c r="S141" s="56" t="e">
        <f>I141/60/H$189</f>
        <v>#DIV/0!</v>
      </c>
      <c r="T141" s="56" t="e">
        <f>J141/60/I$189</f>
        <v>#DIV/0!</v>
      </c>
      <c r="U141" s="56" t="e">
        <f t="shared" si="2"/>
        <v>#DIV/0!</v>
      </c>
    </row>
    <row r="142" spans="1:21" x14ac:dyDescent="0.15">
      <c r="A142" s="49">
        <v>140</v>
      </c>
      <c r="B142" s="46" t="e">
        <f>Nodes!B142*(1-Nodes!AO142)</f>
        <v>#DIV/0!</v>
      </c>
      <c r="C142" s="46" t="e">
        <f>Nodes!C142*(1-Nodes!AP142)</f>
        <v>#DIV/0!</v>
      </c>
      <c r="D142" s="46" t="e">
        <f>Nodes!D142*(1-Nodes!AQ142)</f>
        <v>#DIV/0!</v>
      </c>
      <c r="E142" s="46" t="e">
        <f>Nodes!E142*(1-Nodes!AR142)</f>
        <v>#DIV/0!</v>
      </c>
      <c r="F142" s="46" t="e">
        <f>Nodes!F142*(1-Nodes!AS142)</f>
        <v>#DIV/0!</v>
      </c>
      <c r="G142" s="46" t="e">
        <f>Nodes!G142*(1-Nodes!AT142)</f>
        <v>#DIV/0!</v>
      </c>
      <c r="H142" s="46" t="e">
        <f>Nodes!H142*(1-Nodes!AU142)</f>
        <v>#DIV/0!</v>
      </c>
      <c r="I142" s="46" t="e">
        <f>Nodes!I142*(1-Nodes!AV142)</f>
        <v>#DIV/0!</v>
      </c>
      <c r="J142" s="46" t="e">
        <f>Nodes!L142*(1-Nodes!AY142)</f>
        <v>#DIV/0!</v>
      </c>
      <c r="K142" s="46" t="e">
        <f>Nodes!N142*(1-Nodes!BA142)</f>
        <v>#DIV/0!</v>
      </c>
      <c r="L142" s="56" t="e">
        <f>B142/60/A$189</f>
        <v>#DIV/0!</v>
      </c>
      <c r="M142" s="56" t="e">
        <f>C142/60/B$189</f>
        <v>#DIV/0!</v>
      </c>
      <c r="N142" s="56" t="e">
        <f>D142/60/C$189</f>
        <v>#DIV/0!</v>
      </c>
      <c r="O142" s="56" t="e">
        <f>E142/60/D$189</f>
        <v>#DIV/0!</v>
      </c>
      <c r="P142" s="56" t="e">
        <f>F142/60/E$189</f>
        <v>#DIV/0!</v>
      </c>
      <c r="Q142" s="56" t="e">
        <f>G142/60/F$189</f>
        <v>#DIV/0!</v>
      </c>
      <c r="R142" s="56" t="e">
        <f>H142/60/G$189</f>
        <v>#DIV/0!</v>
      </c>
      <c r="S142" s="56" t="e">
        <f>I142/60/H$189</f>
        <v>#DIV/0!</v>
      </c>
      <c r="T142" s="56" t="e">
        <f>J142/60/I$189</f>
        <v>#DIV/0!</v>
      </c>
      <c r="U142" s="56" t="e">
        <f t="shared" si="2"/>
        <v>#DIV/0!</v>
      </c>
    </row>
    <row r="143" spans="1:21" x14ac:dyDescent="0.15">
      <c r="A143" s="49">
        <v>141</v>
      </c>
      <c r="B143" s="46" t="e">
        <f>Nodes!B143*(1-Nodes!AO143)</f>
        <v>#DIV/0!</v>
      </c>
      <c r="C143" s="46" t="e">
        <f>Nodes!C143*(1-Nodes!AP143)</f>
        <v>#DIV/0!</v>
      </c>
      <c r="D143" s="46" t="e">
        <f>Nodes!D143*(1-Nodes!AQ143)</f>
        <v>#DIV/0!</v>
      </c>
      <c r="E143" s="46" t="e">
        <f>Nodes!E143*(1-Nodes!AR143)</f>
        <v>#DIV/0!</v>
      </c>
      <c r="F143" s="46" t="e">
        <f>Nodes!F143*(1-Nodes!AS143)</f>
        <v>#DIV/0!</v>
      </c>
      <c r="G143" s="46" t="e">
        <f>Nodes!G143*(1-Nodes!AT143)</f>
        <v>#DIV/0!</v>
      </c>
      <c r="H143" s="46" t="e">
        <f>Nodes!H143*(1-Nodes!AU143)</f>
        <v>#DIV/0!</v>
      </c>
      <c r="I143" s="46" t="e">
        <f>Nodes!I143*(1-Nodes!AV143)</f>
        <v>#DIV/0!</v>
      </c>
      <c r="J143" s="46" t="e">
        <f>Nodes!L143*(1-Nodes!AY143)</f>
        <v>#DIV/0!</v>
      </c>
      <c r="K143" s="46" t="e">
        <f>Nodes!N143*(1-Nodes!BA143)</f>
        <v>#DIV/0!</v>
      </c>
      <c r="L143" s="56" t="e">
        <f>B143/60/A$189</f>
        <v>#DIV/0!</v>
      </c>
      <c r="M143" s="56" t="e">
        <f>C143/60/B$189</f>
        <v>#DIV/0!</v>
      </c>
      <c r="N143" s="56" t="e">
        <f>D143/60/C$189</f>
        <v>#DIV/0!</v>
      </c>
      <c r="O143" s="56" t="e">
        <f>E143/60/D$189</f>
        <v>#DIV/0!</v>
      </c>
      <c r="P143" s="56" t="e">
        <f>F143/60/E$189</f>
        <v>#DIV/0!</v>
      </c>
      <c r="Q143" s="56" t="e">
        <f>G143/60/F$189</f>
        <v>#DIV/0!</v>
      </c>
      <c r="R143" s="56" t="e">
        <f>H143/60/G$189</f>
        <v>#DIV/0!</v>
      </c>
      <c r="S143" s="56" t="e">
        <f>I143/60/H$189</f>
        <v>#DIV/0!</v>
      </c>
      <c r="T143" s="56" t="e">
        <f>J143/60/I$189</f>
        <v>#DIV/0!</v>
      </c>
      <c r="U143" s="56" t="e">
        <f t="shared" si="2"/>
        <v>#DIV/0!</v>
      </c>
    </row>
    <row r="144" spans="1:21" x14ac:dyDescent="0.15">
      <c r="A144" s="49">
        <v>142</v>
      </c>
      <c r="B144" s="46" t="e">
        <f>Nodes!B144*(1-Nodes!AO144)</f>
        <v>#DIV/0!</v>
      </c>
      <c r="C144" s="46" t="e">
        <f>Nodes!C144*(1-Nodes!AP144)</f>
        <v>#DIV/0!</v>
      </c>
      <c r="D144" s="46" t="e">
        <f>Nodes!D144*(1-Nodes!AQ144)</f>
        <v>#DIV/0!</v>
      </c>
      <c r="E144" s="46" t="e">
        <f>Nodes!E144*(1-Nodes!AR144)</f>
        <v>#DIV/0!</v>
      </c>
      <c r="F144" s="46" t="e">
        <f>Nodes!F144*(1-Nodes!AS144)</f>
        <v>#DIV/0!</v>
      </c>
      <c r="G144" s="46" t="e">
        <f>Nodes!G144*(1-Nodes!AT144)</f>
        <v>#DIV/0!</v>
      </c>
      <c r="H144" s="46" t="e">
        <f>Nodes!H144*(1-Nodes!AU144)</f>
        <v>#DIV/0!</v>
      </c>
      <c r="I144" s="46" t="e">
        <f>Nodes!I144*(1-Nodes!AV144)</f>
        <v>#DIV/0!</v>
      </c>
      <c r="J144" s="46" t="e">
        <f>Nodes!L144*(1-Nodes!AY144)</f>
        <v>#DIV/0!</v>
      </c>
      <c r="K144" s="46" t="e">
        <f>Nodes!N144*(1-Nodes!BA144)</f>
        <v>#DIV/0!</v>
      </c>
      <c r="L144" s="56" t="e">
        <f>B144/60/A$189</f>
        <v>#DIV/0!</v>
      </c>
      <c r="M144" s="56" t="e">
        <f>C144/60/B$189</f>
        <v>#DIV/0!</v>
      </c>
      <c r="N144" s="56" t="e">
        <f>D144/60/C$189</f>
        <v>#DIV/0!</v>
      </c>
      <c r="O144" s="56" t="e">
        <f>E144/60/D$189</f>
        <v>#DIV/0!</v>
      </c>
      <c r="P144" s="56" t="e">
        <f>F144/60/E$189</f>
        <v>#DIV/0!</v>
      </c>
      <c r="Q144" s="56" t="e">
        <f>G144/60/F$189</f>
        <v>#DIV/0!</v>
      </c>
      <c r="R144" s="56" t="e">
        <f>H144/60/G$189</f>
        <v>#DIV/0!</v>
      </c>
      <c r="S144" s="56" t="e">
        <f>I144/60/H$189</f>
        <v>#DIV/0!</v>
      </c>
      <c r="T144" s="56" t="e">
        <f>J144/60/I$189</f>
        <v>#DIV/0!</v>
      </c>
      <c r="U144" s="56" t="e">
        <f t="shared" si="2"/>
        <v>#DIV/0!</v>
      </c>
    </row>
    <row r="145" spans="1:21" x14ac:dyDescent="0.15">
      <c r="A145" s="49">
        <v>143</v>
      </c>
      <c r="B145" s="46" t="e">
        <f>Nodes!B145*(1-Nodes!AO145)</f>
        <v>#DIV/0!</v>
      </c>
      <c r="C145" s="46" t="e">
        <f>Nodes!C145*(1-Nodes!AP145)</f>
        <v>#DIV/0!</v>
      </c>
      <c r="D145" s="46" t="e">
        <f>Nodes!D145*(1-Nodes!AQ145)</f>
        <v>#DIV/0!</v>
      </c>
      <c r="E145" s="46" t="e">
        <f>Nodes!E145*(1-Nodes!AR145)</f>
        <v>#DIV/0!</v>
      </c>
      <c r="F145" s="46" t="e">
        <f>Nodes!F145*(1-Nodes!AS145)</f>
        <v>#DIV/0!</v>
      </c>
      <c r="G145" s="46" t="e">
        <f>Nodes!G145*(1-Nodes!AT145)</f>
        <v>#DIV/0!</v>
      </c>
      <c r="H145" s="46" t="e">
        <f>Nodes!H145*(1-Nodes!AU145)</f>
        <v>#DIV/0!</v>
      </c>
      <c r="I145" s="46" t="e">
        <f>Nodes!I145*(1-Nodes!AV145)</f>
        <v>#DIV/0!</v>
      </c>
      <c r="J145" s="46" t="e">
        <f>Nodes!L145*(1-Nodes!AY145)</f>
        <v>#DIV/0!</v>
      </c>
      <c r="K145" s="46" t="e">
        <f>Nodes!N145*(1-Nodes!BA145)</f>
        <v>#DIV/0!</v>
      </c>
      <c r="L145" s="56" t="e">
        <f>B145/60/A$189</f>
        <v>#DIV/0!</v>
      </c>
      <c r="M145" s="56" t="e">
        <f>C145/60/B$189</f>
        <v>#DIV/0!</v>
      </c>
      <c r="N145" s="56" t="e">
        <f>D145/60/C$189</f>
        <v>#DIV/0!</v>
      </c>
      <c r="O145" s="56" t="e">
        <f>E145/60/D$189</f>
        <v>#DIV/0!</v>
      </c>
      <c r="P145" s="56" t="e">
        <f>F145/60/E$189</f>
        <v>#DIV/0!</v>
      </c>
      <c r="Q145" s="56" t="e">
        <f>G145/60/F$189</f>
        <v>#DIV/0!</v>
      </c>
      <c r="R145" s="56" t="e">
        <f>H145/60/G$189</f>
        <v>#DIV/0!</v>
      </c>
      <c r="S145" s="56" t="e">
        <f>I145/60/H$189</f>
        <v>#DIV/0!</v>
      </c>
      <c r="T145" s="56" t="e">
        <f>J145/60/I$189</f>
        <v>#DIV/0!</v>
      </c>
      <c r="U145" s="56" t="e">
        <f t="shared" si="2"/>
        <v>#DIV/0!</v>
      </c>
    </row>
    <row r="146" spans="1:21" x14ac:dyDescent="0.15">
      <c r="A146" s="49">
        <v>144</v>
      </c>
      <c r="B146" s="46" t="e">
        <f>Nodes!B146*(1-Nodes!AO146)</f>
        <v>#DIV/0!</v>
      </c>
      <c r="C146" s="46" t="e">
        <f>Nodes!C146*(1-Nodes!AP146)</f>
        <v>#DIV/0!</v>
      </c>
      <c r="D146" s="46" t="e">
        <f>Nodes!D146*(1-Nodes!AQ146)</f>
        <v>#DIV/0!</v>
      </c>
      <c r="E146" s="46" t="e">
        <f>Nodes!E146*(1-Nodes!AR146)</f>
        <v>#DIV/0!</v>
      </c>
      <c r="F146" s="46" t="e">
        <f>Nodes!F146*(1-Nodes!AS146)</f>
        <v>#DIV/0!</v>
      </c>
      <c r="G146" s="46" t="e">
        <f>Nodes!G146*(1-Nodes!AT146)</f>
        <v>#DIV/0!</v>
      </c>
      <c r="H146" s="46" t="e">
        <f>Nodes!H146*(1-Nodes!AU146)</f>
        <v>#DIV/0!</v>
      </c>
      <c r="I146" s="46" t="e">
        <f>Nodes!I146*(1-Nodes!AV146)</f>
        <v>#DIV/0!</v>
      </c>
      <c r="J146" s="46" t="e">
        <f>Nodes!L146*(1-Nodes!AY146)</f>
        <v>#DIV/0!</v>
      </c>
      <c r="K146" s="46" t="e">
        <f>Nodes!N146*(1-Nodes!BA146)</f>
        <v>#DIV/0!</v>
      </c>
      <c r="L146" s="56" t="e">
        <f>B146/60/A$189</f>
        <v>#DIV/0!</v>
      </c>
      <c r="M146" s="56" t="e">
        <f>C146/60/B$189</f>
        <v>#DIV/0!</v>
      </c>
      <c r="N146" s="56" t="e">
        <f>D146/60/C$189</f>
        <v>#DIV/0!</v>
      </c>
      <c r="O146" s="56" t="e">
        <f>E146/60/D$189</f>
        <v>#DIV/0!</v>
      </c>
      <c r="P146" s="56" t="e">
        <f>F146/60/E$189</f>
        <v>#DIV/0!</v>
      </c>
      <c r="Q146" s="56" t="e">
        <f>G146/60/F$189</f>
        <v>#DIV/0!</v>
      </c>
      <c r="R146" s="56" t="e">
        <f>H146/60/G$189</f>
        <v>#DIV/0!</v>
      </c>
      <c r="S146" s="56" t="e">
        <f>I146/60/H$189</f>
        <v>#DIV/0!</v>
      </c>
      <c r="T146" s="56" t="e">
        <f>J146/60/I$189</f>
        <v>#DIV/0!</v>
      </c>
      <c r="U146" s="56" t="e">
        <f t="shared" si="2"/>
        <v>#DIV/0!</v>
      </c>
    </row>
    <row r="147" spans="1:21" x14ac:dyDescent="0.15">
      <c r="A147" s="49">
        <v>145</v>
      </c>
      <c r="B147" s="46" t="e">
        <f>Nodes!B147*(1-Nodes!AO147)</f>
        <v>#DIV/0!</v>
      </c>
      <c r="C147" s="46" t="e">
        <f>Nodes!C147*(1-Nodes!AP147)</f>
        <v>#DIV/0!</v>
      </c>
      <c r="D147" s="46" t="e">
        <f>Nodes!D147*(1-Nodes!AQ147)</f>
        <v>#DIV/0!</v>
      </c>
      <c r="E147" s="46" t="e">
        <f>Nodes!E147*(1-Nodes!AR147)</f>
        <v>#DIV/0!</v>
      </c>
      <c r="F147" s="46" t="e">
        <f>Nodes!F147*(1-Nodes!AS147)</f>
        <v>#DIV/0!</v>
      </c>
      <c r="G147" s="46" t="e">
        <f>Nodes!G147*(1-Nodes!AT147)</f>
        <v>#DIV/0!</v>
      </c>
      <c r="H147" s="46" t="e">
        <f>Nodes!H147*(1-Nodes!AU147)</f>
        <v>#DIV/0!</v>
      </c>
      <c r="I147" s="46" t="e">
        <f>Nodes!I147*(1-Nodes!AV147)</f>
        <v>#DIV/0!</v>
      </c>
      <c r="J147" s="46" t="e">
        <f>Nodes!L147*(1-Nodes!AY147)</f>
        <v>#DIV/0!</v>
      </c>
      <c r="K147" s="46" t="e">
        <f>Nodes!N147*(1-Nodes!BA147)</f>
        <v>#DIV/0!</v>
      </c>
      <c r="L147" s="56" t="e">
        <f>B147/60/A$189</f>
        <v>#DIV/0!</v>
      </c>
      <c r="M147" s="56" t="e">
        <f>C147/60/B$189</f>
        <v>#DIV/0!</v>
      </c>
      <c r="N147" s="56" t="e">
        <f>D147/60/C$189</f>
        <v>#DIV/0!</v>
      </c>
      <c r="O147" s="56" t="e">
        <f>E147/60/D$189</f>
        <v>#DIV/0!</v>
      </c>
      <c r="P147" s="56" t="e">
        <f>F147/60/E$189</f>
        <v>#DIV/0!</v>
      </c>
      <c r="Q147" s="56" t="e">
        <f>G147/60/F$189</f>
        <v>#DIV/0!</v>
      </c>
      <c r="R147" s="56" t="e">
        <f>H147/60/G$189</f>
        <v>#DIV/0!</v>
      </c>
      <c r="S147" s="56" t="e">
        <f>I147/60/H$189</f>
        <v>#DIV/0!</v>
      </c>
      <c r="T147" s="56" t="e">
        <f>J147/60/I$189</f>
        <v>#DIV/0!</v>
      </c>
      <c r="U147" s="56" t="e">
        <f t="shared" si="2"/>
        <v>#DIV/0!</v>
      </c>
    </row>
    <row r="148" spans="1:21" x14ac:dyDescent="0.15">
      <c r="A148" s="49">
        <v>146</v>
      </c>
      <c r="B148" s="46" t="e">
        <f>Nodes!B148*(1-Nodes!AO148)</f>
        <v>#DIV/0!</v>
      </c>
      <c r="C148" s="46" t="e">
        <f>Nodes!C148*(1-Nodes!AP148)</f>
        <v>#DIV/0!</v>
      </c>
      <c r="D148" s="46" t="e">
        <f>Nodes!D148*(1-Nodes!AQ148)</f>
        <v>#DIV/0!</v>
      </c>
      <c r="E148" s="46" t="e">
        <f>Nodes!E148*(1-Nodes!AR148)</f>
        <v>#DIV/0!</v>
      </c>
      <c r="F148" s="46" t="e">
        <f>Nodes!F148*(1-Nodes!AS148)</f>
        <v>#DIV/0!</v>
      </c>
      <c r="G148" s="46" t="e">
        <f>Nodes!G148*(1-Nodes!AT148)</f>
        <v>#DIV/0!</v>
      </c>
      <c r="H148" s="46" t="e">
        <f>Nodes!H148*(1-Nodes!AU148)</f>
        <v>#DIV/0!</v>
      </c>
      <c r="I148" s="46" t="e">
        <f>Nodes!I148*(1-Nodes!AV148)</f>
        <v>#DIV/0!</v>
      </c>
      <c r="J148" s="46" t="e">
        <f>Nodes!L148*(1-Nodes!AY148)</f>
        <v>#DIV/0!</v>
      </c>
      <c r="K148" s="46" t="e">
        <f>Nodes!N148*(1-Nodes!BA148)</f>
        <v>#DIV/0!</v>
      </c>
      <c r="L148" s="56" t="e">
        <f>B148/60/A$189</f>
        <v>#DIV/0!</v>
      </c>
      <c r="M148" s="56" t="e">
        <f>C148/60/B$189</f>
        <v>#DIV/0!</v>
      </c>
      <c r="N148" s="56" t="e">
        <f>D148/60/C$189</f>
        <v>#DIV/0!</v>
      </c>
      <c r="O148" s="56" t="e">
        <f>E148/60/D$189</f>
        <v>#DIV/0!</v>
      </c>
      <c r="P148" s="56" t="e">
        <f>F148/60/E$189</f>
        <v>#DIV/0!</v>
      </c>
      <c r="Q148" s="56" t="e">
        <f>G148/60/F$189</f>
        <v>#DIV/0!</v>
      </c>
      <c r="R148" s="56" t="e">
        <f>H148/60/G$189</f>
        <v>#DIV/0!</v>
      </c>
      <c r="S148" s="56" t="e">
        <f>I148/60/H$189</f>
        <v>#DIV/0!</v>
      </c>
      <c r="T148" s="56" t="e">
        <f>J148/60/I$189</f>
        <v>#DIV/0!</v>
      </c>
      <c r="U148" s="56" t="e">
        <f t="shared" si="2"/>
        <v>#DIV/0!</v>
      </c>
    </row>
    <row r="149" spans="1:21" x14ac:dyDescent="0.15">
      <c r="A149" s="49">
        <v>147</v>
      </c>
      <c r="B149" s="46" t="e">
        <f>Nodes!B149*(1-Nodes!AO149)</f>
        <v>#DIV/0!</v>
      </c>
      <c r="C149" s="46" t="e">
        <f>Nodes!C149*(1-Nodes!AP149)</f>
        <v>#DIV/0!</v>
      </c>
      <c r="D149" s="46" t="e">
        <f>Nodes!D149*(1-Nodes!AQ149)</f>
        <v>#DIV/0!</v>
      </c>
      <c r="E149" s="46" t="e">
        <f>Nodes!E149*(1-Nodes!AR149)</f>
        <v>#DIV/0!</v>
      </c>
      <c r="F149" s="46" t="e">
        <f>Nodes!F149*(1-Nodes!AS149)</f>
        <v>#DIV/0!</v>
      </c>
      <c r="G149" s="46" t="e">
        <f>Nodes!G149*(1-Nodes!AT149)</f>
        <v>#DIV/0!</v>
      </c>
      <c r="H149" s="46" t="e">
        <f>Nodes!H149*(1-Nodes!AU149)</f>
        <v>#DIV/0!</v>
      </c>
      <c r="I149" s="46" t="e">
        <f>Nodes!I149*(1-Nodes!AV149)</f>
        <v>#DIV/0!</v>
      </c>
      <c r="J149" s="46" t="e">
        <f>Nodes!L149*(1-Nodes!AY149)</f>
        <v>#DIV/0!</v>
      </c>
      <c r="K149" s="46" t="e">
        <f>Nodes!N149*(1-Nodes!BA149)</f>
        <v>#DIV/0!</v>
      </c>
      <c r="L149" s="56" t="e">
        <f>B149/60/A$189</f>
        <v>#DIV/0!</v>
      </c>
      <c r="M149" s="56" t="e">
        <f>C149/60/B$189</f>
        <v>#DIV/0!</v>
      </c>
      <c r="N149" s="56" t="e">
        <f>D149/60/C$189</f>
        <v>#DIV/0!</v>
      </c>
      <c r="O149" s="56" t="e">
        <f>E149/60/D$189</f>
        <v>#DIV/0!</v>
      </c>
      <c r="P149" s="56" t="e">
        <f>F149/60/E$189</f>
        <v>#DIV/0!</v>
      </c>
      <c r="Q149" s="56" t="e">
        <f>G149/60/F$189</f>
        <v>#DIV/0!</v>
      </c>
      <c r="R149" s="56" t="e">
        <f>H149/60/G$189</f>
        <v>#DIV/0!</v>
      </c>
      <c r="S149" s="56" t="e">
        <f>I149/60/H$189</f>
        <v>#DIV/0!</v>
      </c>
      <c r="T149" s="56" t="e">
        <f>J149/60/I$189</f>
        <v>#DIV/0!</v>
      </c>
      <c r="U149" s="56" t="e">
        <f t="shared" si="2"/>
        <v>#DIV/0!</v>
      </c>
    </row>
    <row r="150" spans="1:21" x14ac:dyDescent="0.15">
      <c r="A150" s="49">
        <v>148</v>
      </c>
      <c r="B150" s="46" t="e">
        <f>Nodes!B150*(1-Nodes!AO150)</f>
        <v>#DIV/0!</v>
      </c>
      <c r="C150" s="46" t="e">
        <f>Nodes!C150*(1-Nodes!AP150)</f>
        <v>#DIV/0!</v>
      </c>
      <c r="D150" s="46" t="e">
        <f>Nodes!D150*(1-Nodes!AQ150)</f>
        <v>#DIV/0!</v>
      </c>
      <c r="E150" s="46" t="e">
        <f>Nodes!E150*(1-Nodes!AR150)</f>
        <v>#DIV/0!</v>
      </c>
      <c r="F150" s="46" t="e">
        <f>Nodes!F150*(1-Nodes!AS150)</f>
        <v>#DIV/0!</v>
      </c>
      <c r="G150" s="46" t="e">
        <f>Nodes!G150*(1-Nodes!AT150)</f>
        <v>#DIV/0!</v>
      </c>
      <c r="H150" s="46" t="e">
        <f>Nodes!H150*(1-Nodes!AU150)</f>
        <v>#DIV/0!</v>
      </c>
      <c r="I150" s="46" t="e">
        <f>Nodes!I150*(1-Nodes!AV150)</f>
        <v>#DIV/0!</v>
      </c>
      <c r="J150" s="46" t="e">
        <f>Nodes!L150*(1-Nodes!AY150)</f>
        <v>#DIV/0!</v>
      </c>
      <c r="K150" s="46" t="e">
        <f>Nodes!N150*(1-Nodes!BA150)</f>
        <v>#DIV/0!</v>
      </c>
      <c r="L150" s="56" t="e">
        <f>B150/60/A$189</f>
        <v>#DIV/0!</v>
      </c>
      <c r="M150" s="56" t="e">
        <f>C150/60/B$189</f>
        <v>#DIV/0!</v>
      </c>
      <c r="N150" s="56" t="e">
        <f>D150/60/C$189</f>
        <v>#DIV/0!</v>
      </c>
      <c r="O150" s="56" t="e">
        <f>E150/60/D$189</f>
        <v>#DIV/0!</v>
      </c>
      <c r="P150" s="56" t="e">
        <f>F150/60/E$189</f>
        <v>#DIV/0!</v>
      </c>
      <c r="Q150" s="56" t="e">
        <f>G150/60/F$189</f>
        <v>#DIV/0!</v>
      </c>
      <c r="R150" s="56" t="e">
        <f>H150/60/G$189</f>
        <v>#DIV/0!</v>
      </c>
      <c r="S150" s="56" t="e">
        <f>I150/60/H$189</f>
        <v>#DIV/0!</v>
      </c>
      <c r="T150" s="56" t="e">
        <f>J150/60/I$189</f>
        <v>#DIV/0!</v>
      </c>
      <c r="U150" s="56" t="e">
        <f t="shared" si="2"/>
        <v>#DIV/0!</v>
      </c>
    </row>
    <row r="151" spans="1:21" x14ac:dyDescent="0.15">
      <c r="A151" s="49">
        <v>149</v>
      </c>
      <c r="B151" s="46" t="e">
        <f>Nodes!B151*(1-Nodes!AO151)</f>
        <v>#DIV/0!</v>
      </c>
      <c r="C151" s="46" t="e">
        <f>Nodes!C151*(1-Nodes!AP151)</f>
        <v>#DIV/0!</v>
      </c>
      <c r="D151" s="46" t="e">
        <f>Nodes!D151*(1-Nodes!AQ151)</f>
        <v>#DIV/0!</v>
      </c>
      <c r="E151" s="46" t="e">
        <f>Nodes!E151*(1-Nodes!AR151)</f>
        <v>#DIV/0!</v>
      </c>
      <c r="F151" s="46" t="e">
        <f>Nodes!F151*(1-Nodes!AS151)</f>
        <v>#DIV/0!</v>
      </c>
      <c r="G151" s="46" t="e">
        <f>Nodes!G151*(1-Nodes!AT151)</f>
        <v>#DIV/0!</v>
      </c>
      <c r="H151" s="46" t="e">
        <f>Nodes!H151*(1-Nodes!AU151)</f>
        <v>#DIV/0!</v>
      </c>
      <c r="I151" s="46" t="e">
        <f>Nodes!I151*(1-Nodes!AV151)</f>
        <v>#DIV/0!</v>
      </c>
      <c r="J151" s="46" t="e">
        <f>Nodes!L151*(1-Nodes!AY151)</f>
        <v>#DIV/0!</v>
      </c>
      <c r="K151" s="46" t="e">
        <f>Nodes!N151*(1-Nodes!BA151)</f>
        <v>#DIV/0!</v>
      </c>
      <c r="L151" s="56" t="e">
        <f>B151/60/A$189</f>
        <v>#DIV/0!</v>
      </c>
      <c r="M151" s="56" t="e">
        <f>C151/60/B$189</f>
        <v>#DIV/0!</v>
      </c>
      <c r="N151" s="56" t="e">
        <f>D151/60/C$189</f>
        <v>#DIV/0!</v>
      </c>
      <c r="O151" s="56" t="e">
        <f>E151/60/D$189</f>
        <v>#DIV/0!</v>
      </c>
      <c r="P151" s="56" t="e">
        <f>F151/60/E$189</f>
        <v>#DIV/0!</v>
      </c>
      <c r="Q151" s="56" t="e">
        <f>G151/60/F$189</f>
        <v>#DIV/0!</v>
      </c>
      <c r="R151" s="56" t="e">
        <f>H151/60/G$189</f>
        <v>#DIV/0!</v>
      </c>
      <c r="S151" s="56" t="e">
        <f>I151/60/H$189</f>
        <v>#DIV/0!</v>
      </c>
      <c r="T151" s="56" t="e">
        <f>J151/60/I$189</f>
        <v>#DIV/0!</v>
      </c>
      <c r="U151" s="56" t="e">
        <f t="shared" si="2"/>
        <v>#DIV/0!</v>
      </c>
    </row>
    <row r="152" spans="1:21" x14ac:dyDescent="0.15">
      <c r="A152" s="49">
        <v>150</v>
      </c>
      <c r="B152" s="46" t="e">
        <f>Nodes!B152*(1-Nodes!AO152)</f>
        <v>#DIV/0!</v>
      </c>
      <c r="C152" s="46" t="e">
        <f>Nodes!C152*(1-Nodes!AP152)</f>
        <v>#DIV/0!</v>
      </c>
      <c r="D152" s="46" t="e">
        <f>Nodes!D152*(1-Nodes!AQ152)</f>
        <v>#DIV/0!</v>
      </c>
      <c r="E152" s="46" t="e">
        <f>Nodes!E152*(1-Nodes!AR152)</f>
        <v>#DIV/0!</v>
      </c>
      <c r="F152" s="46" t="e">
        <f>Nodes!F152*(1-Nodes!AS152)</f>
        <v>#DIV/0!</v>
      </c>
      <c r="G152" s="46" t="e">
        <f>Nodes!G152*(1-Nodes!AT152)</f>
        <v>#DIV/0!</v>
      </c>
      <c r="H152" s="46" t="e">
        <f>Nodes!H152*(1-Nodes!AU152)</f>
        <v>#DIV/0!</v>
      </c>
      <c r="I152" s="46" t="e">
        <f>Nodes!I152*(1-Nodes!AV152)</f>
        <v>#DIV/0!</v>
      </c>
      <c r="J152" s="46" t="e">
        <f>Nodes!L152*(1-Nodes!AY152)</f>
        <v>#DIV/0!</v>
      </c>
      <c r="K152" s="46" t="e">
        <f>Nodes!N152*(1-Nodes!BA152)</f>
        <v>#DIV/0!</v>
      </c>
      <c r="L152" s="56" t="e">
        <f>B152/60/A$189</f>
        <v>#DIV/0!</v>
      </c>
      <c r="M152" s="56" t="e">
        <f>C152/60/B$189</f>
        <v>#DIV/0!</v>
      </c>
      <c r="N152" s="56" t="e">
        <f>D152/60/C$189</f>
        <v>#DIV/0!</v>
      </c>
      <c r="O152" s="56" t="e">
        <f>E152/60/D$189</f>
        <v>#DIV/0!</v>
      </c>
      <c r="P152" s="56" t="e">
        <f>F152/60/E$189</f>
        <v>#DIV/0!</v>
      </c>
      <c r="Q152" s="56" t="e">
        <f>G152/60/F$189</f>
        <v>#DIV/0!</v>
      </c>
      <c r="R152" s="56" t="e">
        <f>H152/60/G$189</f>
        <v>#DIV/0!</v>
      </c>
      <c r="S152" s="56" t="e">
        <f>I152/60/H$189</f>
        <v>#DIV/0!</v>
      </c>
      <c r="T152" s="56" t="e">
        <f>J152/60/I$189</f>
        <v>#DIV/0!</v>
      </c>
      <c r="U152" s="56" t="e">
        <f t="shared" si="2"/>
        <v>#DIV/0!</v>
      </c>
    </row>
    <row r="153" spans="1:21" x14ac:dyDescent="0.15">
      <c r="A153" s="49">
        <v>151</v>
      </c>
      <c r="B153" s="46" t="e">
        <f>Nodes!B153*(1-Nodes!AO153)</f>
        <v>#DIV/0!</v>
      </c>
      <c r="C153" s="46" t="e">
        <f>Nodes!C153*(1-Nodes!AP153)</f>
        <v>#DIV/0!</v>
      </c>
      <c r="D153" s="46" t="e">
        <f>Nodes!D153*(1-Nodes!AQ153)</f>
        <v>#DIV/0!</v>
      </c>
      <c r="E153" s="46" t="e">
        <f>Nodes!E153*(1-Nodes!AR153)</f>
        <v>#DIV/0!</v>
      </c>
      <c r="F153" s="46" t="e">
        <f>Nodes!F153*(1-Nodes!AS153)</f>
        <v>#DIV/0!</v>
      </c>
      <c r="G153" s="46" t="e">
        <f>Nodes!G153*(1-Nodes!AT153)</f>
        <v>#DIV/0!</v>
      </c>
      <c r="H153" s="46" t="e">
        <f>Nodes!H153*(1-Nodes!AU153)</f>
        <v>#DIV/0!</v>
      </c>
      <c r="I153" s="46" t="e">
        <f>Nodes!I153*(1-Nodes!AV153)</f>
        <v>#DIV/0!</v>
      </c>
      <c r="J153" s="46" t="e">
        <f>Nodes!L153*(1-Nodes!AY153)</f>
        <v>#DIV/0!</v>
      </c>
      <c r="K153" s="46" t="e">
        <f>Nodes!N153*(1-Nodes!BA153)</f>
        <v>#DIV/0!</v>
      </c>
      <c r="L153" s="56" t="e">
        <f>B153/60/A$189</f>
        <v>#DIV/0!</v>
      </c>
      <c r="M153" s="56" t="e">
        <f>C153/60/B$189</f>
        <v>#DIV/0!</v>
      </c>
      <c r="N153" s="56" t="e">
        <f>D153/60/C$189</f>
        <v>#DIV/0!</v>
      </c>
      <c r="O153" s="56" t="e">
        <f>E153/60/D$189</f>
        <v>#DIV/0!</v>
      </c>
      <c r="P153" s="56" t="e">
        <f>F153/60/E$189</f>
        <v>#DIV/0!</v>
      </c>
      <c r="Q153" s="56" t="e">
        <f>G153/60/F$189</f>
        <v>#DIV/0!</v>
      </c>
      <c r="R153" s="56" t="e">
        <f>H153/60/G$189</f>
        <v>#DIV/0!</v>
      </c>
      <c r="S153" s="56" t="e">
        <f>I153/60/H$189</f>
        <v>#DIV/0!</v>
      </c>
      <c r="T153" s="56" t="e">
        <f>J153/60/I$189</f>
        <v>#DIV/0!</v>
      </c>
      <c r="U153" s="56" t="e">
        <f t="shared" si="2"/>
        <v>#DIV/0!</v>
      </c>
    </row>
    <row r="154" spans="1:21" x14ac:dyDescent="0.15">
      <c r="A154" s="49">
        <v>152</v>
      </c>
      <c r="B154" s="46" t="e">
        <f>Nodes!B154*(1-Nodes!AO154)</f>
        <v>#DIV/0!</v>
      </c>
      <c r="C154" s="46" t="e">
        <f>Nodes!C154*(1-Nodes!AP154)</f>
        <v>#DIV/0!</v>
      </c>
      <c r="D154" s="46" t="e">
        <f>Nodes!D154*(1-Nodes!AQ154)</f>
        <v>#DIV/0!</v>
      </c>
      <c r="E154" s="46" t="e">
        <f>Nodes!E154*(1-Nodes!AR154)</f>
        <v>#DIV/0!</v>
      </c>
      <c r="F154" s="46" t="e">
        <f>Nodes!F154*(1-Nodes!AS154)</f>
        <v>#DIV/0!</v>
      </c>
      <c r="G154" s="46" t="e">
        <f>Nodes!G154*(1-Nodes!AT154)</f>
        <v>#DIV/0!</v>
      </c>
      <c r="H154" s="46" t="e">
        <f>Nodes!H154*(1-Nodes!AU154)</f>
        <v>#DIV/0!</v>
      </c>
      <c r="I154" s="46" t="e">
        <f>Nodes!I154*(1-Nodes!AV154)</f>
        <v>#DIV/0!</v>
      </c>
      <c r="J154" s="46" t="e">
        <f>Nodes!L154*(1-Nodes!AY154)</f>
        <v>#DIV/0!</v>
      </c>
      <c r="K154" s="46" t="e">
        <f>Nodes!N154*(1-Nodes!BA154)</f>
        <v>#DIV/0!</v>
      </c>
      <c r="L154" s="56" t="e">
        <f>B154/60/A$189</f>
        <v>#DIV/0!</v>
      </c>
      <c r="M154" s="56" t="e">
        <f>C154/60/B$189</f>
        <v>#DIV/0!</v>
      </c>
      <c r="N154" s="56" t="e">
        <f>D154/60/C$189</f>
        <v>#DIV/0!</v>
      </c>
      <c r="O154" s="56" t="e">
        <f>E154/60/D$189</f>
        <v>#DIV/0!</v>
      </c>
      <c r="P154" s="56" t="e">
        <f>F154/60/E$189</f>
        <v>#DIV/0!</v>
      </c>
      <c r="Q154" s="56" t="e">
        <f>G154/60/F$189</f>
        <v>#DIV/0!</v>
      </c>
      <c r="R154" s="56" t="e">
        <f>H154/60/G$189</f>
        <v>#DIV/0!</v>
      </c>
      <c r="S154" s="56" t="e">
        <f>I154/60/H$189</f>
        <v>#DIV/0!</v>
      </c>
      <c r="T154" s="56" t="e">
        <f>J154/60/I$189</f>
        <v>#DIV/0!</v>
      </c>
      <c r="U154" s="56" t="e">
        <f t="shared" si="2"/>
        <v>#DIV/0!</v>
      </c>
    </row>
    <row r="155" spans="1:21" x14ac:dyDescent="0.15">
      <c r="A155" s="49">
        <v>153</v>
      </c>
      <c r="B155" s="46" t="e">
        <f>Nodes!B155*(1-Nodes!AO155)</f>
        <v>#DIV/0!</v>
      </c>
      <c r="C155" s="46" t="e">
        <f>Nodes!C155*(1-Nodes!AP155)</f>
        <v>#DIV/0!</v>
      </c>
      <c r="D155" s="46" t="e">
        <f>Nodes!D155*(1-Nodes!AQ155)</f>
        <v>#DIV/0!</v>
      </c>
      <c r="E155" s="46" t="e">
        <f>Nodes!E155*(1-Nodes!AR155)</f>
        <v>#DIV/0!</v>
      </c>
      <c r="F155" s="46" t="e">
        <f>Nodes!F155*(1-Nodes!AS155)</f>
        <v>#DIV/0!</v>
      </c>
      <c r="G155" s="46" t="e">
        <f>Nodes!G155*(1-Nodes!AT155)</f>
        <v>#DIV/0!</v>
      </c>
      <c r="H155" s="46" t="e">
        <f>Nodes!H155*(1-Nodes!AU155)</f>
        <v>#DIV/0!</v>
      </c>
      <c r="I155" s="46" t="e">
        <f>Nodes!I155*(1-Nodes!AV155)</f>
        <v>#DIV/0!</v>
      </c>
      <c r="J155" s="46" t="e">
        <f>Nodes!L155*(1-Nodes!AY155)</f>
        <v>#DIV/0!</v>
      </c>
      <c r="K155" s="46" t="e">
        <f>Nodes!N155*(1-Nodes!BA155)</f>
        <v>#DIV/0!</v>
      </c>
      <c r="L155" s="56" t="e">
        <f>B155/60/A$189</f>
        <v>#DIV/0!</v>
      </c>
      <c r="M155" s="56" t="e">
        <f>C155/60/B$189</f>
        <v>#DIV/0!</v>
      </c>
      <c r="N155" s="56" t="e">
        <f>D155/60/C$189</f>
        <v>#DIV/0!</v>
      </c>
      <c r="O155" s="56" t="e">
        <f>E155/60/D$189</f>
        <v>#DIV/0!</v>
      </c>
      <c r="P155" s="56" t="e">
        <f>F155/60/E$189</f>
        <v>#DIV/0!</v>
      </c>
      <c r="Q155" s="56" t="e">
        <f>G155/60/F$189</f>
        <v>#DIV/0!</v>
      </c>
      <c r="R155" s="56" t="e">
        <f>H155/60/G$189</f>
        <v>#DIV/0!</v>
      </c>
      <c r="S155" s="56" t="e">
        <f>I155/60/H$189</f>
        <v>#DIV/0!</v>
      </c>
      <c r="T155" s="56" t="e">
        <f>J155/60/I$189</f>
        <v>#DIV/0!</v>
      </c>
      <c r="U155" s="56" t="e">
        <f t="shared" si="2"/>
        <v>#DIV/0!</v>
      </c>
    </row>
    <row r="156" spans="1:21" x14ac:dyDescent="0.15">
      <c r="A156" s="49">
        <v>154</v>
      </c>
      <c r="B156" s="46" t="e">
        <f>Nodes!B156*(1-Nodes!AO156)</f>
        <v>#DIV/0!</v>
      </c>
      <c r="C156" s="46" t="e">
        <f>Nodes!C156*(1-Nodes!AP156)</f>
        <v>#DIV/0!</v>
      </c>
      <c r="D156" s="46" t="e">
        <f>Nodes!D156*(1-Nodes!AQ156)</f>
        <v>#DIV/0!</v>
      </c>
      <c r="E156" s="46" t="e">
        <f>Nodes!E156*(1-Nodes!AR156)</f>
        <v>#DIV/0!</v>
      </c>
      <c r="F156" s="46" t="e">
        <f>Nodes!F156*(1-Nodes!AS156)</f>
        <v>#DIV/0!</v>
      </c>
      <c r="G156" s="46" t="e">
        <f>Nodes!G156*(1-Nodes!AT156)</f>
        <v>#DIV/0!</v>
      </c>
      <c r="H156" s="46" t="e">
        <f>Nodes!H156*(1-Nodes!AU156)</f>
        <v>#DIV/0!</v>
      </c>
      <c r="I156" s="46" t="e">
        <f>Nodes!I156*(1-Nodes!AV156)</f>
        <v>#DIV/0!</v>
      </c>
      <c r="J156" s="46" t="e">
        <f>Nodes!L156*(1-Nodes!AY156)</f>
        <v>#DIV/0!</v>
      </c>
      <c r="K156" s="46" t="e">
        <f>Nodes!N156*(1-Nodes!BA156)</f>
        <v>#DIV/0!</v>
      </c>
      <c r="L156" s="56" t="e">
        <f>B156/60/A$189</f>
        <v>#DIV/0!</v>
      </c>
      <c r="M156" s="56" t="e">
        <f>C156/60/B$189</f>
        <v>#DIV/0!</v>
      </c>
      <c r="N156" s="56" t="e">
        <f>D156/60/C$189</f>
        <v>#DIV/0!</v>
      </c>
      <c r="O156" s="56" t="e">
        <f>E156/60/D$189</f>
        <v>#DIV/0!</v>
      </c>
      <c r="P156" s="56" t="e">
        <f>F156/60/E$189</f>
        <v>#DIV/0!</v>
      </c>
      <c r="Q156" s="56" t="e">
        <f>G156/60/F$189</f>
        <v>#DIV/0!</v>
      </c>
      <c r="R156" s="56" t="e">
        <f>H156/60/G$189</f>
        <v>#DIV/0!</v>
      </c>
      <c r="S156" s="56" t="e">
        <f>I156/60/H$189</f>
        <v>#DIV/0!</v>
      </c>
      <c r="T156" s="56" t="e">
        <f>J156/60/I$189</f>
        <v>#DIV/0!</v>
      </c>
      <c r="U156" s="56" t="e">
        <f t="shared" si="2"/>
        <v>#DIV/0!</v>
      </c>
    </row>
    <row r="157" spans="1:21" x14ac:dyDescent="0.15">
      <c r="A157" s="49">
        <v>155</v>
      </c>
      <c r="B157" s="46" t="e">
        <f>Nodes!B157*(1-Nodes!AO157)</f>
        <v>#DIV/0!</v>
      </c>
      <c r="C157" s="46" t="e">
        <f>Nodes!C157*(1-Nodes!AP157)</f>
        <v>#DIV/0!</v>
      </c>
      <c r="D157" s="46" t="e">
        <f>Nodes!D157*(1-Nodes!AQ157)</f>
        <v>#DIV/0!</v>
      </c>
      <c r="E157" s="46" t="e">
        <f>Nodes!E157*(1-Nodes!AR157)</f>
        <v>#DIV/0!</v>
      </c>
      <c r="F157" s="46" t="e">
        <f>Nodes!F157*(1-Nodes!AS157)</f>
        <v>#DIV/0!</v>
      </c>
      <c r="G157" s="46" t="e">
        <f>Nodes!G157*(1-Nodes!AT157)</f>
        <v>#DIV/0!</v>
      </c>
      <c r="H157" s="46" t="e">
        <f>Nodes!H157*(1-Nodes!AU157)</f>
        <v>#DIV/0!</v>
      </c>
      <c r="I157" s="46" t="e">
        <f>Nodes!I157*(1-Nodes!AV157)</f>
        <v>#DIV/0!</v>
      </c>
      <c r="J157" s="46" t="e">
        <f>Nodes!L157*(1-Nodes!AY157)</f>
        <v>#DIV/0!</v>
      </c>
      <c r="K157" s="46" t="e">
        <f>Nodes!N157*(1-Nodes!BA157)</f>
        <v>#DIV/0!</v>
      </c>
      <c r="L157" s="56" t="e">
        <f>B157/60/A$189</f>
        <v>#DIV/0!</v>
      </c>
      <c r="M157" s="56" t="e">
        <f>C157/60/B$189</f>
        <v>#DIV/0!</v>
      </c>
      <c r="N157" s="56" t="e">
        <f>D157/60/C$189</f>
        <v>#DIV/0!</v>
      </c>
      <c r="O157" s="56" t="e">
        <f>E157/60/D$189</f>
        <v>#DIV/0!</v>
      </c>
      <c r="P157" s="56" t="e">
        <f>F157/60/E$189</f>
        <v>#DIV/0!</v>
      </c>
      <c r="Q157" s="56" t="e">
        <f>G157/60/F$189</f>
        <v>#DIV/0!</v>
      </c>
      <c r="R157" s="56" t="e">
        <f>H157/60/G$189</f>
        <v>#DIV/0!</v>
      </c>
      <c r="S157" s="56" t="e">
        <f>I157/60/H$189</f>
        <v>#DIV/0!</v>
      </c>
      <c r="T157" s="56" t="e">
        <f>J157/60/I$189</f>
        <v>#DIV/0!</v>
      </c>
      <c r="U157" s="56" t="e">
        <f t="shared" si="2"/>
        <v>#DIV/0!</v>
      </c>
    </row>
    <row r="158" spans="1:21" x14ac:dyDescent="0.15">
      <c r="A158" s="49">
        <v>156</v>
      </c>
      <c r="B158" s="46" t="e">
        <f>Nodes!B158*(1-Nodes!AO158)</f>
        <v>#DIV/0!</v>
      </c>
      <c r="C158" s="46" t="e">
        <f>Nodes!C158*(1-Nodes!AP158)</f>
        <v>#DIV/0!</v>
      </c>
      <c r="D158" s="46" t="e">
        <f>Nodes!D158*(1-Nodes!AQ158)</f>
        <v>#DIV/0!</v>
      </c>
      <c r="E158" s="46" t="e">
        <f>Nodes!E158*(1-Nodes!AR158)</f>
        <v>#DIV/0!</v>
      </c>
      <c r="F158" s="46" t="e">
        <f>Nodes!F158*(1-Nodes!AS158)</f>
        <v>#DIV/0!</v>
      </c>
      <c r="G158" s="46" t="e">
        <f>Nodes!G158*(1-Nodes!AT158)</f>
        <v>#DIV/0!</v>
      </c>
      <c r="H158" s="46" t="e">
        <f>Nodes!H158*(1-Nodes!AU158)</f>
        <v>#DIV/0!</v>
      </c>
      <c r="I158" s="46" t="e">
        <f>Nodes!I158*(1-Nodes!AV158)</f>
        <v>#DIV/0!</v>
      </c>
      <c r="J158" s="46" t="e">
        <f>Nodes!L158*(1-Nodes!AY158)</f>
        <v>#DIV/0!</v>
      </c>
      <c r="K158" s="46" t="e">
        <f>Nodes!N158*(1-Nodes!BA158)</f>
        <v>#DIV/0!</v>
      </c>
      <c r="L158" s="56" t="e">
        <f>B158/60/A$189</f>
        <v>#DIV/0!</v>
      </c>
      <c r="M158" s="56" t="e">
        <f>C158/60/B$189</f>
        <v>#DIV/0!</v>
      </c>
      <c r="N158" s="56" t="e">
        <f>D158/60/C$189</f>
        <v>#DIV/0!</v>
      </c>
      <c r="O158" s="56" t="e">
        <f>E158/60/D$189</f>
        <v>#DIV/0!</v>
      </c>
      <c r="P158" s="56" t="e">
        <f>F158/60/E$189</f>
        <v>#DIV/0!</v>
      </c>
      <c r="Q158" s="56" t="e">
        <f>G158/60/F$189</f>
        <v>#DIV/0!</v>
      </c>
      <c r="R158" s="56" t="e">
        <f>H158/60/G$189</f>
        <v>#DIV/0!</v>
      </c>
      <c r="S158" s="56" t="e">
        <f>I158/60/H$189</f>
        <v>#DIV/0!</v>
      </c>
      <c r="T158" s="56" t="e">
        <f>J158/60/I$189</f>
        <v>#DIV/0!</v>
      </c>
      <c r="U158" s="56" t="e">
        <f t="shared" si="2"/>
        <v>#DIV/0!</v>
      </c>
    </row>
    <row r="159" spans="1:21" x14ac:dyDescent="0.15">
      <c r="A159" s="49">
        <v>157</v>
      </c>
      <c r="B159" s="46" t="e">
        <f>Nodes!B159*(1-Nodes!AO159)</f>
        <v>#DIV/0!</v>
      </c>
      <c r="C159" s="46" t="e">
        <f>Nodes!C159*(1-Nodes!AP159)</f>
        <v>#DIV/0!</v>
      </c>
      <c r="D159" s="46" t="e">
        <f>Nodes!D159*(1-Nodes!AQ159)</f>
        <v>#DIV/0!</v>
      </c>
      <c r="E159" s="46" t="e">
        <f>Nodes!E159*(1-Nodes!AR159)</f>
        <v>#DIV/0!</v>
      </c>
      <c r="F159" s="46" t="e">
        <f>Nodes!F159*(1-Nodes!AS159)</f>
        <v>#DIV/0!</v>
      </c>
      <c r="G159" s="46" t="e">
        <f>Nodes!G159*(1-Nodes!AT159)</f>
        <v>#DIV/0!</v>
      </c>
      <c r="H159" s="46" t="e">
        <f>Nodes!H159*(1-Nodes!AU159)</f>
        <v>#DIV/0!</v>
      </c>
      <c r="I159" s="46" t="e">
        <f>Nodes!I159*(1-Nodes!AV159)</f>
        <v>#DIV/0!</v>
      </c>
      <c r="J159" s="46" t="e">
        <f>Nodes!L159*(1-Nodes!AY159)</f>
        <v>#DIV/0!</v>
      </c>
      <c r="K159" s="46" t="e">
        <f>Nodes!N159*(1-Nodes!BA159)</f>
        <v>#DIV/0!</v>
      </c>
      <c r="L159" s="56" t="e">
        <f>B159/60/A$189</f>
        <v>#DIV/0!</v>
      </c>
      <c r="M159" s="56" t="e">
        <f>C159/60/B$189</f>
        <v>#DIV/0!</v>
      </c>
      <c r="N159" s="56" t="e">
        <f>D159/60/C$189</f>
        <v>#DIV/0!</v>
      </c>
      <c r="O159" s="56" t="e">
        <f>E159/60/D$189</f>
        <v>#DIV/0!</v>
      </c>
      <c r="P159" s="56" t="e">
        <f>F159/60/E$189</f>
        <v>#DIV/0!</v>
      </c>
      <c r="Q159" s="56" t="e">
        <f>G159/60/F$189</f>
        <v>#DIV/0!</v>
      </c>
      <c r="R159" s="56" t="e">
        <f>H159/60/G$189</f>
        <v>#DIV/0!</v>
      </c>
      <c r="S159" s="56" t="e">
        <f>I159/60/H$189</f>
        <v>#DIV/0!</v>
      </c>
      <c r="T159" s="56" t="e">
        <f>J159/60/I$189</f>
        <v>#DIV/0!</v>
      </c>
      <c r="U159" s="56" t="e">
        <f t="shared" si="2"/>
        <v>#DIV/0!</v>
      </c>
    </row>
    <row r="160" spans="1:21" x14ac:dyDescent="0.15">
      <c r="A160" s="49">
        <v>158</v>
      </c>
      <c r="B160" s="46" t="e">
        <f>Nodes!B160*(1-Nodes!AO160)</f>
        <v>#DIV/0!</v>
      </c>
      <c r="C160" s="46" t="e">
        <f>Nodes!C160*(1-Nodes!AP160)</f>
        <v>#DIV/0!</v>
      </c>
      <c r="D160" s="46" t="e">
        <f>Nodes!D160*(1-Nodes!AQ160)</f>
        <v>#DIV/0!</v>
      </c>
      <c r="E160" s="46" t="e">
        <f>Nodes!E160*(1-Nodes!AR160)</f>
        <v>#DIV/0!</v>
      </c>
      <c r="F160" s="46" t="e">
        <f>Nodes!F160*(1-Nodes!AS160)</f>
        <v>#DIV/0!</v>
      </c>
      <c r="G160" s="46" t="e">
        <f>Nodes!G160*(1-Nodes!AT160)</f>
        <v>#DIV/0!</v>
      </c>
      <c r="H160" s="46" t="e">
        <f>Nodes!H160*(1-Nodes!AU160)</f>
        <v>#DIV/0!</v>
      </c>
      <c r="I160" s="46" t="e">
        <f>Nodes!I160*(1-Nodes!AV160)</f>
        <v>#DIV/0!</v>
      </c>
      <c r="J160" s="46" t="e">
        <f>Nodes!L160*(1-Nodes!AY160)</f>
        <v>#DIV/0!</v>
      </c>
      <c r="K160" s="46" t="e">
        <f>Nodes!N160*(1-Nodes!BA160)</f>
        <v>#DIV/0!</v>
      </c>
      <c r="L160" s="56" t="e">
        <f>B160/60/A$189</f>
        <v>#DIV/0!</v>
      </c>
      <c r="M160" s="56" t="e">
        <f>C160/60/B$189</f>
        <v>#DIV/0!</v>
      </c>
      <c r="N160" s="56" t="e">
        <f>D160/60/C$189</f>
        <v>#DIV/0!</v>
      </c>
      <c r="O160" s="56" t="e">
        <f>E160/60/D$189</f>
        <v>#DIV/0!</v>
      </c>
      <c r="P160" s="56" t="e">
        <f>F160/60/E$189</f>
        <v>#DIV/0!</v>
      </c>
      <c r="Q160" s="56" t="e">
        <f>G160/60/F$189</f>
        <v>#DIV/0!</v>
      </c>
      <c r="R160" s="56" t="e">
        <f>H160/60/G$189</f>
        <v>#DIV/0!</v>
      </c>
      <c r="S160" s="56" t="e">
        <f>I160/60/H$189</f>
        <v>#DIV/0!</v>
      </c>
      <c r="T160" s="56" t="e">
        <f>J160/60/I$189</f>
        <v>#DIV/0!</v>
      </c>
      <c r="U160" s="56" t="e">
        <f t="shared" si="2"/>
        <v>#DIV/0!</v>
      </c>
    </row>
    <row r="161" spans="1:21" x14ac:dyDescent="0.15">
      <c r="A161" s="49">
        <v>159</v>
      </c>
      <c r="B161" s="46" t="e">
        <f>Nodes!B161*(1-Nodes!AO161)</f>
        <v>#DIV/0!</v>
      </c>
      <c r="C161" s="46" t="e">
        <f>Nodes!C161*(1-Nodes!AP161)</f>
        <v>#DIV/0!</v>
      </c>
      <c r="D161" s="46" t="e">
        <f>Nodes!D161*(1-Nodes!AQ161)</f>
        <v>#DIV/0!</v>
      </c>
      <c r="E161" s="46" t="e">
        <f>Nodes!E161*(1-Nodes!AR161)</f>
        <v>#DIV/0!</v>
      </c>
      <c r="F161" s="46" t="e">
        <f>Nodes!F161*(1-Nodes!AS161)</f>
        <v>#DIV/0!</v>
      </c>
      <c r="G161" s="46" t="e">
        <f>Nodes!G161*(1-Nodes!AT161)</f>
        <v>#DIV/0!</v>
      </c>
      <c r="H161" s="46" t="e">
        <f>Nodes!H161*(1-Nodes!AU161)</f>
        <v>#DIV/0!</v>
      </c>
      <c r="I161" s="46" t="e">
        <f>Nodes!I161*(1-Nodes!AV161)</f>
        <v>#DIV/0!</v>
      </c>
      <c r="J161" s="46" t="e">
        <f>Nodes!L161*(1-Nodes!AY161)</f>
        <v>#DIV/0!</v>
      </c>
      <c r="K161" s="46" t="e">
        <f>Nodes!N161*(1-Nodes!BA161)</f>
        <v>#DIV/0!</v>
      </c>
      <c r="L161" s="56" t="e">
        <f>B161/60/A$189</f>
        <v>#DIV/0!</v>
      </c>
      <c r="M161" s="56" t="e">
        <f>C161/60/B$189</f>
        <v>#DIV/0!</v>
      </c>
      <c r="N161" s="56" t="e">
        <f>D161/60/C$189</f>
        <v>#DIV/0!</v>
      </c>
      <c r="O161" s="56" t="e">
        <f>E161/60/D$189</f>
        <v>#DIV/0!</v>
      </c>
      <c r="P161" s="56" t="e">
        <f>F161/60/E$189</f>
        <v>#DIV/0!</v>
      </c>
      <c r="Q161" s="56" t="e">
        <f>G161/60/F$189</f>
        <v>#DIV/0!</v>
      </c>
      <c r="R161" s="56" t="e">
        <f>H161/60/G$189</f>
        <v>#DIV/0!</v>
      </c>
      <c r="S161" s="56" t="e">
        <f>I161/60/H$189</f>
        <v>#DIV/0!</v>
      </c>
      <c r="T161" s="56" t="e">
        <f>J161/60/I$189</f>
        <v>#DIV/0!</v>
      </c>
      <c r="U161" s="56" t="e">
        <f t="shared" si="2"/>
        <v>#DIV/0!</v>
      </c>
    </row>
    <row r="162" spans="1:21" x14ac:dyDescent="0.15">
      <c r="A162" s="49">
        <v>160</v>
      </c>
      <c r="B162" s="46" t="e">
        <f>Nodes!B162*(1-Nodes!AO162)</f>
        <v>#DIV/0!</v>
      </c>
      <c r="C162" s="46" t="e">
        <f>Nodes!C162*(1-Nodes!AP162)</f>
        <v>#DIV/0!</v>
      </c>
      <c r="D162" s="46" t="e">
        <f>Nodes!D162*(1-Nodes!AQ162)</f>
        <v>#DIV/0!</v>
      </c>
      <c r="E162" s="46" t="e">
        <f>Nodes!E162*(1-Nodes!AR162)</f>
        <v>#DIV/0!</v>
      </c>
      <c r="F162" s="46" t="e">
        <f>Nodes!F162*(1-Nodes!AS162)</f>
        <v>#DIV/0!</v>
      </c>
      <c r="G162" s="46" t="e">
        <f>Nodes!G162*(1-Nodes!AT162)</f>
        <v>#DIV/0!</v>
      </c>
      <c r="H162" s="46" t="e">
        <f>Nodes!H162*(1-Nodes!AU162)</f>
        <v>#DIV/0!</v>
      </c>
      <c r="I162" s="46" t="e">
        <f>Nodes!I162*(1-Nodes!AV162)</f>
        <v>#DIV/0!</v>
      </c>
      <c r="J162" s="46" t="e">
        <f>Nodes!L162*(1-Nodes!AY162)</f>
        <v>#DIV/0!</v>
      </c>
      <c r="K162" s="46" t="e">
        <f>Nodes!N162*(1-Nodes!BA162)</f>
        <v>#DIV/0!</v>
      </c>
      <c r="L162" s="56" t="e">
        <f>B162/60/A$189</f>
        <v>#DIV/0!</v>
      </c>
      <c r="M162" s="56" t="e">
        <f>C162/60/B$189</f>
        <v>#DIV/0!</v>
      </c>
      <c r="N162" s="56" t="e">
        <f>D162/60/C$189</f>
        <v>#DIV/0!</v>
      </c>
      <c r="O162" s="56" t="e">
        <f>E162/60/D$189</f>
        <v>#DIV/0!</v>
      </c>
      <c r="P162" s="56" t="e">
        <f>F162/60/E$189</f>
        <v>#DIV/0!</v>
      </c>
      <c r="Q162" s="56" t="e">
        <f>G162/60/F$189</f>
        <v>#DIV/0!</v>
      </c>
      <c r="R162" s="56" t="e">
        <f>H162/60/G$189</f>
        <v>#DIV/0!</v>
      </c>
      <c r="S162" s="56" t="e">
        <f>I162/60/H$189</f>
        <v>#DIV/0!</v>
      </c>
      <c r="T162" s="56" t="e">
        <f>J162/60/I$189</f>
        <v>#DIV/0!</v>
      </c>
      <c r="U162" s="56" t="e">
        <f t="shared" si="2"/>
        <v>#DIV/0!</v>
      </c>
    </row>
    <row r="163" spans="1:21" x14ac:dyDescent="0.15">
      <c r="A163" s="49">
        <v>161</v>
      </c>
      <c r="B163" s="46" t="e">
        <f>Nodes!B163*(1-Nodes!AO163)</f>
        <v>#DIV/0!</v>
      </c>
      <c r="C163" s="46" t="e">
        <f>Nodes!C163*(1-Nodes!AP163)</f>
        <v>#DIV/0!</v>
      </c>
      <c r="D163" s="46" t="e">
        <f>Nodes!D163*(1-Nodes!AQ163)</f>
        <v>#DIV/0!</v>
      </c>
      <c r="E163" s="46" t="e">
        <f>Nodes!E163*(1-Nodes!AR163)</f>
        <v>#DIV/0!</v>
      </c>
      <c r="F163" s="46" t="e">
        <f>Nodes!F163*(1-Nodes!AS163)</f>
        <v>#DIV/0!</v>
      </c>
      <c r="G163" s="46" t="e">
        <f>Nodes!G163*(1-Nodes!AT163)</f>
        <v>#DIV/0!</v>
      </c>
      <c r="H163" s="46" t="e">
        <f>Nodes!H163*(1-Nodes!AU163)</f>
        <v>#DIV/0!</v>
      </c>
      <c r="I163" s="46" t="e">
        <f>Nodes!I163*(1-Nodes!AV163)</f>
        <v>#DIV/0!</v>
      </c>
      <c r="J163" s="46" t="e">
        <f>Nodes!L163*(1-Nodes!AY163)</f>
        <v>#DIV/0!</v>
      </c>
      <c r="K163" s="46" t="e">
        <f>Nodes!N163*(1-Nodes!BA163)</f>
        <v>#DIV/0!</v>
      </c>
      <c r="L163" s="56" t="e">
        <f>B163/60/A$189</f>
        <v>#DIV/0!</v>
      </c>
      <c r="M163" s="56" t="e">
        <f>C163/60/B$189</f>
        <v>#DIV/0!</v>
      </c>
      <c r="N163" s="56" t="e">
        <f>D163/60/C$189</f>
        <v>#DIV/0!</v>
      </c>
      <c r="O163" s="56" t="e">
        <f>E163/60/D$189</f>
        <v>#DIV/0!</v>
      </c>
      <c r="P163" s="56" t="e">
        <f>F163/60/E$189</f>
        <v>#DIV/0!</v>
      </c>
      <c r="Q163" s="56" t="e">
        <f>G163/60/F$189</f>
        <v>#DIV/0!</v>
      </c>
      <c r="R163" s="56" t="e">
        <f>H163/60/G$189</f>
        <v>#DIV/0!</v>
      </c>
      <c r="S163" s="56" t="e">
        <f>I163/60/H$189</f>
        <v>#DIV/0!</v>
      </c>
      <c r="T163" s="56" t="e">
        <f>J163/60/I$189</f>
        <v>#DIV/0!</v>
      </c>
      <c r="U163" s="56" t="e">
        <f t="shared" si="2"/>
        <v>#DIV/0!</v>
      </c>
    </row>
    <row r="164" spans="1:21" x14ac:dyDescent="0.15">
      <c r="A164" s="49">
        <v>162</v>
      </c>
      <c r="B164" s="46" t="e">
        <f>Nodes!B164*(1-Nodes!AO164)</f>
        <v>#DIV/0!</v>
      </c>
      <c r="C164" s="46" t="e">
        <f>Nodes!C164*(1-Nodes!AP164)</f>
        <v>#DIV/0!</v>
      </c>
      <c r="D164" s="46" t="e">
        <f>Nodes!D164*(1-Nodes!AQ164)</f>
        <v>#DIV/0!</v>
      </c>
      <c r="E164" s="46" t="e">
        <f>Nodes!E164*(1-Nodes!AR164)</f>
        <v>#DIV/0!</v>
      </c>
      <c r="F164" s="46" t="e">
        <f>Nodes!F164*(1-Nodes!AS164)</f>
        <v>#DIV/0!</v>
      </c>
      <c r="G164" s="46" t="e">
        <f>Nodes!G164*(1-Nodes!AT164)</f>
        <v>#DIV/0!</v>
      </c>
      <c r="H164" s="46" t="e">
        <f>Nodes!H164*(1-Nodes!AU164)</f>
        <v>#DIV/0!</v>
      </c>
      <c r="I164" s="46" t="e">
        <f>Nodes!I164*(1-Nodes!AV164)</f>
        <v>#DIV/0!</v>
      </c>
      <c r="J164" s="46" t="e">
        <f>Nodes!L164*(1-Nodes!AY164)</f>
        <v>#DIV/0!</v>
      </c>
      <c r="K164" s="46" t="e">
        <f>Nodes!N164*(1-Nodes!BA164)</f>
        <v>#DIV/0!</v>
      </c>
      <c r="L164" s="56" t="e">
        <f>B164/60/A$189</f>
        <v>#DIV/0!</v>
      </c>
      <c r="M164" s="56" t="e">
        <f>C164/60/B$189</f>
        <v>#DIV/0!</v>
      </c>
      <c r="N164" s="56" t="e">
        <f>D164/60/C$189</f>
        <v>#DIV/0!</v>
      </c>
      <c r="O164" s="56" t="e">
        <f>E164/60/D$189</f>
        <v>#DIV/0!</v>
      </c>
      <c r="P164" s="56" t="e">
        <f>F164/60/E$189</f>
        <v>#DIV/0!</v>
      </c>
      <c r="Q164" s="56" t="e">
        <f>G164/60/F$189</f>
        <v>#DIV/0!</v>
      </c>
      <c r="R164" s="56" t="e">
        <f>H164/60/G$189</f>
        <v>#DIV/0!</v>
      </c>
      <c r="S164" s="56" t="e">
        <f>I164/60/H$189</f>
        <v>#DIV/0!</v>
      </c>
      <c r="T164" s="56" t="e">
        <f>J164/60/I$189</f>
        <v>#DIV/0!</v>
      </c>
      <c r="U164" s="56" t="e">
        <f t="shared" si="2"/>
        <v>#DIV/0!</v>
      </c>
    </row>
    <row r="165" spans="1:21" x14ac:dyDescent="0.15">
      <c r="A165" s="49">
        <v>163</v>
      </c>
      <c r="B165" s="46" t="e">
        <f>Nodes!B165*(1-Nodes!AO165)</f>
        <v>#DIV/0!</v>
      </c>
      <c r="C165" s="46" t="e">
        <f>Nodes!C165*(1-Nodes!AP165)</f>
        <v>#DIV/0!</v>
      </c>
      <c r="D165" s="46" t="e">
        <f>Nodes!D165*(1-Nodes!AQ165)</f>
        <v>#DIV/0!</v>
      </c>
      <c r="E165" s="46" t="e">
        <f>Nodes!E165*(1-Nodes!AR165)</f>
        <v>#DIV/0!</v>
      </c>
      <c r="F165" s="46" t="e">
        <f>Nodes!F165*(1-Nodes!AS165)</f>
        <v>#DIV/0!</v>
      </c>
      <c r="G165" s="46" t="e">
        <f>Nodes!G165*(1-Nodes!AT165)</f>
        <v>#DIV/0!</v>
      </c>
      <c r="H165" s="46" t="e">
        <f>Nodes!H165*(1-Nodes!AU165)</f>
        <v>#DIV/0!</v>
      </c>
      <c r="I165" s="46" t="e">
        <f>Nodes!I165*(1-Nodes!AV165)</f>
        <v>#DIV/0!</v>
      </c>
      <c r="J165" s="46" t="e">
        <f>Nodes!L165*(1-Nodes!AY165)</f>
        <v>#DIV/0!</v>
      </c>
      <c r="K165" s="46" t="e">
        <f>Nodes!N165*(1-Nodes!BA165)</f>
        <v>#DIV/0!</v>
      </c>
      <c r="L165" s="56" t="e">
        <f>B165/60/A$189</f>
        <v>#DIV/0!</v>
      </c>
      <c r="M165" s="56" t="e">
        <f>C165/60/B$189</f>
        <v>#DIV/0!</v>
      </c>
      <c r="N165" s="56" t="e">
        <f>D165/60/C$189</f>
        <v>#DIV/0!</v>
      </c>
      <c r="O165" s="56" t="e">
        <f>E165/60/D$189</f>
        <v>#DIV/0!</v>
      </c>
      <c r="P165" s="56" t="e">
        <f>F165/60/E$189</f>
        <v>#DIV/0!</v>
      </c>
      <c r="Q165" s="56" t="e">
        <f>G165/60/F$189</f>
        <v>#DIV/0!</v>
      </c>
      <c r="R165" s="56" t="e">
        <f>H165/60/G$189</f>
        <v>#DIV/0!</v>
      </c>
      <c r="S165" s="56" t="e">
        <f>I165/60/H$189</f>
        <v>#DIV/0!</v>
      </c>
      <c r="T165" s="56" t="e">
        <f>J165/60/I$189</f>
        <v>#DIV/0!</v>
      </c>
      <c r="U165" s="56" t="e">
        <f t="shared" si="2"/>
        <v>#DIV/0!</v>
      </c>
    </row>
    <row r="166" spans="1:21" x14ac:dyDescent="0.15">
      <c r="A166" s="49">
        <v>164</v>
      </c>
      <c r="B166" s="46" t="e">
        <f>Nodes!B166*(1-Nodes!AO166)</f>
        <v>#DIV/0!</v>
      </c>
      <c r="C166" s="46" t="e">
        <f>Nodes!C166*(1-Nodes!AP166)</f>
        <v>#DIV/0!</v>
      </c>
      <c r="D166" s="46" t="e">
        <f>Nodes!D166*(1-Nodes!AQ166)</f>
        <v>#DIV/0!</v>
      </c>
      <c r="E166" s="46" t="e">
        <f>Nodes!E166*(1-Nodes!AR166)</f>
        <v>#DIV/0!</v>
      </c>
      <c r="F166" s="46" t="e">
        <f>Nodes!F166*(1-Nodes!AS166)</f>
        <v>#DIV/0!</v>
      </c>
      <c r="G166" s="46" t="e">
        <f>Nodes!G166*(1-Nodes!AT166)</f>
        <v>#DIV/0!</v>
      </c>
      <c r="H166" s="46" t="e">
        <f>Nodes!H166*(1-Nodes!AU166)</f>
        <v>#DIV/0!</v>
      </c>
      <c r="I166" s="46" t="e">
        <f>Nodes!I166*(1-Nodes!AV166)</f>
        <v>#DIV/0!</v>
      </c>
      <c r="J166" s="46" t="e">
        <f>Nodes!L166*(1-Nodes!AY166)</f>
        <v>#DIV/0!</v>
      </c>
      <c r="K166" s="46" t="e">
        <f>Nodes!N166*(1-Nodes!BA166)</f>
        <v>#DIV/0!</v>
      </c>
      <c r="L166" s="56" t="e">
        <f>B166/60/A$189</f>
        <v>#DIV/0!</v>
      </c>
      <c r="M166" s="56" t="e">
        <f>C166/60/B$189</f>
        <v>#DIV/0!</v>
      </c>
      <c r="N166" s="56" t="e">
        <f>D166/60/C$189</f>
        <v>#DIV/0!</v>
      </c>
      <c r="O166" s="56" t="e">
        <f>E166/60/D$189</f>
        <v>#DIV/0!</v>
      </c>
      <c r="P166" s="56" t="e">
        <f>F166/60/E$189</f>
        <v>#DIV/0!</v>
      </c>
      <c r="Q166" s="56" t="e">
        <f>G166/60/F$189</f>
        <v>#DIV/0!</v>
      </c>
      <c r="R166" s="56" t="e">
        <f>H166/60/G$189</f>
        <v>#DIV/0!</v>
      </c>
      <c r="S166" s="56" t="e">
        <f>I166/60/H$189</f>
        <v>#DIV/0!</v>
      </c>
      <c r="T166" s="56" t="e">
        <f>J166/60/I$189</f>
        <v>#DIV/0!</v>
      </c>
      <c r="U166" s="56" t="e">
        <f t="shared" si="2"/>
        <v>#DIV/0!</v>
      </c>
    </row>
    <row r="167" spans="1:21" x14ac:dyDescent="0.15">
      <c r="A167" s="49">
        <v>165</v>
      </c>
      <c r="B167" s="46" t="e">
        <f>Nodes!B167*(1-Nodes!AO167)</f>
        <v>#DIV/0!</v>
      </c>
      <c r="C167" s="46" t="e">
        <f>Nodes!C167*(1-Nodes!AP167)</f>
        <v>#DIV/0!</v>
      </c>
      <c r="D167" s="46" t="e">
        <f>Nodes!D167*(1-Nodes!AQ167)</f>
        <v>#DIV/0!</v>
      </c>
      <c r="E167" s="46" t="e">
        <f>Nodes!E167*(1-Nodes!AR167)</f>
        <v>#DIV/0!</v>
      </c>
      <c r="F167" s="46" t="e">
        <f>Nodes!F167*(1-Nodes!AS167)</f>
        <v>#DIV/0!</v>
      </c>
      <c r="G167" s="46" t="e">
        <f>Nodes!G167*(1-Nodes!AT167)</f>
        <v>#DIV/0!</v>
      </c>
      <c r="H167" s="46" t="e">
        <f>Nodes!H167*(1-Nodes!AU167)</f>
        <v>#DIV/0!</v>
      </c>
      <c r="I167" s="46" t="e">
        <f>Nodes!I167*(1-Nodes!AV167)</f>
        <v>#DIV/0!</v>
      </c>
      <c r="J167" s="46" t="e">
        <f>Nodes!L167*(1-Nodes!AY167)</f>
        <v>#DIV/0!</v>
      </c>
      <c r="K167" s="46" t="e">
        <f>Nodes!N167*(1-Nodes!BA167)</f>
        <v>#DIV/0!</v>
      </c>
      <c r="L167" s="56" t="e">
        <f>B167/60/A$189</f>
        <v>#DIV/0!</v>
      </c>
      <c r="M167" s="56" t="e">
        <f>C167/60/B$189</f>
        <v>#DIV/0!</v>
      </c>
      <c r="N167" s="56" t="e">
        <f>D167/60/C$189</f>
        <v>#DIV/0!</v>
      </c>
      <c r="O167" s="56" t="e">
        <f>E167/60/D$189</f>
        <v>#DIV/0!</v>
      </c>
      <c r="P167" s="56" t="e">
        <f>F167/60/E$189</f>
        <v>#DIV/0!</v>
      </c>
      <c r="Q167" s="56" t="e">
        <f>G167/60/F$189</f>
        <v>#DIV/0!</v>
      </c>
      <c r="R167" s="56" t="e">
        <f>H167/60/G$189</f>
        <v>#DIV/0!</v>
      </c>
      <c r="S167" s="56" t="e">
        <f>I167/60/H$189</f>
        <v>#DIV/0!</v>
      </c>
      <c r="T167" s="56" t="e">
        <f>J167/60/I$189</f>
        <v>#DIV/0!</v>
      </c>
      <c r="U167" s="56" t="e">
        <f t="shared" si="2"/>
        <v>#DIV/0!</v>
      </c>
    </row>
    <row r="168" spans="1:21" x14ac:dyDescent="0.15">
      <c r="A168" s="49">
        <v>166</v>
      </c>
      <c r="B168" s="46" t="e">
        <f>Nodes!B168*(1-Nodes!AO168)</f>
        <v>#DIV/0!</v>
      </c>
      <c r="C168" s="46" t="e">
        <f>Nodes!C168*(1-Nodes!AP168)</f>
        <v>#DIV/0!</v>
      </c>
      <c r="D168" s="46" t="e">
        <f>Nodes!D168*(1-Nodes!AQ168)</f>
        <v>#DIV/0!</v>
      </c>
      <c r="E168" s="46" t="e">
        <f>Nodes!E168*(1-Nodes!AR168)</f>
        <v>#DIV/0!</v>
      </c>
      <c r="F168" s="46" t="e">
        <f>Nodes!F168*(1-Nodes!AS168)</f>
        <v>#DIV/0!</v>
      </c>
      <c r="G168" s="46" t="e">
        <f>Nodes!G168*(1-Nodes!AT168)</f>
        <v>#DIV/0!</v>
      </c>
      <c r="H168" s="46" t="e">
        <f>Nodes!H168*(1-Nodes!AU168)</f>
        <v>#DIV/0!</v>
      </c>
      <c r="I168" s="46" t="e">
        <f>Nodes!I168*(1-Nodes!AV168)</f>
        <v>#DIV/0!</v>
      </c>
      <c r="J168" s="46" t="e">
        <f>Nodes!L168*(1-Nodes!AY168)</f>
        <v>#DIV/0!</v>
      </c>
      <c r="K168" s="46" t="e">
        <f>Nodes!N168*(1-Nodes!BA168)</f>
        <v>#DIV/0!</v>
      </c>
      <c r="L168" s="56" t="e">
        <f>B168/60/A$189</f>
        <v>#DIV/0!</v>
      </c>
      <c r="M168" s="56" t="e">
        <f>C168/60/B$189</f>
        <v>#DIV/0!</v>
      </c>
      <c r="N168" s="56" t="e">
        <f>D168/60/C$189</f>
        <v>#DIV/0!</v>
      </c>
      <c r="O168" s="56" t="e">
        <f>E168/60/D$189</f>
        <v>#DIV/0!</v>
      </c>
      <c r="P168" s="56" t="e">
        <f>F168/60/E$189</f>
        <v>#DIV/0!</v>
      </c>
      <c r="Q168" s="56" t="e">
        <f>G168/60/F$189</f>
        <v>#DIV/0!</v>
      </c>
      <c r="R168" s="56" t="e">
        <f>H168/60/G$189</f>
        <v>#DIV/0!</v>
      </c>
      <c r="S168" s="56" t="e">
        <f>I168/60/H$189</f>
        <v>#DIV/0!</v>
      </c>
      <c r="T168" s="56" t="e">
        <f>J168/60/I$189</f>
        <v>#DIV/0!</v>
      </c>
      <c r="U168" s="56" t="e">
        <f t="shared" si="2"/>
        <v>#DIV/0!</v>
      </c>
    </row>
    <row r="169" spans="1:21" x14ac:dyDescent="0.15">
      <c r="A169" s="49">
        <v>167</v>
      </c>
      <c r="B169" s="46" t="e">
        <f>Nodes!B169*(1-Nodes!AO169)</f>
        <v>#DIV/0!</v>
      </c>
      <c r="C169" s="46" t="e">
        <f>Nodes!C169*(1-Nodes!AP169)</f>
        <v>#DIV/0!</v>
      </c>
      <c r="D169" s="46" t="e">
        <f>Nodes!D169*(1-Nodes!AQ169)</f>
        <v>#DIV/0!</v>
      </c>
      <c r="E169" s="46" t="e">
        <f>Nodes!E169*(1-Nodes!AR169)</f>
        <v>#DIV/0!</v>
      </c>
      <c r="F169" s="46" t="e">
        <f>Nodes!F169*(1-Nodes!AS169)</f>
        <v>#DIV/0!</v>
      </c>
      <c r="G169" s="46" t="e">
        <f>Nodes!G169*(1-Nodes!AT169)</f>
        <v>#DIV/0!</v>
      </c>
      <c r="H169" s="46" t="e">
        <f>Nodes!H169*(1-Nodes!AU169)</f>
        <v>#DIV/0!</v>
      </c>
      <c r="I169" s="46" t="e">
        <f>Nodes!I169*(1-Nodes!AV169)</f>
        <v>#DIV/0!</v>
      </c>
      <c r="J169" s="46" t="e">
        <f>Nodes!L169*(1-Nodes!AY169)</f>
        <v>#DIV/0!</v>
      </c>
      <c r="K169" s="46" t="e">
        <f>Nodes!N169*(1-Nodes!BA169)</f>
        <v>#DIV/0!</v>
      </c>
      <c r="L169" s="56" t="e">
        <f>B169/60/A$189</f>
        <v>#DIV/0!</v>
      </c>
      <c r="M169" s="56" t="e">
        <f>C169/60/B$189</f>
        <v>#DIV/0!</v>
      </c>
      <c r="N169" s="56" t="e">
        <f>D169/60/C$189</f>
        <v>#DIV/0!</v>
      </c>
      <c r="O169" s="56" t="e">
        <f>E169/60/D$189</f>
        <v>#DIV/0!</v>
      </c>
      <c r="P169" s="56" t="e">
        <f>F169/60/E$189</f>
        <v>#DIV/0!</v>
      </c>
      <c r="Q169" s="56" t="e">
        <f>G169/60/F$189</f>
        <v>#DIV/0!</v>
      </c>
      <c r="R169" s="56" t="e">
        <f>H169/60/G$189</f>
        <v>#DIV/0!</v>
      </c>
      <c r="S169" s="56" t="e">
        <f>I169/60/H$189</f>
        <v>#DIV/0!</v>
      </c>
      <c r="T169" s="56" t="e">
        <f>J169/60/I$189</f>
        <v>#DIV/0!</v>
      </c>
      <c r="U169" s="56" t="e">
        <f t="shared" si="2"/>
        <v>#DIV/0!</v>
      </c>
    </row>
    <row r="170" spans="1:21" x14ac:dyDescent="0.15">
      <c r="A170" s="49">
        <v>168</v>
      </c>
      <c r="B170" s="46" t="e">
        <f>Nodes!B170*(1-Nodes!AO170)</f>
        <v>#DIV/0!</v>
      </c>
      <c r="C170" s="46" t="e">
        <f>Nodes!C170*(1-Nodes!AP170)</f>
        <v>#DIV/0!</v>
      </c>
      <c r="D170" s="46" t="e">
        <f>Nodes!D170*(1-Nodes!AQ170)</f>
        <v>#DIV/0!</v>
      </c>
      <c r="E170" s="46" t="e">
        <f>Nodes!E170*(1-Nodes!AR170)</f>
        <v>#DIV/0!</v>
      </c>
      <c r="F170" s="46" t="e">
        <f>Nodes!F170*(1-Nodes!AS170)</f>
        <v>#DIV/0!</v>
      </c>
      <c r="G170" s="46" t="e">
        <f>Nodes!G170*(1-Nodes!AT170)</f>
        <v>#DIV/0!</v>
      </c>
      <c r="H170" s="46" t="e">
        <f>Nodes!H170*(1-Nodes!AU170)</f>
        <v>#DIV/0!</v>
      </c>
      <c r="I170" s="46" t="e">
        <f>Nodes!I170*(1-Nodes!AV170)</f>
        <v>#DIV/0!</v>
      </c>
      <c r="J170" s="46" t="e">
        <f>Nodes!L170*(1-Nodes!AY170)</f>
        <v>#DIV/0!</v>
      </c>
      <c r="K170" s="46" t="e">
        <f>Nodes!N170*(1-Nodes!BA170)</f>
        <v>#DIV/0!</v>
      </c>
      <c r="L170" s="56" t="e">
        <f>B170/60/A$189</f>
        <v>#DIV/0!</v>
      </c>
      <c r="M170" s="56" t="e">
        <f>C170/60/B$189</f>
        <v>#DIV/0!</v>
      </c>
      <c r="N170" s="56" t="e">
        <f>D170/60/C$189</f>
        <v>#DIV/0!</v>
      </c>
      <c r="O170" s="56" t="e">
        <f>E170/60/D$189</f>
        <v>#DIV/0!</v>
      </c>
      <c r="P170" s="56" t="e">
        <f>F170/60/E$189</f>
        <v>#DIV/0!</v>
      </c>
      <c r="Q170" s="56" t="e">
        <f>G170/60/F$189</f>
        <v>#DIV/0!</v>
      </c>
      <c r="R170" s="56" t="e">
        <f>H170/60/G$189</f>
        <v>#DIV/0!</v>
      </c>
      <c r="S170" s="56" t="e">
        <f>I170/60/H$189</f>
        <v>#DIV/0!</v>
      </c>
      <c r="T170" s="56" t="e">
        <f>J170/60/I$189</f>
        <v>#DIV/0!</v>
      </c>
      <c r="U170" s="56" t="e">
        <f t="shared" si="2"/>
        <v>#DIV/0!</v>
      </c>
    </row>
    <row r="171" spans="1:21" x14ac:dyDescent="0.15">
      <c r="A171" s="49">
        <v>169</v>
      </c>
      <c r="B171" s="46" t="e">
        <f>Nodes!B171*(1-Nodes!AO171)</f>
        <v>#DIV/0!</v>
      </c>
      <c r="C171" s="46" t="e">
        <f>Nodes!C171*(1-Nodes!AP171)</f>
        <v>#DIV/0!</v>
      </c>
      <c r="D171" s="46" t="e">
        <f>Nodes!D171*(1-Nodes!AQ171)</f>
        <v>#DIV/0!</v>
      </c>
      <c r="E171" s="46" t="e">
        <f>Nodes!E171*(1-Nodes!AR171)</f>
        <v>#DIV/0!</v>
      </c>
      <c r="F171" s="46" t="e">
        <f>Nodes!F171*(1-Nodes!AS171)</f>
        <v>#DIV/0!</v>
      </c>
      <c r="G171" s="46" t="e">
        <f>Nodes!G171*(1-Nodes!AT171)</f>
        <v>#DIV/0!</v>
      </c>
      <c r="H171" s="46" t="e">
        <f>Nodes!H171*(1-Nodes!AU171)</f>
        <v>#DIV/0!</v>
      </c>
      <c r="I171" s="46" t="e">
        <f>Nodes!I171*(1-Nodes!AV171)</f>
        <v>#DIV/0!</v>
      </c>
      <c r="J171" s="46" t="e">
        <f>Nodes!L171*(1-Nodes!AY171)</f>
        <v>#DIV/0!</v>
      </c>
      <c r="K171" s="46" t="e">
        <f>Nodes!N171*(1-Nodes!BA171)</f>
        <v>#DIV/0!</v>
      </c>
      <c r="L171" s="56" t="e">
        <f>B171/60/A$189</f>
        <v>#DIV/0!</v>
      </c>
      <c r="M171" s="56" t="e">
        <f>C171/60/B$189</f>
        <v>#DIV/0!</v>
      </c>
      <c r="N171" s="56" t="e">
        <f>D171/60/C$189</f>
        <v>#DIV/0!</v>
      </c>
      <c r="O171" s="56" t="e">
        <f>E171/60/D$189</f>
        <v>#DIV/0!</v>
      </c>
      <c r="P171" s="56" t="e">
        <f>F171/60/E$189</f>
        <v>#DIV/0!</v>
      </c>
      <c r="Q171" s="56" t="e">
        <f>G171/60/F$189</f>
        <v>#DIV/0!</v>
      </c>
      <c r="R171" s="56" t="e">
        <f>H171/60/G$189</f>
        <v>#DIV/0!</v>
      </c>
      <c r="S171" s="56" t="e">
        <f>I171/60/H$189</f>
        <v>#DIV/0!</v>
      </c>
      <c r="T171" s="56" t="e">
        <f>J171/60/I$189</f>
        <v>#DIV/0!</v>
      </c>
      <c r="U171" s="56" t="e">
        <f t="shared" si="2"/>
        <v>#DIV/0!</v>
      </c>
    </row>
    <row r="172" spans="1:21" x14ac:dyDescent="0.15">
      <c r="A172" s="49">
        <v>170</v>
      </c>
      <c r="B172" s="46" t="e">
        <f>Nodes!B172*(1-Nodes!AO172)</f>
        <v>#DIV/0!</v>
      </c>
      <c r="C172" s="46" t="e">
        <f>Nodes!C172*(1-Nodes!AP172)</f>
        <v>#DIV/0!</v>
      </c>
      <c r="D172" s="46" t="e">
        <f>Nodes!D172*(1-Nodes!AQ172)</f>
        <v>#DIV/0!</v>
      </c>
      <c r="E172" s="46" t="e">
        <f>Nodes!E172*(1-Nodes!AR172)</f>
        <v>#DIV/0!</v>
      </c>
      <c r="F172" s="46" t="e">
        <f>Nodes!F172*(1-Nodes!AS172)</f>
        <v>#DIV/0!</v>
      </c>
      <c r="G172" s="46" t="e">
        <f>Nodes!G172*(1-Nodes!AT172)</f>
        <v>#DIV/0!</v>
      </c>
      <c r="H172" s="46" t="e">
        <f>Nodes!H172*(1-Nodes!AU172)</f>
        <v>#DIV/0!</v>
      </c>
      <c r="I172" s="46" t="e">
        <f>Nodes!I172*(1-Nodes!AV172)</f>
        <v>#DIV/0!</v>
      </c>
      <c r="J172" s="46" t="e">
        <f>Nodes!L172*(1-Nodes!AY172)</f>
        <v>#DIV/0!</v>
      </c>
      <c r="K172" s="46" t="e">
        <f>Nodes!N172*(1-Nodes!BA172)</f>
        <v>#DIV/0!</v>
      </c>
      <c r="L172" s="56" t="e">
        <f>B172/60/A$189</f>
        <v>#DIV/0!</v>
      </c>
      <c r="M172" s="56" t="e">
        <f>C172/60/B$189</f>
        <v>#DIV/0!</v>
      </c>
      <c r="N172" s="56" t="e">
        <f>D172/60/C$189</f>
        <v>#DIV/0!</v>
      </c>
      <c r="O172" s="56" t="e">
        <f>E172/60/D$189</f>
        <v>#DIV/0!</v>
      </c>
      <c r="P172" s="56" t="e">
        <f>F172/60/E$189</f>
        <v>#DIV/0!</v>
      </c>
      <c r="Q172" s="56" t="e">
        <f>G172/60/F$189</f>
        <v>#DIV/0!</v>
      </c>
      <c r="R172" s="56" t="e">
        <f>H172/60/G$189</f>
        <v>#DIV/0!</v>
      </c>
      <c r="S172" s="56" t="e">
        <f>I172/60/H$189</f>
        <v>#DIV/0!</v>
      </c>
      <c r="T172" s="56" t="e">
        <f>J172/60/I$189</f>
        <v>#DIV/0!</v>
      </c>
      <c r="U172" s="56" t="e">
        <f t="shared" si="2"/>
        <v>#DIV/0!</v>
      </c>
    </row>
    <row r="173" spans="1:21" x14ac:dyDescent="0.15">
      <c r="A173" s="49">
        <v>171</v>
      </c>
      <c r="B173" s="46" t="e">
        <f>Nodes!B173*(1-Nodes!AO173)</f>
        <v>#DIV/0!</v>
      </c>
      <c r="C173" s="46" t="e">
        <f>Nodes!C173*(1-Nodes!AP173)</f>
        <v>#DIV/0!</v>
      </c>
      <c r="D173" s="46" t="e">
        <f>Nodes!D173*(1-Nodes!AQ173)</f>
        <v>#DIV/0!</v>
      </c>
      <c r="E173" s="46" t="e">
        <f>Nodes!E173*(1-Nodes!AR173)</f>
        <v>#DIV/0!</v>
      </c>
      <c r="F173" s="46" t="e">
        <f>Nodes!F173*(1-Nodes!AS173)</f>
        <v>#DIV/0!</v>
      </c>
      <c r="G173" s="46" t="e">
        <f>Nodes!G173*(1-Nodes!AT173)</f>
        <v>#DIV/0!</v>
      </c>
      <c r="H173" s="46" t="e">
        <f>Nodes!H173*(1-Nodes!AU173)</f>
        <v>#DIV/0!</v>
      </c>
      <c r="I173" s="46" t="e">
        <f>Nodes!I173*(1-Nodes!AV173)</f>
        <v>#DIV/0!</v>
      </c>
      <c r="J173" s="46" t="e">
        <f>Nodes!L173*(1-Nodes!AY173)</f>
        <v>#DIV/0!</v>
      </c>
      <c r="K173" s="46" t="e">
        <f>Nodes!N173*(1-Nodes!BA173)</f>
        <v>#DIV/0!</v>
      </c>
      <c r="L173" s="56" t="e">
        <f>B173/60/A$189</f>
        <v>#DIV/0!</v>
      </c>
      <c r="M173" s="56" t="e">
        <f>C173/60/B$189</f>
        <v>#DIV/0!</v>
      </c>
      <c r="N173" s="56" t="e">
        <f>D173/60/C$189</f>
        <v>#DIV/0!</v>
      </c>
      <c r="O173" s="56" t="e">
        <f>E173/60/D$189</f>
        <v>#DIV/0!</v>
      </c>
      <c r="P173" s="56" t="e">
        <f>F173/60/E$189</f>
        <v>#DIV/0!</v>
      </c>
      <c r="Q173" s="56" t="e">
        <f>G173/60/F$189</f>
        <v>#DIV/0!</v>
      </c>
      <c r="R173" s="56" t="e">
        <f>H173/60/G$189</f>
        <v>#DIV/0!</v>
      </c>
      <c r="S173" s="56" t="e">
        <f>I173/60/H$189</f>
        <v>#DIV/0!</v>
      </c>
      <c r="T173" s="56" t="e">
        <f>J173/60/I$189</f>
        <v>#DIV/0!</v>
      </c>
      <c r="U173" s="56" t="e">
        <f t="shared" si="2"/>
        <v>#DIV/0!</v>
      </c>
    </row>
    <row r="174" spans="1:21" x14ac:dyDescent="0.15">
      <c r="A174" s="49">
        <v>172</v>
      </c>
      <c r="B174" s="46" t="e">
        <f>Nodes!B174*(1-Nodes!AO174)</f>
        <v>#DIV/0!</v>
      </c>
      <c r="C174" s="46" t="e">
        <f>Nodes!C174*(1-Nodes!AP174)</f>
        <v>#DIV/0!</v>
      </c>
      <c r="D174" s="46" t="e">
        <f>Nodes!D174*(1-Nodes!AQ174)</f>
        <v>#DIV/0!</v>
      </c>
      <c r="E174" s="46" t="e">
        <f>Nodes!E174*(1-Nodes!AR174)</f>
        <v>#DIV/0!</v>
      </c>
      <c r="F174" s="46" t="e">
        <f>Nodes!F174*(1-Nodes!AS174)</f>
        <v>#DIV/0!</v>
      </c>
      <c r="G174" s="46" t="e">
        <f>Nodes!G174*(1-Nodes!AT174)</f>
        <v>#DIV/0!</v>
      </c>
      <c r="H174" s="46" t="e">
        <f>Nodes!H174*(1-Nodes!AU174)</f>
        <v>#DIV/0!</v>
      </c>
      <c r="I174" s="46" t="e">
        <f>Nodes!I174*(1-Nodes!AV174)</f>
        <v>#DIV/0!</v>
      </c>
      <c r="J174" s="46" t="e">
        <f>Nodes!L174*(1-Nodes!AY174)</f>
        <v>#DIV/0!</v>
      </c>
      <c r="K174" s="46" t="e">
        <f>Nodes!N174*(1-Nodes!BA174)</f>
        <v>#DIV/0!</v>
      </c>
      <c r="L174" s="56" t="e">
        <f>B174/60/A$189</f>
        <v>#DIV/0!</v>
      </c>
      <c r="M174" s="56" t="e">
        <f>C174/60/B$189</f>
        <v>#DIV/0!</v>
      </c>
      <c r="N174" s="56" t="e">
        <f>D174/60/C$189</f>
        <v>#DIV/0!</v>
      </c>
      <c r="O174" s="56" t="e">
        <f>E174/60/D$189</f>
        <v>#DIV/0!</v>
      </c>
      <c r="P174" s="56" t="e">
        <f>F174/60/E$189</f>
        <v>#DIV/0!</v>
      </c>
      <c r="Q174" s="56" t="e">
        <f>G174/60/F$189</f>
        <v>#DIV/0!</v>
      </c>
      <c r="R174" s="56" t="e">
        <f>H174/60/G$189</f>
        <v>#DIV/0!</v>
      </c>
      <c r="S174" s="56" t="e">
        <f>I174/60/H$189</f>
        <v>#DIV/0!</v>
      </c>
      <c r="T174" s="56" t="e">
        <f>J174/60/I$189</f>
        <v>#DIV/0!</v>
      </c>
      <c r="U174" s="56" t="e">
        <f t="shared" si="2"/>
        <v>#DIV/0!</v>
      </c>
    </row>
    <row r="175" spans="1:21" x14ac:dyDescent="0.15">
      <c r="A175" s="49">
        <v>173</v>
      </c>
      <c r="B175" s="46" t="e">
        <f>Nodes!B175*(1-Nodes!AO175)</f>
        <v>#DIV/0!</v>
      </c>
      <c r="C175" s="46" t="e">
        <f>Nodes!C175*(1-Nodes!AP175)</f>
        <v>#DIV/0!</v>
      </c>
      <c r="D175" s="46" t="e">
        <f>Nodes!D175*(1-Nodes!AQ175)</f>
        <v>#DIV/0!</v>
      </c>
      <c r="E175" s="46" t="e">
        <f>Nodes!E175*(1-Nodes!AR175)</f>
        <v>#DIV/0!</v>
      </c>
      <c r="F175" s="46" t="e">
        <f>Nodes!F175*(1-Nodes!AS175)</f>
        <v>#DIV/0!</v>
      </c>
      <c r="G175" s="46" t="e">
        <f>Nodes!G175*(1-Nodes!AT175)</f>
        <v>#DIV/0!</v>
      </c>
      <c r="H175" s="46" t="e">
        <f>Nodes!H175*(1-Nodes!AU175)</f>
        <v>#DIV/0!</v>
      </c>
      <c r="I175" s="46" t="e">
        <f>Nodes!I175*(1-Nodes!AV175)</f>
        <v>#DIV/0!</v>
      </c>
      <c r="J175" s="46" t="e">
        <f>Nodes!L175*(1-Nodes!AY175)</f>
        <v>#DIV/0!</v>
      </c>
      <c r="K175" s="46" t="e">
        <f>Nodes!N175*(1-Nodes!BA175)</f>
        <v>#DIV/0!</v>
      </c>
      <c r="L175" s="56" t="e">
        <f>B175/60/A$189</f>
        <v>#DIV/0!</v>
      </c>
      <c r="M175" s="56" t="e">
        <f>C175/60/B$189</f>
        <v>#DIV/0!</v>
      </c>
      <c r="N175" s="56" t="e">
        <f>D175/60/C$189</f>
        <v>#DIV/0!</v>
      </c>
      <c r="O175" s="56" t="e">
        <f>E175/60/D$189</f>
        <v>#DIV/0!</v>
      </c>
      <c r="P175" s="56" t="e">
        <f>F175/60/E$189</f>
        <v>#DIV/0!</v>
      </c>
      <c r="Q175" s="56" t="e">
        <f>G175/60/F$189</f>
        <v>#DIV/0!</v>
      </c>
      <c r="R175" s="56" t="e">
        <f>H175/60/G$189</f>
        <v>#DIV/0!</v>
      </c>
      <c r="S175" s="56" t="e">
        <f>I175/60/H$189</f>
        <v>#DIV/0!</v>
      </c>
      <c r="T175" s="56" t="e">
        <f>J175/60/I$189</f>
        <v>#DIV/0!</v>
      </c>
      <c r="U175" s="56" t="e">
        <f t="shared" si="2"/>
        <v>#DIV/0!</v>
      </c>
    </row>
    <row r="176" spans="1:21" x14ac:dyDescent="0.15">
      <c r="A176" s="49">
        <v>174</v>
      </c>
      <c r="B176" s="46" t="e">
        <f>Nodes!B176*(1-Nodes!AO176)</f>
        <v>#DIV/0!</v>
      </c>
      <c r="C176" s="46" t="e">
        <f>Nodes!C176*(1-Nodes!AP176)</f>
        <v>#DIV/0!</v>
      </c>
      <c r="D176" s="46" t="e">
        <f>Nodes!D176*(1-Nodes!AQ176)</f>
        <v>#DIV/0!</v>
      </c>
      <c r="E176" s="46" t="e">
        <f>Nodes!E176*(1-Nodes!AR176)</f>
        <v>#DIV/0!</v>
      </c>
      <c r="F176" s="46" t="e">
        <f>Nodes!F176*(1-Nodes!AS176)</f>
        <v>#DIV/0!</v>
      </c>
      <c r="G176" s="46" t="e">
        <f>Nodes!G176*(1-Nodes!AT176)</f>
        <v>#DIV/0!</v>
      </c>
      <c r="H176" s="46" t="e">
        <f>Nodes!H176*(1-Nodes!AU176)</f>
        <v>#DIV/0!</v>
      </c>
      <c r="I176" s="46" t="e">
        <f>Nodes!I176*(1-Nodes!AV176)</f>
        <v>#DIV/0!</v>
      </c>
      <c r="J176" s="46" t="e">
        <f>Nodes!L176*(1-Nodes!AY176)</f>
        <v>#DIV/0!</v>
      </c>
      <c r="K176" s="46" t="e">
        <f>Nodes!N176*(1-Nodes!BA176)</f>
        <v>#DIV/0!</v>
      </c>
      <c r="L176" s="56" t="e">
        <f>B176/60/A$189</f>
        <v>#DIV/0!</v>
      </c>
      <c r="M176" s="56" t="e">
        <f>C176/60/B$189</f>
        <v>#DIV/0!</v>
      </c>
      <c r="N176" s="56" t="e">
        <f>D176/60/C$189</f>
        <v>#DIV/0!</v>
      </c>
      <c r="O176" s="56" t="e">
        <f>E176/60/D$189</f>
        <v>#DIV/0!</v>
      </c>
      <c r="P176" s="56" t="e">
        <f>F176/60/E$189</f>
        <v>#DIV/0!</v>
      </c>
      <c r="Q176" s="56" t="e">
        <f>G176/60/F$189</f>
        <v>#DIV/0!</v>
      </c>
      <c r="R176" s="56" t="e">
        <f>H176/60/G$189</f>
        <v>#DIV/0!</v>
      </c>
      <c r="S176" s="56" t="e">
        <f>I176/60/H$189</f>
        <v>#DIV/0!</v>
      </c>
      <c r="T176" s="56" t="e">
        <f>J176/60/I$189</f>
        <v>#DIV/0!</v>
      </c>
      <c r="U176" s="56" t="e">
        <f t="shared" si="2"/>
        <v>#DIV/0!</v>
      </c>
    </row>
    <row r="177" spans="1:21" x14ac:dyDescent="0.15">
      <c r="A177" s="49">
        <v>175</v>
      </c>
      <c r="B177" s="46" t="e">
        <f>Nodes!B177*(1-Nodes!AO177)</f>
        <v>#DIV/0!</v>
      </c>
      <c r="C177" s="46" t="e">
        <f>Nodes!C177*(1-Nodes!AP177)</f>
        <v>#DIV/0!</v>
      </c>
      <c r="D177" s="46" t="e">
        <f>Nodes!D177*(1-Nodes!AQ177)</f>
        <v>#DIV/0!</v>
      </c>
      <c r="E177" s="46" t="e">
        <f>Nodes!E177*(1-Nodes!AR177)</f>
        <v>#DIV/0!</v>
      </c>
      <c r="F177" s="46" t="e">
        <f>Nodes!F177*(1-Nodes!AS177)</f>
        <v>#DIV/0!</v>
      </c>
      <c r="G177" s="46" t="e">
        <f>Nodes!G177*(1-Nodes!AT177)</f>
        <v>#DIV/0!</v>
      </c>
      <c r="H177" s="46" t="e">
        <f>Nodes!H177*(1-Nodes!AU177)</f>
        <v>#DIV/0!</v>
      </c>
      <c r="I177" s="46" t="e">
        <f>Nodes!I177*(1-Nodes!AV177)</f>
        <v>#DIV/0!</v>
      </c>
      <c r="J177" s="46" t="e">
        <f>Nodes!L177*(1-Nodes!AY177)</f>
        <v>#DIV/0!</v>
      </c>
      <c r="K177" s="46" t="e">
        <f>Nodes!N177*(1-Nodes!BA177)</f>
        <v>#DIV/0!</v>
      </c>
      <c r="L177" s="56" t="e">
        <f>B177/60/A$189</f>
        <v>#DIV/0!</v>
      </c>
      <c r="M177" s="56" t="e">
        <f>C177/60/B$189</f>
        <v>#DIV/0!</v>
      </c>
      <c r="N177" s="56" t="e">
        <f>D177/60/C$189</f>
        <v>#DIV/0!</v>
      </c>
      <c r="O177" s="56" t="e">
        <f>E177/60/D$189</f>
        <v>#DIV/0!</v>
      </c>
      <c r="P177" s="56" t="e">
        <f>F177/60/E$189</f>
        <v>#DIV/0!</v>
      </c>
      <c r="Q177" s="56" t="e">
        <f>G177/60/F$189</f>
        <v>#DIV/0!</v>
      </c>
      <c r="R177" s="56" t="e">
        <f>H177/60/G$189</f>
        <v>#DIV/0!</v>
      </c>
      <c r="S177" s="56" t="e">
        <f>I177/60/H$189</f>
        <v>#DIV/0!</v>
      </c>
      <c r="T177" s="56" t="e">
        <f>J177/60/I$189</f>
        <v>#DIV/0!</v>
      </c>
      <c r="U177" s="56" t="e">
        <f t="shared" si="2"/>
        <v>#DIV/0!</v>
      </c>
    </row>
    <row r="178" spans="1:21" x14ac:dyDescent="0.15">
      <c r="A178" s="49">
        <v>176</v>
      </c>
      <c r="B178" s="46" t="e">
        <f>Nodes!B178*(1-Nodes!AO178)</f>
        <v>#DIV/0!</v>
      </c>
      <c r="C178" s="46" t="e">
        <f>Nodes!C178*(1-Nodes!AP178)</f>
        <v>#DIV/0!</v>
      </c>
      <c r="D178" s="46" t="e">
        <f>Nodes!D178*(1-Nodes!AQ178)</f>
        <v>#DIV/0!</v>
      </c>
      <c r="E178" s="46" t="e">
        <f>Nodes!E178*(1-Nodes!AR178)</f>
        <v>#DIV/0!</v>
      </c>
      <c r="F178" s="46" t="e">
        <f>Nodes!F178*(1-Nodes!AS178)</f>
        <v>#DIV/0!</v>
      </c>
      <c r="G178" s="46" t="e">
        <f>Nodes!G178*(1-Nodes!AT178)</f>
        <v>#DIV/0!</v>
      </c>
      <c r="H178" s="46" t="e">
        <f>Nodes!H178*(1-Nodes!AU178)</f>
        <v>#DIV/0!</v>
      </c>
      <c r="I178" s="46" t="e">
        <f>Nodes!I178*(1-Nodes!AV178)</f>
        <v>#DIV/0!</v>
      </c>
      <c r="J178" s="46" t="e">
        <f>Nodes!L178*(1-Nodes!AY178)</f>
        <v>#DIV/0!</v>
      </c>
      <c r="K178" s="46" t="e">
        <f>Nodes!N178*(1-Nodes!BA178)</f>
        <v>#DIV/0!</v>
      </c>
      <c r="L178" s="56" t="e">
        <f>B178/60/A$189</f>
        <v>#DIV/0!</v>
      </c>
      <c r="M178" s="56" t="e">
        <f>C178/60/B$189</f>
        <v>#DIV/0!</v>
      </c>
      <c r="N178" s="56" t="e">
        <f>D178/60/C$189</f>
        <v>#DIV/0!</v>
      </c>
      <c r="O178" s="56" t="e">
        <f>E178/60/D$189</f>
        <v>#DIV/0!</v>
      </c>
      <c r="P178" s="56" t="e">
        <f>F178/60/E$189</f>
        <v>#DIV/0!</v>
      </c>
      <c r="Q178" s="56" t="e">
        <f>G178/60/F$189</f>
        <v>#DIV/0!</v>
      </c>
      <c r="R178" s="56" t="e">
        <f>H178/60/G$189</f>
        <v>#DIV/0!</v>
      </c>
      <c r="S178" s="56" t="e">
        <f>I178/60/H$189</f>
        <v>#DIV/0!</v>
      </c>
      <c r="T178" s="56" t="e">
        <f>J178/60/I$189</f>
        <v>#DIV/0!</v>
      </c>
      <c r="U178" s="56" t="e">
        <f t="shared" si="2"/>
        <v>#DIV/0!</v>
      </c>
    </row>
    <row r="179" spans="1:21" x14ac:dyDescent="0.15">
      <c r="A179" s="49">
        <v>177</v>
      </c>
      <c r="B179" s="46" t="e">
        <f>Nodes!B179*(1-Nodes!AO179)</f>
        <v>#DIV/0!</v>
      </c>
      <c r="C179" s="46" t="e">
        <f>Nodes!C179*(1-Nodes!AP179)</f>
        <v>#DIV/0!</v>
      </c>
      <c r="D179" s="46" t="e">
        <f>Nodes!D179*(1-Nodes!AQ179)</f>
        <v>#DIV/0!</v>
      </c>
      <c r="E179" s="46" t="e">
        <f>Nodes!E179*(1-Nodes!AR179)</f>
        <v>#DIV/0!</v>
      </c>
      <c r="F179" s="46" t="e">
        <f>Nodes!F179*(1-Nodes!AS179)</f>
        <v>#DIV/0!</v>
      </c>
      <c r="G179" s="46" t="e">
        <f>Nodes!G179*(1-Nodes!AT179)</f>
        <v>#DIV/0!</v>
      </c>
      <c r="H179" s="46" t="e">
        <f>Nodes!H179*(1-Nodes!AU179)</f>
        <v>#DIV/0!</v>
      </c>
      <c r="I179" s="46" t="e">
        <f>Nodes!I179*(1-Nodes!AV179)</f>
        <v>#DIV/0!</v>
      </c>
      <c r="J179" s="46" t="e">
        <f>Nodes!L179*(1-Nodes!AY179)</f>
        <v>#DIV/0!</v>
      </c>
      <c r="K179" s="46" t="e">
        <f>Nodes!N179*(1-Nodes!BA179)</f>
        <v>#DIV/0!</v>
      </c>
      <c r="L179" s="56" t="e">
        <f>B179/60/A$189</f>
        <v>#DIV/0!</v>
      </c>
      <c r="M179" s="56" t="e">
        <f>C179/60/B$189</f>
        <v>#DIV/0!</v>
      </c>
      <c r="N179" s="56" t="e">
        <f>D179/60/C$189</f>
        <v>#DIV/0!</v>
      </c>
      <c r="O179" s="56" t="e">
        <f>E179/60/D$189</f>
        <v>#DIV/0!</v>
      </c>
      <c r="P179" s="56" t="e">
        <f>F179/60/E$189</f>
        <v>#DIV/0!</v>
      </c>
      <c r="Q179" s="56" t="e">
        <f>G179/60/F$189</f>
        <v>#DIV/0!</v>
      </c>
      <c r="R179" s="56" t="e">
        <f>H179/60/G$189</f>
        <v>#DIV/0!</v>
      </c>
      <c r="S179" s="56" t="e">
        <f>I179/60/H$189</f>
        <v>#DIV/0!</v>
      </c>
      <c r="T179" s="56" t="e">
        <f>J179/60/I$189</f>
        <v>#DIV/0!</v>
      </c>
      <c r="U179" s="56" t="e">
        <f t="shared" si="2"/>
        <v>#DIV/0!</v>
      </c>
    </row>
    <row r="180" spans="1:21" x14ac:dyDescent="0.15">
      <c r="A180" s="49">
        <v>178</v>
      </c>
      <c r="B180" s="46" t="e">
        <f>Nodes!B180*(1-Nodes!AO180)</f>
        <v>#DIV/0!</v>
      </c>
      <c r="C180" s="46" t="e">
        <f>Nodes!C180*(1-Nodes!AP180)</f>
        <v>#DIV/0!</v>
      </c>
      <c r="D180" s="46" t="e">
        <f>Nodes!D180*(1-Nodes!AQ180)</f>
        <v>#DIV/0!</v>
      </c>
      <c r="E180" s="46" t="e">
        <f>Nodes!E180*(1-Nodes!AR180)</f>
        <v>#DIV/0!</v>
      </c>
      <c r="F180" s="46" t="e">
        <f>Nodes!F180*(1-Nodes!AS180)</f>
        <v>#DIV/0!</v>
      </c>
      <c r="G180" s="46" t="e">
        <f>Nodes!G180*(1-Nodes!AT180)</f>
        <v>#DIV/0!</v>
      </c>
      <c r="H180" s="46" t="e">
        <f>Nodes!H180*(1-Nodes!AU180)</f>
        <v>#DIV/0!</v>
      </c>
      <c r="I180" s="46" t="e">
        <f>Nodes!I180*(1-Nodes!AV180)</f>
        <v>#DIV/0!</v>
      </c>
      <c r="J180" s="46" t="e">
        <f>Nodes!L180*(1-Nodes!AY180)</f>
        <v>#DIV/0!</v>
      </c>
      <c r="K180" s="46" t="e">
        <f>Nodes!N180*(1-Nodes!BA180)</f>
        <v>#DIV/0!</v>
      </c>
      <c r="L180" s="56" t="e">
        <f>B180/60/A$189</f>
        <v>#DIV/0!</v>
      </c>
      <c r="M180" s="56" t="e">
        <f>C180/60/B$189</f>
        <v>#DIV/0!</v>
      </c>
      <c r="N180" s="56" t="e">
        <f>D180/60/C$189</f>
        <v>#DIV/0!</v>
      </c>
      <c r="O180" s="56" t="e">
        <f>E180/60/D$189</f>
        <v>#DIV/0!</v>
      </c>
      <c r="P180" s="56" t="e">
        <f>F180/60/E$189</f>
        <v>#DIV/0!</v>
      </c>
      <c r="Q180" s="56" t="e">
        <f>G180/60/F$189</f>
        <v>#DIV/0!</v>
      </c>
      <c r="R180" s="56" t="e">
        <f>H180/60/G$189</f>
        <v>#DIV/0!</v>
      </c>
      <c r="S180" s="56" t="e">
        <f>I180/60/H$189</f>
        <v>#DIV/0!</v>
      </c>
      <c r="T180" s="56" t="e">
        <f>J180/60/I$189</f>
        <v>#DIV/0!</v>
      </c>
      <c r="U180" s="56" t="e">
        <f t="shared" si="2"/>
        <v>#DIV/0!</v>
      </c>
    </row>
    <row r="181" spans="1:21" x14ac:dyDescent="0.15">
      <c r="A181" s="49">
        <v>179</v>
      </c>
      <c r="B181" s="46" t="e">
        <f>Nodes!B181*(1-Nodes!AO181)</f>
        <v>#DIV/0!</v>
      </c>
      <c r="C181" s="46" t="e">
        <f>Nodes!C181*(1-Nodes!AP181)</f>
        <v>#DIV/0!</v>
      </c>
      <c r="D181" s="46" t="e">
        <f>Nodes!D181*(1-Nodes!AQ181)</f>
        <v>#DIV/0!</v>
      </c>
      <c r="E181" s="46" t="e">
        <f>Nodes!E181*(1-Nodes!AR181)</f>
        <v>#DIV/0!</v>
      </c>
      <c r="F181" s="46" t="e">
        <f>Nodes!F181*(1-Nodes!AS181)</f>
        <v>#DIV/0!</v>
      </c>
      <c r="G181" s="46" t="e">
        <f>Nodes!G181*(1-Nodes!AT181)</f>
        <v>#DIV/0!</v>
      </c>
      <c r="H181" s="46" t="e">
        <f>Nodes!H181*(1-Nodes!AU181)</f>
        <v>#DIV/0!</v>
      </c>
      <c r="I181" s="46" t="e">
        <f>Nodes!I181*(1-Nodes!AV181)</f>
        <v>#DIV/0!</v>
      </c>
      <c r="J181" s="46" t="e">
        <f>Nodes!L181*(1-Nodes!AY181)</f>
        <v>#DIV/0!</v>
      </c>
      <c r="K181" s="46" t="e">
        <f>Nodes!N181*(1-Nodes!BA181)</f>
        <v>#DIV/0!</v>
      </c>
      <c r="L181" s="56" t="e">
        <f>B181/60/A$189</f>
        <v>#DIV/0!</v>
      </c>
      <c r="M181" s="56" t="e">
        <f>C181/60/B$189</f>
        <v>#DIV/0!</v>
      </c>
      <c r="N181" s="56" t="e">
        <f>D181/60/C$189</f>
        <v>#DIV/0!</v>
      </c>
      <c r="O181" s="56" t="e">
        <f>E181/60/D$189</f>
        <v>#DIV/0!</v>
      </c>
      <c r="P181" s="56" t="e">
        <f>F181/60/E$189</f>
        <v>#DIV/0!</v>
      </c>
      <c r="Q181" s="56" t="e">
        <f>G181/60/F$189</f>
        <v>#DIV/0!</v>
      </c>
      <c r="R181" s="56" t="e">
        <f>H181/60/G$189</f>
        <v>#DIV/0!</v>
      </c>
      <c r="S181" s="56" t="e">
        <f>I181/60/H$189</f>
        <v>#DIV/0!</v>
      </c>
      <c r="T181" s="56" t="e">
        <f>J181/60/I$189</f>
        <v>#DIV/0!</v>
      </c>
      <c r="U181" s="56" t="e">
        <f t="shared" si="2"/>
        <v>#DIV/0!</v>
      </c>
    </row>
    <row r="182" spans="1:21" x14ac:dyDescent="0.15">
      <c r="A182" s="49">
        <v>180</v>
      </c>
      <c r="B182" s="46" t="e">
        <f>Nodes!B182*(1-Nodes!AO182)</f>
        <v>#DIV/0!</v>
      </c>
      <c r="C182" s="46" t="e">
        <f>Nodes!C182*(1-Nodes!AP182)</f>
        <v>#DIV/0!</v>
      </c>
      <c r="D182" s="46" t="e">
        <f>Nodes!D182*(1-Nodes!AQ182)</f>
        <v>#DIV/0!</v>
      </c>
      <c r="E182" s="46" t="e">
        <f>Nodes!E182*(1-Nodes!AR182)</f>
        <v>#DIV/0!</v>
      </c>
      <c r="F182" s="46" t="e">
        <f>Nodes!F182*(1-Nodes!AS182)</f>
        <v>#DIV/0!</v>
      </c>
      <c r="G182" s="46" t="e">
        <f>Nodes!G182*(1-Nodes!AT182)</f>
        <v>#DIV/0!</v>
      </c>
      <c r="H182" s="46" t="e">
        <f>Nodes!H182*(1-Nodes!AU182)</f>
        <v>#DIV/0!</v>
      </c>
      <c r="I182" s="46" t="e">
        <f>Nodes!I182*(1-Nodes!AV182)</f>
        <v>#DIV/0!</v>
      </c>
      <c r="J182" s="46" t="e">
        <f>Nodes!L182*(1-Nodes!AY182)</f>
        <v>#DIV/0!</v>
      </c>
      <c r="K182" s="46" t="e">
        <f>Nodes!N182*(1-Nodes!BA182)</f>
        <v>#DIV/0!</v>
      </c>
      <c r="L182" s="56" t="e">
        <f>B182/60/A$189</f>
        <v>#DIV/0!</v>
      </c>
      <c r="M182" s="56" t="e">
        <f>C182/60/B$189</f>
        <v>#DIV/0!</v>
      </c>
      <c r="N182" s="56" t="e">
        <f>D182/60/C$189</f>
        <v>#DIV/0!</v>
      </c>
      <c r="O182" s="56" t="e">
        <f>E182/60/D$189</f>
        <v>#DIV/0!</v>
      </c>
      <c r="P182" s="56" t="e">
        <f>F182/60/E$189</f>
        <v>#DIV/0!</v>
      </c>
      <c r="Q182" s="56" t="e">
        <f>G182/60/F$189</f>
        <v>#DIV/0!</v>
      </c>
      <c r="R182" s="56" t="e">
        <f>H182/60/G$189</f>
        <v>#DIV/0!</v>
      </c>
      <c r="S182" s="56" t="e">
        <f>I182/60/H$189</f>
        <v>#DIV/0!</v>
      </c>
      <c r="T182" s="56" t="e">
        <f>J182/60/I$189</f>
        <v>#DIV/0!</v>
      </c>
      <c r="U182" s="56" t="e">
        <f t="shared" si="2"/>
        <v>#DIV/0!</v>
      </c>
    </row>
    <row r="187" spans="1:21" x14ac:dyDescent="0.15">
      <c r="A187" s="73" t="s">
        <v>195</v>
      </c>
      <c r="B187" s="73"/>
      <c r="C187" s="73"/>
      <c r="D187" s="73"/>
      <c r="E187" s="73"/>
      <c r="F187" s="73"/>
      <c r="G187" s="73"/>
      <c r="H187" s="73"/>
      <c r="I187" s="73"/>
      <c r="J187" s="73"/>
    </row>
    <row r="188" spans="1:21" x14ac:dyDescent="0.15">
      <c r="A188" s="90">
        <v>1</v>
      </c>
      <c r="B188" s="90">
        <v>2</v>
      </c>
      <c r="C188" s="90">
        <v>3</v>
      </c>
      <c r="D188" s="90">
        <v>4</v>
      </c>
      <c r="E188" s="90">
        <v>5</v>
      </c>
      <c r="F188" s="90">
        <v>6</v>
      </c>
      <c r="G188" s="90">
        <v>7</v>
      </c>
      <c r="H188" s="90">
        <v>8</v>
      </c>
      <c r="I188" s="42">
        <v>9</v>
      </c>
      <c r="J188" s="42">
        <v>10</v>
      </c>
    </row>
    <row r="189" spans="1:21" x14ac:dyDescent="0.15">
      <c r="A189" s="46"/>
      <c r="B189" s="46"/>
      <c r="C189" s="46"/>
      <c r="D189" s="46"/>
      <c r="E189" s="46"/>
      <c r="F189" s="46"/>
      <c r="G189" s="46"/>
      <c r="H189" s="46"/>
      <c r="I189" s="46"/>
      <c r="J189" s="46"/>
    </row>
  </sheetData>
  <mergeCells count="4">
    <mergeCell ref="L1:U1"/>
    <mergeCell ref="B1:K1"/>
    <mergeCell ref="A1:A2"/>
    <mergeCell ref="A187:J18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83" t="s">
        <v>47</v>
      </c>
      <c r="C1" s="84"/>
      <c r="D1" s="85"/>
      <c r="E1" s="83" t="s">
        <v>48</v>
      </c>
      <c r="F1" s="84"/>
      <c r="G1" s="84"/>
      <c r="H1" s="84"/>
      <c r="I1" s="84"/>
      <c r="J1" s="84"/>
      <c r="K1" s="84"/>
      <c r="L1" s="85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83" t="s">
        <v>50</v>
      </c>
      <c r="D1" s="84"/>
      <c r="E1" s="84"/>
      <c r="F1" s="84"/>
      <c r="G1" s="84"/>
      <c r="H1" s="84"/>
      <c r="I1" s="84"/>
      <c r="J1" s="85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6"/>
  <sheetViews>
    <sheetView workbookViewId="0"/>
  </sheetViews>
  <sheetFormatPr defaultRowHeight="13.5" x14ac:dyDescent="0.15"/>
  <cols>
    <col min="1" max="1" width="11.875" customWidth="1"/>
  </cols>
  <sheetData>
    <row r="1" spans="1:5" ht="15" x14ac:dyDescent="0.15">
      <c r="A1" s="23" t="s">
        <v>145</v>
      </c>
      <c r="B1" s="86" t="s">
        <v>146</v>
      </c>
      <c r="C1" s="86"/>
      <c r="D1" s="86"/>
      <c r="E1" s="86"/>
    </row>
    <row r="2" spans="1:5" ht="15" x14ac:dyDescent="0.15">
      <c r="A2" s="24">
        <v>1</v>
      </c>
      <c r="B2" s="25">
        <v>1</v>
      </c>
      <c r="C2" s="25">
        <v>2</v>
      </c>
      <c r="D2" s="25">
        <v>3</v>
      </c>
      <c r="E2" s="25"/>
    </row>
    <row r="3" spans="1:5" ht="15" x14ac:dyDescent="0.15">
      <c r="A3" s="24">
        <v>2</v>
      </c>
      <c r="B3" s="25">
        <v>4</v>
      </c>
      <c r="C3" s="25">
        <v>5</v>
      </c>
      <c r="D3" s="25">
        <v>6</v>
      </c>
      <c r="E3" s="25"/>
    </row>
    <row r="4" spans="1:5" ht="15" x14ac:dyDescent="0.15">
      <c r="A4" s="24">
        <v>3</v>
      </c>
      <c r="B4" s="25">
        <v>7</v>
      </c>
      <c r="C4" s="25">
        <v>8</v>
      </c>
      <c r="D4" s="25">
        <v>9</v>
      </c>
      <c r="E4" s="25"/>
    </row>
    <row r="5" spans="1:5" ht="15" x14ac:dyDescent="0.15">
      <c r="A5" s="24">
        <v>4</v>
      </c>
      <c r="B5" s="25">
        <v>10</v>
      </c>
      <c r="C5" s="25">
        <v>11</v>
      </c>
      <c r="D5" s="25">
        <v>12</v>
      </c>
      <c r="E5" s="25"/>
    </row>
    <row r="6" spans="1:5" ht="15" x14ac:dyDescent="0.15">
      <c r="A6" s="24">
        <v>5</v>
      </c>
      <c r="B6" s="25">
        <v>13</v>
      </c>
      <c r="C6" s="25">
        <v>14</v>
      </c>
      <c r="D6" s="25">
        <v>15</v>
      </c>
      <c r="E6" s="25"/>
    </row>
    <row r="7" spans="1:5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</row>
    <row r="8" spans="1:5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</row>
    <row r="9" spans="1:5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</row>
    <row r="10" spans="1:5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</row>
    <row r="11" spans="1:5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</row>
    <row r="12" spans="1:5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</row>
    <row r="13" spans="1:5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</row>
    <row r="14" spans="1:5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</row>
    <row r="15" spans="1:5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</row>
    <row r="16" spans="1:5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"/>
  <sheetViews>
    <sheetView topLeftCell="A16" zoomScaleNormal="100" workbookViewId="0">
      <selection sqref="A1:A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4" width="9" style="29"/>
    <col min="15" max="15" width="13.125" style="29" customWidth="1"/>
    <col min="16" max="16" width="10.625" style="29" customWidth="1"/>
    <col min="17" max="16384" width="9" style="29"/>
  </cols>
  <sheetData>
    <row r="1" spans="1:16" ht="15" x14ac:dyDescent="0.15">
      <c r="A1" s="86" t="s">
        <v>166</v>
      </c>
      <c r="B1" s="86" t="s">
        <v>167</v>
      </c>
      <c r="C1" s="87" t="s">
        <v>160</v>
      </c>
      <c r="D1" s="86" t="s">
        <v>165</v>
      </c>
      <c r="E1" s="86"/>
      <c r="F1" s="86"/>
      <c r="G1" s="86"/>
      <c r="H1" s="86"/>
      <c r="I1" s="86"/>
      <c r="J1" s="86"/>
      <c r="K1" s="86"/>
      <c r="L1" s="40"/>
      <c r="M1" s="40"/>
      <c r="N1" s="40"/>
      <c r="O1" s="40"/>
      <c r="P1" s="34"/>
    </row>
    <row r="2" spans="1:16" ht="15" x14ac:dyDescent="0.15">
      <c r="A2" s="86"/>
      <c r="B2" s="86"/>
      <c r="C2" s="86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</row>
    <row r="3" spans="1:16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</row>
    <row r="4" spans="1:16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</row>
    <row r="5" spans="1:16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</row>
    <row r="6" spans="1:16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</row>
    <row r="7" spans="1:16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</row>
    <row r="8" spans="1:16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</row>
    <row r="9" spans="1:16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</row>
    <row r="10" spans="1:16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</row>
    <row r="11" spans="1:16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</row>
    <row r="12" spans="1:16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</row>
    <row r="13" spans="1:16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</row>
    <row r="14" spans="1:16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</row>
    <row r="15" spans="1:16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</row>
    <row r="16" spans="1:16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</row>
    <row r="17" spans="1:11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</row>
    <row r="18" spans="1:11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</row>
    <row r="19" spans="1:11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</row>
    <row r="20" spans="1:11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</row>
    <row r="21" spans="1:11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</row>
    <row r="22" spans="1:11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</row>
    <row r="23" spans="1:11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</row>
    <row r="24" spans="1:11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</row>
    <row r="25" spans="1:11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</row>
    <row r="26" spans="1:11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</row>
    <row r="27" spans="1:11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</row>
    <row r="28" spans="1:11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</row>
    <row r="29" spans="1:11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</row>
    <row r="30" spans="1:11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</row>
    <row r="31" spans="1:11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</row>
    <row r="32" spans="1:11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</row>
    <row r="33" spans="1:1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</row>
  </sheetData>
  <mergeCells count="4">
    <mergeCell ref="C1:C2"/>
    <mergeCell ref="B1:B2"/>
    <mergeCell ref="A1:A2"/>
    <mergeCell ref="D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Homepage</vt:lpstr>
      <vt:lpstr>Parameters</vt:lpstr>
      <vt:lpstr>ATM_Conf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2018-04-23T07:51:37Z</dcterms:modified>
</cp:coreProperties>
</file>