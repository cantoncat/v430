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8" i="20" l="1"/>
  <c r="L198" i="20"/>
  <c r="K198" i="20"/>
  <c r="J198" i="20"/>
  <c r="I198" i="20"/>
  <c r="H198" i="20"/>
  <c r="G198" i="20"/>
  <c r="F198" i="20"/>
  <c r="D198" i="20"/>
  <c r="N199" i="20"/>
  <c r="L199" i="20"/>
  <c r="K199" i="20"/>
  <c r="J199" i="20"/>
  <c r="I199" i="20"/>
  <c r="H199" i="20"/>
  <c r="G199" i="20"/>
  <c r="F199" i="20"/>
  <c r="D199" i="20"/>
  <c r="U203" i="25" l="1"/>
  <c r="O203" i="25"/>
  <c r="H203" i="25"/>
  <c r="AO3" i="25" l="1"/>
  <c r="U3" i="25" s="1"/>
  <c r="AN3" i="25"/>
  <c r="T3" i="25" s="1"/>
  <c r="AM3" i="25"/>
  <c r="S3" i="25" s="1"/>
  <c r="AL3" i="25"/>
  <c r="R3" i="25" s="1"/>
  <c r="AK3" i="25"/>
  <c r="Q3" i="25" s="1"/>
  <c r="AJ3" i="25"/>
  <c r="P3" i="25" s="1"/>
  <c r="AI3" i="25"/>
  <c r="O3" i="25" s="1"/>
  <c r="AH3" i="25"/>
  <c r="N3" i="25" s="1"/>
  <c r="AG3" i="25"/>
  <c r="M3" i="25" s="1"/>
  <c r="AF3" i="25"/>
  <c r="L3" i="25" s="1"/>
  <c r="AE3" i="25"/>
  <c r="K3" i="25" s="1"/>
  <c r="AD3" i="25"/>
  <c r="J3" i="25" s="1"/>
  <c r="AC3" i="25"/>
  <c r="I3" i="25" s="1"/>
  <c r="AB3" i="25"/>
  <c r="H3" i="25" s="1"/>
  <c r="AA3" i="25"/>
  <c r="G3" i="25" s="1"/>
  <c r="Z3" i="25"/>
  <c r="F3" i="25" s="1"/>
  <c r="Y3" i="25"/>
  <c r="E3" i="25" s="1"/>
  <c r="X3" i="25"/>
  <c r="D3" i="25" s="1"/>
  <c r="W3" i="25"/>
  <c r="C3" i="25" s="1"/>
  <c r="V3" i="25"/>
  <c r="M19" i="26" l="1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T31" i="15" l="1"/>
  <c r="T32" i="15"/>
  <c r="T28" i="15"/>
  <c r="T30" i="15"/>
  <c r="L194" i="20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T7" i="15" l="1"/>
  <c r="D22" i="26" s="1"/>
  <c r="T8" i="15"/>
  <c r="D21" i="26" s="1"/>
  <c r="T33" i="15"/>
  <c r="N25" i="26" s="1"/>
  <c r="N20" i="26" s="1"/>
  <c r="L24" i="26"/>
  <c r="L25" i="26"/>
  <c r="K23" i="26"/>
  <c r="T29" i="15"/>
  <c r="K24" i="26" s="1"/>
  <c r="K25" i="26"/>
  <c r="T27" i="15"/>
  <c r="J22" i="26" s="1"/>
  <c r="T26" i="15"/>
  <c r="J23" i="26" s="1"/>
  <c r="T25" i="15"/>
  <c r="J24" i="26" s="1"/>
  <c r="T24" i="15"/>
  <c r="J25" i="26" s="1"/>
  <c r="T23" i="15"/>
  <c r="I21" i="26" s="1"/>
  <c r="T22" i="15"/>
  <c r="I22" i="26" s="1"/>
  <c r="T21" i="15"/>
  <c r="I23" i="26" s="1"/>
  <c r="T20" i="15"/>
  <c r="I24" i="26" s="1"/>
  <c r="T18" i="15"/>
  <c r="H26" i="26" s="1"/>
  <c r="H20" i="26" s="1"/>
  <c r="T17" i="15"/>
  <c r="G23" i="26" s="1"/>
  <c r="T16" i="15"/>
  <c r="G24" i="26" s="1"/>
  <c r="T15" i="15"/>
  <c r="G25" i="26" s="1"/>
  <c r="T14" i="15"/>
  <c r="G26" i="26" s="1"/>
  <c r="T13" i="15"/>
  <c r="F22" i="26" s="1"/>
  <c r="T12" i="15"/>
  <c r="F23" i="26" s="1"/>
  <c r="T11" i="15"/>
  <c r="F24" i="26" s="1"/>
  <c r="T10" i="15"/>
  <c r="F25" i="26" s="1"/>
  <c r="T9" i="15"/>
  <c r="F26" i="26" s="1"/>
  <c r="T6" i="15"/>
  <c r="D23" i="26" s="1"/>
  <c r="T5" i="15"/>
  <c r="D24" i="26" s="1"/>
  <c r="T4" i="15"/>
  <c r="D25" i="26" s="1"/>
  <c r="L20" i="26" l="1"/>
  <c r="F20" i="26"/>
  <c r="G20" i="26"/>
  <c r="K20" i="26"/>
  <c r="I20" i="26"/>
  <c r="J20" i="26"/>
  <c r="T3" i="15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T34" i="15"/>
  <c r="EL183" i="25"/>
  <c r="M3" i="22" l="1"/>
  <c r="N3" i="22"/>
  <c r="O3" i="22"/>
  <c r="R3" i="22"/>
  <c r="S3" i="22"/>
  <c r="T3" i="22"/>
  <c r="U3" i="22"/>
  <c r="V3" i="22"/>
  <c r="W3" i="22"/>
  <c r="X3" i="22"/>
  <c r="L204" i="22" s="1"/>
  <c r="Y3" i="22"/>
  <c r="Z3" i="22"/>
  <c r="AA3" i="22"/>
  <c r="L3" i="22"/>
  <c r="O204" i="22" l="1"/>
  <c r="N204" i="22"/>
  <c r="K204" i="22"/>
  <c r="C204" i="22"/>
  <c r="M204" i="22"/>
  <c r="J204" i="22"/>
  <c r="I204" i="22"/>
  <c r="H204" i="22"/>
  <c r="G204" i="22"/>
  <c r="F204" i="22"/>
  <c r="E204" i="22"/>
  <c r="D204" i="22"/>
  <c r="B204" i="22"/>
  <c r="B198" i="25" l="1"/>
  <c r="C198" i="25" l="1"/>
  <c r="D198" i="25" l="1"/>
  <c r="E198" i="25"/>
  <c r="F198" i="25" l="1"/>
  <c r="H198" i="25" l="1"/>
  <c r="I198" i="25" l="1"/>
  <c r="L198" i="25" l="1"/>
  <c r="G198" i="25" l="1"/>
  <c r="O198" i="25"/>
  <c r="N198" i="25" l="1"/>
  <c r="P198" i="25"/>
  <c r="M198" i="25" l="1"/>
  <c r="K198" i="25"/>
  <c r="J198" i="25" l="1"/>
  <c r="A198" i="25" s="1"/>
  <c r="U198" i="25"/>
  <c r="R198" i="25" l="1"/>
  <c r="T198" i="25"/>
  <c r="Q198" i="25" l="1"/>
  <c r="S198" i="25" l="1"/>
</calcChain>
</file>

<file path=xl/sharedStrings.xml><?xml version="1.0" encoding="utf-8"?>
<sst xmlns="http://schemas.openxmlformats.org/spreadsheetml/2006/main" count="887" uniqueCount="450">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</sst>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12" sqref="F12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8"/>
  <sheetViews>
    <sheetView workbookViewId="0">
      <selection activeCell="C12" sqref="C12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11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11"/>
      <c r="B3" s="6" t="s">
        <v>25</v>
      </c>
      <c r="C3" s="7" t="s">
        <v>91</v>
      </c>
      <c r="D3" s="6" t="s">
        <v>38</v>
      </c>
    </row>
    <row r="4" spans="1:4" ht="14.25" x14ac:dyDescent="0.15">
      <c r="A4" s="111"/>
      <c r="B4" s="16" t="s">
        <v>26</v>
      </c>
      <c r="C4" s="17" t="s">
        <v>71</v>
      </c>
      <c r="D4" s="18"/>
    </row>
    <row r="5" spans="1:4" ht="14.25" x14ac:dyDescent="0.15">
      <c r="A5" s="111"/>
      <c r="B5" s="6" t="s">
        <v>31</v>
      </c>
      <c r="C5" s="7" t="s">
        <v>32</v>
      </c>
      <c r="D5" s="6" t="s">
        <v>40</v>
      </c>
    </row>
    <row r="6" spans="1:4" ht="14.25" x14ac:dyDescent="0.15">
      <c r="A6" s="111"/>
      <c r="B6" s="6" t="s">
        <v>51</v>
      </c>
      <c r="C6" s="7" t="s">
        <v>53</v>
      </c>
      <c r="D6" s="6" t="s">
        <v>40</v>
      </c>
    </row>
    <row r="7" spans="1:4" ht="14.25" x14ac:dyDescent="0.15">
      <c r="A7" s="111"/>
      <c r="B7" s="6" t="s">
        <v>52</v>
      </c>
      <c r="C7" s="7" t="s">
        <v>54</v>
      </c>
      <c r="D7" s="6" t="s">
        <v>40</v>
      </c>
    </row>
    <row r="8" spans="1:4" ht="14.25" x14ac:dyDescent="0.15">
      <c r="A8" s="111"/>
      <c r="B8" s="6" t="s">
        <v>55</v>
      </c>
      <c r="C8" s="7" t="s">
        <v>56</v>
      </c>
      <c r="D8" s="6" t="s">
        <v>40</v>
      </c>
    </row>
    <row r="9" spans="1:4" ht="14.25" x14ac:dyDescent="0.15">
      <c r="A9" s="111"/>
      <c r="B9" s="6" t="s">
        <v>63</v>
      </c>
      <c r="C9" s="14" t="s">
        <v>64</v>
      </c>
      <c r="D9" s="6" t="s">
        <v>65</v>
      </c>
    </row>
    <row r="10" spans="1:4" ht="14.25" x14ac:dyDescent="0.15">
      <c r="A10" s="111" t="s">
        <v>43</v>
      </c>
      <c r="B10" s="6" t="s">
        <v>60</v>
      </c>
      <c r="C10" s="7">
        <v>58</v>
      </c>
      <c r="D10" s="6"/>
    </row>
    <row r="11" spans="1:4" ht="14.25" x14ac:dyDescent="0.15">
      <c r="A11" s="111"/>
      <c r="B11" s="6" t="s">
        <v>35</v>
      </c>
      <c r="C11" s="7">
        <v>0</v>
      </c>
      <c r="D11" s="6" t="s">
        <v>36</v>
      </c>
    </row>
    <row r="12" spans="1:4" ht="14.25" x14ac:dyDescent="0.15">
      <c r="A12" s="111"/>
      <c r="B12" s="6" t="s">
        <v>61</v>
      </c>
      <c r="C12" s="15" t="s">
        <v>449</v>
      </c>
      <c r="D12" s="6" t="s">
        <v>37</v>
      </c>
    </row>
    <row r="13" spans="1:4" ht="14.25" x14ac:dyDescent="0.15">
      <c r="A13" s="111"/>
      <c r="B13" s="6" t="s">
        <v>68</v>
      </c>
      <c r="C13" s="7">
        <v>3600</v>
      </c>
      <c r="D13" s="6"/>
    </row>
    <row r="14" spans="1:4" ht="14.25" x14ac:dyDescent="0.15">
      <c r="A14" s="111"/>
      <c r="B14" s="16" t="s">
        <v>69</v>
      </c>
      <c r="C14" s="17" t="s">
        <v>70</v>
      </c>
      <c r="D14" s="16" t="s">
        <v>33</v>
      </c>
    </row>
    <row r="15" spans="1:4" ht="14.25" x14ac:dyDescent="0.15">
      <c r="A15" s="111"/>
      <c r="B15" s="6" t="s">
        <v>62</v>
      </c>
      <c r="C15" s="7">
        <v>2</v>
      </c>
      <c r="D15" s="6" t="s">
        <v>34</v>
      </c>
    </row>
    <row r="16" spans="1:4" ht="14.25" x14ac:dyDescent="0.15">
      <c r="A16" s="111" t="s">
        <v>87</v>
      </c>
      <c r="B16" s="6" t="s">
        <v>72</v>
      </c>
      <c r="C16" s="7" t="s">
        <v>73</v>
      </c>
      <c r="D16" s="6" t="s">
        <v>74</v>
      </c>
    </row>
    <row r="17" spans="1:4" ht="14.25" x14ac:dyDescent="0.15">
      <c r="A17" s="111"/>
      <c r="B17" s="6" t="s">
        <v>89</v>
      </c>
      <c r="C17" s="7">
        <v>120</v>
      </c>
      <c r="D17" s="6"/>
    </row>
    <row r="18" spans="1:4" ht="14.25" x14ac:dyDescent="0.15">
      <c r="A18" s="111"/>
      <c r="B18" s="6" t="s">
        <v>90</v>
      </c>
      <c r="C18" s="7" t="s">
        <v>98</v>
      </c>
      <c r="D18" s="6" t="s">
        <v>38</v>
      </c>
    </row>
    <row r="19" spans="1:4" ht="14.25" x14ac:dyDescent="0.15">
      <c r="A19" s="111"/>
      <c r="B19" s="6" t="s">
        <v>85</v>
      </c>
      <c r="C19" s="7">
        <v>1</v>
      </c>
      <c r="D19" s="6" t="s">
        <v>86</v>
      </c>
    </row>
    <row r="20" spans="1:4" ht="14.25" x14ac:dyDescent="0.15">
      <c r="A20" s="111"/>
      <c r="B20" s="6" t="s">
        <v>215</v>
      </c>
      <c r="C20" s="7"/>
      <c r="D20" s="6"/>
    </row>
    <row r="21" spans="1:4" ht="14.25" x14ac:dyDescent="0.15">
      <c r="A21" s="112" t="s">
        <v>75</v>
      </c>
      <c r="B21" s="6" t="s">
        <v>76</v>
      </c>
      <c r="C21" s="7" t="s">
        <v>77</v>
      </c>
      <c r="D21" s="6" t="s">
        <v>78</v>
      </c>
    </row>
    <row r="22" spans="1:4" ht="14.25" x14ac:dyDescent="0.15">
      <c r="A22" s="113"/>
      <c r="B22" s="6" t="s">
        <v>85</v>
      </c>
      <c r="C22" s="7">
        <v>1</v>
      </c>
      <c r="D22" s="6" t="s">
        <v>86</v>
      </c>
    </row>
    <row r="23" spans="1:4" ht="14.25" x14ac:dyDescent="0.15">
      <c r="A23" s="113"/>
      <c r="B23" s="6" t="s">
        <v>79</v>
      </c>
      <c r="C23" s="7"/>
      <c r="D23" s="6"/>
    </row>
    <row r="24" spans="1:4" ht="14.25" x14ac:dyDescent="0.15">
      <c r="A24" s="113"/>
      <c r="B24" s="6" t="s">
        <v>79</v>
      </c>
      <c r="C24" s="7"/>
      <c r="D24" s="6"/>
    </row>
    <row r="25" spans="1:4" ht="14.25" x14ac:dyDescent="0.15">
      <c r="A25" s="113"/>
      <c r="B25" s="6" t="s">
        <v>79</v>
      </c>
      <c r="C25" s="7"/>
      <c r="D25" s="6"/>
    </row>
    <row r="26" spans="1:4" ht="14.25" customHeight="1" x14ac:dyDescent="0.15">
      <c r="A26" s="108" t="s">
        <v>95</v>
      </c>
      <c r="B26" s="6" t="s">
        <v>97</v>
      </c>
      <c r="C26" s="7">
        <v>10</v>
      </c>
      <c r="D26" s="6" t="s">
        <v>96</v>
      </c>
    </row>
    <row r="27" spans="1:4" ht="14.25" x14ac:dyDescent="0.15">
      <c r="A27" s="109"/>
      <c r="B27" s="6" t="s">
        <v>90</v>
      </c>
      <c r="C27" s="7" t="s">
        <v>114</v>
      </c>
      <c r="D27" s="6" t="s">
        <v>115</v>
      </c>
    </row>
    <row r="28" spans="1:4" ht="14.25" x14ac:dyDescent="0.15">
      <c r="A28" s="109"/>
      <c r="B28" s="6" t="s">
        <v>76</v>
      </c>
      <c r="C28" s="7" t="s">
        <v>99</v>
      </c>
      <c r="D28" s="6" t="s">
        <v>100</v>
      </c>
    </row>
    <row r="29" spans="1:4" ht="14.25" x14ac:dyDescent="0.15">
      <c r="A29" s="109"/>
      <c r="B29" s="6" t="s">
        <v>85</v>
      </c>
      <c r="C29" s="7">
        <v>0</v>
      </c>
      <c r="D29" s="6" t="s">
        <v>86</v>
      </c>
    </row>
    <row r="30" spans="1:4" ht="28.5" x14ac:dyDescent="0.15">
      <c r="A30" s="109"/>
      <c r="B30" s="6" t="s">
        <v>69</v>
      </c>
      <c r="C30" s="7">
        <v>15</v>
      </c>
      <c r="D30" s="22" t="s">
        <v>130</v>
      </c>
    </row>
    <row r="31" spans="1:4" ht="14.25" x14ac:dyDescent="0.15">
      <c r="A31" s="110"/>
      <c r="B31" s="6" t="s">
        <v>126</v>
      </c>
      <c r="C31" s="7" t="s">
        <v>131</v>
      </c>
      <c r="D31" s="6"/>
    </row>
    <row r="32" spans="1:4" ht="14.25" x14ac:dyDescent="0.15">
      <c r="A32" s="108" t="s">
        <v>135</v>
      </c>
      <c r="B32" s="6" t="s">
        <v>136</v>
      </c>
      <c r="C32" s="7" t="s">
        <v>138</v>
      </c>
      <c r="D32" s="6"/>
    </row>
    <row r="33" spans="1:4" ht="14.25" x14ac:dyDescent="0.15">
      <c r="A33" s="109"/>
      <c r="B33" s="6" t="s">
        <v>132</v>
      </c>
      <c r="C33" s="7">
        <v>1</v>
      </c>
      <c r="D33" s="6"/>
    </row>
    <row r="34" spans="1:4" ht="14.25" x14ac:dyDescent="0.15">
      <c r="A34" s="109"/>
      <c r="B34" s="6" t="s">
        <v>133</v>
      </c>
      <c r="C34" s="7">
        <v>1</v>
      </c>
      <c r="D34" s="6"/>
    </row>
    <row r="35" spans="1:4" ht="14.25" x14ac:dyDescent="0.15">
      <c r="A35" s="109"/>
      <c r="B35" s="6" t="s">
        <v>134</v>
      </c>
      <c r="C35" s="7">
        <v>1</v>
      </c>
      <c r="D35" s="6"/>
    </row>
    <row r="36" spans="1:4" ht="14.25" x14ac:dyDescent="0.15">
      <c r="A36" s="109"/>
      <c r="B36" s="6" t="s">
        <v>137</v>
      </c>
      <c r="C36" s="7">
        <v>1</v>
      </c>
      <c r="D36" s="6" t="s">
        <v>86</v>
      </c>
    </row>
    <row r="37" spans="1:4" ht="14.25" x14ac:dyDescent="0.15">
      <c r="A37" s="110"/>
      <c r="B37" s="6" t="s">
        <v>440</v>
      </c>
      <c r="C37" s="7">
        <v>120</v>
      </c>
      <c r="D37" s="6" t="s">
        <v>441</v>
      </c>
    </row>
    <row r="38" spans="1:4" ht="14.25" x14ac:dyDescent="0.15">
      <c r="B38" s="6" t="s">
        <v>444</v>
      </c>
      <c r="C38" s="7">
        <v>600</v>
      </c>
      <c r="D38" s="6" t="s">
        <v>445</v>
      </c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topLeftCell="A20" workbookViewId="0">
      <selection activeCell="F5" sqref="F5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41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4" t="s">
        <v>42</v>
      </c>
      <c r="B2" s="52" t="s">
        <v>139</v>
      </c>
      <c r="C2" s="102" t="s">
        <v>143</v>
      </c>
      <c r="D2" s="52"/>
    </row>
    <row r="3" spans="1:9" ht="15" x14ac:dyDescent="0.15">
      <c r="A3" s="115"/>
      <c r="B3" s="52" t="s">
        <v>140</v>
      </c>
      <c r="C3" s="102" t="s">
        <v>142</v>
      </c>
      <c r="D3" s="52"/>
      <c r="H3" s="62" t="s">
        <v>205</v>
      </c>
      <c r="I3" s="63" t="s">
        <v>302</v>
      </c>
    </row>
    <row r="4" spans="1:9" ht="15" x14ac:dyDescent="0.15">
      <c r="A4" s="116"/>
      <c r="B4" s="52" t="s">
        <v>141</v>
      </c>
      <c r="C4" s="102" t="s">
        <v>158</v>
      </c>
      <c r="D4" s="52"/>
    </row>
    <row r="5" spans="1:9" ht="15" x14ac:dyDescent="0.15">
      <c r="A5" s="117" t="s">
        <v>174</v>
      </c>
      <c r="B5" s="52" t="s">
        <v>175</v>
      </c>
      <c r="C5" s="102">
        <v>10</v>
      </c>
      <c r="D5" s="52" t="s">
        <v>176</v>
      </c>
      <c r="E5" s="52" t="s">
        <v>312</v>
      </c>
      <c r="F5" s="102">
        <v>120</v>
      </c>
      <c r="G5" s="52"/>
    </row>
    <row r="6" spans="1:9" ht="15" x14ac:dyDescent="0.15">
      <c r="A6" s="117"/>
      <c r="B6" s="52" t="s">
        <v>177</v>
      </c>
      <c r="C6" s="102">
        <v>180</v>
      </c>
      <c r="D6" s="52"/>
      <c r="E6" s="52" t="s">
        <v>313</v>
      </c>
      <c r="F6" s="102">
        <v>180</v>
      </c>
      <c r="G6" s="52" t="s">
        <v>442</v>
      </c>
    </row>
    <row r="7" spans="1:9" ht="15" x14ac:dyDescent="0.15">
      <c r="A7" s="117"/>
      <c r="B7" s="52" t="s">
        <v>178</v>
      </c>
      <c r="C7" s="102">
        <v>33.5</v>
      </c>
      <c r="D7" s="52" t="s">
        <v>179</v>
      </c>
      <c r="E7" s="52" t="s">
        <v>314</v>
      </c>
      <c r="F7" s="102">
        <v>60</v>
      </c>
      <c r="G7" s="52" t="s">
        <v>443</v>
      </c>
    </row>
    <row r="8" spans="1:9" ht="15" x14ac:dyDescent="0.15">
      <c r="A8" s="117"/>
      <c r="B8" s="52" t="s">
        <v>180</v>
      </c>
      <c r="C8" s="102">
        <v>18</v>
      </c>
      <c r="D8" s="52"/>
      <c r="E8" s="52" t="s">
        <v>315</v>
      </c>
      <c r="F8" s="102">
        <v>0.3</v>
      </c>
      <c r="G8" s="52"/>
    </row>
    <row r="9" spans="1:9" ht="15" x14ac:dyDescent="0.15">
      <c r="A9" s="117"/>
      <c r="B9" s="52" t="s">
        <v>181</v>
      </c>
      <c r="C9" s="102">
        <v>60</v>
      </c>
      <c r="D9" s="52"/>
      <c r="E9" s="52" t="s">
        <v>316</v>
      </c>
      <c r="F9" s="102">
        <v>0.5</v>
      </c>
      <c r="G9" s="52"/>
    </row>
    <row r="10" spans="1:9" ht="15" x14ac:dyDescent="0.15">
      <c r="A10" s="117"/>
      <c r="B10" s="52" t="s">
        <v>183</v>
      </c>
      <c r="C10" s="102">
        <v>40</v>
      </c>
      <c r="D10" s="52"/>
    </row>
    <row r="11" spans="1:9" ht="15" x14ac:dyDescent="0.15">
      <c r="A11" s="117"/>
      <c r="B11" s="52" t="s">
        <v>184</v>
      </c>
      <c r="C11" s="102">
        <v>0.3</v>
      </c>
      <c r="D11" s="52" t="s">
        <v>182</v>
      </c>
    </row>
    <row r="12" spans="1:9" ht="15" x14ac:dyDescent="0.15">
      <c r="A12" s="117"/>
      <c r="B12" s="52" t="s">
        <v>203</v>
      </c>
      <c r="C12" s="102">
        <v>1</v>
      </c>
      <c r="D12" s="52" t="s">
        <v>209</v>
      </c>
    </row>
    <row r="13" spans="1:9" ht="15" x14ac:dyDescent="0.15">
      <c r="A13" s="117"/>
      <c r="B13" s="52" t="s">
        <v>212</v>
      </c>
      <c r="C13" s="102">
        <v>1</v>
      </c>
      <c r="D13" s="52" t="s">
        <v>210</v>
      </c>
    </row>
    <row r="14" spans="1:9" ht="15" x14ac:dyDescent="0.15">
      <c r="A14" s="117"/>
      <c r="B14" s="52" t="s">
        <v>204</v>
      </c>
      <c r="C14" s="102">
        <v>1</v>
      </c>
      <c r="D14" s="52" t="s">
        <v>211</v>
      </c>
    </row>
    <row r="15" spans="1:9" ht="15" x14ac:dyDescent="0.15">
      <c r="A15" s="117"/>
      <c r="B15" s="52" t="s">
        <v>213</v>
      </c>
      <c r="C15" s="102">
        <v>1</v>
      </c>
      <c r="D15" s="52" t="s">
        <v>214</v>
      </c>
    </row>
    <row r="16" spans="1:9" ht="15" x14ac:dyDescent="0.15">
      <c r="A16" s="117"/>
      <c r="B16" s="52" t="s">
        <v>216</v>
      </c>
      <c r="C16" s="102"/>
      <c r="D16" s="52" t="s">
        <v>217</v>
      </c>
    </row>
    <row r="17" spans="1:4" ht="15" x14ac:dyDescent="0.15">
      <c r="A17" s="117"/>
      <c r="B17" s="52" t="s">
        <v>309</v>
      </c>
      <c r="C17" s="102">
        <v>1.867</v>
      </c>
      <c r="D17" s="52"/>
    </row>
    <row r="18" spans="1:4" ht="15" x14ac:dyDescent="0.15">
      <c r="A18" s="117"/>
      <c r="B18" s="52" t="s">
        <v>310</v>
      </c>
      <c r="C18" s="102">
        <v>0.7</v>
      </c>
      <c r="D18" s="52"/>
    </row>
    <row r="19" spans="1:4" ht="15" x14ac:dyDescent="0.15">
      <c r="A19" s="117"/>
      <c r="B19" s="52" t="s">
        <v>311</v>
      </c>
      <c r="C19" s="102">
        <v>1.9</v>
      </c>
      <c r="D19" s="52"/>
    </row>
    <row r="20" spans="1:4" ht="15" x14ac:dyDescent="0.15">
      <c r="A20" s="117" t="s">
        <v>271</v>
      </c>
      <c r="B20" s="52" t="s">
        <v>268</v>
      </c>
      <c r="C20" s="103" t="s">
        <v>267</v>
      </c>
      <c r="D20" s="52"/>
    </row>
    <row r="21" spans="1:4" ht="15" x14ac:dyDescent="0.15">
      <c r="A21" s="117"/>
      <c r="B21" s="52" t="s">
        <v>245</v>
      </c>
      <c r="C21" s="103" t="s">
        <v>264</v>
      </c>
      <c r="D21" s="52"/>
    </row>
    <row r="22" spans="1:4" ht="15" x14ac:dyDescent="0.15">
      <c r="A22" s="117"/>
      <c r="B22" s="52" t="s">
        <v>265</v>
      </c>
      <c r="C22" s="103" t="s">
        <v>265</v>
      </c>
      <c r="D22" s="52"/>
    </row>
    <row r="23" spans="1:4" ht="15" x14ac:dyDescent="0.15">
      <c r="A23" s="117"/>
      <c r="B23" s="52" t="s">
        <v>269</v>
      </c>
      <c r="C23" s="103" t="s">
        <v>266</v>
      </c>
      <c r="D23" s="52"/>
    </row>
    <row r="24" spans="1:4" ht="15" x14ac:dyDescent="0.15">
      <c r="A24" s="117"/>
      <c r="B24" s="52" t="s">
        <v>270</v>
      </c>
      <c r="C24" s="103" t="s">
        <v>272</v>
      </c>
      <c r="D24" s="52"/>
    </row>
    <row r="25" spans="1:4" ht="15" x14ac:dyDescent="0.15">
      <c r="A25" s="117"/>
      <c r="B25" s="52" t="s">
        <v>429</v>
      </c>
      <c r="C25" s="103" t="s">
        <v>430</v>
      </c>
      <c r="D25" s="52"/>
    </row>
    <row r="26" spans="1:4" ht="15" x14ac:dyDescent="0.15">
      <c r="A26" s="117"/>
      <c r="B26" s="52" t="s">
        <v>431</v>
      </c>
      <c r="C26" s="103" t="s">
        <v>301</v>
      </c>
      <c r="D26" s="52"/>
    </row>
    <row r="27" spans="1:4" ht="15" x14ac:dyDescent="0.15">
      <c r="A27" s="117"/>
      <c r="B27" s="52"/>
      <c r="C27" s="102"/>
      <c r="D27" s="52"/>
    </row>
    <row r="28" spans="1:4" ht="15" x14ac:dyDescent="0.15">
      <c r="A28" s="117"/>
      <c r="B28" s="52"/>
      <c r="C28" s="102"/>
      <c r="D28" s="52"/>
    </row>
    <row r="29" spans="1:4" ht="15" x14ac:dyDescent="0.15">
      <c r="A29" s="117"/>
      <c r="B29" s="52"/>
      <c r="C29" s="102"/>
      <c r="D29" s="52"/>
    </row>
    <row r="30" spans="1:4" ht="15" x14ac:dyDescent="0.15">
      <c r="A30" s="117" t="s">
        <v>435</v>
      </c>
      <c r="B30" s="52" t="s">
        <v>432</v>
      </c>
      <c r="C30" s="102">
        <v>1</v>
      </c>
      <c r="D30" s="52" t="s">
        <v>424</v>
      </c>
    </row>
    <row r="31" spans="1:4" x14ac:dyDescent="0.15">
      <c r="A31" s="117"/>
      <c r="B31" s="52" t="s">
        <v>433</v>
      </c>
      <c r="C31" s="7" t="s">
        <v>439</v>
      </c>
      <c r="D31" s="52"/>
    </row>
    <row r="32" spans="1:4" ht="15" x14ac:dyDescent="0.15">
      <c r="A32" s="117"/>
      <c r="B32" s="52" t="s">
        <v>434</v>
      </c>
      <c r="C32" s="102" t="s">
        <v>436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6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18" t="s">
        <v>243</v>
      </c>
      <c r="B1" s="118"/>
      <c r="C1" s="118"/>
      <c r="D1" s="118"/>
      <c r="E1" s="118"/>
      <c r="F1" s="118"/>
      <c r="G1" s="118"/>
      <c r="H1" s="118"/>
      <c r="I1" s="118" t="s">
        <v>244</v>
      </c>
      <c r="J1" s="118"/>
      <c r="K1" s="118"/>
      <c r="L1" s="118"/>
      <c r="M1" s="118"/>
      <c r="N1" s="118"/>
      <c r="O1" s="118"/>
      <c r="P1" s="118"/>
    </row>
    <row r="2" spans="1:16" ht="15" x14ac:dyDescent="0.15">
      <c r="A2" s="119" t="s">
        <v>235</v>
      </c>
      <c r="B2" s="119"/>
      <c r="C2" s="119"/>
      <c r="D2" s="119"/>
      <c r="E2" s="119" t="s">
        <v>236</v>
      </c>
      <c r="F2" s="119"/>
      <c r="G2" s="119"/>
      <c r="H2" s="119"/>
      <c r="I2" s="119" t="s">
        <v>235</v>
      </c>
      <c r="J2" s="119"/>
      <c r="K2" s="119"/>
      <c r="L2" s="119"/>
      <c r="M2" s="120"/>
      <c r="N2" s="120"/>
      <c r="O2" s="120"/>
      <c r="P2" s="120"/>
    </row>
    <row r="3" spans="1:16" ht="15" x14ac:dyDescent="0.15">
      <c r="A3" s="64" t="s">
        <v>218</v>
      </c>
      <c r="B3" s="64" t="s">
        <v>219</v>
      </c>
      <c r="C3" s="64" t="s">
        <v>220</v>
      </c>
      <c r="D3" s="64" t="s">
        <v>221</v>
      </c>
      <c r="E3" s="64" t="s">
        <v>222</v>
      </c>
      <c r="F3" s="64" t="s">
        <v>223</v>
      </c>
      <c r="G3" s="64" t="s">
        <v>224</v>
      </c>
      <c r="H3" s="64" t="s">
        <v>225</v>
      </c>
      <c r="I3" s="64" t="s">
        <v>218</v>
      </c>
      <c r="J3" s="64" t="s">
        <v>219</v>
      </c>
      <c r="K3" s="64" t="s">
        <v>220</v>
      </c>
      <c r="L3" s="64" t="s">
        <v>221</v>
      </c>
      <c r="M3" s="72"/>
      <c r="N3" s="72"/>
      <c r="O3" s="72"/>
      <c r="P3" s="72"/>
    </row>
    <row r="4" spans="1:16" x14ac:dyDescent="0.15">
      <c r="A4" s="70">
        <v>1</v>
      </c>
      <c r="B4" s="70" t="s">
        <v>245</v>
      </c>
      <c r="C4" s="70">
        <v>203</v>
      </c>
      <c r="D4" s="70">
        <v>2</v>
      </c>
      <c r="E4" s="71">
        <v>4</v>
      </c>
      <c r="F4" s="71" t="s">
        <v>246</v>
      </c>
      <c r="G4" s="71">
        <v>3</v>
      </c>
      <c r="H4" s="71">
        <v>42</v>
      </c>
      <c r="I4" s="70">
        <v>1</v>
      </c>
      <c r="J4" s="70" t="s">
        <v>247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245</v>
      </c>
      <c r="C5" s="70">
        <v>204</v>
      </c>
      <c r="D5" s="70">
        <v>2</v>
      </c>
      <c r="E5" s="71">
        <v>13</v>
      </c>
      <c r="F5" s="71" t="s">
        <v>246</v>
      </c>
      <c r="G5" s="71">
        <v>3</v>
      </c>
      <c r="H5" s="71">
        <v>43</v>
      </c>
      <c r="I5" s="70">
        <v>2</v>
      </c>
      <c r="J5" s="70" t="s">
        <v>247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245</v>
      </c>
      <c r="C6" s="70">
        <v>203</v>
      </c>
      <c r="D6" s="70">
        <v>3</v>
      </c>
      <c r="E6" s="71">
        <v>22</v>
      </c>
      <c r="F6" s="71" t="s">
        <v>246</v>
      </c>
      <c r="G6" s="71">
        <v>3</v>
      </c>
      <c r="H6" s="71">
        <v>44</v>
      </c>
      <c r="I6" s="70">
        <v>3</v>
      </c>
      <c r="J6" s="70" t="s">
        <v>247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245</v>
      </c>
      <c r="C7" s="70">
        <v>204</v>
      </c>
      <c r="D7" s="70">
        <v>3</v>
      </c>
      <c r="E7" s="71">
        <v>31</v>
      </c>
      <c r="F7" s="71" t="s">
        <v>246</v>
      </c>
      <c r="G7" s="71">
        <v>3</v>
      </c>
      <c r="H7" s="71">
        <v>45</v>
      </c>
      <c r="I7" s="70">
        <v>4</v>
      </c>
      <c r="J7" s="70" t="s">
        <v>247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245</v>
      </c>
      <c r="C8" s="70">
        <v>203</v>
      </c>
      <c r="D8" s="70">
        <v>4</v>
      </c>
      <c r="E8" s="71">
        <v>40</v>
      </c>
      <c r="F8" s="71" t="s">
        <v>246</v>
      </c>
      <c r="G8" s="71">
        <v>3</v>
      </c>
      <c r="H8" s="71">
        <v>46</v>
      </c>
      <c r="I8" s="70">
        <v>5</v>
      </c>
      <c r="J8" s="70" t="s">
        <v>247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245</v>
      </c>
      <c r="C9" s="70">
        <v>204</v>
      </c>
      <c r="D9" s="70">
        <v>4</v>
      </c>
      <c r="E9" s="71">
        <v>206</v>
      </c>
      <c r="F9" s="71" t="s">
        <v>246</v>
      </c>
      <c r="G9" s="71">
        <v>3</v>
      </c>
      <c r="H9" s="71">
        <v>47</v>
      </c>
      <c r="I9" s="70">
        <v>6</v>
      </c>
      <c r="J9" s="70" t="s">
        <v>247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245</v>
      </c>
      <c r="C10" s="70">
        <v>203</v>
      </c>
      <c r="D10" s="70">
        <v>5</v>
      </c>
      <c r="E10" s="71">
        <v>50</v>
      </c>
      <c r="F10" s="71" t="s">
        <v>246</v>
      </c>
      <c r="G10" s="71">
        <v>3</v>
      </c>
      <c r="H10" s="71">
        <v>48</v>
      </c>
      <c r="I10" s="70">
        <v>7</v>
      </c>
      <c r="J10" s="70" t="s">
        <v>247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245</v>
      </c>
      <c r="C11" s="70">
        <v>204</v>
      </c>
      <c r="D11" s="70">
        <v>5</v>
      </c>
      <c r="E11" s="71">
        <v>218</v>
      </c>
      <c r="F11" s="71" t="s">
        <v>246</v>
      </c>
      <c r="G11" s="71">
        <v>3</v>
      </c>
      <c r="H11" s="71">
        <v>49</v>
      </c>
      <c r="I11" s="70">
        <v>8</v>
      </c>
      <c r="J11" s="70" t="s">
        <v>247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245</v>
      </c>
      <c r="C12" s="70">
        <v>203</v>
      </c>
      <c r="D12" s="70">
        <v>6</v>
      </c>
      <c r="E12" s="71">
        <v>62</v>
      </c>
      <c r="F12" s="71" t="s">
        <v>246</v>
      </c>
      <c r="G12" s="71">
        <v>3</v>
      </c>
      <c r="H12" s="71">
        <v>50</v>
      </c>
      <c r="I12" s="70">
        <v>9</v>
      </c>
      <c r="J12" s="70" t="s">
        <v>247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245</v>
      </c>
      <c r="C13" s="70">
        <v>204</v>
      </c>
      <c r="D13" s="70">
        <v>6</v>
      </c>
      <c r="E13" s="71">
        <v>74</v>
      </c>
      <c r="F13" s="71" t="s">
        <v>246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245</v>
      </c>
      <c r="C14" s="70">
        <v>204</v>
      </c>
      <c r="D14" s="70">
        <v>7</v>
      </c>
      <c r="E14" s="71">
        <v>86</v>
      </c>
      <c r="F14" s="71" t="s">
        <v>246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245</v>
      </c>
      <c r="C15" s="70">
        <v>204</v>
      </c>
      <c r="D15" s="70">
        <v>8</v>
      </c>
      <c r="E15" s="71">
        <v>98</v>
      </c>
      <c r="F15" s="71" t="s">
        <v>246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245</v>
      </c>
      <c r="C16" s="70">
        <v>203</v>
      </c>
      <c r="D16" s="70">
        <v>9</v>
      </c>
      <c r="E16" s="71">
        <v>222</v>
      </c>
      <c r="F16" s="71" t="s">
        <v>446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245</v>
      </c>
      <c r="C17" s="70">
        <v>204</v>
      </c>
      <c r="D17" s="70">
        <v>9</v>
      </c>
      <c r="E17" s="71">
        <v>110</v>
      </c>
      <c r="F17" s="71" t="s">
        <v>246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245</v>
      </c>
      <c r="C18" s="70">
        <v>203</v>
      </c>
      <c r="D18" s="70">
        <v>10</v>
      </c>
      <c r="E18" s="71">
        <v>234</v>
      </c>
      <c r="F18" s="71" t="s">
        <v>446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245</v>
      </c>
      <c r="C19" s="70">
        <v>204</v>
      </c>
      <c r="D19" s="70">
        <v>10</v>
      </c>
      <c r="E19" s="71">
        <v>121</v>
      </c>
      <c r="F19" s="71" t="s">
        <v>246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245</v>
      </c>
      <c r="C20" s="70">
        <v>203</v>
      </c>
      <c r="D20" s="70">
        <v>11</v>
      </c>
      <c r="E20" s="71">
        <v>130</v>
      </c>
      <c r="F20" s="71" t="s">
        <v>246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245</v>
      </c>
      <c r="C21" s="70">
        <v>204</v>
      </c>
      <c r="D21" s="70">
        <v>11</v>
      </c>
      <c r="E21" s="71">
        <v>139</v>
      </c>
      <c r="F21" s="71" t="s">
        <v>246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245</v>
      </c>
      <c r="C22" s="70">
        <v>203</v>
      </c>
      <c r="D22" s="70">
        <v>12</v>
      </c>
      <c r="E22" s="71">
        <v>148</v>
      </c>
      <c r="F22" s="71" t="s">
        <v>246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245</v>
      </c>
      <c r="C23" s="70">
        <v>204</v>
      </c>
      <c r="D23" s="70">
        <v>12</v>
      </c>
      <c r="E23" s="71">
        <v>151</v>
      </c>
      <c r="F23" s="71" t="s">
        <v>447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245</v>
      </c>
      <c r="C24" s="70">
        <v>203</v>
      </c>
      <c r="D24" s="70">
        <v>13</v>
      </c>
      <c r="E24" s="71">
        <v>154</v>
      </c>
      <c r="F24" s="71" t="s">
        <v>253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245</v>
      </c>
      <c r="C25" s="70">
        <v>204</v>
      </c>
      <c r="D25" s="70">
        <v>13</v>
      </c>
      <c r="E25" s="71">
        <v>156</v>
      </c>
      <c r="F25" s="71" t="s">
        <v>248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245</v>
      </c>
      <c r="C26" s="70">
        <v>204</v>
      </c>
      <c r="D26" s="70">
        <v>14</v>
      </c>
      <c r="E26" s="71">
        <v>158</v>
      </c>
      <c r="F26" s="71" t="s">
        <v>248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245</v>
      </c>
      <c r="C27" s="70">
        <v>204</v>
      </c>
      <c r="D27" s="70">
        <v>15</v>
      </c>
      <c r="E27" s="71">
        <v>159</v>
      </c>
      <c r="F27" s="71" t="s">
        <v>248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245</v>
      </c>
      <c r="C28" s="70">
        <v>203</v>
      </c>
      <c r="D28" s="70">
        <v>16</v>
      </c>
      <c r="E28" s="71">
        <v>161</v>
      </c>
      <c r="F28" s="71" t="s">
        <v>248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245</v>
      </c>
      <c r="C29" s="70">
        <v>204</v>
      </c>
      <c r="D29" s="70">
        <v>16</v>
      </c>
      <c r="E29" s="71">
        <v>162</v>
      </c>
      <c r="F29" s="71" t="s">
        <v>248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245</v>
      </c>
      <c r="C30" s="70">
        <v>203</v>
      </c>
      <c r="D30" s="70">
        <v>17</v>
      </c>
      <c r="E30" s="71">
        <v>165</v>
      </c>
      <c r="F30" s="71" t="s">
        <v>248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245</v>
      </c>
      <c r="C31" s="70">
        <v>204</v>
      </c>
      <c r="D31" s="70">
        <v>17</v>
      </c>
      <c r="E31" s="71">
        <v>167</v>
      </c>
      <c r="F31" s="71" t="s">
        <v>249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245</v>
      </c>
      <c r="C32" s="70">
        <v>203</v>
      </c>
      <c r="D32" s="70">
        <v>18</v>
      </c>
      <c r="E32" s="71">
        <v>169</v>
      </c>
      <c r="F32" s="71" t="s">
        <v>248</v>
      </c>
      <c r="G32" s="71">
        <v>3</v>
      </c>
      <c r="H32" s="71">
        <v>91</v>
      </c>
    </row>
    <row r="33" spans="1:5" x14ac:dyDescent="0.15">
      <c r="A33" s="70">
        <v>133</v>
      </c>
      <c r="B33" s="70" t="s">
        <v>245</v>
      </c>
      <c r="C33" s="70">
        <v>204</v>
      </c>
      <c r="D33" s="70">
        <v>18</v>
      </c>
      <c r="E33" s="47">
        <v>-1</v>
      </c>
    </row>
    <row r="34" spans="1:5" x14ac:dyDescent="0.15">
      <c r="A34" s="70">
        <v>136</v>
      </c>
      <c r="B34" s="70" t="s">
        <v>245</v>
      </c>
      <c r="C34" s="70">
        <v>203</v>
      </c>
      <c r="D34" s="70">
        <v>19</v>
      </c>
    </row>
    <row r="35" spans="1:5" x14ac:dyDescent="0.15">
      <c r="A35" s="70">
        <v>142</v>
      </c>
      <c r="B35" s="70" t="s">
        <v>245</v>
      </c>
      <c r="C35" s="70">
        <v>204</v>
      </c>
      <c r="D35" s="70">
        <v>19</v>
      </c>
    </row>
    <row r="36" spans="1:5" x14ac:dyDescent="0.15">
      <c r="A36" s="70">
        <v>145</v>
      </c>
      <c r="B36" s="70" t="s">
        <v>245</v>
      </c>
      <c r="C36" s="70">
        <v>204</v>
      </c>
      <c r="D36" s="70">
        <v>20</v>
      </c>
    </row>
    <row r="37" spans="1:5" x14ac:dyDescent="0.15">
      <c r="A37" s="70">
        <v>151</v>
      </c>
      <c r="B37" s="70" t="s">
        <v>245</v>
      </c>
      <c r="C37" s="70">
        <v>204</v>
      </c>
      <c r="D37" s="70">
        <v>21</v>
      </c>
    </row>
    <row r="38" spans="1:5" x14ac:dyDescent="0.15">
      <c r="A38" s="70">
        <v>170</v>
      </c>
      <c r="B38" s="70" t="s">
        <v>251</v>
      </c>
      <c r="C38" s="70">
        <v>194</v>
      </c>
      <c r="D38" s="70">
        <v>2</v>
      </c>
    </row>
    <row r="39" spans="1:5" x14ac:dyDescent="0.15">
      <c r="A39" s="70">
        <v>171</v>
      </c>
      <c r="B39" s="70" t="s">
        <v>251</v>
      </c>
      <c r="C39" s="70">
        <v>195</v>
      </c>
      <c r="D39" s="70">
        <v>2</v>
      </c>
    </row>
    <row r="40" spans="1:5" x14ac:dyDescent="0.15">
      <c r="A40" s="70">
        <v>172</v>
      </c>
      <c r="B40" s="70" t="s">
        <v>251</v>
      </c>
      <c r="C40" s="70">
        <v>194</v>
      </c>
      <c r="D40" s="70">
        <v>3</v>
      </c>
    </row>
    <row r="41" spans="1:5" x14ac:dyDescent="0.15">
      <c r="A41" s="70">
        <v>173</v>
      </c>
      <c r="B41" s="70" t="s">
        <v>250</v>
      </c>
      <c r="C41" s="70">
        <v>195</v>
      </c>
      <c r="D41" s="70">
        <v>3</v>
      </c>
    </row>
    <row r="42" spans="1:5" x14ac:dyDescent="0.15">
      <c r="A42" s="70">
        <v>174</v>
      </c>
      <c r="B42" s="70" t="s">
        <v>251</v>
      </c>
      <c r="C42" s="70">
        <v>194</v>
      </c>
      <c r="D42" s="70">
        <v>4</v>
      </c>
    </row>
    <row r="43" spans="1:5" x14ac:dyDescent="0.15">
      <c r="A43" s="70">
        <v>175</v>
      </c>
      <c r="B43" s="70" t="s">
        <v>251</v>
      </c>
      <c r="C43" s="70">
        <v>195</v>
      </c>
      <c r="D43" s="70">
        <v>4</v>
      </c>
    </row>
    <row r="44" spans="1:5" x14ac:dyDescent="0.15">
      <c r="A44" s="70">
        <v>176</v>
      </c>
      <c r="B44" s="70" t="s">
        <v>251</v>
      </c>
      <c r="C44" s="70">
        <v>194</v>
      </c>
      <c r="D44" s="70">
        <v>5</v>
      </c>
    </row>
    <row r="45" spans="1:5" x14ac:dyDescent="0.15">
      <c r="A45" s="70">
        <v>177</v>
      </c>
      <c r="B45" s="70" t="s">
        <v>251</v>
      </c>
      <c r="C45" s="70">
        <v>195</v>
      </c>
      <c r="D45" s="70">
        <v>5</v>
      </c>
    </row>
    <row r="46" spans="1:5" x14ac:dyDescent="0.15">
      <c r="A46" s="70">
        <v>178</v>
      </c>
      <c r="B46" s="70" t="s">
        <v>251</v>
      </c>
      <c r="C46" s="70">
        <v>194</v>
      </c>
      <c r="D46" s="70">
        <v>12</v>
      </c>
    </row>
    <row r="47" spans="1:5" x14ac:dyDescent="0.15">
      <c r="A47" s="70">
        <v>180</v>
      </c>
      <c r="B47" s="70" t="s">
        <v>252</v>
      </c>
      <c r="C47" s="70">
        <v>195</v>
      </c>
      <c r="D47" s="70">
        <v>12</v>
      </c>
    </row>
    <row r="48" spans="1:5" x14ac:dyDescent="0.15">
      <c r="A48" s="70">
        <v>182</v>
      </c>
      <c r="B48" s="70" t="s">
        <v>251</v>
      </c>
      <c r="C48" s="70">
        <v>194</v>
      </c>
      <c r="D48" s="70">
        <v>13</v>
      </c>
    </row>
    <row r="49" spans="1:4" x14ac:dyDescent="0.15">
      <c r="A49" s="70">
        <v>183</v>
      </c>
      <c r="B49" s="70" t="s">
        <v>251</v>
      </c>
      <c r="C49" s="70">
        <v>195</v>
      </c>
      <c r="D49" s="70">
        <v>13</v>
      </c>
    </row>
    <row r="50" spans="1:4" x14ac:dyDescent="0.15">
      <c r="A50" s="70">
        <v>184</v>
      </c>
      <c r="B50" s="70" t="s">
        <v>251</v>
      </c>
      <c r="C50" s="70">
        <v>194</v>
      </c>
      <c r="D50" s="70">
        <v>14</v>
      </c>
    </row>
    <row r="51" spans="1:4" x14ac:dyDescent="0.15">
      <c r="A51" s="70">
        <v>185</v>
      </c>
      <c r="B51" s="70" t="s">
        <v>252</v>
      </c>
      <c r="C51" s="70">
        <v>195</v>
      </c>
      <c r="D51" s="70">
        <v>14</v>
      </c>
    </row>
    <row r="52" spans="1:4" x14ac:dyDescent="0.15">
      <c r="A52" s="70">
        <v>186</v>
      </c>
      <c r="B52" s="70" t="s">
        <v>251</v>
      </c>
      <c r="C52" s="70">
        <v>194</v>
      </c>
      <c r="D52" s="70">
        <v>15</v>
      </c>
    </row>
    <row r="53" spans="1:4" x14ac:dyDescent="0.15">
      <c r="A53" s="70">
        <v>187</v>
      </c>
      <c r="B53" s="70" t="s">
        <v>251</v>
      </c>
      <c r="C53" s="70">
        <v>195</v>
      </c>
      <c r="D53" s="70">
        <v>15</v>
      </c>
    </row>
    <row r="54" spans="1:4" x14ac:dyDescent="0.15">
      <c r="A54" s="70">
        <v>188</v>
      </c>
      <c r="B54" s="70" t="s">
        <v>250</v>
      </c>
      <c r="C54" s="70">
        <v>194</v>
      </c>
      <c r="D54" s="70">
        <v>16</v>
      </c>
    </row>
    <row r="55" spans="1:4" x14ac:dyDescent="0.15">
      <c r="A55" s="70">
        <v>189</v>
      </c>
      <c r="B55" s="70" t="s">
        <v>251</v>
      </c>
      <c r="C55" s="70">
        <v>195</v>
      </c>
      <c r="D55" s="70">
        <v>16</v>
      </c>
    </row>
    <row r="56" spans="1:4" x14ac:dyDescent="0.15">
      <c r="A56" s="70">
        <v>190</v>
      </c>
      <c r="B56" s="70" t="s">
        <v>251</v>
      </c>
      <c r="C56" s="70">
        <v>194</v>
      </c>
      <c r="D56" s="70">
        <v>17</v>
      </c>
    </row>
    <row r="57" spans="1:4" x14ac:dyDescent="0.15">
      <c r="A57" s="70">
        <v>191</v>
      </c>
      <c r="B57" s="70" t="s">
        <v>251</v>
      </c>
      <c r="C57" s="70">
        <v>195</v>
      </c>
      <c r="D57" s="70">
        <v>17</v>
      </c>
    </row>
    <row r="58" spans="1:4" x14ac:dyDescent="0.15">
      <c r="A58" s="70">
        <v>192</v>
      </c>
      <c r="B58" s="70" t="s">
        <v>250</v>
      </c>
      <c r="C58" s="70">
        <v>194</v>
      </c>
      <c r="D58" s="70">
        <v>8</v>
      </c>
    </row>
    <row r="59" spans="1:4" x14ac:dyDescent="0.15">
      <c r="A59" s="70">
        <v>194</v>
      </c>
      <c r="B59" s="70" t="s">
        <v>251</v>
      </c>
      <c r="C59" s="70">
        <v>195</v>
      </c>
      <c r="D59" s="70">
        <v>8</v>
      </c>
    </row>
    <row r="60" spans="1:4" x14ac:dyDescent="0.15">
      <c r="A60" s="70">
        <v>196</v>
      </c>
      <c r="B60" s="70" t="s">
        <v>251</v>
      </c>
      <c r="C60" s="70">
        <v>194</v>
      </c>
      <c r="D60" s="70">
        <v>9</v>
      </c>
    </row>
    <row r="61" spans="1:4" x14ac:dyDescent="0.15">
      <c r="A61" s="70">
        <v>198</v>
      </c>
      <c r="B61" s="70" t="s">
        <v>251</v>
      </c>
      <c r="C61" s="70">
        <v>195</v>
      </c>
      <c r="D61" s="70">
        <v>9</v>
      </c>
    </row>
    <row r="62" spans="1:4" x14ac:dyDescent="0.15">
      <c r="A62" s="70">
        <v>200</v>
      </c>
      <c r="B62" s="70" t="s">
        <v>251</v>
      </c>
      <c r="C62" s="70">
        <v>194</v>
      </c>
      <c r="D62" s="70">
        <v>10</v>
      </c>
    </row>
    <row r="63" spans="1:4" x14ac:dyDescent="0.15">
      <c r="A63" s="70">
        <v>202</v>
      </c>
      <c r="B63" s="70" t="s">
        <v>251</v>
      </c>
      <c r="C63" s="70">
        <v>195</v>
      </c>
      <c r="D63" s="70">
        <v>10</v>
      </c>
    </row>
    <row r="64" spans="1:4" x14ac:dyDescent="0.15">
      <c r="A64" s="70">
        <v>204</v>
      </c>
      <c r="B64" s="70" t="s">
        <v>251</v>
      </c>
      <c r="C64" s="70">
        <v>194</v>
      </c>
      <c r="D64" s="70">
        <v>11</v>
      </c>
    </row>
    <row r="65" spans="1:4" x14ac:dyDescent="0.15">
      <c r="A65" s="70">
        <v>205</v>
      </c>
      <c r="B65" s="70" t="s">
        <v>251</v>
      </c>
      <c r="C65" s="70">
        <v>195</v>
      </c>
      <c r="D65" s="70">
        <v>11</v>
      </c>
    </row>
    <row r="66" spans="1:4" x14ac:dyDescent="0.15">
      <c r="A66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zoomScale="85" zoomScaleNormal="85" workbookViewId="0">
      <selection activeCell="CW3" sqref="CW3"/>
    </sheetView>
  </sheetViews>
  <sheetFormatPr defaultRowHeight="13.5" x14ac:dyDescent="0.15"/>
  <sheetData>
    <row r="1" spans="1:101" x14ac:dyDescent="0.15">
      <c r="A1" t="s">
        <v>324</v>
      </c>
      <c r="B1" t="s">
        <v>346</v>
      </c>
      <c r="C1" s="59" t="s">
        <v>347</v>
      </c>
      <c r="D1" s="59" t="s">
        <v>348</v>
      </c>
      <c r="E1" s="59" t="s">
        <v>349</v>
      </c>
      <c r="F1" s="59" t="s">
        <v>350</v>
      </c>
      <c r="G1" s="59" t="s">
        <v>351</v>
      </c>
      <c r="H1" s="59" t="s">
        <v>352</v>
      </c>
      <c r="I1" s="59" t="s">
        <v>353</v>
      </c>
      <c r="J1" s="59" t="s">
        <v>354</v>
      </c>
      <c r="K1" t="s">
        <v>355</v>
      </c>
      <c r="L1" s="59" t="s">
        <v>356</v>
      </c>
      <c r="M1" s="59" t="s">
        <v>357</v>
      </c>
      <c r="N1" s="59" t="s">
        <v>358</v>
      </c>
      <c r="O1" s="59" t="s">
        <v>359</v>
      </c>
      <c r="P1" s="59" t="s">
        <v>360</v>
      </c>
      <c r="Q1" s="59" t="s">
        <v>361</v>
      </c>
      <c r="R1" s="59" t="s">
        <v>362</v>
      </c>
      <c r="S1" s="59" t="s">
        <v>363</v>
      </c>
      <c r="T1" s="59" t="s">
        <v>364</v>
      </c>
      <c r="U1" s="59" t="s">
        <v>365</v>
      </c>
      <c r="V1" s="59" t="s">
        <v>366</v>
      </c>
      <c r="W1" s="59" t="s">
        <v>367</v>
      </c>
      <c r="X1" s="59" t="s">
        <v>368</v>
      </c>
      <c r="Y1" s="59" t="s">
        <v>369</v>
      </c>
      <c r="Z1" s="59" t="s">
        <v>370</v>
      </c>
      <c r="AA1" s="59" t="s">
        <v>371</v>
      </c>
      <c r="AB1" s="59" t="s">
        <v>372</v>
      </c>
      <c r="AC1" s="59" t="s">
        <v>373</v>
      </c>
      <c r="AD1" s="59" t="s">
        <v>374</v>
      </c>
      <c r="AE1" t="s">
        <v>375</v>
      </c>
      <c r="AF1" s="59" t="s">
        <v>376</v>
      </c>
      <c r="AG1" s="59" t="s">
        <v>377</v>
      </c>
      <c r="AH1" s="59" t="s">
        <v>378</v>
      </c>
      <c r="AI1" s="59" t="s">
        <v>379</v>
      </c>
      <c r="AJ1" s="59" t="s">
        <v>380</v>
      </c>
      <c r="AK1" s="59" t="s">
        <v>381</v>
      </c>
      <c r="AL1" s="59" t="s">
        <v>382</v>
      </c>
      <c r="AM1" s="59" t="s">
        <v>383</v>
      </c>
      <c r="AN1" s="59" t="s">
        <v>384</v>
      </c>
      <c r="AO1" s="59" t="s">
        <v>385</v>
      </c>
      <c r="AP1" s="59" t="s">
        <v>386</v>
      </c>
      <c r="AQ1" s="59" t="s">
        <v>387</v>
      </c>
      <c r="AR1" s="59" t="s">
        <v>388</v>
      </c>
      <c r="AS1" s="59" t="s">
        <v>389</v>
      </c>
      <c r="AT1" s="59" t="s">
        <v>390</v>
      </c>
      <c r="AU1" s="59" t="s">
        <v>391</v>
      </c>
      <c r="AV1" s="59" t="s">
        <v>392</v>
      </c>
      <c r="AW1" s="59" t="s">
        <v>393</v>
      </c>
      <c r="AX1" s="59" t="s">
        <v>394</v>
      </c>
      <c r="AY1" t="s">
        <v>326</v>
      </c>
      <c r="AZ1" s="59" t="s">
        <v>327</v>
      </c>
      <c r="BA1" s="59" t="s">
        <v>328</v>
      </c>
      <c r="BB1" s="59" t="s">
        <v>329</v>
      </c>
      <c r="BC1" s="59" t="s">
        <v>330</v>
      </c>
      <c r="BD1" s="59" t="s">
        <v>331</v>
      </c>
      <c r="BE1" s="59" t="s">
        <v>332</v>
      </c>
      <c r="BF1" s="59" t="s">
        <v>333</v>
      </c>
      <c r="BG1" s="59" t="s">
        <v>334</v>
      </c>
      <c r="BH1" s="59" t="s">
        <v>335</v>
      </c>
      <c r="BI1" s="59" t="s">
        <v>336</v>
      </c>
      <c r="BJ1" s="59" t="s">
        <v>337</v>
      </c>
      <c r="BK1" s="59" t="s">
        <v>338</v>
      </c>
      <c r="BL1" s="59" t="s">
        <v>339</v>
      </c>
      <c r="BM1" s="59" t="s">
        <v>340</v>
      </c>
      <c r="BN1" s="59" t="s">
        <v>341</v>
      </c>
      <c r="BO1" s="59" t="s">
        <v>342</v>
      </c>
      <c r="BP1" s="59" t="s">
        <v>343</v>
      </c>
      <c r="BQ1" s="59" t="s">
        <v>344</v>
      </c>
      <c r="BR1" s="59" t="s">
        <v>325</v>
      </c>
      <c r="BS1" t="s">
        <v>395</v>
      </c>
      <c r="BT1" s="59" t="s">
        <v>396</v>
      </c>
      <c r="BU1" s="59" t="s">
        <v>397</v>
      </c>
      <c r="BV1" s="59" t="s">
        <v>398</v>
      </c>
      <c r="BW1" s="59" t="s">
        <v>399</v>
      </c>
      <c r="BX1" s="59" t="s">
        <v>400</v>
      </c>
      <c r="BY1" s="59" t="s">
        <v>401</v>
      </c>
      <c r="BZ1" s="59" t="s">
        <v>402</v>
      </c>
      <c r="CA1" s="59" t="s">
        <v>403</v>
      </c>
      <c r="CB1" s="59" t="s">
        <v>404</v>
      </c>
      <c r="CC1" s="59" t="s">
        <v>405</v>
      </c>
      <c r="CD1" s="59" t="s">
        <v>406</v>
      </c>
      <c r="CE1" s="59" t="s">
        <v>407</v>
      </c>
      <c r="CF1" s="59" t="s">
        <v>408</v>
      </c>
      <c r="CG1" s="59" t="s">
        <v>409</v>
      </c>
      <c r="CH1" s="59" t="s">
        <v>410</v>
      </c>
      <c r="CI1" s="59" t="s">
        <v>411</v>
      </c>
      <c r="CJ1" s="59" t="s">
        <v>412</v>
      </c>
      <c r="CK1" s="59" t="s">
        <v>413</v>
      </c>
      <c r="CL1" s="59" t="s">
        <v>414</v>
      </c>
      <c r="CM1" t="s">
        <v>415</v>
      </c>
      <c r="CN1" s="59" t="s">
        <v>416</v>
      </c>
      <c r="CO1" s="59" t="s">
        <v>417</v>
      </c>
      <c r="CP1" s="59" t="s">
        <v>418</v>
      </c>
      <c r="CQ1" s="59" t="s">
        <v>419</v>
      </c>
      <c r="CR1" s="59" t="s">
        <v>420</v>
      </c>
      <c r="CS1" s="59" t="s">
        <v>421</v>
      </c>
      <c r="CT1" s="59" t="s">
        <v>422</v>
      </c>
      <c r="CU1" s="59" t="s">
        <v>423</v>
      </c>
      <c r="CV1" t="s">
        <v>345</v>
      </c>
      <c r="CW1" t="s">
        <v>437</v>
      </c>
    </row>
    <row r="2" spans="1:101" x14ac:dyDescent="0.15">
      <c r="A2" t="s">
        <v>425</v>
      </c>
      <c r="B2" t="s">
        <v>427</v>
      </c>
      <c r="C2" s="59" t="s">
        <v>427</v>
      </c>
      <c r="D2" s="59" t="s">
        <v>427</v>
      </c>
      <c r="E2" s="59" t="s">
        <v>427</v>
      </c>
      <c r="F2" s="59" t="s">
        <v>427</v>
      </c>
      <c r="G2" s="59" t="s">
        <v>427</v>
      </c>
      <c r="H2" s="59" t="s">
        <v>427</v>
      </c>
      <c r="I2" s="59" t="s">
        <v>427</v>
      </c>
      <c r="J2" s="59" t="s">
        <v>427</v>
      </c>
      <c r="K2" t="s">
        <v>428</v>
      </c>
      <c r="L2" s="59" t="s">
        <v>428</v>
      </c>
      <c r="M2" s="59" t="s">
        <v>428</v>
      </c>
      <c r="N2" s="59" t="s">
        <v>428</v>
      </c>
      <c r="O2" s="59" t="s">
        <v>428</v>
      </c>
      <c r="P2" s="59" t="s">
        <v>428</v>
      </c>
      <c r="Q2" s="59" t="s">
        <v>428</v>
      </c>
      <c r="R2" s="59" t="s">
        <v>428</v>
      </c>
      <c r="S2" s="59" t="s">
        <v>428</v>
      </c>
      <c r="T2" s="59" t="s">
        <v>428</v>
      </c>
      <c r="U2" s="59" t="s">
        <v>428</v>
      </c>
      <c r="V2" s="59" t="s">
        <v>428</v>
      </c>
      <c r="W2" s="59" t="s">
        <v>428</v>
      </c>
      <c r="X2" s="59" t="s">
        <v>428</v>
      </c>
      <c r="Y2" s="59" t="s">
        <v>428</v>
      </c>
      <c r="Z2" s="59" t="s">
        <v>428</v>
      </c>
      <c r="AA2" s="59" t="s">
        <v>428</v>
      </c>
      <c r="AB2" s="59" t="s">
        <v>428</v>
      </c>
      <c r="AC2" s="59" t="s">
        <v>428</v>
      </c>
      <c r="AD2" s="59" t="s">
        <v>428</v>
      </c>
      <c r="AE2" s="59" t="s">
        <v>428</v>
      </c>
      <c r="AF2" s="59" t="s">
        <v>428</v>
      </c>
      <c r="AG2" s="59" t="s">
        <v>428</v>
      </c>
      <c r="AH2" s="59" t="s">
        <v>428</v>
      </c>
      <c r="AI2" s="59" t="s">
        <v>428</v>
      </c>
      <c r="AJ2" s="59" t="s">
        <v>428</v>
      </c>
      <c r="AK2" s="59" t="s">
        <v>428</v>
      </c>
      <c r="AL2" s="59" t="s">
        <v>428</v>
      </c>
      <c r="AM2" s="59" t="s">
        <v>428</v>
      </c>
      <c r="AN2" s="59" t="s">
        <v>428</v>
      </c>
      <c r="AO2" s="59" t="s">
        <v>428</v>
      </c>
      <c r="AP2" s="59" t="s">
        <v>428</v>
      </c>
      <c r="AQ2" s="59" t="s">
        <v>428</v>
      </c>
      <c r="AR2" s="59" t="s">
        <v>428</v>
      </c>
      <c r="AS2" s="59" t="s">
        <v>428</v>
      </c>
      <c r="AT2" s="59" t="s">
        <v>428</v>
      </c>
      <c r="AU2" s="59" t="s">
        <v>428</v>
      </c>
      <c r="AV2" s="59" t="s">
        <v>428</v>
      </c>
      <c r="AW2" s="59" t="s">
        <v>428</v>
      </c>
      <c r="AX2" s="59" t="s">
        <v>428</v>
      </c>
      <c r="AY2" s="59" t="s">
        <v>428</v>
      </c>
      <c r="AZ2" s="59" t="s">
        <v>428</v>
      </c>
      <c r="BA2" s="59" t="s">
        <v>428</v>
      </c>
      <c r="BB2" s="59" t="s">
        <v>428</v>
      </c>
      <c r="BC2" s="59" t="s">
        <v>428</v>
      </c>
      <c r="BD2" s="59" t="s">
        <v>428</v>
      </c>
      <c r="BE2" s="59" t="s">
        <v>428</v>
      </c>
      <c r="BF2" s="59" t="s">
        <v>428</v>
      </c>
      <c r="BG2" s="59" t="s">
        <v>428</v>
      </c>
      <c r="BH2" s="59" t="s">
        <v>428</v>
      </c>
      <c r="BI2" s="59" t="s">
        <v>428</v>
      </c>
      <c r="BJ2" s="59" t="s">
        <v>428</v>
      </c>
      <c r="BK2" s="59" t="s">
        <v>428</v>
      </c>
      <c r="BL2" s="59" t="s">
        <v>428</v>
      </c>
      <c r="BM2" s="59" t="s">
        <v>428</v>
      </c>
      <c r="BN2" s="59" t="s">
        <v>428</v>
      </c>
      <c r="BO2" s="59" t="s">
        <v>428</v>
      </c>
      <c r="BP2" s="59" t="s">
        <v>428</v>
      </c>
      <c r="BQ2" s="59" t="s">
        <v>428</v>
      </c>
      <c r="BR2" s="59" t="s">
        <v>428</v>
      </c>
      <c r="BS2" s="59" t="s">
        <v>428</v>
      </c>
      <c r="BT2" s="59" t="s">
        <v>428</v>
      </c>
      <c r="BU2" s="59" t="s">
        <v>428</v>
      </c>
      <c r="BV2" s="59" t="s">
        <v>428</v>
      </c>
      <c r="BW2" s="59" t="s">
        <v>428</v>
      </c>
      <c r="BX2" s="59" t="s">
        <v>428</v>
      </c>
      <c r="BY2" s="59" t="s">
        <v>428</v>
      </c>
      <c r="BZ2" s="59" t="s">
        <v>428</v>
      </c>
      <c r="CA2" s="59" t="s">
        <v>428</v>
      </c>
      <c r="CB2" s="59" t="s">
        <v>428</v>
      </c>
      <c r="CC2" s="59" t="s">
        <v>428</v>
      </c>
      <c r="CD2" s="59" t="s">
        <v>428</v>
      </c>
      <c r="CE2" s="59" t="s">
        <v>428</v>
      </c>
      <c r="CF2" s="59" t="s">
        <v>428</v>
      </c>
      <c r="CG2" s="59" t="s">
        <v>428</v>
      </c>
      <c r="CH2" s="59" t="s">
        <v>428</v>
      </c>
      <c r="CI2" s="59" t="s">
        <v>428</v>
      </c>
      <c r="CJ2" s="59" t="s">
        <v>428</v>
      </c>
      <c r="CK2" s="59" t="s">
        <v>428</v>
      </c>
      <c r="CL2" s="59" t="s">
        <v>428</v>
      </c>
      <c r="CM2" t="s">
        <v>248</v>
      </c>
      <c r="CN2" s="59" t="s">
        <v>248</v>
      </c>
      <c r="CO2" s="59" t="s">
        <v>248</v>
      </c>
      <c r="CP2" s="59" t="s">
        <v>248</v>
      </c>
      <c r="CQ2" s="59" t="s">
        <v>248</v>
      </c>
      <c r="CR2" s="59" t="s">
        <v>248</v>
      </c>
      <c r="CS2" s="59" t="s">
        <v>248</v>
      </c>
      <c r="CT2" s="59" t="s">
        <v>248</v>
      </c>
      <c r="CU2" s="59" t="s">
        <v>248</v>
      </c>
      <c r="CV2" t="s">
        <v>426</v>
      </c>
      <c r="CW2" t="s">
        <v>438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F10" sqref="F10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7" t="s">
        <v>187</v>
      </c>
      <c r="B1" s="121" t="s">
        <v>167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3"/>
      <c r="V1" s="121" t="s">
        <v>258</v>
      </c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3"/>
      <c r="AP1" s="121" t="s">
        <v>259</v>
      </c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3"/>
      <c r="BJ1" s="121" t="s">
        <v>260</v>
      </c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3"/>
      <c r="CD1" s="121" t="s">
        <v>185</v>
      </c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3"/>
      <c r="CX1" s="121" t="s">
        <v>186</v>
      </c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3"/>
      <c r="DR1" s="121" t="s">
        <v>261</v>
      </c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23"/>
      <c r="EL1" s="124" t="s">
        <v>189</v>
      </c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6"/>
    </row>
    <row r="2" spans="1:161" x14ac:dyDescent="0.15">
      <c r="A2" s="128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v>1</v>
      </c>
      <c r="C3" s="43">
        <f t="shared" ref="C3:U3" si="0">W3*AQ3*C191</f>
        <v>0</v>
      </c>
      <c r="D3" s="43">
        <f t="shared" si="0"/>
        <v>0</v>
      </c>
      <c r="E3" s="43">
        <f t="shared" si="0"/>
        <v>0</v>
      </c>
      <c r="F3" s="43">
        <f t="shared" si="0"/>
        <v>0</v>
      </c>
      <c r="G3" s="43">
        <f t="shared" si="0"/>
        <v>0</v>
      </c>
      <c r="H3" s="43">
        <f t="shared" si="0"/>
        <v>0</v>
      </c>
      <c r="I3" s="43">
        <f t="shared" si="0"/>
        <v>0</v>
      </c>
      <c r="J3" s="43">
        <f t="shared" si="0"/>
        <v>0</v>
      </c>
      <c r="K3" s="43">
        <f t="shared" si="0"/>
        <v>0</v>
      </c>
      <c r="L3" s="43">
        <f t="shared" si="0"/>
        <v>0</v>
      </c>
      <c r="M3" s="43">
        <f t="shared" si="0"/>
        <v>0</v>
      </c>
      <c r="N3" s="43">
        <f t="shared" si="0"/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8">
        <f t="shared" ref="V3:AO3" si="1">(B205+B203-B204)/(B191*V194)</f>
        <v>0</v>
      </c>
      <c r="W3" s="48">
        <f t="shared" si="1"/>
        <v>0</v>
      </c>
      <c r="X3" s="48">
        <f t="shared" si="1"/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  <c r="AB3" s="48">
        <f t="shared" si="1"/>
        <v>0</v>
      </c>
      <c r="AC3" s="48">
        <f t="shared" si="1"/>
        <v>0</v>
      </c>
      <c r="AD3" s="48">
        <f t="shared" si="1"/>
        <v>0</v>
      </c>
      <c r="AE3" s="48">
        <f t="shared" si="1"/>
        <v>0</v>
      </c>
      <c r="AF3" s="48">
        <f t="shared" si="1"/>
        <v>0</v>
      </c>
      <c r="AG3" s="48">
        <f t="shared" si="1"/>
        <v>0</v>
      </c>
      <c r="AH3" s="48">
        <f t="shared" si="1"/>
        <v>0</v>
      </c>
      <c r="AI3" s="48">
        <f t="shared" si="1"/>
        <v>0</v>
      </c>
      <c r="AJ3" s="48">
        <f t="shared" si="1"/>
        <v>0</v>
      </c>
      <c r="AK3" s="48">
        <f t="shared" si="1"/>
        <v>0</v>
      </c>
      <c r="AL3" s="48">
        <f t="shared" si="1"/>
        <v>0</v>
      </c>
      <c r="AM3" s="48">
        <f t="shared" si="1"/>
        <v>0</v>
      </c>
      <c r="AN3" s="48">
        <f t="shared" si="1"/>
        <v>0</v>
      </c>
      <c r="AO3" s="48">
        <f t="shared" si="1"/>
        <v>0</v>
      </c>
      <c r="AP3" s="42">
        <v>0</v>
      </c>
      <c r="AQ3" s="42">
        <v>0</v>
      </c>
      <c r="AR3" s="42">
        <v>0</v>
      </c>
      <c r="AS3" s="42">
        <v>0</v>
      </c>
      <c r="AT3" s="42">
        <v>0</v>
      </c>
      <c r="AU3" s="42">
        <v>0</v>
      </c>
      <c r="AV3" s="42">
        <v>0</v>
      </c>
      <c r="AW3" s="42">
        <v>0</v>
      </c>
      <c r="AX3" s="42">
        <v>0</v>
      </c>
      <c r="AY3" s="42">
        <v>0</v>
      </c>
      <c r="AZ3" s="42">
        <v>0</v>
      </c>
      <c r="BA3" s="42">
        <v>0</v>
      </c>
      <c r="BB3" s="42">
        <v>0</v>
      </c>
      <c r="BC3" s="42">
        <v>0</v>
      </c>
      <c r="BD3" s="42">
        <v>0</v>
      </c>
      <c r="BE3" s="42">
        <v>0</v>
      </c>
      <c r="BF3" s="42">
        <v>0</v>
      </c>
      <c r="BG3" s="42">
        <v>0</v>
      </c>
      <c r="BH3" s="42">
        <v>0</v>
      </c>
      <c r="BI3" s="42">
        <v>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>
        <v>1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>
        <v>1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>
        <v>1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>
        <v>1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>
        <v>1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>
        <v>1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>
        <v>1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>
        <v>1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7" t="s">
        <v>187</v>
      </c>
      <c r="B189" s="121" t="s">
        <v>262</v>
      </c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3"/>
      <c r="V189" s="121" t="s">
        <v>263</v>
      </c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3"/>
    </row>
    <row r="190" spans="1:161" x14ac:dyDescent="0.15">
      <c r="A190" s="128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323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318</v>
      </c>
      <c r="AQ192" s="65" t="s">
        <v>317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228</v>
      </c>
    </row>
    <row r="194" spans="1:42" x14ac:dyDescent="0.15">
      <c r="V194" s="100">
        <f>(V193-V192)/1000</f>
        <v>2.222645</v>
      </c>
      <c r="W194" s="100">
        <f t="shared" ref="W194:AO194" si="2">(W193-W192)/1000</f>
        <v>0.88192399999999993</v>
      </c>
      <c r="X194" s="100">
        <f t="shared" si="2"/>
        <v>0.83789899999999984</v>
      </c>
      <c r="Y194" s="100">
        <f t="shared" si="2"/>
        <v>2.2671959999999998</v>
      </c>
      <c r="Z194" s="100">
        <f t="shared" si="2"/>
        <v>3.0948520000000008</v>
      </c>
      <c r="AA194" s="100">
        <f t="shared" si="2"/>
        <v>2.4515630000000002</v>
      </c>
      <c r="AB194" s="100">
        <f t="shared" si="2"/>
        <v>2.7807539999999999</v>
      </c>
      <c r="AC194" s="100">
        <f t="shared" si="2"/>
        <v>1.7573410000000003</v>
      </c>
      <c r="AD194" s="100">
        <f t="shared" si="2"/>
        <v>4.4625079999999988</v>
      </c>
      <c r="AE194" s="100">
        <f t="shared" si="2"/>
        <v>6.3181420000000017</v>
      </c>
      <c r="AF194" s="100">
        <f t="shared" si="2"/>
        <v>2.1411089999999997</v>
      </c>
      <c r="AG194" s="100">
        <f t="shared" si="2"/>
        <v>4.382422</v>
      </c>
      <c r="AH194" s="100">
        <f t="shared" si="2"/>
        <v>2.5497670000000006</v>
      </c>
      <c r="AI194" s="100">
        <f t="shared" si="2"/>
        <v>2.774</v>
      </c>
      <c r="AJ194" s="100">
        <f t="shared" si="2"/>
        <v>2.4595509999999994</v>
      </c>
      <c r="AK194" s="100">
        <f t="shared" si="2"/>
        <v>2.9301089999999999</v>
      </c>
      <c r="AL194" s="100">
        <f t="shared" si="2"/>
        <v>2.2659370000000005</v>
      </c>
      <c r="AM194" s="100">
        <f t="shared" si="2"/>
        <v>0.27049799999999957</v>
      </c>
      <c r="AN194" s="100">
        <f t="shared" si="2"/>
        <v>2.357504</v>
      </c>
      <c r="AO194" s="100">
        <f t="shared" si="2"/>
        <v>2.0483159999999998</v>
      </c>
    </row>
    <row r="195" spans="1:42" x14ac:dyDescent="0.15">
      <c r="V195" s="129" t="s">
        <v>319</v>
      </c>
      <c r="W195" s="129"/>
      <c r="X195" s="129"/>
      <c r="Y195" s="129"/>
      <c r="Z195" s="129"/>
      <c r="AA195" s="129" t="s">
        <v>320</v>
      </c>
      <c r="AB195" s="129"/>
      <c r="AC195" s="129"/>
      <c r="AD195" s="129"/>
      <c r="AE195" s="129"/>
      <c r="AF195" s="129" t="s">
        <v>321</v>
      </c>
      <c r="AG195" s="129"/>
      <c r="AH195" s="129"/>
      <c r="AI195" s="129"/>
      <c r="AJ195" s="129"/>
      <c r="AK195" s="129" t="s">
        <v>322</v>
      </c>
      <c r="AL195" s="129"/>
      <c r="AM195" s="129"/>
      <c r="AN195" s="129"/>
      <c r="AO195" s="129"/>
    </row>
    <row r="197" spans="1:42" x14ac:dyDescent="0.15">
      <c r="A197" s="46" t="s">
        <v>94</v>
      </c>
      <c r="B197" s="121" t="s">
        <v>206</v>
      </c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3"/>
    </row>
    <row r="198" spans="1:42" ht="13.5" customHeight="1" x14ac:dyDescent="0.15">
      <c r="A198" s="53">
        <f>SUM(B198:P198)</f>
        <v>0</v>
      </c>
      <c r="B198" s="40">
        <f>SUM(V3:V182)*B191*V191</f>
        <v>0</v>
      </c>
      <c r="C198" s="40">
        <f t="shared" ref="C198:U198" si="3">SUM(W3:W182)*C191*W191</f>
        <v>0</v>
      </c>
      <c r="D198" s="40">
        <f t="shared" si="3"/>
        <v>0</v>
      </c>
      <c r="E198" s="40">
        <f t="shared" si="3"/>
        <v>0</v>
      </c>
      <c r="F198" s="40">
        <f t="shared" si="3"/>
        <v>0</v>
      </c>
      <c r="G198" s="40">
        <f t="shared" si="3"/>
        <v>0</v>
      </c>
      <c r="H198" s="40">
        <f t="shared" si="3"/>
        <v>0</v>
      </c>
      <c r="I198" s="40">
        <f t="shared" si="3"/>
        <v>0</v>
      </c>
      <c r="J198" s="40">
        <f t="shared" si="3"/>
        <v>0</v>
      </c>
      <c r="K198" s="40">
        <f t="shared" si="3"/>
        <v>0</v>
      </c>
      <c r="L198" s="40">
        <f t="shared" si="3"/>
        <v>0</v>
      </c>
      <c r="M198" s="40">
        <f t="shared" si="3"/>
        <v>0</v>
      </c>
      <c r="N198" s="40">
        <f t="shared" si="3"/>
        <v>0</v>
      </c>
      <c r="O198" s="40">
        <f t="shared" si="3"/>
        <v>0</v>
      </c>
      <c r="P198" s="40">
        <f t="shared" si="3"/>
        <v>0</v>
      </c>
      <c r="Q198" s="40">
        <f t="shared" si="3"/>
        <v>0</v>
      </c>
      <c r="R198" s="40">
        <f t="shared" si="3"/>
        <v>0</v>
      </c>
      <c r="S198" s="40">
        <f t="shared" si="3"/>
        <v>0</v>
      </c>
      <c r="T198" s="40">
        <f t="shared" si="3"/>
        <v>0</v>
      </c>
      <c r="U198" s="40">
        <f t="shared" si="3"/>
        <v>0</v>
      </c>
    </row>
    <row r="201" spans="1:42" x14ac:dyDescent="0.15">
      <c r="A201" s="127" t="s">
        <v>187</v>
      </c>
      <c r="B201" s="121" t="s">
        <v>226</v>
      </c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3"/>
    </row>
    <row r="202" spans="1:42" x14ac:dyDescent="0.15">
      <c r="A202" s="128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227</v>
      </c>
      <c r="B203" s="42">
        <v>0</v>
      </c>
      <c r="C203" s="42">
        <v>0</v>
      </c>
      <c r="D203" s="42">
        <v>0</v>
      </c>
      <c r="E203" s="42">
        <v>0</v>
      </c>
      <c r="F203" s="42">
        <v>0</v>
      </c>
      <c r="G203" s="42">
        <v>0</v>
      </c>
      <c r="H203" s="48">
        <f>G204</f>
        <v>0</v>
      </c>
      <c r="I203" s="48">
        <v>0</v>
      </c>
      <c r="J203" s="42">
        <v>0</v>
      </c>
      <c r="K203" s="42">
        <v>0</v>
      </c>
      <c r="L203" s="42">
        <v>0</v>
      </c>
      <c r="M203" s="42">
        <v>0</v>
      </c>
      <c r="N203" s="42">
        <v>0</v>
      </c>
      <c r="O203" s="48">
        <f>N204</f>
        <v>0</v>
      </c>
      <c r="P203" s="48">
        <v>0</v>
      </c>
      <c r="Q203" s="42">
        <v>0</v>
      </c>
      <c r="R203" s="42">
        <v>0</v>
      </c>
      <c r="S203" s="42">
        <v>0</v>
      </c>
      <c r="T203" s="42">
        <v>0</v>
      </c>
      <c r="U203" s="48">
        <f>T204</f>
        <v>0</v>
      </c>
    </row>
    <row r="204" spans="1:42" x14ac:dyDescent="0.15">
      <c r="A204" s="46" t="s">
        <v>228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2">
        <v>0</v>
      </c>
      <c r="T204" s="42">
        <v>0</v>
      </c>
      <c r="U204" s="42">
        <v>0</v>
      </c>
    </row>
    <row r="205" spans="1:42" x14ac:dyDescent="0.15">
      <c r="A205" s="46">
        <v>0</v>
      </c>
      <c r="B205" s="43">
        <v>0</v>
      </c>
      <c r="C205" s="43">
        <v>0</v>
      </c>
      <c r="D205" s="43">
        <v>0</v>
      </c>
      <c r="E205" s="43">
        <v>0</v>
      </c>
      <c r="F205" s="43">
        <v>0</v>
      </c>
      <c r="G205" s="43">
        <v>0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43">
        <v>0</v>
      </c>
      <c r="N205" s="43">
        <v>0</v>
      </c>
      <c r="O205" s="43">
        <v>0</v>
      </c>
      <c r="P205" s="43">
        <v>0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</row>
  </sheetData>
  <mergeCells count="19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35" t="s">
        <v>168</v>
      </c>
      <c r="B1" s="132" t="s">
        <v>191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4"/>
      <c r="O1" s="132" t="s">
        <v>192</v>
      </c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4"/>
      <c r="AB1" s="132" t="s">
        <v>193</v>
      </c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4"/>
      <c r="AO1" s="132" t="s">
        <v>194</v>
      </c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4"/>
      <c r="BB1" s="130" t="s">
        <v>195</v>
      </c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0" t="s">
        <v>196</v>
      </c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</row>
    <row r="2" spans="1:79" x14ac:dyDescent="0.15">
      <c r="A2" s="135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9"/>
  <sheetViews>
    <sheetView topLeftCell="A169" zoomScale="66" zoomScaleNormal="66" workbookViewId="0">
      <selection activeCell="P201" sqref="P201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38" t="s">
        <v>168</v>
      </c>
      <c r="B1" s="136" t="s">
        <v>169</v>
      </c>
      <c r="C1" s="136"/>
      <c r="D1" s="136"/>
      <c r="E1" s="136"/>
      <c r="F1" s="136"/>
      <c r="G1" s="136"/>
      <c r="H1" s="136"/>
      <c r="I1" s="136"/>
      <c r="J1" s="136"/>
      <c r="K1" s="136" t="s">
        <v>170</v>
      </c>
      <c r="L1" s="136"/>
      <c r="M1" s="136"/>
      <c r="N1" s="136"/>
      <c r="O1" s="136"/>
      <c r="P1" s="136"/>
      <c r="Q1" s="136"/>
      <c r="R1" s="136"/>
      <c r="S1" s="136"/>
      <c r="T1" s="136" t="s">
        <v>171</v>
      </c>
      <c r="U1" s="136"/>
      <c r="V1" s="136"/>
      <c r="W1" s="136"/>
      <c r="X1" s="136"/>
      <c r="Y1" s="136"/>
      <c r="Z1" s="136"/>
      <c r="AA1" s="136"/>
      <c r="AB1" s="136"/>
      <c r="AC1" s="136" t="s">
        <v>167</v>
      </c>
      <c r="AD1" s="136"/>
      <c r="AE1" s="136"/>
      <c r="AF1" s="136"/>
      <c r="AG1" s="136"/>
      <c r="AH1" s="136"/>
      <c r="AI1" s="136"/>
      <c r="AJ1" s="136"/>
      <c r="AK1" s="136"/>
      <c r="AL1" s="136" t="s">
        <v>172</v>
      </c>
      <c r="AM1" s="136"/>
      <c r="AN1" s="136"/>
      <c r="AO1" s="136"/>
      <c r="AP1" s="136"/>
      <c r="AQ1" s="136"/>
      <c r="AR1" s="136"/>
      <c r="AS1" s="136"/>
      <c r="AT1" s="136"/>
      <c r="AU1" s="136" t="s">
        <v>173</v>
      </c>
      <c r="AV1" s="136"/>
      <c r="AW1" s="136"/>
      <c r="AX1" s="136"/>
      <c r="AY1" s="136"/>
      <c r="AZ1" s="136"/>
      <c r="BA1" s="136"/>
      <c r="BB1" s="136"/>
      <c r="BC1" s="136"/>
      <c r="BD1" s="136" t="s">
        <v>197</v>
      </c>
      <c r="BE1" s="136"/>
      <c r="BF1" s="136"/>
      <c r="BG1" s="136"/>
      <c r="BH1" s="136"/>
      <c r="BI1" s="136"/>
      <c r="BJ1" s="136"/>
      <c r="BK1" s="136"/>
      <c r="BL1" s="136"/>
      <c r="BM1" s="137" t="s">
        <v>188</v>
      </c>
      <c r="BN1" s="137"/>
      <c r="BO1" s="137"/>
      <c r="BP1" s="137"/>
      <c r="BQ1" s="137"/>
      <c r="BR1" s="137"/>
      <c r="BS1" s="137"/>
      <c r="BT1" s="137"/>
      <c r="BU1" s="137"/>
      <c r="BV1" s="137" t="s">
        <v>207</v>
      </c>
      <c r="BW1" s="137"/>
      <c r="BX1" s="137"/>
      <c r="BY1" s="137"/>
      <c r="BZ1" s="137"/>
      <c r="CA1" s="137"/>
      <c r="CB1" s="137"/>
      <c r="CC1" s="137"/>
      <c r="CD1" s="137"/>
      <c r="CE1" s="136" t="s">
        <v>198</v>
      </c>
      <c r="CF1" s="136"/>
      <c r="CG1" s="136"/>
      <c r="CH1" s="136"/>
      <c r="CI1" s="136"/>
      <c r="CJ1" s="136"/>
      <c r="CK1" s="136"/>
      <c r="CL1" s="136"/>
      <c r="CM1" s="136"/>
    </row>
    <row r="2" spans="1:91" s="49" customFormat="1" x14ac:dyDescent="0.15">
      <c r="A2" s="139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/>
      <c r="L3" s="42"/>
      <c r="M3" s="42"/>
      <c r="N3" s="42"/>
      <c r="O3" s="42"/>
      <c r="P3" s="42"/>
      <c r="Q3" s="42"/>
      <c r="R3" s="42"/>
      <c r="S3" s="42"/>
      <c r="T3" s="88"/>
      <c r="U3" s="88"/>
      <c r="V3" s="88"/>
      <c r="W3" s="88"/>
      <c r="X3" s="88"/>
      <c r="Y3" s="88"/>
      <c r="Z3" s="88"/>
      <c r="AA3" s="88"/>
      <c r="AB3" s="88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0</v>
      </c>
      <c r="CF3" s="42">
        <v>0</v>
      </c>
      <c r="CG3" s="42">
        <v>0</v>
      </c>
      <c r="CH3" s="42">
        <v>0</v>
      </c>
      <c r="CI3" s="42">
        <v>0</v>
      </c>
      <c r="CJ3" s="42">
        <v>0</v>
      </c>
      <c r="CK3" s="42">
        <v>0</v>
      </c>
      <c r="CL3" s="42">
        <v>0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36" t="s">
        <v>190</v>
      </c>
      <c r="C188" s="136"/>
      <c r="D188" s="136"/>
      <c r="E188" s="136"/>
      <c r="F188" s="136"/>
      <c r="G188" s="136"/>
      <c r="H188" s="136"/>
      <c r="I188" s="136"/>
      <c r="J188" s="136"/>
      <c r="K188" s="136" t="s">
        <v>199</v>
      </c>
      <c r="L188" s="136"/>
      <c r="M188" s="136"/>
      <c r="N188" s="136"/>
      <c r="O188" s="136"/>
      <c r="P188" s="136"/>
      <c r="Q188" s="136"/>
      <c r="R188" s="136"/>
      <c r="S188" s="136"/>
      <c r="T188" s="136" t="s">
        <v>208</v>
      </c>
      <c r="U188" s="136"/>
      <c r="V188" s="136"/>
      <c r="W188" s="136"/>
      <c r="X188" s="136"/>
      <c r="Y188" s="136"/>
      <c r="Z188" s="136"/>
      <c r="AA188" s="136"/>
      <c r="AB188" s="136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0">T191*rhomax/1000</f>
        <v>36</v>
      </c>
      <c r="U190" s="42">
        <f t="shared" si="0"/>
        <v>72</v>
      </c>
      <c r="V190" s="42">
        <f t="shared" si="0"/>
        <v>36</v>
      </c>
      <c r="W190" s="42">
        <f t="shared" si="0"/>
        <v>108</v>
      </c>
      <c r="X190" s="42">
        <f t="shared" si="0"/>
        <v>45</v>
      </c>
      <c r="Y190" s="42">
        <f t="shared" si="0"/>
        <v>72</v>
      </c>
      <c r="Z190" s="42">
        <f t="shared" si="0"/>
        <v>72</v>
      </c>
      <c r="AA190" s="42">
        <f t="shared" si="0"/>
        <v>36</v>
      </c>
      <c r="AB190" s="42">
        <f t="shared" si="0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6" t="s">
        <v>254</v>
      </c>
      <c r="C192" s="136"/>
      <c r="D192" s="136"/>
      <c r="E192" s="136"/>
      <c r="F192" s="136"/>
      <c r="G192" s="136"/>
      <c r="H192" s="136"/>
      <c r="I192" s="136"/>
      <c r="J192" s="136"/>
      <c r="K192" s="136" t="s">
        <v>303</v>
      </c>
      <c r="L192" s="136"/>
      <c r="M192" s="136"/>
      <c r="N192" s="136"/>
      <c r="O192" s="136"/>
      <c r="P192" s="136"/>
      <c r="Q192" s="136"/>
      <c r="R192" s="136"/>
      <c r="S192" s="136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1">L195*L190</f>
        <v>4000</v>
      </c>
      <c r="M194" s="42">
        <f t="shared" si="1"/>
        <v>2000</v>
      </c>
      <c r="N194" s="42">
        <f t="shared" si="1"/>
        <v>4000</v>
      </c>
      <c r="O194" s="42">
        <f t="shared" si="1"/>
        <v>2000</v>
      </c>
      <c r="P194" s="42">
        <f t="shared" si="1"/>
        <v>6000</v>
      </c>
      <c r="Q194" s="42">
        <f t="shared" si="1"/>
        <v>2000</v>
      </c>
      <c r="R194" s="42">
        <f t="shared" si="1"/>
        <v>4000</v>
      </c>
      <c r="S194" s="42">
        <f t="shared" si="1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307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308</v>
      </c>
      <c r="C198" s="47">
        <v>0</v>
      </c>
      <c r="D198" s="47">
        <f>queue1*rhomax/1000</f>
        <v>0</v>
      </c>
      <c r="E198" s="47">
        <v>0</v>
      </c>
      <c r="F198" s="47">
        <f>queue2*rhomax/1000</f>
        <v>0</v>
      </c>
      <c r="G198" s="47">
        <f>queue3*rhomax/1000</f>
        <v>0</v>
      </c>
      <c r="H198" s="47">
        <f>queue4*rhomax/1000</f>
        <v>0</v>
      </c>
      <c r="I198" s="47">
        <f>queue5*rhomax/1000</f>
        <v>0</v>
      </c>
      <c r="J198" s="47">
        <f>queue6*rhomax/1000</f>
        <v>0</v>
      </c>
      <c r="K198" s="47">
        <f>queue7*rhomax/1000</f>
        <v>0</v>
      </c>
      <c r="L198" s="47">
        <f>queue8*rhomax/1000</f>
        <v>0</v>
      </c>
      <c r="M198" s="47">
        <v>0</v>
      </c>
      <c r="N198" s="47">
        <f>queue9*rhomax/1000</f>
        <v>0</v>
      </c>
      <c r="O198" s="47">
        <v>0</v>
      </c>
    </row>
    <row r="199" spans="2:19" x14ac:dyDescent="0.15">
      <c r="B199" s="47" t="s">
        <v>448</v>
      </c>
      <c r="C199" s="47">
        <v>0</v>
      </c>
      <c r="D199" s="47">
        <f>T190</f>
        <v>36</v>
      </c>
      <c r="E199" s="47">
        <v>0</v>
      </c>
      <c r="F199" s="47">
        <f t="shared" ref="F199:L199" si="2">U190</f>
        <v>72</v>
      </c>
      <c r="G199" s="47">
        <f t="shared" si="2"/>
        <v>36</v>
      </c>
      <c r="H199" s="47">
        <f t="shared" si="2"/>
        <v>108</v>
      </c>
      <c r="I199" s="47">
        <f t="shared" si="2"/>
        <v>45</v>
      </c>
      <c r="J199" s="47">
        <f t="shared" si="2"/>
        <v>72</v>
      </c>
      <c r="K199" s="47">
        <f t="shared" si="2"/>
        <v>72</v>
      </c>
      <c r="L199" s="47">
        <f t="shared" si="2"/>
        <v>36</v>
      </c>
      <c r="M199" s="47">
        <v>0</v>
      </c>
      <c r="N199" s="47">
        <f>AB190</f>
        <v>36</v>
      </c>
      <c r="O199" s="47">
        <v>0</v>
      </c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A177" zoomScale="70" zoomScaleNormal="70" workbookViewId="0">
      <selection activeCell="B202" sqref="B202:O202"/>
    </sheetView>
  </sheetViews>
  <sheetFormatPr defaultRowHeight="14.25" x14ac:dyDescent="0.15"/>
  <cols>
    <col min="1" max="16384" width="9" style="47"/>
  </cols>
  <sheetData>
    <row r="1" spans="1:28" x14ac:dyDescent="0.15">
      <c r="A1" s="138" t="s">
        <v>187</v>
      </c>
      <c r="B1" s="143" t="s">
        <v>167</v>
      </c>
      <c r="C1" s="144"/>
      <c r="D1" s="144"/>
      <c r="E1" s="144"/>
      <c r="F1" s="144"/>
      <c r="G1" s="144"/>
      <c r="H1" s="144"/>
      <c r="I1" s="144"/>
      <c r="J1" s="144"/>
      <c r="K1" s="145"/>
      <c r="L1" s="136" t="s">
        <v>200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59"/>
    </row>
    <row r="2" spans="1:28" x14ac:dyDescent="0.15">
      <c r="A2" s="139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229</v>
      </c>
      <c r="W2" s="40" t="s">
        <v>230</v>
      </c>
      <c r="X2" s="40" t="s">
        <v>231</v>
      </c>
      <c r="Y2" s="40" t="s">
        <v>232</v>
      </c>
      <c r="Z2" s="40" t="s">
        <v>233</v>
      </c>
      <c r="AA2" s="40" t="s">
        <v>234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(B195-B194+B196)/(A189*Q189)</f>
        <v>0</v>
      </c>
      <c r="M3" s="48">
        <f t="shared" ref="M3:AA3" si="0">(C195-C194+C196)/(B189*R189)</f>
        <v>0</v>
      </c>
      <c r="N3" s="48">
        <f t="shared" si="0"/>
        <v>0</v>
      </c>
      <c r="O3" s="48">
        <f t="shared" si="0"/>
        <v>0</v>
      </c>
      <c r="P3" s="66"/>
      <c r="Q3" s="66"/>
      <c r="R3" s="48">
        <f t="shared" si="0"/>
        <v>0</v>
      </c>
      <c r="S3" s="48">
        <f t="shared" si="0"/>
        <v>0</v>
      </c>
      <c r="T3" s="48">
        <f t="shared" si="0"/>
        <v>0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si="0"/>
        <v>0</v>
      </c>
      <c r="Y3" s="48">
        <f t="shared" si="0"/>
        <v>0</v>
      </c>
      <c r="Z3" s="48">
        <f t="shared" si="0"/>
        <v>0</v>
      </c>
      <c r="AA3" s="48">
        <f t="shared" si="0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36" t="s">
        <v>201</v>
      </c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 t="s">
        <v>202</v>
      </c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136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229</v>
      </c>
      <c r="L188" s="40" t="s">
        <v>230</v>
      </c>
      <c r="M188" s="40" t="s">
        <v>231</v>
      </c>
      <c r="N188" s="40" t="s">
        <v>232</v>
      </c>
      <c r="O188" s="40" t="s">
        <v>233</v>
      </c>
      <c r="P188" s="40" t="s">
        <v>234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229</v>
      </c>
      <c r="AB188" s="40" t="s">
        <v>230</v>
      </c>
      <c r="AC188" s="40" t="s">
        <v>231</v>
      </c>
      <c r="AD188" s="40" t="s">
        <v>232</v>
      </c>
      <c r="AE188" s="40" t="s">
        <v>233</v>
      </c>
      <c r="AF188" s="40" t="s">
        <v>234</v>
      </c>
    </row>
    <row r="189" spans="1:32" x14ac:dyDescent="0.15">
      <c r="A189" s="43">
        <f>A190/1000</f>
        <v>0.303595</v>
      </c>
      <c r="B189" s="43">
        <f t="shared" ref="B189:P189" si="1">B190/1000</f>
        <v>0.23738599999999999</v>
      </c>
      <c r="C189" s="43">
        <f t="shared" si="1"/>
        <v>0.251973</v>
      </c>
      <c r="D189" s="43">
        <f t="shared" si="1"/>
        <v>0.14541900000000002</v>
      </c>
      <c r="E189" s="43">
        <f t="shared" si="1"/>
        <v>0</v>
      </c>
      <c r="F189" s="43">
        <f t="shared" si="1"/>
        <v>0</v>
      </c>
      <c r="G189" s="43">
        <f t="shared" si="1"/>
        <v>0.23363399999999998</v>
      </c>
      <c r="H189" s="43">
        <f t="shared" si="1"/>
        <v>0.152585</v>
      </c>
      <c r="I189" s="43">
        <f t="shared" si="1"/>
        <v>0.24703700000000001</v>
      </c>
      <c r="J189" s="43">
        <f t="shared" si="1"/>
        <v>0.53750100000000001</v>
      </c>
      <c r="K189" s="43">
        <f t="shared" si="1"/>
        <v>0.7013339999999999</v>
      </c>
      <c r="L189" s="43">
        <f t="shared" si="1"/>
        <v>0.36566699999999996</v>
      </c>
      <c r="M189" s="43">
        <f t="shared" si="1"/>
        <v>0.173404</v>
      </c>
      <c r="N189" s="43">
        <f t="shared" si="1"/>
        <v>0.31930900000000001</v>
      </c>
      <c r="O189" s="43">
        <f t="shared" si="1"/>
        <v>0.15876099999999999</v>
      </c>
      <c r="P189" s="43">
        <f t="shared" si="1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0" t="s">
        <v>187</v>
      </c>
      <c r="B192" s="141" t="s">
        <v>226</v>
      </c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</row>
    <row r="193" spans="1:19" x14ac:dyDescent="0.15">
      <c r="A193" s="140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229</v>
      </c>
      <c r="M193" s="40" t="s">
        <v>230</v>
      </c>
      <c r="N193" s="40" t="s">
        <v>231</v>
      </c>
      <c r="O193" s="40" t="s">
        <v>232</v>
      </c>
      <c r="P193" s="40" t="s">
        <v>233</v>
      </c>
      <c r="Q193" s="40" t="s">
        <v>234</v>
      </c>
    </row>
    <row r="194" spans="1:19" x14ac:dyDescent="0.15">
      <c r="A194" s="46" t="s">
        <v>227</v>
      </c>
      <c r="B194" s="42">
        <v>0</v>
      </c>
      <c r="C194" s="42">
        <v>0</v>
      </c>
      <c r="D194" s="42">
        <v>0</v>
      </c>
      <c r="E194" s="42">
        <v>0</v>
      </c>
      <c r="F194" s="66"/>
      <c r="G194" s="66"/>
      <c r="H194" s="42">
        <v>0</v>
      </c>
      <c r="I194" s="42">
        <v>0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 s="42">
        <v>0</v>
      </c>
      <c r="P194" s="42">
        <v>0</v>
      </c>
      <c r="Q194" s="42">
        <v>0</v>
      </c>
    </row>
    <row r="195" spans="1:19" x14ac:dyDescent="0.15">
      <c r="A195" s="46" t="s">
        <v>228</v>
      </c>
      <c r="B195" s="42">
        <v>0</v>
      </c>
      <c r="C195" s="42">
        <v>0</v>
      </c>
      <c r="D195" s="42">
        <v>0</v>
      </c>
      <c r="E195" s="42">
        <v>0</v>
      </c>
      <c r="F195" s="66"/>
      <c r="G195" s="66"/>
      <c r="H195" s="42">
        <v>0</v>
      </c>
      <c r="I195" s="42">
        <v>0</v>
      </c>
      <c r="J195" s="42">
        <v>0</v>
      </c>
      <c r="K195" s="42">
        <v>0</v>
      </c>
      <c r="L195" s="42">
        <v>0</v>
      </c>
      <c r="M195" s="42">
        <v>0</v>
      </c>
      <c r="N195" s="42">
        <v>0</v>
      </c>
      <c r="O195" s="42">
        <v>0</v>
      </c>
      <c r="P195" s="42">
        <v>0</v>
      </c>
      <c r="Q195" s="42">
        <v>0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0</v>
      </c>
      <c r="E196" s="43">
        <v>0</v>
      </c>
      <c r="F196" s="66">
        <v>0</v>
      </c>
      <c r="G196" s="66">
        <v>0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43">
        <v>0</v>
      </c>
      <c r="N196" s="43">
        <v>0</v>
      </c>
      <c r="O196" s="43">
        <v>0</v>
      </c>
      <c r="P196" s="43">
        <v>0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304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305</v>
      </c>
      <c r="B202" s="65">
        <f>A189</f>
        <v>0.303595</v>
      </c>
      <c r="C202" s="65">
        <f t="shared" ref="C202:D202" si="2">B189</f>
        <v>0.23738599999999999</v>
      </c>
      <c r="D202" s="65">
        <f t="shared" si="2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3">H189</f>
        <v>0.152585</v>
      </c>
      <c r="H202" s="65">
        <f t="shared" si="3"/>
        <v>0.24703700000000001</v>
      </c>
      <c r="I202" s="65">
        <f t="shared" si="3"/>
        <v>0.53750100000000001</v>
      </c>
      <c r="J202" s="65">
        <f t="shared" si="3"/>
        <v>0.7013339999999999</v>
      </c>
      <c r="K202" s="65">
        <f t="shared" si="3"/>
        <v>0.36566699999999996</v>
      </c>
      <c r="L202" s="65">
        <f t="shared" si="3"/>
        <v>0.173404</v>
      </c>
      <c r="M202" s="65">
        <f t="shared" si="3"/>
        <v>0.31930900000000001</v>
      </c>
      <c r="N202" s="65">
        <f t="shared" si="3"/>
        <v>0.15876099999999999</v>
      </c>
      <c r="O202" s="65">
        <f t="shared" si="3"/>
        <v>0.16373199999999999</v>
      </c>
      <c r="P202" s="65"/>
      <c r="Q202" s="65"/>
      <c r="R202" s="65"/>
      <c r="S202" s="65"/>
    </row>
    <row r="203" spans="1:19" x14ac:dyDescent="0.15">
      <c r="A203" s="65" t="s">
        <v>306</v>
      </c>
      <c r="B203" s="65">
        <f>Q189</f>
        <v>1</v>
      </c>
      <c r="C203" s="65">
        <f t="shared" ref="C203:E203" si="4">R189</f>
        <v>1</v>
      </c>
      <c r="D203" s="65">
        <f t="shared" si="4"/>
        <v>1</v>
      </c>
      <c r="E203" s="65">
        <f t="shared" si="4"/>
        <v>1</v>
      </c>
      <c r="F203" s="65">
        <f>W189</f>
        <v>2</v>
      </c>
      <c r="G203" s="65">
        <f t="shared" ref="G203:O203" si="5">X189</f>
        <v>1</v>
      </c>
      <c r="H203" s="65">
        <f t="shared" si="5"/>
        <v>2</v>
      </c>
      <c r="I203" s="65">
        <f t="shared" si="5"/>
        <v>1</v>
      </c>
      <c r="J203" s="65">
        <f t="shared" si="5"/>
        <v>2</v>
      </c>
      <c r="K203" s="65">
        <f t="shared" si="5"/>
        <v>1</v>
      </c>
      <c r="L203" s="65">
        <f t="shared" si="5"/>
        <v>1</v>
      </c>
      <c r="M203" s="65">
        <f t="shared" si="5"/>
        <v>1</v>
      </c>
      <c r="N203" s="65">
        <f t="shared" si="5"/>
        <v>1</v>
      </c>
      <c r="O203" s="65">
        <f t="shared" si="5"/>
        <v>1</v>
      </c>
      <c r="P203" s="65"/>
      <c r="Q203" s="65"/>
      <c r="R203" s="65"/>
      <c r="S203" s="65"/>
    </row>
    <row r="204" spans="1:19" x14ac:dyDescent="0.15">
      <c r="A204" s="47" t="s">
        <v>200</v>
      </c>
      <c r="B204" s="47">
        <f>L3</f>
        <v>0</v>
      </c>
      <c r="C204" s="47">
        <f t="shared" ref="C204:E204" si="6">M3</f>
        <v>0</v>
      </c>
      <c r="D204" s="47">
        <f t="shared" si="6"/>
        <v>0</v>
      </c>
      <c r="E204" s="47">
        <f t="shared" si="6"/>
        <v>0</v>
      </c>
      <c r="F204" s="47">
        <f>R3</f>
        <v>0</v>
      </c>
      <c r="G204" s="47">
        <f t="shared" ref="G204:O204" si="7">S3</f>
        <v>0</v>
      </c>
      <c r="H204" s="47">
        <f t="shared" si="7"/>
        <v>0</v>
      </c>
      <c r="I204" s="47">
        <f t="shared" si="7"/>
        <v>0</v>
      </c>
      <c r="J204" s="47">
        <f t="shared" si="7"/>
        <v>0</v>
      </c>
      <c r="K204" s="47">
        <f t="shared" si="7"/>
        <v>0</v>
      </c>
      <c r="L204" s="47">
        <f t="shared" si="7"/>
        <v>0</v>
      </c>
      <c r="M204" s="47">
        <f t="shared" si="7"/>
        <v>0</v>
      </c>
      <c r="N204" s="47">
        <f t="shared" si="7"/>
        <v>0</v>
      </c>
      <c r="O204" s="47">
        <f t="shared" si="7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B19" sqref="B19:N19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171</v>
      </c>
      <c r="B1" s="76" t="s">
        <v>281</v>
      </c>
      <c r="C1" s="76" t="s">
        <v>282</v>
      </c>
      <c r="D1" s="76" t="s">
        <v>283</v>
      </c>
      <c r="E1" s="76" t="s">
        <v>284</v>
      </c>
      <c r="F1" s="76" t="s">
        <v>278</v>
      </c>
      <c r="G1" s="76" t="s">
        <v>285</v>
      </c>
      <c r="H1" s="76" t="s">
        <v>280</v>
      </c>
      <c r="I1" s="76" t="s">
        <v>286</v>
      </c>
      <c r="J1" s="76" t="s">
        <v>279</v>
      </c>
      <c r="K1" s="76" t="s">
        <v>287</v>
      </c>
      <c r="L1" s="76" t="s">
        <v>288</v>
      </c>
      <c r="M1" s="79" t="s">
        <v>297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281</v>
      </c>
      <c r="B2" s="80">
        <v>0</v>
      </c>
      <c r="C2" s="85">
        <v>7</v>
      </c>
      <c r="D2" s="82">
        <v>0</v>
      </c>
      <c r="E2" s="85">
        <v>44</v>
      </c>
      <c r="F2" s="82">
        <v>0</v>
      </c>
      <c r="G2" s="85">
        <v>20</v>
      </c>
      <c r="H2" s="85">
        <v>3</v>
      </c>
      <c r="I2" s="85">
        <v>34</v>
      </c>
      <c r="J2" s="85">
        <v>3</v>
      </c>
      <c r="K2" s="85">
        <v>5</v>
      </c>
      <c r="L2" s="85">
        <v>3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282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289</v>
      </c>
      <c r="B4" s="83">
        <v>0</v>
      </c>
      <c r="C4" s="84">
        <v>0</v>
      </c>
      <c r="D4" s="84">
        <v>0</v>
      </c>
      <c r="E4" s="86">
        <v>4</v>
      </c>
      <c r="F4" s="84">
        <v>0</v>
      </c>
      <c r="G4" s="86">
        <v>14</v>
      </c>
      <c r="H4" s="86">
        <v>0</v>
      </c>
      <c r="I4" s="86">
        <v>6</v>
      </c>
      <c r="J4" s="86">
        <v>1</v>
      </c>
      <c r="K4" s="86">
        <v>6</v>
      </c>
      <c r="L4" s="86">
        <v>3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284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290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5</v>
      </c>
      <c r="H6" s="86">
        <v>4</v>
      </c>
      <c r="I6" s="86">
        <v>39</v>
      </c>
      <c r="J6" s="86">
        <v>1</v>
      </c>
      <c r="K6" s="86">
        <v>5</v>
      </c>
      <c r="L6" s="86">
        <v>8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291</v>
      </c>
      <c r="B7" s="87">
        <v>13</v>
      </c>
      <c r="C7" s="84">
        <v>0</v>
      </c>
      <c r="D7" s="86">
        <v>5</v>
      </c>
      <c r="E7" s="84">
        <v>0</v>
      </c>
      <c r="F7" s="86">
        <v>2</v>
      </c>
      <c r="G7" s="84">
        <v>0</v>
      </c>
      <c r="H7" s="86">
        <v>1</v>
      </c>
      <c r="I7" s="86">
        <v>7</v>
      </c>
      <c r="J7" s="86">
        <v>0</v>
      </c>
      <c r="K7" s="86">
        <v>2</v>
      </c>
      <c r="L7" s="86">
        <v>4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292</v>
      </c>
      <c r="B8" s="87">
        <v>1</v>
      </c>
      <c r="C8" s="84">
        <v>0</v>
      </c>
      <c r="D8" s="86">
        <v>0</v>
      </c>
      <c r="E8" s="84">
        <v>0</v>
      </c>
      <c r="F8" s="86">
        <v>1</v>
      </c>
      <c r="G8" s="86">
        <v>7</v>
      </c>
      <c r="H8" s="84">
        <v>0</v>
      </c>
      <c r="I8" s="86">
        <v>4</v>
      </c>
      <c r="J8" s="86">
        <v>0</v>
      </c>
      <c r="K8" s="86">
        <v>0</v>
      </c>
      <c r="L8" s="86">
        <v>8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293</v>
      </c>
      <c r="B9" s="87">
        <v>154</v>
      </c>
      <c r="C9" s="84">
        <v>0</v>
      </c>
      <c r="D9" s="86">
        <v>39</v>
      </c>
      <c r="E9" s="84">
        <v>0</v>
      </c>
      <c r="F9" s="86">
        <v>18</v>
      </c>
      <c r="G9" s="86">
        <v>6</v>
      </c>
      <c r="H9" s="86">
        <v>0</v>
      </c>
      <c r="I9" s="84">
        <v>0</v>
      </c>
      <c r="J9" s="86">
        <v>5</v>
      </c>
      <c r="K9" s="86">
        <v>3</v>
      </c>
      <c r="L9" s="86">
        <v>2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279</v>
      </c>
      <c r="B10" s="87">
        <v>3</v>
      </c>
      <c r="C10" s="84">
        <v>0</v>
      </c>
      <c r="D10" s="86">
        <v>1</v>
      </c>
      <c r="E10" s="84">
        <v>0</v>
      </c>
      <c r="F10" s="86">
        <v>0</v>
      </c>
      <c r="G10" s="86">
        <v>1</v>
      </c>
      <c r="H10" s="86">
        <v>0</v>
      </c>
      <c r="I10" s="86">
        <v>20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294</v>
      </c>
      <c r="B11" s="87">
        <v>4</v>
      </c>
      <c r="C11" s="84">
        <v>0</v>
      </c>
      <c r="D11" s="86">
        <v>6</v>
      </c>
      <c r="E11" s="84">
        <v>0</v>
      </c>
      <c r="F11" s="86">
        <v>6</v>
      </c>
      <c r="G11" s="86">
        <v>2</v>
      </c>
      <c r="H11" s="86">
        <v>0</v>
      </c>
      <c r="I11" s="86">
        <v>13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288</v>
      </c>
      <c r="B12" s="87">
        <v>32</v>
      </c>
      <c r="C12" s="84">
        <v>0</v>
      </c>
      <c r="D12" s="86">
        <v>7</v>
      </c>
      <c r="E12" s="84">
        <v>0</v>
      </c>
      <c r="F12" s="86">
        <v>4</v>
      </c>
      <c r="G12" s="86">
        <v>3</v>
      </c>
      <c r="H12" s="86">
        <v>0</v>
      </c>
      <c r="I12" s="86">
        <v>14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296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295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194</v>
      </c>
      <c r="B18" s="81">
        <f>C2/SUM(C2,E2,G2:L2)</f>
        <v>5.8823529411764705E-2</v>
      </c>
      <c r="C18" s="84">
        <v>0</v>
      </c>
      <c r="D18" s="81">
        <f>SUM(E2,E4)/SUM(E2,G2:L2,E4,G4:L4)</f>
        <v>0.32876712328767121</v>
      </c>
      <c r="E18" s="84">
        <v>0</v>
      </c>
      <c r="F18" s="81">
        <f>SUM(G2,G4,G6)/SUM(G2:L2,G4:L4,G6:L6,H7:L7)</f>
        <v>0.22413793103448276</v>
      </c>
      <c r="G18" s="81">
        <f>SUM(H2,H4,H6,H7)/SUM(H2:L2,H4:L4,H6:L6,H7:L7,I8:L8)</f>
        <v>5.4421768707482991E-2</v>
      </c>
      <c r="H18" s="81">
        <f>SUM(J2:L2,J4:L4,J6:L6,J7:L7,J8:L8)/SUM(I2:L2,I4:L4,I6:L6,I7:L7,I8:L8,I10:I12)</f>
        <v>0.26344086021505375</v>
      </c>
      <c r="I18" s="81">
        <f>SUM(J9:L9)/SUM(B9,D9,F9:H9,B10:B12,D10:D12,F10:H12)</f>
        <v>3.4965034965034968E-2</v>
      </c>
      <c r="J18" s="81">
        <f>SUM(H9:H12)/SUM(B9:B12,D9:D12,F9:H12,B8,D8,F8:G8)</f>
        <v>0</v>
      </c>
      <c r="K18" s="81">
        <f>SUM(G8:G12)/SUM(B8:B12,D8:D12,F8:G12,B7,D7,F7)</f>
        <v>6.0317460317460318E-2</v>
      </c>
      <c r="L18" s="81">
        <f>SUM(F7:F12)/SUM(B7:B12,D7:D12,F7:F12)</f>
        <v>0.10472972972972973</v>
      </c>
      <c r="M18" s="84">
        <v>0</v>
      </c>
      <c r="N18" s="81">
        <f>SUM(D7:D12)/SUM(B7:B12,D7:D12)</f>
        <v>0.21886792452830189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171</v>
      </c>
      <c r="B19" s="84">
        <v>0</v>
      </c>
      <c r="C19" s="81">
        <f>SUM(E4,G4:L4)*4</f>
        <v>136</v>
      </c>
      <c r="D19" s="84">
        <v>0</v>
      </c>
      <c r="E19" s="81">
        <f>SUM(G6:L6)*4</f>
        <v>248</v>
      </c>
      <c r="F19" s="81">
        <f>SUM(H7:L7)*4</f>
        <v>56</v>
      </c>
      <c r="G19" s="81">
        <f>SUM(I8:L8)*4</f>
        <v>48</v>
      </c>
      <c r="H19" s="81">
        <f>SUM(J9:L9)*4</f>
        <v>40</v>
      </c>
      <c r="I19" s="81">
        <f>SUM(B10:B12,D10:D12,F10:H12)*4</f>
        <v>276</v>
      </c>
      <c r="J19" s="81">
        <f>SUM(B8,D8,F8:G8)*4</f>
        <v>36</v>
      </c>
      <c r="K19" s="81">
        <f>SUM(B7,D7,F7)*4</f>
        <v>80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298</v>
      </c>
      <c r="B20" s="81">
        <f>C2/SUM(C2,E2,G2:L2)</f>
        <v>5.8823529411764705E-2</v>
      </c>
      <c r="C20" s="84">
        <v>0</v>
      </c>
      <c r="D20" s="81">
        <f>SUM(E2,E4,SUM(D21:D26))/SUM(E2,G2:L2,E4,G4:L4)</f>
        <v>0.32876712328767121</v>
      </c>
      <c r="E20" s="84">
        <v>0</v>
      </c>
      <c r="F20" s="81">
        <f>SUM(G2,G4,G6,SUM(F22:F26))/SUM(G2:L2,G4:L4,G6:L6,H7:L7)</f>
        <v>0.22413793103448276</v>
      </c>
      <c r="G20" s="81">
        <f>SUM(H2,H4,H6,H7,SUM(G23:G26))/SUM(H2:L2,H4:L4,H6:L6,H7:L7,I8:L8)</f>
        <v>5.4421768707482991E-2</v>
      </c>
      <c r="H20" s="81">
        <f>SUM(J2:L2,J4:L4,J6:L6,J7:L7,J8:L8,H26)/SUM(I2:L2,I4:L4,I6:L6,I7:L7,I8:L8,I10:I12)</f>
        <v>0.26344086021505375</v>
      </c>
      <c r="I20" s="81">
        <f>SUM(J9:L9,B9*R9,D9*T9,SUM(I21:I25))/SUM(B9,D9,F9:H9,B10:B12,D10:D12,F10:H12)</f>
        <v>3.4965034965034968E-2</v>
      </c>
      <c r="J20" s="81">
        <f>SUM(H9:H12,SUM(J22:J25))/SUM(B9:B12,D9:D12,F9:H12,B8,D8,F8:G8)</f>
        <v>0</v>
      </c>
      <c r="K20" s="81">
        <f>SUM(G8:G12,SUM(K23:K25))/SUM(B8:B12,D8:D12,F8:G12,B7,D7,F7)</f>
        <v>6.0317460317460318E-2</v>
      </c>
      <c r="L20" s="81">
        <f>SUM(F7:F12,SUM(L24:L25))/SUM(B7:B12,D7:D12,F7:F12)</f>
        <v>0.10472972972972973</v>
      </c>
      <c r="M20" s="84">
        <v>0</v>
      </c>
      <c r="N20" s="81">
        <f>SUM(D7:D12,N25)/SUM(B7:B12,D7:D12)</f>
        <v>0.21886792452830189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L15" sqref="L15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8" t="s">
        <v>165</v>
      </c>
      <c r="B1" s="118" t="s">
        <v>166</v>
      </c>
      <c r="C1" s="147" t="s">
        <v>159</v>
      </c>
      <c r="D1" s="118" t="s">
        <v>164</v>
      </c>
      <c r="E1" s="118"/>
      <c r="F1" s="118"/>
      <c r="G1" s="118"/>
      <c r="H1" s="118"/>
      <c r="I1" s="118"/>
      <c r="J1" s="118"/>
      <c r="K1" s="118"/>
      <c r="L1" s="118" t="s">
        <v>255</v>
      </c>
      <c r="M1" s="118"/>
      <c r="N1" s="118"/>
      <c r="O1" s="118"/>
      <c r="P1" s="118"/>
      <c r="Q1" s="118"/>
      <c r="R1" s="118"/>
      <c r="S1" s="118"/>
      <c r="T1" s="146" t="s">
        <v>299</v>
      </c>
    </row>
    <row r="2" spans="1:20" ht="15" x14ac:dyDescent="0.15">
      <c r="A2" s="118"/>
      <c r="B2" s="118"/>
      <c r="C2" s="118"/>
      <c r="D2" s="35" t="s">
        <v>162</v>
      </c>
      <c r="E2" s="36">
        <v>4</v>
      </c>
      <c r="F2" s="36">
        <v>6</v>
      </c>
      <c r="G2" s="36">
        <v>7</v>
      </c>
      <c r="H2" s="36">
        <v>11</v>
      </c>
      <c r="I2" s="37" t="s">
        <v>160</v>
      </c>
      <c r="J2" s="37" t="s">
        <v>161</v>
      </c>
      <c r="K2" s="38" t="s">
        <v>163</v>
      </c>
      <c r="L2" s="35" t="s">
        <v>162</v>
      </c>
      <c r="M2" s="36">
        <v>4</v>
      </c>
      <c r="N2" s="36">
        <v>6</v>
      </c>
      <c r="O2" s="36">
        <v>7</v>
      </c>
      <c r="P2" s="36">
        <v>11</v>
      </c>
      <c r="Q2" s="37" t="s">
        <v>160</v>
      </c>
      <c r="R2" s="37" t="s">
        <v>161</v>
      </c>
      <c r="S2" s="38" t="s">
        <v>163</v>
      </c>
      <c r="T2" s="146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Route_Parts_Conf!M8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Route_Parts_Conf!M13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Route_Parts_Conf!M18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Route_Parts_Conf!M23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Route_Parts_Conf!M27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Route_Parts_Conf!M30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Route_Parts_Conf!M35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Route_Parts_Conf!M38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Route_Parts_Conf!M41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Route_Parts_Conf!M44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Route_Parts_Conf!M46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Route_Parts_Conf!M50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Route_Parts_Conf!M52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Route_Parts_Conf!M54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Route_Parts_Conf!M56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Route_Parts_Conf!M59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f>Route_Parts_Conf!M65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f>Route_Parts_Conf!M71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f>Route_Parts_Conf!M75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f>Route_Parts_Conf!M78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f>Route_Parts_Conf!M81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f>Route_Parts_Conf!M85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f>Route_Parts_Conf!M88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f>Route_Parts_Conf!M90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f>Route_Parts_Conf!M93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f>Route_Parts_Conf!M96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f>Route_Parts_Conf!M98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f>Route_Parts_Conf!M101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f>Route_Parts_Conf!M103</f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f>Route_Parts_Conf!M105</f>
        <v>0</v>
      </c>
    </row>
    <row r="34" spans="1:21" x14ac:dyDescent="0.15">
      <c r="T34" s="29">
        <f>SUM(T3:T33)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zoomScale="85" zoomScaleNormal="85" workbookViewId="0">
      <selection activeCell="C60" sqref="C60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256</v>
      </c>
      <c r="B1" s="92" t="s">
        <v>257</v>
      </c>
      <c r="C1" s="148" t="s">
        <v>300</v>
      </c>
      <c r="D1" s="148"/>
      <c r="E1" s="148"/>
      <c r="F1" s="148"/>
      <c r="G1" s="148"/>
      <c r="H1" s="148"/>
      <c r="I1" s="148"/>
      <c r="J1" s="148"/>
      <c r="K1" s="148"/>
      <c r="L1" s="148"/>
    </row>
    <row r="2" spans="1:12" x14ac:dyDescent="0.15">
      <c r="A2" s="89">
        <v>1</v>
      </c>
      <c r="B2" s="90">
        <v>0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0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0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0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0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0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0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0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0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0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0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0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0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0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0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0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0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0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0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0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0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0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9" t="s">
        <v>47</v>
      </c>
      <c r="C1" s="150"/>
      <c r="D1" s="151"/>
      <c r="E1" s="149" t="s">
        <v>48</v>
      </c>
      <c r="F1" s="150"/>
      <c r="G1" s="150"/>
      <c r="H1" s="150"/>
      <c r="I1" s="150"/>
      <c r="J1" s="150"/>
      <c r="K1" s="150"/>
      <c r="L1" s="151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9" t="s">
        <v>50</v>
      </c>
      <c r="D1" s="150"/>
      <c r="E1" s="150"/>
      <c r="F1" s="150"/>
      <c r="G1" s="150"/>
      <c r="H1" s="150"/>
      <c r="I1" s="150"/>
      <c r="J1" s="151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80</v>
      </c>
      <c r="B1" t="s">
        <v>81</v>
      </c>
      <c r="C1" t="s">
        <v>82</v>
      </c>
      <c r="D1" t="s">
        <v>83</v>
      </c>
      <c r="E1" t="s">
        <v>84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118</v>
      </c>
      <c r="B1" s="1" t="s">
        <v>92</v>
      </c>
      <c r="C1" s="1" t="s">
        <v>93</v>
      </c>
    </row>
    <row r="2" spans="1:4" ht="14.25" x14ac:dyDescent="0.15">
      <c r="A2" s="21" t="s">
        <v>119</v>
      </c>
      <c r="B2" s="21" t="s">
        <v>1</v>
      </c>
      <c r="C2" s="21" t="s">
        <v>124</v>
      </c>
      <c r="D2" s="20" t="s">
        <v>123</v>
      </c>
    </row>
    <row r="3" spans="1:4" ht="14.25" x14ac:dyDescent="0.15">
      <c r="A3" s="21" t="s">
        <v>120</v>
      </c>
      <c r="B3" s="21" t="s">
        <v>109</v>
      </c>
      <c r="C3" s="21" t="s">
        <v>125</v>
      </c>
      <c r="D3" s="20" t="s">
        <v>123</v>
      </c>
    </row>
    <row r="4" spans="1:4" ht="14.25" x14ac:dyDescent="0.15">
      <c r="A4" s="21" t="s">
        <v>127</v>
      </c>
      <c r="B4" s="21" t="s">
        <v>128</v>
      </c>
      <c r="C4" s="21" t="s">
        <v>129</v>
      </c>
      <c r="D4" s="20" t="s">
        <v>113</v>
      </c>
    </row>
    <row r="5" spans="1:4" ht="14.25" x14ac:dyDescent="0.15">
      <c r="A5" s="21" t="s">
        <v>121</v>
      </c>
      <c r="B5" s="21" t="s">
        <v>122</v>
      </c>
      <c r="C5" s="21" t="s">
        <v>94</v>
      </c>
    </row>
    <row r="6" spans="1:4" ht="14.25" x14ac:dyDescent="0.15">
      <c r="A6" s="21" t="s">
        <v>242</v>
      </c>
      <c r="B6" s="21" t="s">
        <v>240</v>
      </c>
      <c r="C6" s="21" t="s">
        <v>241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101</v>
      </c>
      <c r="B1" s="1" t="s">
        <v>107</v>
      </c>
      <c r="C1" s="19"/>
      <c r="F1" s="1" t="s">
        <v>116</v>
      </c>
      <c r="G1" s="21">
        <v>5</v>
      </c>
      <c r="H1" s="1" t="s">
        <v>117</v>
      </c>
      <c r="I1" s="21">
        <v>500</v>
      </c>
    </row>
    <row r="2" spans="1:9" ht="14.25" x14ac:dyDescent="0.15">
      <c r="A2" s="21" t="s">
        <v>102</v>
      </c>
      <c r="B2" s="21" t="s">
        <v>108</v>
      </c>
      <c r="C2" s="20" t="s">
        <v>113</v>
      </c>
      <c r="G2" s="21">
        <v>6</v>
      </c>
    </row>
    <row r="3" spans="1:9" ht="14.25" x14ac:dyDescent="0.15">
      <c r="A3" s="21" t="s">
        <v>103</v>
      </c>
      <c r="B3" s="21" t="s">
        <v>109</v>
      </c>
      <c r="C3" s="20" t="s">
        <v>113</v>
      </c>
      <c r="G3" s="21">
        <v>13</v>
      </c>
    </row>
    <row r="4" spans="1:9" ht="14.25" x14ac:dyDescent="0.15">
      <c r="A4" s="21" t="s">
        <v>104</v>
      </c>
      <c r="B4" s="21" t="s">
        <v>110</v>
      </c>
      <c r="C4" s="19"/>
      <c r="G4" s="21">
        <v>17</v>
      </c>
    </row>
    <row r="5" spans="1:9" ht="14.25" x14ac:dyDescent="0.15">
      <c r="A5" s="21" t="s">
        <v>105</v>
      </c>
      <c r="B5" s="21" t="s">
        <v>111</v>
      </c>
      <c r="C5" s="19"/>
      <c r="G5" s="21">
        <v>22</v>
      </c>
    </row>
    <row r="6" spans="1:9" ht="14.25" x14ac:dyDescent="0.15">
      <c r="A6" s="21" t="s">
        <v>106</v>
      </c>
      <c r="B6" s="21" t="s">
        <v>112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G2" sqref="G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144</v>
      </c>
      <c r="B1" s="118" t="s">
        <v>145</v>
      </c>
      <c r="C1" s="118"/>
      <c r="D1" s="118"/>
      <c r="E1" s="118"/>
      <c r="F1" s="75" t="s">
        <v>239</v>
      </c>
      <c r="G1" s="75" t="s">
        <v>238</v>
      </c>
      <c r="I1" s="68" t="s">
        <v>237</v>
      </c>
      <c r="J1" s="24" t="s">
        <v>277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146</v>
      </c>
      <c r="B1" s="27" t="s">
        <v>147</v>
      </c>
      <c r="C1" s="27" t="s">
        <v>148</v>
      </c>
      <c r="D1" s="75" t="s">
        <v>273</v>
      </c>
      <c r="E1" s="75" t="s">
        <v>274</v>
      </c>
      <c r="F1" s="75" t="s">
        <v>275</v>
      </c>
      <c r="G1" s="75" t="s">
        <v>276</v>
      </c>
    </row>
    <row r="2" spans="1:7" ht="15" x14ac:dyDescent="0.15">
      <c r="A2" s="28">
        <v>1</v>
      </c>
      <c r="B2" s="26">
        <v>1</v>
      </c>
      <c r="C2" s="26" t="s">
        <v>149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150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151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152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153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154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155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156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157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237</v>
      </c>
      <c r="B18" s="24" t="s">
        <v>248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138</vt:i4>
      </vt:variant>
    </vt:vector>
  </HeadingPairs>
  <TitlesOfParts>
    <vt:vector size="160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2018-05-09T14:05:09Z</dcterms:modified>
</cp:coreProperties>
</file>